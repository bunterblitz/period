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period\"/>
    </mc:Choice>
  </mc:AlternateContent>
  <xr:revisionPtr revIDLastSave="0" documentId="13_ncr:1_{EB4927EA-A13C-485D-AA28-4528D6B8B3B6}" xr6:coauthVersionLast="47" xr6:coauthVersionMax="47" xr10:uidLastSave="{00000000-0000-0000-0000-000000000000}"/>
  <bookViews>
    <workbookView xWindow="-120" yWindow="-120" windowWidth="20730" windowHeight="11040" activeTab="2" xr2:uid="{0C176356-D2D0-4AAA-A914-3E6BB1CDF065}"/>
  </bookViews>
  <sheets>
    <sheet name="ready" sheetId="2" r:id="rId1"/>
    <sheet name="損傷限界固有周期" sheetId="3" r:id="rId2"/>
    <sheet name="安全限界固有周期" sheetId="4" r:id="rId3"/>
    <sheet name="Sheet1" sheetId="1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1" i="2" l="1"/>
  <c r="D20" i="2"/>
  <c r="D19" i="2"/>
  <c r="D18" i="2"/>
  <c r="D17" i="2"/>
  <c r="D16" i="2"/>
  <c r="D15" i="2"/>
  <c r="Z14" i="2"/>
  <c r="X14" i="2"/>
  <c r="D14" i="2"/>
  <c r="Z13" i="2"/>
  <c r="X13" i="2"/>
  <c r="D13" i="2"/>
  <c r="Z12" i="2"/>
  <c r="X12" i="2"/>
  <c r="D12" i="2"/>
  <c r="Z11" i="2"/>
  <c r="X11" i="2"/>
  <c r="D11" i="2"/>
</calcChain>
</file>

<file path=xl/sharedStrings.xml><?xml version="1.0" encoding="utf-8"?>
<sst xmlns="http://schemas.openxmlformats.org/spreadsheetml/2006/main" count="199" uniqueCount="121">
  <si>
    <t>S</t>
    <phoneticPr fontId="5"/>
  </si>
  <si>
    <t>造</t>
    <rPh sb="0" eb="1">
      <t>ゾウ</t>
    </rPh>
    <phoneticPr fontId="5"/>
  </si>
  <si>
    <t>X</t>
    <phoneticPr fontId="5"/>
  </si>
  <si>
    <t>ΣM</t>
    <phoneticPr fontId="5"/>
  </si>
  <si>
    <t>Y</t>
    <phoneticPr fontId="5"/>
  </si>
  <si>
    <t>階数=</t>
    <phoneticPr fontId="5"/>
  </si>
  <si>
    <t>建物高さH=</t>
    <rPh sb="0" eb="2">
      <t>タテモノ</t>
    </rPh>
    <rPh sb="2" eb="3">
      <t>タカ</t>
    </rPh>
    <phoneticPr fontId="5"/>
  </si>
  <si>
    <t>ΣM*δx</t>
    <phoneticPr fontId="5"/>
  </si>
  <si>
    <t>ΣM*δy</t>
    <phoneticPr fontId="5"/>
  </si>
  <si>
    <t>地域係数 Z =</t>
  </si>
  <si>
    <t>総質量ΣM=</t>
    <rPh sb="0" eb="1">
      <t>ソウ</t>
    </rPh>
    <rPh sb="1" eb="3">
      <t>シツリョウ</t>
    </rPh>
    <phoneticPr fontId="5"/>
  </si>
  <si>
    <t>ΣM*δx^2</t>
    <phoneticPr fontId="5"/>
  </si>
  <si>
    <t>ΣM*δy^2</t>
    <phoneticPr fontId="5"/>
  </si>
  <si>
    <t>基準せん断力係数　Co =</t>
    <rPh sb="0" eb="2">
      <t>キジュン</t>
    </rPh>
    <rPh sb="4" eb="6">
      <t>ダンリョク</t>
    </rPh>
    <rPh sb="6" eb="8">
      <t>ケイスウ</t>
    </rPh>
    <phoneticPr fontId="5"/>
  </si>
  <si>
    <t>一次固有周期 T =</t>
    <rPh sb="0" eb="2">
      <t>イチジ</t>
    </rPh>
    <rPh sb="2" eb="4">
      <t>コユウ</t>
    </rPh>
    <rPh sb="4" eb="6">
      <t>シュウキ</t>
    </rPh>
    <phoneticPr fontId="5"/>
  </si>
  <si>
    <t>Mdx</t>
    <phoneticPr fontId="5"/>
  </si>
  <si>
    <t>Mdy</t>
    <phoneticPr fontId="5"/>
  </si>
  <si>
    <t>Mux</t>
    <phoneticPr fontId="5"/>
  </si>
  <si>
    <t>Muy</t>
    <phoneticPr fontId="5"/>
  </si>
  <si>
    <t>地盤種別係数 Tc =</t>
    <phoneticPr fontId="5"/>
  </si>
  <si>
    <t>振動特性係数 Rt =</t>
    <rPh sb="0" eb="2">
      <t>シンドウ</t>
    </rPh>
    <rPh sb="2" eb="4">
      <t>トクセイ</t>
    </rPh>
    <rPh sb="4" eb="6">
      <t>ケイスウ</t>
    </rPh>
    <phoneticPr fontId="5"/>
  </si>
  <si>
    <t>Δｘ</t>
    <phoneticPr fontId="5"/>
  </si>
  <si>
    <t>Δy</t>
    <phoneticPr fontId="5"/>
  </si>
  <si>
    <t>地盤種別 =</t>
    <phoneticPr fontId="5"/>
  </si>
  <si>
    <t>用途係数 I =</t>
  </si>
  <si>
    <t>Tdx</t>
    <phoneticPr fontId="5"/>
  </si>
  <si>
    <t>Tdy</t>
    <phoneticPr fontId="5"/>
  </si>
  <si>
    <t>減衰定数ｈ算定時構造形式r1=</t>
    <rPh sb="0" eb="2">
      <t>ゲンスイ</t>
    </rPh>
    <rPh sb="2" eb="4">
      <t>テイスウ</t>
    </rPh>
    <rPh sb="5" eb="7">
      <t>サンテイ</t>
    </rPh>
    <rPh sb="7" eb="8">
      <t>ジ</t>
    </rPh>
    <rPh sb="8" eb="12">
      <t>コウゾウケイシキ</t>
    </rPh>
    <phoneticPr fontId="5"/>
  </si>
  <si>
    <t>ラーメン0.25,ブレース0.2</t>
    <phoneticPr fontId="5"/>
  </si>
  <si>
    <t>hi</t>
  </si>
  <si>
    <t>wi</t>
  </si>
  <si>
    <t>Qux</t>
    <phoneticPr fontId="5"/>
  </si>
  <si>
    <t>Quy</t>
    <phoneticPr fontId="5"/>
  </si>
  <si>
    <t>δx</t>
    <phoneticPr fontId="5"/>
  </si>
  <si>
    <t>qix</t>
    <phoneticPr fontId="5"/>
  </si>
  <si>
    <t>δy</t>
    <phoneticPr fontId="5"/>
  </si>
  <si>
    <t>qiy</t>
    <phoneticPr fontId="5"/>
  </si>
  <si>
    <t>損傷限界固有周期</t>
    <rPh sb="0" eb="2">
      <t>ソンショウ</t>
    </rPh>
    <rPh sb="2" eb="4">
      <t>ゲンカイ</t>
    </rPh>
    <rPh sb="4" eb="8">
      <t>コユウシュウキ</t>
    </rPh>
    <phoneticPr fontId="5"/>
  </si>
  <si>
    <t>建物の高さ h =</t>
    <rPh sb="0" eb="2">
      <t>タテモノ</t>
    </rPh>
    <rPh sb="3" eb="4">
      <t>タカ</t>
    </rPh>
    <phoneticPr fontId="5"/>
  </si>
  <si>
    <t>地震力　Qdx=</t>
    <rPh sb="0" eb="2">
      <t>ジシン</t>
    </rPh>
    <rPh sb="2" eb="3">
      <t>リョク</t>
    </rPh>
    <phoneticPr fontId="5"/>
  </si>
  <si>
    <t>kN</t>
    <phoneticPr fontId="5"/>
  </si>
  <si>
    <t>階数 S =</t>
    <rPh sb="0" eb="1">
      <t>カイ</t>
    </rPh>
    <rPh sb="1" eb="2">
      <t>スウ</t>
    </rPh>
    <phoneticPr fontId="5"/>
  </si>
  <si>
    <t>地震力　Qdy=</t>
    <rPh sb="0" eb="2">
      <t>ジシン</t>
    </rPh>
    <rPh sb="2" eb="3">
      <t>リョク</t>
    </rPh>
    <phoneticPr fontId="5"/>
  </si>
  <si>
    <t>地域係数 Z =</t>
    <phoneticPr fontId="5"/>
  </si>
  <si>
    <t>T</t>
    <phoneticPr fontId="5"/>
  </si>
  <si>
    <t>Rt</t>
    <phoneticPr fontId="5"/>
  </si>
  <si>
    <t>設計用Rt</t>
    <rPh sb="0" eb="2">
      <t>セッケイ</t>
    </rPh>
    <rPh sb="2" eb="3">
      <t>ヨウ</t>
    </rPh>
    <phoneticPr fontId="5"/>
  </si>
  <si>
    <t>ΣM =</t>
    <phoneticPr fontId="5"/>
  </si>
  <si>
    <t>X方向</t>
    <rPh sb="1" eb="3">
      <t>ホウコウ</t>
    </rPh>
    <phoneticPr fontId="5"/>
  </si>
  <si>
    <t>Mud X=</t>
    <phoneticPr fontId="5"/>
  </si>
  <si>
    <t>Y方向</t>
    <rPh sb="1" eb="3">
      <t>ホウコウ</t>
    </rPh>
    <phoneticPr fontId="5"/>
  </si>
  <si>
    <t>Mud Y=</t>
    <phoneticPr fontId="5"/>
  </si>
  <si>
    <t>略算</t>
    <rPh sb="0" eb="2">
      <t>リャクサン</t>
    </rPh>
    <phoneticPr fontId="5"/>
  </si>
  <si>
    <t>0.75Rt</t>
    <phoneticPr fontId="5"/>
  </si>
  <si>
    <t>階数</t>
    <rPh sb="0" eb="2">
      <t>カイスウ</t>
    </rPh>
    <phoneticPr fontId="5"/>
  </si>
  <si>
    <t>変位δ</t>
    <rPh sb="0" eb="2">
      <t>ヘンイ</t>
    </rPh>
    <phoneticPr fontId="5"/>
  </si>
  <si>
    <t>δ(i+i-1)</t>
    <phoneticPr fontId="5"/>
  </si>
  <si>
    <t>hi</t>
    <phoneticPr fontId="5"/>
  </si>
  <si>
    <t>hi/di</t>
    <phoneticPr fontId="5"/>
  </si>
  <si>
    <t>ｍi</t>
    <phoneticPr fontId="5"/>
  </si>
  <si>
    <t>mi*δdi</t>
    <phoneticPr fontId="5"/>
  </si>
  <si>
    <t>mi*δdi^2</t>
    <phoneticPr fontId="5"/>
  </si>
  <si>
    <t>(mm)</t>
    <phoneticPr fontId="5"/>
  </si>
  <si>
    <t>δd(m)</t>
    <phoneticPr fontId="5"/>
  </si>
  <si>
    <t>(m)</t>
    <phoneticPr fontId="5"/>
  </si>
  <si>
    <t>(t)</t>
    <phoneticPr fontId="5"/>
  </si>
  <si>
    <t>Mus Y</t>
    <phoneticPr fontId="5"/>
  </si>
  <si>
    <t>Mus X</t>
    <phoneticPr fontId="5"/>
  </si>
  <si>
    <t>地震力　Quy=</t>
    <rPh sb="0" eb="2">
      <t>ジシン</t>
    </rPh>
    <rPh sb="2" eb="3">
      <t>リョク</t>
    </rPh>
    <phoneticPr fontId="5"/>
  </si>
  <si>
    <t>地震力　Qux=</t>
    <rPh sb="0" eb="2">
      <t>ジシン</t>
    </rPh>
    <rPh sb="2" eb="3">
      <t>リョク</t>
    </rPh>
    <phoneticPr fontId="5"/>
  </si>
  <si>
    <t>安全限界固有周期</t>
    <rPh sb="0" eb="2">
      <t>アンゼン</t>
    </rPh>
    <rPh sb="2" eb="4">
      <t>ゲンカイ</t>
    </rPh>
    <rPh sb="4" eb="8">
      <t>コユウシュウキ</t>
    </rPh>
    <phoneticPr fontId="5"/>
  </si>
  <si>
    <t>1/82</t>
    <phoneticPr fontId="3"/>
  </si>
  <si>
    <t>1/106</t>
    <phoneticPr fontId="3"/>
  </si>
  <si>
    <t>1/76</t>
    <phoneticPr fontId="3"/>
  </si>
  <si>
    <t>1/61</t>
    <phoneticPr fontId="3"/>
  </si>
  <si>
    <t>1/60</t>
    <phoneticPr fontId="3"/>
  </si>
  <si>
    <t>1/66</t>
    <phoneticPr fontId="3"/>
  </si>
  <si>
    <t>1/64</t>
    <phoneticPr fontId="3"/>
  </si>
  <si>
    <t>1/68</t>
    <phoneticPr fontId="3"/>
  </si>
  <si>
    <t>1/81</t>
    <phoneticPr fontId="3"/>
  </si>
  <si>
    <t>1/88</t>
    <phoneticPr fontId="3"/>
  </si>
  <si>
    <t>1/115</t>
    <phoneticPr fontId="3"/>
  </si>
  <si>
    <t>1/133</t>
    <phoneticPr fontId="3"/>
  </si>
  <si>
    <t>1/58</t>
    <phoneticPr fontId="3"/>
  </si>
  <si>
    <t>1/50</t>
    <phoneticPr fontId="3"/>
  </si>
  <si>
    <t>1/54</t>
    <phoneticPr fontId="3"/>
  </si>
  <si>
    <t>1/59</t>
    <phoneticPr fontId="3"/>
  </si>
  <si>
    <t>1/91</t>
    <phoneticPr fontId="3"/>
  </si>
  <si>
    <t>有効質量　Mud=(Σmi*δdi)^2/(Σ(mi*δdi^2)=2320568.0/603.51=3845.1t</t>
    <phoneticPr fontId="3"/>
  </si>
  <si>
    <t>代表変位　Δd=(Σmi*δdi^2)/(Σmi*δdi)=603.51/1523.34=0.396m</t>
    <phoneticPr fontId="3"/>
  </si>
  <si>
    <t>有効質量　Mud=(Σmi*δdi)^2/(Σ(mi*δdi^2)=3383557.3/863.79=3845.1t</t>
    <phoneticPr fontId="3"/>
  </si>
  <si>
    <t>代表変位　Δd=(Σmi*δdi^2)/(Σmi*δdi)=863.79/1839.45=0.470m</t>
    <phoneticPr fontId="3"/>
  </si>
  <si>
    <t>階数</t>
    <phoneticPr fontId="3"/>
  </si>
  <si>
    <t>変位δ</t>
    <phoneticPr fontId="3"/>
  </si>
  <si>
    <t>δ(i+i-1)</t>
    <phoneticPr fontId="3"/>
  </si>
  <si>
    <t>hi</t>
    <phoneticPr fontId="3"/>
  </si>
  <si>
    <t>hi/di</t>
    <phoneticPr fontId="3"/>
  </si>
  <si>
    <t>ｍi</t>
    <phoneticPr fontId="3"/>
  </si>
  <si>
    <t>mi*δdi</t>
    <phoneticPr fontId="3"/>
  </si>
  <si>
    <t>mi*δdi^2</t>
    <phoneticPr fontId="3"/>
  </si>
  <si>
    <t>(mm)</t>
    <phoneticPr fontId="3"/>
  </si>
  <si>
    <t>δd(m)</t>
    <phoneticPr fontId="3"/>
  </si>
  <si>
    <t>(m)</t>
    <phoneticPr fontId="3"/>
  </si>
  <si>
    <t>(t)</t>
    <phoneticPr fontId="3"/>
  </si>
  <si>
    <t>Td=2π(Mud・Δd/Qd)^0.5=1.580sec</t>
    <phoneticPr fontId="3"/>
  </si>
  <si>
    <t>Td=2π(Mud・Δd/Qd)^0.5=2.035sec</t>
    <phoneticPr fontId="3"/>
  </si>
  <si>
    <t>1/338</t>
    <phoneticPr fontId="3"/>
  </si>
  <si>
    <t>1/422</t>
    <phoneticPr fontId="3"/>
  </si>
  <si>
    <t>1/380</t>
    <phoneticPr fontId="3"/>
  </si>
  <si>
    <t>1/345</t>
    <phoneticPr fontId="3"/>
  </si>
  <si>
    <t>1/475</t>
    <phoneticPr fontId="3"/>
  </si>
  <si>
    <t>1/591</t>
    <phoneticPr fontId="3"/>
  </si>
  <si>
    <t>1/390</t>
    <phoneticPr fontId="3"/>
  </si>
  <si>
    <t>1/317</t>
    <phoneticPr fontId="3"/>
  </si>
  <si>
    <t>1/394</t>
    <phoneticPr fontId="3"/>
  </si>
  <si>
    <t>有効質量　Mud=(Σmi*δdi)^2/(Σ(mi*δdi^2)=74537.2/19.48=3826.5t</t>
    <phoneticPr fontId="3"/>
  </si>
  <si>
    <t>代表変位　Δd=(Σmi*δdi^2)/(Σmi*δdi)=19.48/273.02=0.071m</t>
    <phoneticPr fontId="3"/>
  </si>
  <si>
    <t>Td=2π(Mud・Δd/Qd)^0.5=1.236sec</t>
    <phoneticPr fontId="3"/>
  </si>
  <si>
    <t>有効質量　Mud=(Σmi*δdi)^2/(Σ(mi*δdi^2)=100645.6/25.15=3826.5t</t>
    <phoneticPr fontId="3"/>
  </si>
  <si>
    <t>代表変位　Δd=(Σmi*δdi^2)/(Σmi*δdi)=25.15/317.25=0.079m</t>
    <phoneticPr fontId="3"/>
  </si>
  <si>
    <t>Td=2π(Mud・Δd/Qd)^0.5=1.394sec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</si>
</sst>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"/>
    <numFmt numFmtId="177" formatCode="0.000_ "/>
    <numFmt numFmtId="178" formatCode="0.0_ "/>
    <numFmt numFmtId="179" formatCode="0.000"/>
    <numFmt numFmtId="180" formatCode="&quot;1/&quot;#"/>
  </numFmts>
  <fonts count="10" x14ac:knownFonts="1">
    <font>
      <sz val="11"/>
      <color theme="1"/>
      <name val="游ゴシック"/>
      <family val="2"/>
      <charset val="128"/>
      <scheme val="minor"/>
    </font>
    <font>
      <sz val="10"/>
      <name val="ＭＳ ゴシック"/>
      <family val="3"/>
      <charset val="128"/>
    </font>
    <font>
      <sz val="10"/>
      <name val="Meiryo UI"/>
      <family val="3"/>
      <charset val="128"/>
    </font>
    <font>
      <sz val="6"/>
      <name val="游ゴシック"/>
      <family val="2"/>
      <charset val="128"/>
      <scheme val="minor"/>
    </font>
    <font>
      <sz val="10"/>
      <color theme="8"/>
      <name val="Meiryo UI"/>
      <family val="3"/>
      <charset val="128"/>
    </font>
    <font>
      <sz val="6"/>
      <name val="ＭＳ ゴシック"/>
      <family val="3"/>
      <charset val="128"/>
    </font>
    <font>
      <sz val="10"/>
      <color theme="4"/>
      <name val="Meiryo UI"/>
      <family val="3"/>
      <charset val="128"/>
    </font>
    <font>
      <sz val="10"/>
      <color rgb="FF00B0F0"/>
      <name val="Meiryo UI"/>
      <family val="3"/>
      <charset val="128"/>
    </font>
    <font>
      <sz val="10"/>
      <color theme="8" tint="-0.249977111117893"/>
      <name val="Meiryo UI"/>
      <family val="3"/>
      <charset val="128"/>
    </font>
    <font>
      <sz val="10"/>
      <color rgb="FF0070C0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2" fillId="0" borderId="0" xfId="1" applyFont="1">
      <alignment vertical="center"/>
    </xf>
    <xf numFmtId="0" fontId="4" fillId="0" borderId="0" xfId="1" applyFont="1" applyAlignment="1">
      <alignment horizontal="center" vertical="center"/>
    </xf>
    <xf numFmtId="0" fontId="6" fillId="0" borderId="0" xfId="1" applyFont="1" applyAlignment="1">
      <alignment horizontal="right" vertical="center"/>
    </xf>
    <xf numFmtId="0" fontId="7" fillId="0" borderId="0" xfId="1" applyFont="1">
      <alignment vertical="center"/>
    </xf>
    <xf numFmtId="0" fontId="7" fillId="0" borderId="0" xfId="1" applyFont="1" applyAlignment="1">
      <alignment horizontal="right" vertical="center"/>
    </xf>
    <xf numFmtId="0" fontId="4" fillId="0" borderId="0" xfId="1" applyFont="1">
      <alignment vertical="center"/>
    </xf>
    <xf numFmtId="0" fontId="2" fillId="0" borderId="0" xfId="1" applyFont="1" applyAlignment="1">
      <alignment horizontal="left" vertical="center"/>
    </xf>
    <xf numFmtId="0" fontId="6" fillId="0" borderId="0" xfId="1" applyFont="1">
      <alignment vertical="center"/>
    </xf>
    <xf numFmtId="176" fontId="2" fillId="0" borderId="0" xfId="1" applyNumberFormat="1" applyFont="1">
      <alignment vertical="center"/>
    </xf>
    <xf numFmtId="0" fontId="2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2" fillId="0" borderId="0" xfId="1" applyFont="1" applyAlignment="1">
      <alignment horizontal="right" vertical="center"/>
    </xf>
    <xf numFmtId="0" fontId="8" fillId="0" borderId="0" xfId="1" applyFont="1" applyAlignment="1">
      <alignment horizontal="right" vertical="center"/>
    </xf>
    <xf numFmtId="0" fontId="8" fillId="0" borderId="0" xfId="1" applyFont="1">
      <alignment vertical="center"/>
    </xf>
    <xf numFmtId="0" fontId="1" fillId="0" borderId="0" xfId="1">
      <alignment vertical="center"/>
    </xf>
    <xf numFmtId="38" fontId="2" fillId="0" borderId="0" xfId="2" applyFont="1">
      <alignment vertical="center"/>
    </xf>
    <xf numFmtId="56" fontId="1" fillId="0" borderId="0" xfId="1" applyNumberFormat="1">
      <alignment vertical="center"/>
    </xf>
    <xf numFmtId="17" fontId="1" fillId="0" borderId="0" xfId="1" applyNumberFormat="1">
      <alignment vertical="center"/>
    </xf>
    <xf numFmtId="0" fontId="9" fillId="0" borderId="0" xfId="1" applyFont="1" applyAlignment="1">
      <alignment horizontal="left" vertical="center"/>
    </xf>
    <xf numFmtId="0" fontId="9" fillId="0" borderId="0" xfId="1" applyFont="1" applyAlignment="1">
      <alignment horizontal="right" vertical="center"/>
    </xf>
    <xf numFmtId="0" fontId="9" fillId="0" borderId="0" xfId="1" applyFont="1">
      <alignment vertical="center"/>
    </xf>
    <xf numFmtId="0" fontId="9" fillId="0" borderId="0" xfId="1" applyFont="1" applyAlignment="1">
      <alignment horizontal="center" vertical="center"/>
    </xf>
    <xf numFmtId="177" fontId="9" fillId="0" borderId="0" xfId="1" applyNumberFormat="1" applyFont="1" applyAlignment="1">
      <alignment horizontal="right" vertical="center"/>
    </xf>
    <xf numFmtId="178" fontId="8" fillId="0" borderId="0" xfId="1" applyNumberFormat="1" applyFont="1" applyAlignment="1">
      <alignment horizontal="right" vertical="center"/>
    </xf>
    <xf numFmtId="179" fontId="2" fillId="0" borderId="0" xfId="1" applyNumberFormat="1" applyFont="1" applyAlignment="1">
      <alignment horizontal="center" vertical="center"/>
    </xf>
    <xf numFmtId="177" fontId="2" fillId="0" borderId="0" xfId="1" applyNumberFormat="1" applyFont="1" applyAlignment="1">
      <alignment horizontal="center" vertical="center"/>
    </xf>
    <xf numFmtId="180" fontId="2" fillId="0" borderId="0" xfId="1" applyNumberFormat="1" applyFont="1" applyAlignment="1">
      <alignment horizontal="center" vertical="center"/>
    </xf>
    <xf numFmtId="2" fontId="2" fillId="0" borderId="0" xfId="1" applyNumberFormat="1" applyFont="1">
      <alignment vertical="center"/>
    </xf>
    <xf numFmtId="179" fontId="8" fillId="0" borderId="0" xfId="1" applyNumberFormat="1" applyFont="1" applyAlignment="1">
      <alignment horizontal="center" vertical="center"/>
    </xf>
    <xf numFmtId="177" fontId="8" fillId="0" borderId="0" xfId="1" applyNumberFormat="1" applyFont="1" applyAlignment="1">
      <alignment horizontal="center" vertical="center"/>
    </xf>
    <xf numFmtId="180" fontId="8" fillId="0" borderId="0" xfId="1" applyNumberFormat="1" applyFont="1">
      <alignment vertical="center"/>
    </xf>
    <xf numFmtId="2" fontId="8" fillId="0" borderId="0" xfId="1" applyNumberFormat="1" applyFont="1">
      <alignment vertical="center"/>
    </xf>
    <xf numFmtId="49" fontId="0" fillId="0" borderId="0" xfId="0" applyNumberFormat="1">
      <alignment vertical="center"/>
    </xf>
  </cellXfs>
  <cellStyles count="3">
    <cellStyle name="桁区切り 2" xfId="2" xr:uid="{8C727D26-9FE4-4EE7-BF4C-1E5187C42DE2}"/>
    <cellStyle name="標準" xfId="0" builtinId="0"/>
    <cellStyle name="標準 2" xfId="1" xr:uid="{5C7F27A8-A109-42E5-89A2-4A2AC3ECE94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</xdr:row>
          <xdr:rowOff>95250</xdr:rowOff>
        </xdr:from>
        <xdr:to>
          <xdr:col>1</xdr:col>
          <xdr:colOff>142875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3538B99-B758-4E6D-B89D-F778AAEA58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F44F6-07D5-4AC2-8F40-DBC516E61D6C}">
  <sheetPr codeName="Sheet5"/>
  <dimension ref="A1:AX100"/>
  <sheetViews>
    <sheetView workbookViewId="0">
      <selection activeCell="B24" sqref="B24"/>
    </sheetView>
  </sheetViews>
  <sheetFormatPr defaultRowHeight="14.25" x14ac:dyDescent="0.4"/>
  <cols>
    <col min="1" max="5" width="9" style="1"/>
    <col min="6" max="6" width="8.375" style="1" customWidth="1"/>
    <col min="7" max="14" width="9" style="1"/>
    <col min="15" max="15" width="8" style="1" customWidth="1"/>
    <col min="16" max="21" width="9" style="1"/>
    <col min="22" max="22" width="9.375" style="1" bestFit="1" customWidth="1"/>
    <col min="23" max="23" width="8.5" style="1" bestFit="1" customWidth="1"/>
    <col min="24" max="24" width="8.125" style="1" bestFit="1" customWidth="1"/>
    <col min="25" max="16384" width="9" style="1"/>
  </cols>
  <sheetData>
    <row r="1" spans="1:26" x14ac:dyDescent="0.4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43.699996948242188</v>
      </c>
      <c r="W1" s="1">
        <v>23</v>
      </c>
      <c r="X1" s="1">
        <v>24</v>
      </c>
      <c r="Y1" s="1">
        <v>25</v>
      </c>
      <c r="Z1" s="1">
        <v>26</v>
      </c>
    </row>
    <row r="2" spans="1:26" x14ac:dyDescent="0.4">
      <c r="D2" s="2" t="s">
        <v>0</v>
      </c>
      <c r="E2" s="1" t="s">
        <v>1</v>
      </c>
      <c r="I2" s="3" t="s">
        <v>2</v>
      </c>
      <c r="J2" s="3" t="s">
        <v>3</v>
      </c>
      <c r="K2" s="1">
        <v>5200.552734375</v>
      </c>
      <c r="L2" s="3" t="s">
        <v>4</v>
      </c>
      <c r="M2" s="3" t="s">
        <v>3</v>
      </c>
      <c r="N2" s="1">
        <v>5200.552734375</v>
      </c>
      <c r="P2" s="3" t="s">
        <v>2</v>
      </c>
      <c r="Q2" s="3" t="s">
        <v>3</v>
      </c>
      <c r="R2" s="1">
        <v>5200.552734375</v>
      </c>
      <c r="S2" s="3" t="s">
        <v>4</v>
      </c>
      <c r="T2" s="3" t="s">
        <v>3</v>
      </c>
      <c r="U2" s="1">
        <v>5200.552734375</v>
      </c>
    </row>
    <row r="3" spans="1:26" x14ac:dyDescent="0.4">
      <c r="B3" s="4"/>
      <c r="C3" s="5" t="s">
        <v>5</v>
      </c>
      <c r="D3" s="6">
        <v>11</v>
      </c>
      <c r="E3" s="6"/>
      <c r="F3" s="5" t="s">
        <v>6</v>
      </c>
      <c r="G3" s="7">
        <v>43.999996185302734</v>
      </c>
      <c r="I3" s="8"/>
      <c r="J3" s="3" t="s">
        <v>7</v>
      </c>
      <c r="L3" s="8"/>
      <c r="M3" s="3" t="s">
        <v>8</v>
      </c>
      <c r="P3" s="8"/>
      <c r="Q3" s="3" t="s">
        <v>7</v>
      </c>
      <c r="S3" s="8"/>
      <c r="T3" s="3" t="s">
        <v>8</v>
      </c>
    </row>
    <row r="4" spans="1:26" x14ac:dyDescent="0.4">
      <c r="B4" s="4"/>
      <c r="C4" s="5" t="s">
        <v>9</v>
      </c>
      <c r="D4" s="6">
        <v>1</v>
      </c>
      <c r="E4" s="6"/>
      <c r="F4" s="5" t="s">
        <v>10</v>
      </c>
      <c r="G4" s="7">
        <v>5100</v>
      </c>
      <c r="I4" s="8"/>
      <c r="J4" s="3" t="s">
        <v>11</v>
      </c>
      <c r="L4" s="8"/>
      <c r="M4" s="3" t="s">
        <v>12</v>
      </c>
      <c r="P4" s="8"/>
      <c r="Q4" s="3" t="s">
        <v>11</v>
      </c>
      <c r="S4" s="8"/>
      <c r="T4" s="3" t="s">
        <v>12</v>
      </c>
    </row>
    <row r="5" spans="1:26" x14ac:dyDescent="0.4">
      <c r="B5" s="4"/>
      <c r="C5" s="5" t="s">
        <v>13</v>
      </c>
      <c r="D5" s="6">
        <v>0.2</v>
      </c>
      <c r="E5" s="6"/>
      <c r="F5" s="5" t="s">
        <v>14</v>
      </c>
      <c r="G5" s="7">
        <v>1.3199999332427979</v>
      </c>
      <c r="I5" s="8"/>
      <c r="J5" s="3" t="s">
        <v>15</v>
      </c>
      <c r="K5" s="1">
        <v>3826.48974609375</v>
      </c>
      <c r="L5" s="8"/>
      <c r="M5" s="3" t="s">
        <v>16</v>
      </c>
      <c r="N5" s="1">
        <v>4001.11474609375</v>
      </c>
      <c r="P5" s="8"/>
      <c r="Q5" s="3" t="s">
        <v>17</v>
      </c>
      <c r="R5" s="1">
        <v>3845.13525390625</v>
      </c>
      <c r="S5" s="8"/>
      <c r="T5" s="3" t="s">
        <v>18</v>
      </c>
      <c r="U5" s="1">
        <v>3917.09130859375</v>
      </c>
    </row>
    <row r="6" spans="1:26" x14ac:dyDescent="0.4">
      <c r="B6" s="4"/>
      <c r="C6" s="5" t="s">
        <v>19</v>
      </c>
      <c r="D6" s="6">
        <v>0.6</v>
      </c>
      <c r="F6" s="5" t="s">
        <v>20</v>
      </c>
      <c r="G6" s="7">
        <v>0.72727279295277991</v>
      </c>
      <c r="I6" s="8"/>
      <c r="J6" s="3" t="s">
        <v>21</v>
      </c>
      <c r="K6" s="1">
        <v>7.1348667144775391E-2</v>
      </c>
      <c r="L6" s="8"/>
      <c r="M6" s="3" t="s">
        <v>22</v>
      </c>
      <c r="N6" s="1">
        <v>7.9289637506008148E-2</v>
      </c>
      <c r="P6" s="8"/>
      <c r="Q6" s="3" t="s">
        <v>21</v>
      </c>
      <c r="R6" s="1">
        <v>0.39617359638214111</v>
      </c>
      <c r="S6" s="8"/>
      <c r="T6" s="3" t="s">
        <v>22</v>
      </c>
      <c r="U6" s="1">
        <v>0.46959459781646729</v>
      </c>
    </row>
    <row r="7" spans="1:26" x14ac:dyDescent="0.4">
      <c r="B7" s="4"/>
      <c r="C7" s="5" t="s">
        <v>23</v>
      </c>
      <c r="D7" s="9">
        <v>2</v>
      </c>
      <c r="F7" s="5" t="s">
        <v>24</v>
      </c>
      <c r="I7" s="8"/>
      <c r="J7" s="3" t="s">
        <v>25</v>
      </c>
      <c r="K7" s="1">
        <v>1.2358423471450806</v>
      </c>
      <c r="L7" s="8"/>
      <c r="M7" s="3" t="s">
        <v>26</v>
      </c>
      <c r="N7" s="10">
        <v>1.3941222429275513</v>
      </c>
      <c r="O7" s="11"/>
      <c r="P7" s="8"/>
      <c r="Q7" s="3" t="s">
        <v>25</v>
      </c>
      <c r="R7" s="1">
        <v>1.5800764560699463</v>
      </c>
      <c r="S7" s="8"/>
      <c r="T7" s="3" t="s">
        <v>26</v>
      </c>
      <c r="U7" s="1">
        <v>2.0352022647857666</v>
      </c>
    </row>
    <row r="8" spans="1:26" x14ac:dyDescent="0.4">
      <c r="B8" s="4"/>
      <c r="C8" s="12" t="s">
        <v>27</v>
      </c>
      <c r="D8" s="1">
        <v>0.25</v>
      </c>
      <c r="E8" s="1" t="s">
        <v>28</v>
      </c>
      <c r="F8" s="13"/>
    </row>
    <row r="9" spans="1:26" x14ac:dyDescent="0.4">
      <c r="A9" s="14">
        <v>1</v>
      </c>
      <c r="B9" s="14">
        <v>2</v>
      </c>
      <c r="C9" s="14">
        <v>3</v>
      </c>
      <c r="D9" s="14">
        <v>4</v>
      </c>
      <c r="E9" s="14">
        <v>5</v>
      </c>
      <c r="F9" s="14">
        <v>6</v>
      </c>
      <c r="G9" s="14">
        <v>7</v>
      </c>
      <c r="H9" s="14">
        <v>1.2389950752258301</v>
      </c>
      <c r="I9" s="14">
        <v>9</v>
      </c>
      <c r="J9" s="14">
        <v>10</v>
      </c>
      <c r="K9" s="14">
        <v>11</v>
      </c>
      <c r="L9" s="14">
        <v>12</v>
      </c>
      <c r="M9" s="14">
        <v>13</v>
      </c>
      <c r="N9" s="14">
        <v>14</v>
      </c>
      <c r="O9" s="14">
        <v>15</v>
      </c>
      <c r="P9" s="14">
        <v>16</v>
      </c>
      <c r="Q9" s="14">
        <v>17</v>
      </c>
      <c r="R9" s="14">
        <v>18</v>
      </c>
      <c r="S9" s="14">
        <v>19</v>
      </c>
      <c r="T9" s="14">
        <v>20</v>
      </c>
    </row>
    <row r="10" spans="1:26" x14ac:dyDescent="0.4">
      <c r="A10" s="14"/>
      <c r="B10" s="14"/>
      <c r="C10" s="11" t="s">
        <v>29</v>
      </c>
      <c r="D10" s="11" t="s">
        <v>30</v>
      </c>
      <c r="E10" s="1" t="s">
        <v>31</v>
      </c>
      <c r="F10" s="1" t="s">
        <v>32</v>
      </c>
      <c r="H10" s="11" t="s">
        <v>33</v>
      </c>
      <c r="I10" s="11" t="s">
        <v>34</v>
      </c>
      <c r="J10" s="11" t="s">
        <v>35</v>
      </c>
      <c r="K10" s="11" t="s">
        <v>36</v>
      </c>
      <c r="L10" s="11"/>
      <c r="M10" s="1" t="s">
        <v>31</v>
      </c>
      <c r="N10" s="1" t="s">
        <v>32</v>
      </c>
      <c r="P10" s="11" t="s">
        <v>33</v>
      </c>
      <c r="Q10" s="11" t="s">
        <v>34</v>
      </c>
      <c r="R10" s="11" t="s">
        <v>35</v>
      </c>
      <c r="S10" s="11" t="s">
        <v>36</v>
      </c>
    </row>
    <row r="11" spans="1:26" x14ac:dyDescent="0.4">
      <c r="B11" s="1">
        <v>11</v>
      </c>
      <c r="C11" s="15">
        <v>5.07</v>
      </c>
      <c r="D11" s="15">
        <f>U11*9.80665</f>
        <v>2461.4691499999999</v>
      </c>
      <c r="E11" s="1">
        <v>7057</v>
      </c>
      <c r="F11" s="1">
        <v>6444</v>
      </c>
      <c r="H11" s="1">
        <v>1.4999999999999999E-2</v>
      </c>
      <c r="I11" s="15">
        <v>1171</v>
      </c>
      <c r="J11" s="1">
        <v>1.2999999999999999E-2</v>
      </c>
      <c r="K11" s="15">
        <v>1070</v>
      </c>
      <c r="M11" s="16">
        <v>24088</v>
      </c>
      <c r="N11" s="16">
        <v>17532</v>
      </c>
      <c r="P11" s="1">
        <v>6.2E-2</v>
      </c>
      <c r="Q11" s="1">
        <v>3998</v>
      </c>
      <c r="R11" s="1">
        <v>3.7999999999999999E-2</v>
      </c>
      <c r="S11" s="1">
        <v>2901</v>
      </c>
      <c r="U11" s="1">
        <v>251</v>
      </c>
      <c r="V11" s="14">
        <v>251</v>
      </c>
      <c r="W11" s="14">
        <v>0.109</v>
      </c>
      <c r="X11" s="1">
        <f>+W11-W12</f>
        <v>1.4999999999999999E-2</v>
      </c>
      <c r="Y11" s="14">
        <v>0.11700000000000001</v>
      </c>
      <c r="Z11" s="1">
        <f>+Y11-Y12</f>
        <v>1.3000000000000012E-2</v>
      </c>
    </row>
    <row r="12" spans="1:26" x14ac:dyDescent="0.4">
      <c r="B12" s="1">
        <v>10</v>
      </c>
      <c r="C12" s="15">
        <v>3.8</v>
      </c>
      <c r="D12" s="15">
        <f t="shared" ref="D12:D21" si="0">U12*9.80665</f>
        <v>6276.2559999999994</v>
      </c>
      <c r="H12" s="1">
        <v>8.9999999999999993E-3</v>
      </c>
      <c r="I12" s="15">
        <v>2688</v>
      </c>
      <c r="J12" s="1">
        <v>8.9999999999999993E-3</v>
      </c>
      <c r="K12" s="15">
        <v>2453</v>
      </c>
      <c r="P12" s="1">
        <v>3.5999999999999997E-2</v>
      </c>
      <c r="Q12" s="1">
        <v>9173</v>
      </c>
      <c r="R12" s="1">
        <v>4.2999999999999997E-2</v>
      </c>
      <c r="S12" s="1">
        <v>7125</v>
      </c>
      <c r="U12" s="1">
        <v>640</v>
      </c>
      <c r="V12" s="14">
        <v>640</v>
      </c>
      <c r="W12" s="14">
        <v>9.4E-2</v>
      </c>
      <c r="X12" s="1">
        <f t="shared" ref="X12:X14" si="1">+W12-W13</f>
        <v>8.9999999999999941E-3</v>
      </c>
      <c r="Y12" s="14">
        <v>0.104</v>
      </c>
      <c r="Z12" s="1">
        <f t="shared" ref="Z12:Z14" si="2">+Y12-Y13</f>
        <v>8.9999999999999941E-3</v>
      </c>
    </row>
    <row r="13" spans="1:26" x14ac:dyDescent="0.4">
      <c r="B13" s="1">
        <v>9</v>
      </c>
      <c r="C13" s="15">
        <v>3.8</v>
      </c>
      <c r="D13" s="15">
        <f t="shared" si="0"/>
        <v>4452.2190999999993</v>
      </c>
      <c r="H13" s="1">
        <v>0.01</v>
      </c>
      <c r="I13" s="15">
        <v>3528</v>
      </c>
      <c r="J13" s="1">
        <v>1.0999999999999999E-2</v>
      </c>
      <c r="K13" s="15">
        <v>3222</v>
      </c>
      <c r="P13" s="1">
        <v>0.05</v>
      </c>
      <c r="Q13" s="1">
        <v>12044</v>
      </c>
      <c r="R13" s="1">
        <v>6.6000000000000003E-2</v>
      </c>
      <c r="S13" s="1">
        <v>8722</v>
      </c>
      <c r="U13" s="1">
        <v>454</v>
      </c>
      <c r="V13" s="14">
        <v>454</v>
      </c>
      <c r="W13" s="14">
        <v>8.5000000000000006E-2</v>
      </c>
      <c r="X13" s="1">
        <f t="shared" si="1"/>
        <v>1.0000000000000009E-2</v>
      </c>
      <c r="Y13" s="14">
        <v>9.5000000000000001E-2</v>
      </c>
      <c r="Z13" s="1">
        <f t="shared" si="2"/>
        <v>1.0999999999999996E-2</v>
      </c>
    </row>
    <row r="14" spans="1:26" x14ac:dyDescent="0.4">
      <c r="B14" s="1">
        <v>8</v>
      </c>
      <c r="C14" s="15">
        <v>3.8</v>
      </c>
      <c r="D14" s="15">
        <f t="shared" si="0"/>
        <v>4462.0257499999998</v>
      </c>
      <c r="H14" s="1">
        <v>1.0999999999999999E-2</v>
      </c>
      <c r="I14" s="15">
        <v>4254</v>
      </c>
      <c r="J14" s="1">
        <v>1.2E-2</v>
      </c>
      <c r="K14" s="15">
        <v>3884</v>
      </c>
      <c r="P14" s="1">
        <v>6.2E-2</v>
      </c>
      <c r="Q14" s="1">
        <v>14524</v>
      </c>
      <c r="R14" s="1">
        <v>7.5999999999999998E-2</v>
      </c>
      <c r="S14" s="1">
        <v>10555</v>
      </c>
      <c r="U14" s="1">
        <v>455</v>
      </c>
      <c r="V14" s="14">
        <v>455</v>
      </c>
      <c r="W14" s="14">
        <v>7.4999999999999997E-2</v>
      </c>
      <c r="X14" s="1">
        <f t="shared" si="1"/>
        <v>7.4999999999999997E-2</v>
      </c>
      <c r="Y14" s="14">
        <v>8.4000000000000005E-2</v>
      </c>
      <c r="Z14" s="1">
        <f t="shared" si="2"/>
        <v>8.4000000000000005E-2</v>
      </c>
    </row>
    <row r="15" spans="1:26" x14ac:dyDescent="0.4">
      <c r="B15" s="1">
        <v>7</v>
      </c>
      <c r="C15" s="15">
        <v>3.8</v>
      </c>
      <c r="D15" s="15">
        <f t="shared" si="0"/>
        <v>4511.0589999999993</v>
      </c>
      <c r="H15" s="1">
        <v>1.0999999999999999E-2</v>
      </c>
      <c r="I15" s="15">
        <v>4890</v>
      </c>
      <c r="J15" s="1">
        <v>1.0999999999999999E-2</v>
      </c>
      <c r="K15" s="15">
        <v>4465</v>
      </c>
      <c r="P15" s="1">
        <v>6.3E-2</v>
      </c>
      <c r="Q15" s="1">
        <v>16689</v>
      </c>
      <c r="R15" s="1">
        <v>7.0999999999999994E-2</v>
      </c>
      <c r="S15" s="1">
        <v>12123</v>
      </c>
      <c r="U15" s="1">
        <v>460</v>
      </c>
    </row>
    <row r="16" spans="1:26" x14ac:dyDescent="0.4">
      <c r="B16" s="1">
        <v>6</v>
      </c>
      <c r="C16" s="15">
        <v>3.8</v>
      </c>
      <c r="D16" s="15">
        <f t="shared" si="0"/>
        <v>4579.7055499999997</v>
      </c>
      <c r="H16" s="1">
        <v>0.01</v>
      </c>
      <c r="I16" s="15">
        <v>5445</v>
      </c>
      <c r="J16" s="1">
        <v>0.01</v>
      </c>
      <c r="K16" s="15">
        <v>4972</v>
      </c>
      <c r="P16" s="1">
        <v>5.8000000000000003E-2</v>
      </c>
      <c r="Q16" s="1">
        <v>18591</v>
      </c>
      <c r="R16" s="1">
        <v>6.4000000000000001E-2</v>
      </c>
      <c r="S16" s="1">
        <v>13495</v>
      </c>
      <c r="U16" s="1">
        <v>467</v>
      </c>
    </row>
    <row r="17" spans="1:50" x14ac:dyDescent="0.4">
      <c r="B17" s="1">
        <v>5</v>
      </c>
      <c r="C17" s="15">
        <v>3.8</v>
      </c>
      <c r="D17" s="15">
        <f t="shared" si="0"/>
        <v>4599.3188499999997</v>
      </c>
      <c r="H17" s="1">
        <v>0.01</v>
      </c>
      <c r="I17" s="15">
        <v>5920</v>
      </c>
      <c r="J17" s="1">
        <v>0.01</v>
      </c>
      <c r="K17" s="15">
        <v>5405</v>
      </c>
      <c r="P17" s="1">
        <v>5.8999999999999997E-2</v>
      </c>
      <c r="Q17" s="1">
        <v>20208</v>
      </c>
      <c r="R17" s="1">
        <v>6.3E-2</v>
      </c>
      <c r="S17" s="1">
        <v>14651</v>
      </c>
      <c r="U17" s="1">
        <v>469</v>
      </c>
    </row>
    <row r="18" spans="1:50" x14ac:dyDescent="0.4">
      <c r="B18" s="1">
        <v>4</v>
      </c>
      <c r="C18" s="15">
        <v>3.8</v>
      </c>
      <c r="D18" s="15">
        <f t="shared" si="0"/>
        <v>4618.9321499999996</v>
      </c>
      <c r="H18" s="1">
        <v>8.9999999999999993E-3</v>
      </c>
      <c r="I18" s="15">
        <v>6316</v>
      </c>
      <c r="J18" s="1">
        <v>0.01</v>
      </c>
      <c r="K18" s="15">
        <v>5767</v>
      </c>
      <c r="P18" s="1">
        <v>5.6000000000000001E-2</v>
      </c>
      <c r="Q18" s="1">
        <v>21560</v>
      </c>
      <c r="R18" s="1">
        <v>6.3E-2</v>
      </c>
      <c r="S18" s="1">
        <v>15660</v>
      </c>
      <c r="U18" s="1">
        <v>471</v>
      </c>
    </row>
    <row r="19" spans="1:50" x14ac:dyDescent="0.4">
      <c r="B19" s="1">
        <v>3</v>
      </c>
      <c r="C19" s="15">
        <v>3.8</v>
      </c>
      <c r="D19" s="15">
        <f t="shared" si="0"/>
        <v>4658.1587499999996</v>
      </c>
      <c r="H19" s="1">
        <v>8.0000000000000002E-3</v>
      </c>
      <c r="I19" s="15">
        <v>6638</v>
      </c>
      <c r="J19" s="1">
        <v>0.01</v>
      </c>
      <c r="K19" s="15">
        <v>6061</v>
      </c>
      <c r="P19" s="1">
        <v>4.7E-2</v>
      </c>
      <c r="Q19" s="1">
        <v>22658</v>
      </c>
      <c r="R19" s="1">
        <v>6.3E-2</v>
      </c>
      <c r="S19" s="1">
        <v>16395</v>
      </c>
      <c r="U19" s="1">
        <v>475</v>
      </c>
    </row>
    <row r="20" spans="1:50" x14ac:dyDescent="0.4">
      <c r="B20" s="1">
        <v>2</v>
      </c>
      <c r="C20" s="15">
        <v>3.8</v>
      </c>
      <c r="D20" s="15">
        <f t="shared" si="0"/>
        <v>4677.7720499999996</v>
      </c>
      <c r="H20" s="1">
        <v>8.0000000000000002E-3</v>
      </c>
      <c r="I20" s="15">
        <v>6885</v>
      </c>
      <c r="J20" s="1">
        <v>0.01</v>
      </c>
      <c r="K20" s="15">
        <v>6287</v>
      </c>
      <c r="P20" s="1">
        <v>4.2999999999999997E-2</v>
      </c>
      <c r="Q20" s="1">
        <v>23500</v>
      </c>
      <c r="R20" s="1">
        <v>5.8999999999999997E-2</v>
      </c>
      <c r="S20" s="1">
        <v>17081</v>
      </c>
      <c r="U20" s="1">
        <v>477</v>
      </c>
    </row>
    <row r="21" spans="1:50" x14ac:dyDescent="0.4">
      <c r="B21" s="1">
        <v>1</v>
      </c>
      <c r="C21" s="15">
        <v>4.7300000000000004</v>
      </c>
      <c r="D21" s="15">
        <f t="shared" si="0"/>
        <v>4716.9986499999995</v>
      </c>
      <c r="H21" s="1">
        <v>8.0000000000000002E-3</v>
      </c>
      <c r="I21" s="15">
        <v>7057</v>
      </c>
      <c r="J21" s="1">
        <v>1.2E-2</v>
      </c>
      <c r="K21" s="15">
        <v>6444</v>
      </c>
      <c r="P21" s="1">
        <v>4.1000000000000002E-2</v>
      </c>
      <c r="Q21" s="1">
        <v>24088</v>
      </c>
      <c r="R21" s="1">
        <v>5.1999999999999998E-2</v>
      </c>
      <c r="S21" s="1">
        <v>17532</v>
      </c>
      <c r="U21" s="1">
        <v>481</v>
      </c>
    </row>
    <row r="26" spans="1:50" x14ac:dyDescent="0.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</row>
    <row r="27" spans="1:50" x14ac:dyDescent="0.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7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</row>
    <row r="28" spans="1:50" x14ac:dyDescent="0.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8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</row>
    <row r="29" spans="1:50" x14ac:dyDescent="0.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8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</row>
    <row r="30" spans="1:50" x14ac:dyDescent="0.4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8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</row>
    <row r="31" spans="1:50" x14ac:dyDescent="0.4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8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</row>
    <row r="32" spans="1:50" x14ac:dyDescent="0.4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8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</row>
    <row r="33" spans="1:50" x14ac:dyDescent="0.4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8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</row>
    <row r="34" spans="1:50" x14ac:dyDescent="0.4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8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</row>
    <row r="35" spans="1:50" x14ac:dyDescent="0.4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8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</row>
    <row r="36" spans="1:50" x14ac:dyDescent="0.4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8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</row>
    <row r="37" spans="1:50" x14ac:dyDescent="0.4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8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</row>
    <row r="38" spans="1:50" x14ac:dyDescent="0.4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</row>
    <row r="39" spans="1:50" x14ac:dyDescent="0.4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</row>
    <row r="40" spans="1:50" x14ac:dyDescent="0.4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</row>
    <row r="41" spans="1:50" x14ac:dyDescent="0.4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</row>
    <row r="42" spans="1:50" x14ac:dyDescent="0.4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</row>
    <row r="43" spans="1:50" x14ac:dyDescent="0.4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7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</row>
    <row r="44" spans="1:50" x14ac:dyDescent="0.4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8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</row>
    <row r="45" spans="1:50" x14ac:dyDescent="0.4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8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</row>
    <row r="46" spans="1:50" x14ac:dyDescent="0.4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8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</row>
    <row r="47" spans="1:50" x14ac:dyDescent="0.4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8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</row>
    <row r="48" spans="1:50" x14ac:dyDescent="0.4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8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</row>
    <row r="49" spans="1:50" x14ac:dyDescent="0.4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8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</row>
    <row r="50" spans="1:50" x14ac:dyDescent="0.4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8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</row>
    <row r="51" spans="1:50" x14ac:dyDescent="0.4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8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</row>
    <row r="52" spans="1:50" x14ac:dyDescent="0.4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8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</row>
    <row r="53" spans="1:50" x14ac:dyDescent="0.4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8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</row>
    <row r="54" spans="1:50" x14ac:dyDescent="0.4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</row>
    <row r="55" spans="1:50" x14ac:dyDescent="0.4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</row>
    <row r="56" spans="1:50" x14ac:dyDescent="0.4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</row>
    <row r="57" spans="1:50" x14ac:dyDescent="0.4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</row>
    <row r="58" spans="1:50" x14ac:dyDescent="0.4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</row>
    <row r="59" spans="1:50" x14ac:dyDescent="0.4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</row>
    <row r="60" spans="1:50" x14ac:dyDescent="0.4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</row>
    <row r="61" spans="1:50" x14ac:dyDescent="0.4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</row>
    <row r="62" spans="1:50" x14ac:dyDescent="0.4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</row>
    <row r="63" spans="1:50" x14ac:dyDescent="0.4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</row>
    <row r="64" spans="1:50" x14ac:dyDescent="0.4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</row>
    <row r="65" spans="1:50" x14ac:dyDescent="0.4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</row>
    <row r="66" spans="1:50" x14ac:dyDescent="0.4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</row>
    <row r="67" spans="1:50" x14ac:dyDescent="0.4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</row>
    <row r="68" spans="1:50" x14ac:dyDescent="0.4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</row>
    <row r="69" spans="1:50" x14ac:dyDescent="0.4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</row>
    <row r="70" spans="1:50" x14ac:dyDescent="0.4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</row>
    <row r="71" spans="1:50" x14ac:dyDescent="0.4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</row>
    <row r="72" spans="1:50" x14ac:dyDescent="0.4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</row>
    <row r="73" spans="1:50" x14ac:dyDescent="0.4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</row>
    <row r="74" spans="1:50" x14ac:dyDescent="0.4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</row>
    <row r="75" spans="1:50" x14ac:dyDescent="0.4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</row>
    <row r="76" spans="1:50" x14ac:dyDescent="0.4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</row>
    <row r="77" spans="1:50" x14ac:dyDescent="0.4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</row>
    <row r="78" spans="1:50" x14ac:dyDescent="0.4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</row>
    <row r="79" spans="1:50" x14ac:dyDescent="0.4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</row>
    <row r="80" spans="1:50" x14ac:dyDescent="0.4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</row>
    <row r="81" spans="1:50" x14ac:dyDescent="0.4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</row>
    <row r="82" spans="1:50" x14ac:dyDescent="0.4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</row>
    <row r="83" spans="1:50" x14ac:dyDescent="0.4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</row>
    <row r="84" spans="1:50" x14ac:dyDescent="0.4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</row>
    <row r="85" spans="1:50" x14ac:dyDescent="0.4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</row>
    <row r="86" spans="1:50" x14ac:dyDescent="0.4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</row>
    <row r="87" spans="1:50" x14ac:dyDescent="0.4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</row>
    <row r="88" spans="1:50" x14ac:dyDescent="0.4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</row>
    <row r="89" spans="1:50" x14ac:dyDescent="0.4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</row>
    <row r="90" spans="1:50" x14ac:dyDescent="0.4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</row>
    <row r="91" spans="1:50" x14ac:dyDescent="0.4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</row>
    <row r="92" spans="1:50" x14ac:dyDescent="0.4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</row>
    <row r="93" spans="1:50" x14ac:dyDescent="0.4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</row>
    <row r="94" spans="1:50" x14ac:dyDescent="0.4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</row>
    <row r="95" spans="1:50" x14ac:dyDescent="0.4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</row>
    <row r="96" spans="1:50" x14ac:dyDescent="0.4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</row>
    <row r="97" spans="1:50" x14ac:dyDescent="0.4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</row>
    <row r="98" spans="1:50" x14ac:dyDescent="0.4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</row>
    <row r="99" spans="1:50" x14ac:dyDescent="0.4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</row>
    <row r="100" spans="1:50" x14ac:dyDescent="0.4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</row>
  </sheetData>
  <phoneticPr fontId="3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0</xdr:col>
                    <xdr:colOff>76200</xdr:colOff>
                    <xdr:row>1</xdr:row>
                    <xdr:rowOff>95250</xdr:rowOff>
                  </from>
                  <to>
                    <xdr:col>1</xdr:col>
                    <xdr:colOff>142875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8E943-B839-41B4-B525-480EE1933781}">
  <sheetPr codeName="Sheet6"/>
  <dimension ref="A1:T100"/>
  <sheetViews>
    <sheetView topLeftCell="A37" workbookViewId="0">
      <selection activeCell="C16" sqref="C16"/>
    </sheetView>
  </sheetViews>
  <sheetFormatPr defaultRowHeight="14.25" x14ac:dyDescent="0.4"/>
  <cols>
    <col min="1" max="1" width="4.125" style="1" customWidth="1"/>
    <col min="2" max="2" width="8.5" style="22" customWidth="1"/>
    <col min="3" max="3" width="8.5" style="20" customWidth="1"/>
    <col min="4" max="4" width="8.5" style="1" customWidth="1"/>
    <col min="5" max="5" width="8.5" style="21" customWidth="1"/>
    <col min="6" max="6" width="8.5" style="1" customWidth="1"/>
    <col min="7" max="7" width="8.5" style="21" customWidth="1"/>
    <col min="8" max="9" width="8.5" style="1" customWidth="1"/>
    <col min="10" max="12" width="9.375" style="1" customWidth="1"/>
    <col min="13" max="16384" width="9" style="1"/>
  </cols>
  <sheetData>
    <row r="1" spans="1:20" x14ac:dyDescent="0.4">
      <c r="A1" s="3">
        <v>1</v>
      </c>
      <c r="B1" s="3">
        <v>2</v>
      </c>
      <c r="C1" s="3">
        <v>3</v>
      </c>
      <c r="D1" s="3">
        <v>4</v>
      </c>
      <c r="E1" s="3">
        <v>5</v>
      </c>
      <c r="F1" s="3">
        <v>6</v>
      </c>
      <c r="G1" s="3">
        <v>7</v>
      </c>
      <c r="H1" s="3">
        <v>8</v>
      </c>
      <c r="I1" s="3">
        <v>9</v>
      </c>
      <c r="J1" s="3">
        <v>10</v>
      </c>
      <c r="K1" s="3">
        <v>11</v>
      </c>
    </row>
    <row r="2" spans="1:20" x14ac:dyDescent="0.4">
      <c r="B2" s="19" t="s">
        <v>37</v>
      </c>
    </row>
    <row r="4" spans="1:20" x14ac:dyDescent="0.4">
      <c r="C4" s="23"/>
      <c r="D4" s="24" t="s">
        <v>38</v>
      </c>
      <c r="E4" s="10">
        <v>43.999996185302734</v>
      </c>
      <c r="G4" s="1"/>
      <c r="H4" s="13" t="s">
        <v>39</v>
      </c>
      <c r="I4" s="10">
        <v>7057</v>
      </c>
      <c r="J4" s="14" t="s">
        <v>40</v>
      </c>
    </row>
    <row r="5" spans="1:20" x14ac:dyDescent="0.4">
      <c r="C5" s="23"/>
      <c r="D5" s="24" t="s">
        <v>41</v>
      </c>
      <c r="E5" s="10">
        <v>11</v>
      </c>
      <c r="H5" s="13" t="s">
        <v>42</v>
      </c>
      <c r="I5" s="10">
        <v>6444</v>
      </c>
      <c r="J5" s="14" t="s">
        <v>40</v>
      </c>
    </row>
    <row r="6" spans="1:20" x14ac:dyDescent="0.4">
      <c r="C6" s="23"/>
      <c r="D6" s="24" t="s">
        <v>43</v>
      </c>
      <c r="E6" s="10">
        <v>1</v>
      </c>
    </row>
    <row r="7" spans="1:20" x14ac:dyDescent="0.4">
      <c r="C7" s="23"/>
      <c r="D7" s="24" t="s">
        <v>13</v>
      </c>
      <c r="E7" s="10">
        <v>0.20000000298023224</v>
      </c>
    </row>
    <row r="8" spans="1:20" x14ac:dyDescent="0.4">
      <c r="C8" s="23"/>
      <c r="D8" s="24" t="s">
        <v>19</v>
      </c>
      <c r="E8" s="10">
        <v>0.60000002384185791</v>
      </c>
      <c r="F8" s="14"/>
      <c r="H8" s="11" t="s">
        <v>44</v>
      </c>
      <c r="I8" s="11" t="s">
        <v>45</v>
      </c>
      <c r="J8" s="11" t="s">
        <v>46</v>
      </c>
    </row>
    <row r="9" spans="1:20" x14ac:dyDescent="0.4">
      <c r="D9" s="24" t="s">
        <v>47</v>
      </c>
      <c r="E9" s="10">
        <v>5100</v>
      </c>
      <c r="G9" s="20" t="s">
        <v>48</v>
      </c>
      <c r="H9" s="1">
        <v>1.2359999418258667</v>
      </c>
      <c r="I9" s="10">
        <v>0.77700000000000002</v>
      </c>
      <c r="L9" s="14"/>
    </row>
    <row r="10" spans="1:20" x14ac:dyDescent="0.4">
      <c r="D10" s="20" t="s">
        <v>49</v>
      </c>
      <c r="E10" s="10">
        <v>3826</v>
      </c>
      <c r="F10" s="22"/>
      <c r="G10" s="13" t="s">
        <v>50</v>
      </c>
      <c r="H10" s="1">
        <v>1.3940000534057617</v>
      </c>
      <c r="I10" s="10">
        <v>0.68899999999999995</v>
      </c>
    </row>
    <row r="11" spans="1:20" x14ac:dyDescent="0.4">
      <c r="D11" s="20" t="s">
        <v>51</v>
      </c>
      <c r="E11" s="10">
        <v>4001</v>
      </c>
      <c r="F11" s="10"/>
      <c r="G11" s="20" t="s">
        <v>52</v>
      </c>
      <c r="H11" s="1">
        <v>1.3199999332427979</v>
      </c>
      <c r="I11" s="10">
        <v>0.72699999999999998</v>
      </c>
      <c r="J11" s="11" t="s">
        <v>53</v>
      </c>
    </row>
    <row r="12" spans="1:20" x14ac:dyDescent="0.4">
      <c r="B12" s="10"/>
      <c r="C12" s="25"/>
      <c r="D12" s="26"/>
      <c r="E12" s="26"/>
      <c r="F12" s="27"/>
      <c r="G12" s="10"/>
      <c r="I12" s="28"/>
      <c r="J12" s="28"/>
    </row>
    <row r="13" spans="1:20" x14ac:dyDescent="0.4">
      <c r="B13" s="11" t="s">
        <v>54</v>
      </c>
      <c r="C13" s="29" t="s">
        <v>55</v>
      </c>
      <c r="D13" s="30" t="s">
        <v>56</v>
      </c>
      <c r="E13" s="29" t="s">
        <v>57</v>
      </c>
      <c r="F13" s="29" t="s">
        <v>58</v>
      </c>
      <c r="G13" s="11" t="s">
        <v>59</v>
      </c>
      <c r="H13" s="30" t="s">
        <v>60</v>
      </c>
      <c r="I13" s="30" t="s">
        <v>61</v>
      </c>
    </row>
    <row r="14" spans="1:20" x14ac:dyDescent="0.4">
      <c r="B14" s="10"/>
      <c r="C14" s="29" t="s">
        <v>62</v>
      </c>
      <c r="D14" s="30" t="s">
        <v>63</v>
      </c>
      <c r="E14" s="29" t="s">
        <v>64</v>
      </c>
      <c r="F14" s="31"/>
      <c r="G14" s="11" t="s">
        <v>65</v>
      </c>
      <c r="H14" s="32"/>
      <c r="I14" s="32"/>
    </row>
    <row r="15" spans="1:20" ht="18.75" x14ac:dyDescent="0.4">
      <c r="A15"/>
      <c r="B15">
        <v>11</v>
      </c>
      <c r="C15">
        <v>1.4999999999999999E-2</v>
      </c>
      <c r="D15">
        <v>0.109</v>
      </c>
      <c r="E15">
        <v>5.07</v>
      </c>
      <c r="F15" s="33" t="s">
        <v>106</v>
      </c>
      <c r="G15">
        <v>251</v>
      </c>
      <c r="H15">
        <v>27.36</v>
      </c>
      <c r="I15">
        <v>2.98</v>
      </c>
      <c r="J15"/>
      <c r="K15"/>
      <c r="L15"/>
      <c r="M15"/>
      <c r="N15"/>
      <c r="O15"/>
      <c r="P15"/>
      <c r="Q15"/>
      <c r="R15"/>
      <c r="S15"/>
      <c r="T15"/>
    </row>
    <row r="16" spans="1:20" ht="18.75" x14ac:dyDescent="0.4">
      <c r="A16"/>
      <c r="B16">
        <v>10</v>
      </c>
      <c r="C16">
        <v>8.9999999999999993E-3</v>
      </c>
      <c r="D16">
        <v>9.4E-2</v>
      </c>
      <c r="E16">
        <v>3.8</v>
      </c>
      <c r="F16" s="33" t="s">
        <v>107</v>
      </c>
      <c r="G16">
        <v>640</v>
      </c>
      <c r="H16">
        <v>60.16</v>
      </c>
      <c r="I16">
        <v>5.66</v>
      </c>
      <c r="J16"/>
      <c r="K16"/>
      <c r="L16"/>
      <c r="M16"/>
      <c r="N16"/>
      <c r="O16"/>
      <c r="P16"/>
      <c r="Q16"/>
      <c r="R16"/>
      <c r="S16"/>
      <c r="T16"/>
    </row>
    <row r="17" spans="1:20" ht="18.75" x14ac:dyDescent="0.4">
      <c r="A17"/>
      <c r="B17">
        <v>9</v>
      </c>
      <c r="C17">
        <v>0.01</v>
      </c>
      <c r="D17">
        <v>8.5000000000000006E-2</v>
      </c>
      <c r="E17">
        <v>3.8</v>
      </c>
      <c r="F17" s="33" t="s">
        <v>108</v>
      </c>
      <c r="G17">
        <v>454</v>
      </c>
      <c r="H17">
        <v>38.590000000000003</v>
      </c>
      <c r="I17">
        <v>3.28</v>
      </c>
      <c r="J17"/>
      <c r="K17"/>
      <c r="L17"/>
      <c r="M17"/>
      <c r="N17"/>
      <c r="O17"/>
      <c r="P17"/>
      <c r="Q17"/>
      <c r="R17"/>
      <c r="S17"/>
      <c r="T17"/>
    </row>
    <row r="18" spans="1:20" ht="18.75" x14ac:dyDescent="0.4">
      <c r="A18"/>
      <c r="B18">
        <v>8</v>
      </c>
      <c r="C18">
        <v>1.0999999999999999E-2</v>
      </c>
      <c r="D18">
        <v>7.4999999999999997E-2</v>
      </c>
      <c r="E18">
        <v>3.8</v>
      </c>
      <c r="F18" s="33" t="s">
        <v>109</v>
      </c>
      <c r="G18">
        <v>455</v>
      </c>
      <c r="H18">
        <v>34.130000000000003</v>
      </c>
      <c r="I18">
        <v>2.56</v>
      </c>
      <c r="J18"/>
      <c r="K18"/>
      <c r="L18"/>
      <c r="M18"/>
      <c r="N18"/>
      <c r="O18"/>
      <c r="P18"/>
      <c r="Q18"/>
      <c r="R18"/>
      <c r="S18"/>
      <c r="T18"/>
    </row>
    <row r="19" spans="1:20" ht="18.75" x14ac:dyDescent="0.4">
      <c r="A19"/>
      <c r="B19">
        <v>7</v>
      </c>
      <c r="C19">
        <v>1.0999999999999999E-2</v>
      </c>
      <c r="D19">
        <v>6.4000000000000001E-2</v>
      </c>
      <c r="E19">
        <v>3.8</v>
      </c>
      <c r="F19" s="33" t="s">
        <v>109</v>
      </c>
      <c r="G19">
        <v>460</v>
      </c>
      <c r="H19">
        <v>29.44</v>
      </c>
      <c r="I19">
        <v>1.88</v>
      </c>
      <c r="J19"/>
      <c r="K19"/>
      <c r="L19"/>
      <c r="M19"/>
      <c r="N19"/>
      <c r="O19"/>
      <c r="P19"/>
      <c r="Q19"/>
      <c r="R19"/>
      <c r="S19"/>
      <c r="T19"/>
    </row>
    <row r="20" spans="1:20" ht="18.75" x14ac:dyDescent="0.4">
      <c r="A20"/>
      <c r="B20">
        <v>6</v>
      </c>
      <c r="C20">
        <v>0.01</v>
      </c>
      <c r="D20">
        <v>5.2999999999999999E-2</v>
      </c>
      <c r="E20">
        <v>3.8</v>
      </c>
      <c r="F20" s="33" t="s">
        <v>108</v>
      </c>
      <c r="G20">
        <v>467</v>
      </c>
      <c r="H20">
        <v>24.75</v>
      </c>
      <c r="I20">
        <v>1.31</v>
      </c>
      <c r="J20"/>
      <c r="K20"/>
      <c r="L20"/>
      <c r="M20"/>
      <c r="N20"/>
      <c r="O20"/>
      <c r="P20"/>
      <c r="Q20"/>
      <c r="R20"/>
      <c r="S20"/>
      <c r="T20"/>
    </row>
    <row r="21" spans="1:20" ht="18.75" x14ac:dyDescent="0.4">
      <c r="A21"/>
      <c r="B21">
        <v>5</v>
      </c>
      <c r="C21">
        <v>0.01</v>
      </c>
      <c r="D21">
        <v>4.2999999999999997E-2</v>
      </c>
      <c r="E21">
        <v>3.8</v>
      </c>
      <c r="F21" s="33" t="s">
        <v>108</v>
      </c>
      <c r="G21">
        <v>469</v>
      </c>
      <c r="H21">
        <v>20.170000000000002</v>
      </c>
      <c r="I21">
        <v>0.87</v>
      </c>
      <c r="J21"/>
      <c r="K21"/>
      <c r="L21"/>
      <c r="M21"/>
      <c r="N21"/>
      <c r="O21"/>
      <c r="P21"/>
      <c r="Q21"/>
      <c r="R21"/>
      <c r="S21"/>
      <c r="T21"/>
    </row>
    <row r="22" spans="1:20" ht="18.75" x14ac:dyDescent="0.4">
      <c r="A22"/>
      <c r="B22">
        <v>4</v>
      </c>
      <c r="C22">
        <v>8.9999999999999993E-3</v>
      </c>
      <c r="D22">
        <v>3.3000000000000002E-2</v>
      </c>
      <c r="E22">
        <v>3.8</v>
      </c>
      <c r="F22" s="33" t="s">
        <v>107</v>
      </c>
      <c r="G22">
        <v>471</v>
      </c>
      <c r="H22">
        <v>15.54</v>
      </c>
      <c r="I22">
        <v>0.51</v>
      </c>
      <c r="J22"/>
      <c r="K22"/>
      <c r="L22"/>
      <c r="M22"/>
      <c r="N22"/>
      <c r="O22"/>
      <c r="P22"/>
      <c r="Q22"/>
      <c r="R22"/>
      <c r="S22"/>
      <c r="T22"/>
    </row>
    <row r="23" spans="1:20" ht="18.75" x14ac:dyDescent="0.4">
      <c r="A23"/>
      <c r="B23">
        <v>3</v>
      </c>
      <c r="C23">
        <v>8.0000000000000002E-3</v>
      </c>
      <c r="D23">
        <v>2.4E-2</v>
      </c>
      <c r="E23">
        <v>3.8</v>
      </c>
      <c r="F23" s="33" t="s">
        <v>110</v>
      </c>
      <c r="G23">
        <v>475</v>
      </c>
      <c r="H23">
        <v>11.4</v>
      </c>
      <c r="I23">
        <v>0.27</v>
      </c>
      <c r="J23"/>
      <c r="K23"/>
      <c r="L23"/>
      <c r="M23"/>
      <c r="N23"/>
      <c r="O23"/>
      <c r="P23"/>
      <c r="Q23"/>
      <c r="R23"/>
      <c r="S23"/>
      <c r="T23"/>
    </row>
    <row r="24" spans="1:20" ht="18.75" x14ac:dyDescent="0.4">
      <c r="A24"/>
      <c r="B24">
        <v>2</v>
      </c>
      <c r="C24">
        <v>8.0000000000000002E-3</v>
      </c>
      <c r="D24">
        <v>1.6E-2</v>
      </c>
      <c r="E24">
        <v>3.8</v>
      </c>
      <c r="F24" s="33" t="s">
        <v>110</v>
      </c>
      <c r="G24">
        <v>477</v>
      </c>
      <c r="H24">
        <v>7.63</v>
      </c>
      <c r="I24">
        <v>0.12</v>
      </c>
      <c r="J24"/>
      <c r="K24"/>
      <c r="L24"/>
      <c r="M24"/>
      <c r="N24"/>
      <c r="O24"/>
      <c r="P24"/>
      <c r="Q24"/>
      <c r="R24"/>
      <c r="S24"/>
      <c r="T24"/>
    </row>
    <row r="25" spans="1:20" ht="18.75" x14ac:dyDescent="0.4">
      <c r="A25"/>
      <c r="B25">
        <v>1</v>
      </c>
      <c r="C25">
        <v>8.0000000000000002E-3</v>
      </c>
      <c r="D25">
        <v>8.0000000000000002E-3</v>
      </c>
      <c r="E25">
        <v>4.7300000000000004</v>
      </c>
      <c r="F25" s="33" t="s">
        <v>111</v>
      </c>
      <c r="G25">
        <v>481</v>
      </c>
      <c r="H25">
        <v>3.85</v>
      </c>
      <c r="I25">
        <v>0.03</v>
      </c>
      <c r="J25"/>
      <c r="K25"/>
      <c r="L25"/>
      <c r="M25"/>
      <c r="N25"/>
      <c r="O25"/>
      <c r="P25"/>
      <c r="Q25"/>
      <c r="R25"/>
      <c r="S25"/>
      <c r="T25"/>
    </row>
    <row r="26" spans="1:20" ht="18.75" x14ac:dyDescent="0.4">
      <c r="A26"/>
      <c r="B26"/>
      <c r="C26"/>
      <c r="D26"/>
      <c r="E26"/>
      <c r="F26"/>
      <c r="G26">
        <v>5100</v>
      </c>
      <c r="H26">
        <v>273.02</v>
      </c>
      <c r="I26">
        <v>19.48</v>
      </c>
      <c r="J26"/>
      <c r="K26"/>
      <c r="L26"/>
      <c r="M26"/>
      <c r="N26"/>
      <c r="O26"/>
      <c r="P26"/>
      <c r="Q26"/>
      <c r="R26"/>
      <c r="S26"/>
      <c r="T26"/>
    </row>
    <row r="27" spans="1:20" ht="18.75" x14ac:dyDescent="0.4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18.75" x14ac:dyDescent="0.4">
      <c r="A28"/>
      <c r="B28"/>
      <c r="C28" t="s">
        <v>115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8.75" x14ac:dyDescent="0.4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8.75" x14ac:dyDescent="0.4">
      <c r="A30"/>
      <c r="B30"/>
      <c r="C30" t="s">
        <v>116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8.75" x14ac:dyDescent="0.4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8.75" x14ac:dyDescent="0.4">
      <c r="A32"/>
      <c r="B32"/>
      <c r="C32" t="s">
        <v>117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8.75" x14ac:dyDescent="0.4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8.75" x14ac:dyDescent="0.4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8.75" x14ac:dyDescent="0.4">
      <c r="A35"/>
      <c r="B35" t="s">
        <v>92</v>
      </c>
      <c r="C35" t="s">
        <v>93</v>
      </c>
      <c r="D35" t="s">
        <v>94</v>
      </c>
      <c r="E35" t="s">
        <v>95</v>
      </c>
      <c r="F35" t="s">
        <v>96</v>
      </c>
      <c r="G35" t="s">
        <v>97</v>
      </c>
      <c r="H35" t="s">
        <v>98</v>
      </c>
      <c r="I35" t="s">
        <v>99</v>
      </c>
      <c r="J35"/>
      <c r="K35"/>
      <c r="L35"/>
      <c r="M35"/>
      <c r="N35"/>
      <c r="O35"/>
      <c r="P35"/>
      <c r="Q35"/>
      <c r="R35"/>
      <c r="S35"/>
      <c r="T35"/>
    </row>
    <row r="36" spans="1:20" ht="18.75" x14ac:dyDescent="0.4">
      <c r="A36"/>
      <c r="B36"/>
      <c r="C36" t="s">
        <v>100</v>
      </c>
      <c r="D36" t="s">
        <v>101</v>
      </c>
      <c r="E36" t="s">
        <v>102</v>
      </c>
      <c r="F36"/>
      <c r="G36" t="s">
        <v>103</v>
      </c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8.75" x14ac:dyDescent="0.4">
      <c r="A37"/>
      <c r="B37">
        <v>11</v>
      </c>
      <c r="C37">
        <v>1.2999999999999999E-2</v>
      </c>
      <c r="D37">
        <v>0.11799999999999999</v>
      </c>
      <c r="E37">
        <v>5.07</v>
      </c>
      <c r="F37" s="33" t="s">
        <v>112</v>
      </c>
      <c r="G37">
        <v>251</v>
      </c>
      <c r="H37">
        <v>29.62</v>
      </c>
      <c r="I37">
        <v>3.49</v>
      </c>
      <c r="J37"/>
      <c r="K37"/>
      <c r="L37"/>
      <c r="M37"/>
      <c r="N37"/>
      <c r="O37"/>
      <c r="P37"/>
      <c r="Q37"/>
      <c r="R37"/>
      <c r="S37"/>
      <c r="T37"/>
    </row>
    <row r="38" spans="1:20" ht="18.75" x14ac:dyDescent="0.4">
      <c r="A38"/>
      <c r="B38">
        <v>10</v>
      </c>
      <c r="C38">
        <v>8.9999999999999993E-3</v>
      </c>
      <c r="D38">
        <v>0.105</v>
      </c>
      <c r="E38">
        <v>3.8</v>
      </c>
      <c r="F38" s="33" t="s">
        <v>107</v>
      </c>
      <c r="G38">
        <v>640</v>
      </c>
      <c r="H38">
        <v>67.2</v>
      </c>
      <c r="I38">
        <v>7.06</v>
      </c>
      <c r="J38"/>
      <c r="K38"/>
      <c r="L38"/>
      <c r="M38"/>
      <c r="N38"/>
      <c r="O38"/>
      <c r="P38"/>
      <c r="Q38"/>
      <c r="R38"/>
      <c r="S38"/>
      <c r="T38"/>
    </row>
    <row r="39" spans="1:20" ht="18.75" x14ac:dyDescent="0.4">
      <c r="A39"/>
      <c r="B39">
        <v>9</v>
      </c>
      <c r="C39">
        <v>1.0999999999999999E-2</v>
      </c>
      <c r="D39">
        <v>9.6000000000000002E-2</v>
      </c>
      <c r="E39">
        <v>3.8</v>
      </c>
      <c r="F39" s="33" t="s">
        <v>109</v>
      </c>
      <c r="G39">
        <v>454</v>
      </c>
      <c r="H39">
        <v>43.58</v>
      </c>
      <c r="I39">
        <v>4.18</v>
      </c>
      <c r="J39"/>
      <c r="K39"/>
      <c r="L39"/>
      <c r="M39"/>
      <c r="N39"/>
      <c r="O39"/>
      <c r="P39"/>
      <c r="Q39"/>
      <c r="R39"/>
      <c r="S39"/>
      <c r="T39"/>
    </row>
    <row r="40" spans="1:20" ht="18.75" x14ac:dyDescent="0.4">
      <c r="A40"/>
      <c r="B40">
        <v>8</v>
      </c>
      <c r="C40">
        <v>1.2E-2</v>
      </c>
      <c r="D40">
        <v>8.5000000000000006E-2</v>
      </c>
      <c r="E40">
        <v>3.8</v>
      </c>
      <c r="F40" s="33" t="s">
        <v>113</v>
      </c>
      <c r="G40">
        <v>455</v>
      </c>
      <c r="H40">
        <v>38.68</v>
      </c>
      <c r="I40">
        <v>3.29</v>
      </c>
      <c r="J40"/>
      <c r="K40"/>
      <c r="L40"/>
      <c r="M40"/>
      <c r="N40"/>
      <c r="O40"/>
      <c r="P40"/>
      <c r="Q40"/>
      <c r="R40"/>
      <c r="S40"/>
      <c r="T40"/>
    </row>
    <row r="41" spans="1:20" ht="18.75" x14ac:dyDescent="0.4">
      <c r="A41"/>
      <c r="B41">
        <v>7</v>
      </c>
      <c r="C41">
        <v>1.0999999999999999E-2</v>
      </c>
      <c r="D41">
        <v>7.2999999999999995E-2</v>
      </c>
      <c r="E41">
        <v>3.8</v>
      </c>
      <c r="F41" s="33" t="s">
        <v>109</v>
      </c>
      <c r="G41">
        <v>460</v>
      </c>
      <c r="H41">
        <v>33.58</v>
      </c>
      <c r="I41">
        <v>2.4500000000000002</v>
      </c>
      <c r="J41"/>
      <c r="K41"/>
      <c r="L41"/>
      <c r="M41"/>
      <c r="N41"/>
      <c r="O41"/>
      <c r="P41"/>
      <c r="Q41"/>
      <c r="R41"/>
      <c r="S41"/>
      <c r="T41"/>
    </row>
    <row r="42" spans="1:20" ht="18.75" x14ac:dyDescent="0.4">
      <c r="A42"/>
      <c r="B42">
        <v>6</v>
      </c>
      <c r="C42">
        <v>0.01</v>
      </c>
      <c r="D42">
        <v>6.2E-2</v>
      </c>
      <c r="E42">
        <v>3.8</v>
      </c>
      <c r="F42" s="33" t="s">
        <v>108</v>
      </c>
      <c r="G42">
        <v>467</v>
      </c>
      <c r="H42">
        <v>28.95</v>
      </c>
      <c r="I42">
        <v>1.8</v>
      </c>
      <c r="J42"/>
      <c r="K42"/>
      <c r="L42"/>
      <c r="M42"/>
      <c r="N42"/>
      <c r="O42"/>
      <c r="P42"/>
      <c r="Q42"/>
      <c r="R42"/>
      <c r="S42"/>
      <c r="T42"/>
    </row>
    <row r="43" spans="1:20" ht="18.75" x14ac:dyDescent="0.4">
      <c r="A43"/>
      <c r="B43">
        <v>5</v>
      </c>
      <c r="C43">
        <v>0.01</v>
      </c>
      <c r="D43">
        <v>5.1999999999999998E-2</v>
      </c>
      <c r="E43">
        <v>3.8</v>
      </c>
      <c r="F43" s="33" t="s">
        <v>108</v>
      </c>
      <c r="G43">
        <v>469</v>
      </c>
      <c r="H43">
        <v>24.39</v>
      </c>
      <c r="I43">
        <v>1.27</v>
      </c>
      <c r="J43"/>
      <c r="K43"/>
      <c r="L43"/>
      <c r="M43"/>
      <c r="N43"/>
      <c r="O43"/>
      <c r="P43"/>
      <c r="Q43"/>
      <c r="R43"/>
      <c r="S43"/>
      <c r="T43"/>
    </row>
    <row r="44" spans="1:20" ht="18.75" x14ac:dyDescent="0.4">
      <c r="A44"/>
      <c r="B44">
        <v>4</v>
      </c>
      <c r="C44">
        <v>0.01</v>
      </c>
      <c r="D44">
        <v>4.2000000000000003E-2</v>
      </c>
      <c r="E44">
        <v>3.8</v>
      </c>
      <c r="F44" s="33" t="s">
        <v>108</v>
      </c>
      <c r="G44">
        <v>471</v>
      </c>
      <c r="H44">
        <v>19.78</v>
      </c>
      <c r="I44">
        <v>0.83</v>
      </c>
      <c r="J44"/>
      <c r="K44"/>
      <c r="L44"/>
      <c r="M44"/>
      <c r="N44"/>
      <c r="O44"/>
      <c r="P44"/>
      <c r="Q44"/>
      <c r="R44"/>
      <c r="S44"/>
      <c r="T44"/>
    </row>
    <row r="45" spans="1:20" ht="18.75" x14ac:dyDescent="0.4">
      <c r="A45"/>
      <c r="B45">
        <v>3</v>
      </c>
      <c r="C45">
        <v>0.01</v>
      </c>
      <c r="D45">
        <v>3.2000000000000001E-2</v>
      </c>
      <c r="E45">
        <v>3.8</v>
      </c>
      <c r="F45" s="33" t="s">
        <v>108</v>
      </c>
      <c r="G45">
        <v>475</v>
      </c>
      <c r="H45">
        <v>15.2</v>
      </c>
      <c r="I45">
        <v>0.49</v>
      </c>
      <c r="J45"/>
      <c r="K45"/>
      <c r="L45"/>
      <c r="M45"/>
      <c r="N45"/>
      <c r="O45"/>
      <c r="P45"/>
      <c r="Q45"/>
      <c r="R45"/>
      <c r="S45"/>
      <c r="T45"/>
    </row>
    <row r="46" spans="1:20" ht="18.75" x14ac:dyDescent="0.4">
      <c r="A46"/>
      <c r="B46">
        <v>2</v>
      </c>
      <c r="C46">
        <v>0.01</v>
      </c>
      <c r="D46">
        <v>2.1999999999999999E-2</v>
      </c>
      <c r="E46">
        <v>3.8</v>
      </c>
      <c r="F46" s="33" t="s">
        <v>108</v>
      </c>
      <c r="G46">
        <v>477</v>
      </c>
      <c r="H46">
        <v>10.49</v>
      </c>
      <c r="I46">
        <v>0.23</v>
      </c>
      <c r="J46"/>
      <c r="K46"/>
      <c r="L46"/>
      <c r="M46"/>
      <c r="N46"/>
      <c r="O46"/>
      <c r="P46"/>
      <c r="Q46"/>
      <c r="R46"/>
      <c r="S46"/>
      <c r="T46"/>
    </row>
    <row r="47" spans="1:20" ht="18.75" x14ac:dyDescent="0.4">
      <c r="A47"/>
      <c r="B47">
        <v>1</v>
      </c>
      <c r="C47">
        <v>1.2E-2</v>
      </c>
      <c r="D47">
        <v>1.2E-2</v>
      </c>
      <c r="E47">
        <v>4.7300000000000004</v>
      </c>
      <c r="F47" s="33" t="s">
        <v>114</v>
      </c>
      <c r="G47">
        <v>481</v>
      </c>
      <c r="H47">
        <v>5.77</v>
      </c>
      <c r="I47">
        <v>7.0000000000000007E-2</v>
      </c>
      <c r="J47"/>
      <c r="K47"/>
      <c r="L47"/>
      <c r="M47"/>
      <c r="N47"/>
      <c r="O47"/>
      <c r="P47"/>
      <c r="Q47"/>
      <c r="R47"/>
      <c r="S47"/>
      <c r="T47"/>
    </row>
    <row r="48" spans="1:20" ht="18.75" x14ac:dyDescent="0.4">
      <c r="A48"/>
      <c r="B48"/>
      <c r="C48"/>
      <c r="D48"/>
      <c r="E48"/>
      <c r="F48"/>
      <c r="G48">
        <v>5100</v>
      </c>
      <c r="H48">
        <v>317.25</v>
      </c>
      <c r="I48">
        <v>25.15</v>
      </c>
      <c r="J48"/>
      <c r="K48"/>
      <c r="L48"/>
      <c r="M48"/>
      <c r="N48"/>
      <c r="O48"/>
      <c r="P48"/>
      <c r="Q48"/>
      <c r="R48"/>
      <c r="S48"/>
      <c r="T48"/>
    </row>
    <row r="49" spans="1:20" ht="18.75" x14ac:dyDescent="0.4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18.75" x14ac:dyDescent="0.4">
      <c r="A50"/>
      <c r="B50"/>
      <c r="C50" t="s">
        <v>118</v>
      </c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18.75" x14ac:dyDescent="0.4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18.75" x14ac:dyDescent="0.4">
      <c r="A52"/>
      <c r="B52"/>
      <c r="C52" t="s">
        <v>119</v>
      </c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18.75" x14ac:dyDescent="0.4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18.75" x14ac:dyDescent="0.4">
      <c r="A54"/>
      <c r="B54"/>
      <c r="C54" t="s">
        <v>120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18.75" x14ac:dyDescent="0.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18.75" x14ac:dyDescent="0.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18.75" x14ac:dyDescent="0.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18.75" x14ac:dyDescent="0.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18.75" x14ac:dyDescent="0.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18.75" x14ac:dyDescent="0.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18.75" x14ac:dyDescent="0.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18.75" x14ac:dyDescent="0.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18.75" x14ac:dyDescent="0.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18.75" x14ac:dyDescent="0.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18.75" x14ac:dyDescent="0.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18.75" x14ac:dyDescent="0.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18.75" x14ac:dyDescent="0.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18.75" x14ac:dyDescent="0.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18.75" x14ac:dyDescent="0.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18.75" x14ac:dyDescent="0.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18.75" x14ac:dyDescent="0.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18.75" x14ac:dyDescent="0.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18.75" x14ac:dyDescent="0.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18.75" x14ac:dyDescent="0.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18.75" x14ac:dyDescent="0.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18.75" x14ac:dyDescent="0.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18.75" x14ac:dyDescent="0.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18.75" x14ac:dyDescent="0.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18.75" x14ac:dyDescent="0.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18.75" x14ac:dyDescent="0.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18.75" x14ac:dyDescent="0.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18.75" x14ac:dyDescent="0.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18.75" x14ac:dyDescent="0.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18.75" x14ac:dyDescent="0.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18.75" x14ac:dyDescent="0.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18.75" x14ac:dyDescent="0.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18.75" x14ac:dyDescent="0.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18.75" x14ac:dyDescent="0.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18.75" x14ac:dyDescent="0.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18.75" x14ac:dyDescent="0.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18.75" x14ac:dyDescent="0.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18.75" x14ac:dyDescent="0.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18.75" x14ac:dyDescent="0.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18.75" x14ac:dyDescent="0.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18.75" x14ac:dyDescent="0.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18.75" x14ac:dyDescent="0.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18.75" x14ac:dyDescent="0.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18.75" x14ac:dyDescent="0.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18.75" x14ac:dyDescent="0.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18.75" x14ac:dyDescent="0.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</sheetData>
  <phoneticPr fontId="3"/>
  <pageMargins left="0.25" right="0.25" top="0.75" bottom="0.75" header="0.3" footer="0.3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BA493-3EB8-461A-A6D7-4E22B45F5C87}">
  <sheetPr codeName="Sheet17"/>
  <dimension ref="A1:T100"/>
  <sheetViews>
    <sheetView tabSelected="1" workbookViewId="0">
      <selection activeCell="N12" sqref="N12"/>
    </sheetView>
  </sheetViews>
  <sheetFormatPr defaultRowHeight="14.25" x14ac:dyDescent="0.4"/>
  <cols>
    <col min="1" max="1" width="4.125" style="1" customWidth="1"/>
    <col min="2" max="2" width="8.5" style="22" customWidth="1"/>
    <col min="3" max="3" width="8.5" style="20" customWidth="1"/>
    <col min="4" max="4" width="8.5" style="1" customWidth="1"/>
    <col min="5" max="5" width="8.5" style="21" customWidth="1"/>
    <col min="6" max="6" width="8.5" style="1" customWidth="1"/>
    <col min="7" max="7" width="8.5" style="21" customWidth="1"/>
    <col min="8" max="9" width="8.5" style="1" customWidth="1"/>
    <col min="10" max="12" width="9.375" style="1" customWidth="1"/>
    <col min="13" max="16384" width="9" style="1"/>
  </cols>
  <sheetData>
    <row r="1" spans="1:20" x14ac:dyDescent="0.4">
      <c r="A1" s="3">
        <v>1</v>
      </c>
      <c r="B1" s="3">
        <v>2</v>
      </c>
      <c r="C1" s="3">
        <v>3</v>
      </c>
      <c r="D1" s="3">
        <v>4</v>
      </c>
      <c r="E1" s="3">
        <v>5</v>
      </c>
      <c r="F1" s="3">
        <v>6</v>
      </c>
      <c r="G1" s="3">
        <v>7</v>
      </c>
      <c r="H1" s="3">
        <v>8</v>
      </c>
      <c r="I1" s="3">
        <v>9</v>
      </c>
      <c r="J1" s="3">
        <v>10</v>
      </c>
      <c r="K1" s="3">
        <v>11</v>
      </c>
    </row>
    <row r="2" spans="1:20" x14ac:dyDescent="0.4">
      <c r="B2" s="19" t="s">
        <v>70</v>
      </c>
    </row>
    <row r="4" spans="1:20" x14ac:dyDescent="0.4">
      <c r="C4" s="23"/>
      <c r="D4" s="24" t="s">
        <v>38</v>
      </c>
      <c r="E4" s="1">
        <v>43.999996185302734</v>
      </c>
      <c r="G4" s="1"/>
      <c r="H4" s="13" t="s">
        <v>69</v>
      </c>
      <c r="I4" s="1">
        <v>24088</v>
      </c>
      <c r="J4" s="14" t="s">
        <v>40</v>
      </c>
    </row>
    <row r="5" spans="1:20" x14ac:dyDescent="0.4">
      <c r="C5" s="23"/>
      <c r="D5" s="24" t="s">
        <v>41</v>
      </c>
      <c r="E5" s="1">
        <v>11</v>
      </c>
      <c r="H5" s="13" t="s">
        <v>68</v>
      </c>
      <c r="I5" s="1">
        <v>17532</v>
      </c>
      <c r="J5" s="14" t="s">
        <v>40</v>
      </c>
    </row>
    <row r="6" spans="1:20" x14ac:dyDescent="0.4">
      <c r="C6" s="23"/>
      <c r="D6" s="24" t="s">
        <v>43</v>
      </c>
      <c r="E6" s="1">
        <v>1</v>
      </c>
    </row>
    <row r="7" spans="1:20" x14ac:dyDescent="0.4">
      <c r="C7" s="23"/>
      <c r="D7" s="24" t="s">
        <v>13</v>
      </c>
      <c r="E7" s="1">
        <v>0.20000000298023224</v>
      </c>
    </row>
    <row r="8" spans="1:20" x14ac:dyDescent="0.4">
      <c r="C8" s="23"/>
      <c r="D8" s="24" t="s">
        <v>19</v>
      </c>
      <c r="E8" s="1">
        <v>0.60000002384185791</v>
      </c>
      <c r="F8" s="14"/>
      <c r="H8" s="11" t="s">
        <v>44</v>
      </c>
      <c r="I8" s="11" t="s">
        <v>45</v>
      </c>
      <c r="J8" s="11" t="s">
        <v>46</v>
      </c>
    </row>
    <row r="9" spans="1:20" x14ac:dyDescent="0.4">
      <c r="G9" s="20" t="s">
        <v>48</v>
      </c>
      <c r="H9" s="1">
        <v>1.5800000429153442</v>
      </c>
      <c r="I9" s="1">
        <v>0.60799999999999998</v>
      </c>
      <c r="L9" s="14"/>
    </row>
    <row r="10" spans="1:20" x14ac:dyDescent="0.4">
      <c r="D10" s="21" t="s">
        <v>67</v>
      </c>
      <c r="E10" s="10">
        <v>3845</v>
      </c>
      <c r="F10" s="22"/>
      <c r="G10" s="13" t="s">
        <v>50</v>
      </c>
      <c r="H10" s="1">
        <v>2.0350000858306885</v>
      </c>
      <c r="I10" s="1">
        <v>0.47199999999999998</v>
      </c>
    </row>
    <row r="11" spans="1:20" x14ac:dyDescent="0.4">
      <c r="D11" s="21" t="s">
        <v>66</v>
      </c>
      <c r="E11" s="10">
        <v>3917</v>
      </c>
      <c r="F11" s="10"/>
      <c r="G11" s="20" t="s">
        <v>52</v>
      </c>
      <c r="H11" s="1">
        <v>1.3199999332427979</v>
      </c>
      <c r="I11" s="1">
        <v>0.72727279295277991</v>
      </c>
      <c r="K11" s="11" t="s">
        <v>53</v>
      </c>
    </row>
    <row r="12" spans="1:20" x14ac:dyDescent="0.4">
      <c r="B12" s="10"/>
      <c r="C12" s="25"/>
      <c r="D12" s="26"/>
      <c r="E12" s="26"/>
      <c r="F12" s="27"/>
      <c r="G12" s="10"/>
      <c r="I12" s="28"/>
      <c r="J12" s="28"/>
    </row>
    <row r="13" spans="1:20" x14ac:dyDescent="0.4">
      <c r="B13" s="11" t="s">
        <v>54</v>
      </c>
      <c r="C13" s="29" t="s">
        <v>55</v>
      </c>
      <c r="D13" s="30" t="s">
        <v>56</v>
      </c>
      <c r="E13" s="29" t="s">
        <v>57</v>
      </c>
      <c r="F13" s="29" t="s">
        <v>58</v>
      </c>
      <c r="G13" s="11" t="s">
        <v>59</v>
      </c>
      <c r="H13" s="30" t="s">
        <v>60</v>
      </c>
      <c r="I13" s="30" t="s">
        <v>61</v>
      </c>
    </row>
    <row r="14" spans="1:20" x14ac:dyDescent="0.4">
      <c r="B14" s="10"/>
      <c r="C14" s="29" t="s">
        <v>62</v>
      </c>
      <c r="D14" s="30" t="s">
        <v>63</v>
      </c>
      <c r="E14" s="29" t="s">
        <v>64</v>
      </c>
      <c r="F14" s="31"/>
      <c r="G14" s="11" t="s">
        <v>65</v>
      </c>
      <c r="H14" s="11"/>
      <c r="I14" s="32"/>
      <c r="J14" s="32"/>
    </row>
    <row r="15" spans="1:20" ht="18.75" x14ac:dyDescent="0.4">
      <c r="A15"/>
      <c r="B15">
        <v>11</v>
      </c>
      <c r="C15">
        <v>6.2E-2</v>
      </c>
      <c r="D15">
        <v>0.57699999999999996</v>
      </c>
      <c r="E15">
        <v>5.07</v>
      </c>
      <c r="F15" s="33" t="s">
        <v>71</v>
      </c>
      <c r="G15">
        <v>251</v>
      </c>
      <c r="H15">
        <v>144.83000000000001</v>
      </c>
      <c r="I15">
        <v>83.57</v>
      </c>
      <c r="J15"/>
      <c r="K15"/>
      <c r="L15"/>
      <c r="M15"/>
      <c r="N15"/>
      <c r="O15"/>
      <c r="P15"/>
      <c r="Q15"/>
      <c r="R15"/>
      <c r="S15"/>
      <c r="T15"/>
    </row>
    <row r="16" spans="1:20" ht="18.75" x14ac:dyDescent="0.4">
      <c r="A16"/>
      <c r="B16">
        <v>10</v>
      </c>
      <c r="C16">
        <v>3.5999999999999997E-2</v>
      </c>
      <c r="D16">
        <v>0.51500000000000001</v>
      </c>
      <c r="E16">
        <v>3.8</v>
      </c>
      <c r="F16" s="33" t="s">
        <v>72</v>
      </c>
      <c r="G16">
        <v>640</v>
      </c>
      <c r="H16">
        <v>329.6</v>
      </c>
      <c r="I16">
        <v>169.74</v>
      </c>
      <c r="J16"/>
      <c r="K16"/>
      <c r="L16"/>
      <c r="M16"/>
      <c r="N16"/>
      <c r="O16"/>
      <c r="P16"/>
      <c r="Q16"/>
      <c r="R16"/>
      <c r="S16"/>
      <c r="T16"/>
    </row>
    <row r="17" spans="1:20" ht="18.75" x14ac:dyDescent="0.4">
      <c r="A17"/>
      <c r="B17">
        <v>9</v>
      </c>
      <c r="C17">
        <v>0.05</v>
      </c>
      <c r="D17">
        <v>0.47899999999999998</v>
      </c>
      <c r="E17">
        <v>3.8</v>
      </c>
      <c r="F17" s="33" t="s">
        <v>73</v>
      </c>
      <c r="G17">
        <v>454</v>
      </c>
      <c r="H17">
        <v>217.47</v>
      </c>
      <c r="I17">
        <v>104.17</v>
      </c>
      <c r="J17"/>
      <c r="K17"/>
      <c r="L17"/>
      <c r="M17"/>
      <c r="N17"/>
      <c r="O17"/>
      <c r="P17"/>
      <c r="Q17"/>
      <c r="R17"/>
      <c r="S17"/>
      <c r="T17"/>
    </row>
    <row r="18" spans="1:20" ht="18.75" x14ac:dyDescent="0.4">
      <c r="A18"/>
      <c r="B18">
        <v>8</v>
      </c>
      <c r="C18">
        <v>6.2E-2</v>
      </c>
      <c r="D18">
        <v>0.42899999999999999</v>
      </c>
      <c r="E18">
        <v>3.8</v>
      </c>
      <c r="F18" s="33" t="s">
        <v>74</v>
      </c>
      <c r="G18">
        <v>455</v>
      </c>
      <c r="H18">
        <v>195.2</v>
      </c>
      <c r="I18">
        <v>83.74</v>
      </c>
      <c r="J18"/>
      <c r="K18"/>
      <c r="L18"/>
      <c r="M18"/>
      <c r="N18"/>
      <c r="O18"/>
      <c r="P18"/>
      <c r="Q18"/>
      <c r="R18"/>
      <c r="S18"/>
      <c r="T18"/>
    </row>
    <row r="19" spans="1:20" ht="18.75" x14ac:dyDescent="0.4">
      <c r="A19"/>
      <c r="B19">
        <v>7</v>
      </c>
      <c r="C19">
        <v>6.3E-2</v>
      </c>
      <c r="D19">
        <v>0.36699999999999999</v>
      </c>
      <c r="E19">
        <v>3.8</v>
      </c>
      <c r="F19" s="33" t="s">
        <v>75</v>
      </c>
      <c r="G19">
        <v>460</v>
      </c>
      <c r="H19">
        <v>168.82</v>
      </c>
      <c r="I19">
        <v>61.96</v>
      </c>
      <c r="J19"/>
      <c r="K19"/>
      <c r="L19"/>
      <c r="M19"/>
      <c r="N19"/>
      <c r="O19"/>
      <c r="P19"/>
      <c r="Q19"/>
      <c r="R19"/>
      <c r="S19"/>
      <c r="T19"/>
    </row>
    <row r="20" spans="1:20" ht="18.75" x14ac:dyDescent="0.4">
      <c r="A20"/>
      <c r="B20">
        <v>6</v>
      </c>
      <c r="C20">
        <v>5.8000000000000003E-2</v>
      </c>
      <c r="D20">
        <v>0.30399999999999999</v>
      </c>
      <c r="E20">
        <v>3.8</v>
      </c>
      <c r="F20" s="33" t="s">
        <v>76</v>
      </c>
      <c r="G20">
        <v>467</v>
      </c>
      <c r="H20">
        <v>141.97</v>
      </c>
      <c r="I20">
        <v>43.16</v>
      </c>
      <c r="J20"/>
      <c r="K20"/>
      <c r="L20"/>
      <c r="M20"/>
      <c r="N20"/>
      <c r="O20"/>
      <c r="P20"/>
      <c r="Q20"/>
      <c r="R20"/>
      <c r="S20"/>
      <c r="T20"/>
    </row>
    <row r="21" spans="1:20" ht="18.75" x14ac:dyDescent="0.4">
      <c r="A21"/>
      <c r="B21">
        <v>5</v>
      </c>
      <c r="C21">
        <v>5.8999999999999997E-2</v>
      </c>
      <c r="D21">
        <v>0.246</v>
      </c>
      <c r="E21">
        <v>3.8</v>
      </c>
      <c r="F21" s="33" t="s">
        <v>77</v>
      </c>
      <c r="G21">
        <v>469</v>
      </c>
      <c r="H21">
        <v>115.37</v>
      </c>
      <c r="I21">
        <v>28.38</v>
      </c>
      <c r="J21"/>
      <c r="K21"/>
      <c r="L21"/>
      <c r="M21"/>
      <c r="N21"/>
      <c r="O21"/>
      <c r="P21"/>
      <c r="Q21"/>
      <c r="R21"/>
      <c r="S21"/>
      <c r="T21"/>
    </row>
    <row r="22" spans="1:20" ht="18.75" x14ac:dyDescent="0.4">
      <c r="A22"/>
      <c r="B22">
        <v>4</v>
      </c>
      <c r="C22">
        <v>5.6000000000000001E-2</v>
      </c>
      <c r="D22">
        <v>0.187</v>
      </c>
      <c r="E22">
        <v>3.8</v>
      </c>
      <c r="F22" s="33" t="s">
        <v>78</v>
      </c>
      <c r="G22">
        <v>471</v>
      </c>
      <c r="H22">
        <v>88.08</v>
      </c>
      <c r="I22">
        <v>16.47</v>
      </c>
      <c r="J22"/>
      <c r="K22"/>
      <c r="L22"/>
      <c r="M22"/>
      <c r="N22"/>
      <c r="O22"/>
      <c r="P22"/>
      <c r="Q22"/>
      <c r="R22"/>
      <c r="S22"/>
      <c r="T22"/>
    </row>
    <row r="23" spans="1:20" ht="18.75" x14ac:dyDescent="0.4">
      <c r="A23"/>
      <c r="B23">
        <v>3</v>
      </c>
      <c r="C23">
        <v>4.7E-2</v>
      </c>
      <c r="D23">
        <v>0.13100000000000001</v>
      </c>
      <c r="E23">
        <v>3.8</v>
      </c>
      <c r="F23" s="33" t="s">
        <v>79</v>
      </c>
      <c r="G23">
        <v>475</v>
      </c>
      <c r="H23">
        <v>62.23</v>
      </c>
      <c r="I23">
        <v>8.15</v>
      </c>
      <c r="J23"/>
      <c r="K23"/>
      <c r="L23"/>
      <c r="M23"/>
      <c r="N23"/>
      <c r="O23"/>
      <c r="P23"/>
      <c r="Q23"/>
      <c r="R23"/>
      <c r="S23"/>
      <c r="T23"/>
    </row>
    <row r="24" spans="1:20" ht="18.75" x14ac:dyDescent="0.4">
      <c r="A24"/>
      <c r="B24">
        <v>2</v>
      </c>
      <c r="C24">
        <v>4.2999999999999997E-2</v>
      </c>
      <c r="D24">
        <v>8.4000000000000005E-2</v>
      </c>
      <c r="E24">
        <v>3.8</v>
      </c>
      <c r="F24" s="33" t="s">
        <v>80</v>
      </c>
      <c r="G24">
        <v>477</v>
      </c>
      <c r="H24">
        <v>40.07</v>
      </c>
      <c r="I24">
        <v>3.37</v>
      </c>
      <c r="J24"/>
      <c r="K24"/>
      <c r="L24"/>
      <c r="M24"/>
      <c r="N24"/>
      <c r="O24"/>
      <c r="P24"/>
      <c r="Q24"/>
      <c r="R24"/>
      <c r="S24"/>
      <c r="T24"/>
    </row>
    <row r="25" spans="1:20" ht="18.75" x14ac:dyDescent="0.4">
      <c r="A25"/>
      <c r="B25">
        <v>1</v>
      </c>
      <c r="C25">
        <v>4.1000000000000002E-2</v>
      </c>
      <c r="D25">
        <v>4.1000000000000002E-2</v>
      </c>
      <c r="E25">
        <v>4.7300000000000004</v>
      </c>
      <c r="F25" s="33" t="s">
        <v>81</v>
      </c>
      <c r="G25">
        <v>481</v>
      </c>
      <c r="H25">
        <v>19.72</v>
      </c>
      <c r="I25">
        <v>0.81</v>
      </c>
      <c r="J25"/>
      <c r="K25"/>
      <c r="L25"/>
      <c r="M25"/>
      <c r="N25"/>
      <c r="O25"/>
      <c r="P25"/>
      <c r="Q25"/>
      <c r="R25"/>
      <c r="S25"/>
      <c r="T25"/>
    </row>
    <row r="26" spans="1:20" ht="18.75" x14ac:dyDescent="0.4">
      <c r="A26"/>
      <c r="B26"/>
      <c r="C26"/>
      <c r="D26"/>
      <c r="E26"/>
      <c r="F26"/>
      <c r="G26">
        <v>5100</v>
      </c>
      <c r="H26">
        <v>1523.34</v>
      </c>
      <c r="I26">
        <v>603.51</v>
      </c>
      <c r="J26"/>
      <c r="K26"/>
      <c r="L26"/>
      <c r="M26"/>
      <c r="N26"/>
      <c r="O26"/>
      <c r="P26"/>
      <c r="Q26"/>
      <c r="R26"/>
      <c r="S26"/>
      <c r="T26"/>
    </row>
    <row r="27" spans="1:20" ht="18.75" x14ac:dyDescent="0.4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18.75" x14ac:dyDescent="0.4">
      <c r="A28"/>
      <c r="B28"/>
      <c r="C28" t="s">
        <v>88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8.75" x14ac:dyDescent="0.4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8.75" x14ac:dyDescent="0.4">
      <c r="A30"/>
      <c r="B30"/>
      <c r="C30" t="s">
        <v>89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8.75" x14ac:dyDescent="0.4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8.75" x14ac:dyDescent="0.4">
      <c r="A32"/>
      <c r="B32"/>
      <c r="C32" t="s">
        <v>104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8.75" x14ac:dyDescent="0.4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8.75" x14ac:dyDescent="0.4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8.75" x14ac:dyDescent="0.4">
      <c r="A35"/>
      <c r="B35" t="s">
        <v>92</v>
      </c>
      <c r="C35" t="s">
        <v>93</v>
      </c>
      <c r="D35" t="s">
        <v>94</v>
      </c>
      <c r="E35" t="s">
        <v>95</v>
      </c>
      <c r="F35" t="s">
        <v>96</v>
      </c>
      <c r="G35" t="s">
        <v>97</v>
      </c>
      <c r="H35" t="s">
        <v>98</v>
      </c>
      <c r="I35" t="s">
        <v>99</v>
      </c>
      <c r="J35"/>
      <c r="K35"/>
      <c r="L35"/>
      <c r="M35"/>
      <c r="N35"/>
      <c r="O35"/>
      <c r="P35"/>
      <c r="Q35"/>
      <c r="R35"/>
      <c r="S35"/>
      <c r="T35"/>
    </row>
    <row r="36" spans="1:20" ht="18.75" x14ac:dyDescent="0.4">
      <c r="A36"/>
      <c r="B36"/>
      <c r="C36" t="s">
        <v>100</v>
      </c>
      <c r="D36" t="s">
        <v>101</v>
      </c>
      <c r="E36" t="s">
        <v>102</v>
      </c>
      <c r="F36"/>
      <c r="G36" t="s">
        <v>103</v>
      </c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8.75" x14ac:dyDescent="0.4">
      <c r="A37"/>
      <c r="B37">
        <v>11</v>
      </c>
      <c r="C37">
        <v>3.7999999999999999E-2</v>
      </c>
      <c r="D37">
        <v>0.65800000000000003</v>
      </c>
      <c r="E37">
        <v>5.07</v>
      </c>
      <c r="F37" s="33" t="s">
        <v>82</v>
      </c>
      <c r="G37">
        <v>251</v>
      </c>
      <c r="H37">
        <v>165.16</v>
      </c>
      <c r="I37">
        <v>108.67</v>
      </c>
      <c r="J37"/>
      <c r="K37"/>
      <c r="L37"/>
      <c r="M37"/>
      <c r="N37"/>
      <c r="O37"/>
      <c r="P37"/>
      <c r="Q37"/>
      <c r="R37"/>
      <c r="S37"/>
      <c r="T37"/>
    </row>
    <row r="38" spans="1:20" ht="18.75" x14ac:dyDescent="0.4">
      <c r="A38"/>
      <c r="B38">
        <v>10</v>
      </c>
      <c r="C38">
        <v>4.2999999999999997E-2</v>
      </c>
      <c r="D38">
        <v>0.62</v>
      </c>
      <c r="E38">
        <v>3.8</v>
      </c>
      <c r="F38" s="33" t="s">
        <v>80</v>
      </c>
      <c r="G38">
        <v>640</v>
      </c>
      <c r="H38">
        <v>396.8</v>
      </c>
      <c r="I38">
        <v>246.02</v>
      </c>
      <c r="J38"/>
      <c r="K38"/>
      <c r="L38"/>
      <c r="M38"/>
      <c r="N38"/>
      <c r="O38"/>
      <c r="P38"/>
      <c r="Q38"/>
      <c r="R38"/>
      <c r="S38"/>
      <c r="T38"/>
    </row>
    <row r="39" spans="1:20" ht="18.75" x14ac:dyDescent="0.4">
      <c r="A39"/>
      <c r="B39">
        <v>9</v>
      </c>
      <c r="C39">
        <v>6.6000000000000003E-2</v>
      </c>
      <c r="D39">
        <v>0.57699999999999996</v>
      </c>
      <c r="E39">
        <v>3.8</v>
      </c>
      <c r="F39" s="33" t="s">
        <v>83</v>
      </c>
      <c r="G39">
        <v>454</v>
      </c>
      <c r="H39">
        <v>261.95999999999998</v>
      </c>
      <c r="I39">
        <v>151.15</v>
      </c>
      <c r="J39"/>
      <c r="K39"/>
      <c r="L39"/>
      <c r="M39"/>
      <c r="N39"/>
      <c r="O39"/>
      <c r="P39"/>
      <c r="Q39"/>
      <c r="R39"/>
      <c r="S39"/>
      <c r="T39"/>
    </row>
    <row r="40" spans="1:20" ht="18.75" x14ac:dyDescent="0.4">
      <c r="A40"/>
      <c r="B40">
        <v>8</v>
      </c>
      <c r="C40">
        <v>7.5999999999999998E-2</v>
      </c>
      <c r="D40">
        <v>0.51100000000000001</v>
      </c>
      <c r="E40">
        <v>3.8</v>
      </c>
      <c r="F40" s="33" t="s">
        <v>84</v>
      </c>
      <c r="G40">
        <v>455</v>
      </c>
      <c r="H40">
        <v>232.51</v>
      </c>
      <c r="I40">
        <v>118.81</v>
      </c>
      <c r="J40"/>
      <c r="K40"/>
      <c r="L40"/>
      <c r="M40"/>
      <c r="N40"/>
      <c r="O40"/>
      <c r="P40"/>
      <c r="Q40"/>
      <c r="R40"/>
      <c r="S40"/>
      <c r="T40"/>
    </row>
    <row r="41" spans="1:20" ht="18.75" x14ac:dyDescent="0.4">
      <c r="A41"/>
      <c r="B41">
        <v>7</v>
      </c>
      <c r="C41">
        <v>7.0999999999999994E-2</v>
      </c>
      <c r="D41">
        <v>0.435</v>
      </c>
      <c r="E41">
        <v>3.8</v>
      </c>
      <c r="F41" s="33" t="s">
        <v>85</v>
      </c>
      <c r="G41">
        <v>460</v>
      </c>
      <c r="H41">
        <v>200.1</v>
      </c>
      <c r="I41">
        <v>87.04</v>
      </c>
      <c r="J41"/>
      <c r="K41"/>
      <c r="L41"/>
      <c r="M41"/>
      <c r="N41"/>
      <c r="O41"/>
      <c r="P41"/>
      <c r="Q41"/>
      <c r="R41"/>
      <c r="S41"/>
      <c r="T41"/>
    </row>
    <row r="42" spans="1:20" ht="18.75" x14ac:dyDescent="0.4">
      <c r="A42"/>
      <c r="B42">
        <v>6</v>
      </c>
      <c r="C42">
        <v>6.4000000000000001E-2</v>
      </c>
      <c r="D42">
        <v>0.36399999999999999</v>
      </c>
      <c r="E42">
        <v>3.8</v>
      </c>
      <c r="F42" s="33" t="s">
        <v>86</v>
      </c>
      <c r="G42">
        <v>467</v>
      </c>
      <c r="H42">
        <v>169.99</v>
      </c>
      <c r="I42">
        <v>61.88</v>
      </c>
      <c r="J42"/>
      <c r="K42"/>
      <c r="L42"/>
      <c r="M42"/>
      <c r="N42"/>
      <c r="O42"/>
      <c r="P42"/>
      <c r="Q42"/>
      <c r="R42"/>
      <c r="S42"/>
      <c r="T42"/>
    </row>
    <row r="43" spans="1:20" ht="18.75" x14ac:dyDescent="0.4">
      <c r="A43"/>
      <c r="B43">
        <v>5</v>
      </c>
      <c r="C43">
        <v>6.3E-2</v>
      </c>
      <c r="D43">
        <v>0.3</v>
      </c>
      <c r="E43">
        <v>3.8</v>
      </c>
      <c r="F43" s="33" t="s">
        <v>75</v>
      </c>
      <c r="G43">
        <v>469</v>
      </c>
      <c r="H43">
        <v>140.69999999999999</v>
      </c>
      <c r="I43">
        <v>42.21</v>
      </c>
      <c r="J43"/>
      <c r="K43"/>
      <c r="L43"/>
      <c r="M43"/>
      <c r="N43"/>
      <c r="O43"/>
      <c r="P43"/>
      <c r="Q43"/>
      <c r="R43"/>
      <c r="S43"/>
      <c r="T43"/>
    </row>
    <row r="44" spans="1:20" ht="18.75" x14ac:dyDescent="0.4">
      <c r="A44"/>
      <c r="B44">
        <v>4</v>
      </c>
      <c r="C44">
        <v>6.3E-2</v>
      </c>
      <c r="D44">
        <v>0.23699999999999999</v>
      </c>
      <c r="E44">
        <v>3.8</v>
      </c>
      <c r="F44" s="33" t="s">
        <v>75</v>
      </c>
      <c r="G44">
        <v>471</v>
      </c>
      <c r="H44">
        <v>111.63</v>
      </c>
      <c r="I44">
        <v>26.46</v>
      </c>
      <c r="J44"/>
      <c r="K44"/>
      <c r="L44"/>
      <c r="M44"/>
      <c r="N44"/>
      <c r="O44"/>
      <c r="P44"/>
      <c r="Q44"/>
      <c r="R44"/>
      <c r="S44"/>
      <c r="T44"/>
    </row>
    <row r="45" spans="1:20" ht="18.75" x14ac:dyDescent="0.4">
      <c r="A45"/>
      <c r="B45">
        <v>3</v>
      </c>
      <c r="C45">
        <v>6.3E-2</v>
      </c>
      <c r="D45">
        <v>0.17399999999999999</v>
      </c>
      <c r="E45">
        <v>3.8</v>
      </c>
      <c r="F45" s="33" t="s">
        <v>75</v>
      </c>
      <c r="G45">
        <v>475</v>
      </c>
      <c r="H45">
        <v>82.65</v>
      </c>
      <c r="I45">
        <v>14.38</v>
      </c>
      <c r="J45"/>
      <c r="K45"/>
      <c r="L45"/>
      <c r="M45"/>
      <c r="N45"/>
      <c r="O45"/>
      <c r="P45"/>
      <c r="Q45"/>
      <c r="R45"/>
      <c r="S45"/>
      <c r="T45"/>
    </row>
    <row r="46" spans="1:20" ht="18.75" x14ac:dyDescent="0.4">
      <c r="A46"/>
      <c r="B46">
        <v>2</v>
      </c>
      <c r="C46">
        <v>5.8999999999999997E-2</v>
      </c>
      <c r="D46">
        <v>0.111</v>
      </c>
      <c r="E46">
        <v>3.8</v>
      </c>
      <c r="F46" s="33" t="s">
        <v>77</v>
      </c>
      <c r="G46">
        <v>477</v>
      </c>
      <c r="H46">
        <v>52.95</v>
      </c>
      <c r="I46">
        <v>5.88</v>
      </c>
      <c r="J46"/>
      <c r="K46"/>
      <c r="L46"/>
      <c r="M46"/>
      <c r="N46"/>
      <c r="O46"/>
      <c r="P46"/>
      <c r="Q46"/>
      <c r="R46"/>
      <c r="S46"/>
      <c r="T46"/>
    </row>
    <row r="47" spans="1:20" ht="18.75" x14ac:dyDescent="0.4">
      <c r="A47"/>
      <c r="B47">
        <v>1</v>
      </c>
      <c r="C47">
        <v>5.1999999999999998E-2</v>
      </c>
      <c r="D47">
        <v>5.1999999999999998E-2</v>
      </c>
      <c r="E47">
        <v>4.7300000000000004</v>
      </c>
      <c r="F47" s="33" t="s">
        <v>87</v>
      </c>
      <c r="G47">
        <v>481</v>
      </c>
      <c r="H47">
        <v>25.01</v>
      </c>
      <c r="I47">
        <v>1.3</v>
      </c>
      <c r="J47"/>
      <c r="K47"/>
      <c r="L47"/>
      <c r="M47"/>
      <c r="N47"/>
      <c r="O47"/>
      <c r="P47"/>
      <c r="Q47"/>
      <c r="R47"/>
      <c r="S47"/>
      <c r="T47"/>
    </row>
    <row r="48" spans="1:20" ht="18.75" x14ac:dyDescent="0.4">
      <c r="A48"/>
      <c r="B48"/>
      <c r="C48"/>
      <c r="D48"/>
      <c r="E48"/>
      <c r="F48"/>
      <c r="G48">
        <v>5100</v>
      </c>
      <c r="H48">
        <v>1839.45</v>
      </c>
      <c r="I48">
        <v>863.79</v>
      </c>
      <c r="J48"/>
      <c r="K48"/>
      <c r="L48"/>
      <c r="M48"/>
      <c r="N48"/>
      <c r="O48"/>
      <c r="P48"/>
      <c r="Q48"/>
      <c r="R48"/>
      <c r="S48"/>
      <c r="T48"/>
    </row>
    <row r="49" spans="1:20" ht="18.75" x14ac:dyDescent="0.4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18.75" x14ac:dyDescent="0.4">
      <c r="A50"/>
      <c r="B50"/>
      <c r="C50" t="s">
        <v>90</v>
      </c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18.75" x14ac:dyDescent="0.4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18.75" x14ac:dyDescent="0.4">
      <c r="A52"/>
      <c r="B52"/>
      <c r="C52" t="s">
        <v>91</v>
      </c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18.75" x14ac:dyDescent="0.4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18.75" x14ac:dyDescent="0.4">
      <c r="A54"/>
      <c r="B54"/>
      <c r="C54" t="s">
        <v>105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18.75" x14ac:dyDescent="0.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18.75" x14ac:dyDescent="0.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18.75" x14ac:dyDescent="0.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18.75" x14ac:dyDescent="0.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18.75" x14ac:dyDescent="0.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18.75" x14ac:dyDescent="0.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18.75" x14ac:dyDescent="0.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18.75" x14ac:dyDescent="0.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18.75" x14ac:dyDescent="0.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18.75" x14ac:dyDescent="0.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18.75" x14ac:dyDescent="0.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18.75" x14ac:dyDescent="0.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18.75" x14ac:dyDescent="0.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18.75" x14ac:dyDescent="0.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18.75" x14ac:dyDescent="0.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18.75" x14ac:dyDescent="0.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18.75" x14ac:dyDescent="0.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18.75" x14ac:dyDescent="0.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18.75" x14ac:dyDescent="0.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18.75" x14ac:dyDescent="0.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18.75" x14ac:dyDescent="0.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18.75" x14ac:dyDescent="0.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18.75" x14ac:dyDescent="0.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18.75" x14ac:dyDescent="0.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18.75" x14ac:dyDescent="0.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18.75" x14ac:dyDescent="0.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18.75" x14ac:dyDescent="0.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18.75" x14ac:dyDescent="0.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18.75" x14ac:dyDescent="0.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18.75" x14ac:dyDescent="0.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18.75" x14ac:dyDescent="0.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18.75" x14ac:dyDescent="0.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18.75" x14ac:dyDescent="0.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18.75" x14ac:dyDescent="0.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18.75" x14ac:dyDescent="0.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18.75" x14ac:dyDescent="0.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18.75" x14ac:dyDescent="0.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18.75" x14ac:dyDescent="0.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18.75" x14ac:dyDescent="0.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18.75" x14ac:dyDescent="0.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18.75" x14ac:dyDescent="0.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18.75" x14ac:dyDescent="0.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18.75" x14ac:dyDescent="0.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18.75" x14ac:dyDescent="0.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18.75" x14ac:dyDescent="0.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18.75" x14ac:dyDescent="0.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</sheetData>
  <phoneticPr fontId="3"/>
  <pageMargins left="0.25" right="0.25" top="0.75" bottom="0.75" header="0.3" footer="0.3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0ACD8-D770-4E0A-986A-564EDEFB5919}">
  <sheetPr codeName="Sheet1"/>
  <dimension ref="A1"/>
  <sheetViews>
    <sheetView workbookViewId="0"/>
  </sheetViews>
  <sheetFormatPr defaultRowHeight="18.75" x14ac:dyDescent="0.4"/>
  <sheetData/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ready</vt:lpstr>
      <vt:lpstr>損傷限界固有周期</vt:lpstr>
      <vt:lpstr>安全限界固有周期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Makoto Matsushita</dc:creator>
  <cp:lastModifiedBy>Makoto Matsushita</cp:lastModifiedBy>
  <dcterms:created xsi:type="dcterms:W3CDTF">2022-03-05T00:48:23Z</dcterms:created>
  <dcterms:modified xsi:type="dcterms:W3CDTF">2022-03-05T01:42:44Z</dcterms:modified>
</cp:coreProperties>
</file>