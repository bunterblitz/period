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eriod\"/>
    </mc:Choice>
  </mc:AlternateContent>
  <xr:revisionPtr revIDLastSave="0" documentId="8_{F982A7C0-054A-409C-A4C8-DAC0B938238F}" xr6:coauthVersionLast="47" xr6:coauthVersionMax="47" xr10:uidLastSave="{00000000-0000-0000-0000-000000000000}"/>
  <bookViews>
    <workbookView xWindow="-120" yWindow="-120" windowWidth="20730" windowHeight="11040" firstSheet="11" activeTab="18" xr2:uid="{00000000-000D-0000-FFFF-FFFF00000000}"/>
  </bookViews>
  <sheets>
    <sheet name="ready (2)" sheetId="19" r:id="rId1"/>
    <sheet name="ready" sheetId="7" r:id="rId2"/>
    <sheet name="earthquake" sheetId="28" r:id="rId3"/>
    <sheet name="損傷限界固有周期" sheetId="13" r:id="rId4"/>
    <sheet name="pqGs72D" sheetId="29" r:id="rId5"/>
    <sheet name="必要損傷限界耐力" sheetId="18" r:id="rId6"/>
    <sheet name="安全限界固有周期" sheetId="21" r:id="rId7"/>
    <sheet name="pqGs72S" sheetId="30" r:id="rId8"/>
    <sheet name="必要安全限界耐力" sheetId="20" r:id="rId9"/>
    <sheet name="GS" sheetId="14" r:id="rId10"/>
    <sheet name="地盤の固有周期" sheetId="22" r:id="rId11"/>
    <sheet name="jacobi2" sheetId="24" r:id="rId12"/>
    <sheet name="stodora" sheetId="25" r:id="rId13"/>
    <sheet name="ji_zofuku" sheetId="26" r:id="rId14"/>
    <sheet name="安全限界GS" sheetId="15" r:id="rId15"/>
    <sheet name="teigen" sheetId="16" r:id="rId16"/>
    <sheet name="gensui" sheetId="17" r:id="rId17"/>
    <sheet name="地盤データ" sheetId="27" r:id="rId18"/>
    <sheet name="jacobi" sheetId="10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30" l="1"/>
  <c r="L15" i="30"/>
  <c r="L14" i="30"/>
  <c r="N10" i="30"/>
  <c r="N19" i="30" s="1"/>
  <c r="N19" i="29"/>
  <c r="N10" i="29"/>
  <c r="L16" i="29"/>
  <c r="L15" i="29"/>
  <c r="L14" i="29"/>
  <c r="D49" i="30"/>
  <c r="D52" i="30" s="1"/>
  <c r="O19" i="30" s="1"/>
  <c r="C49" i="30"/>
  <c r="C52" i="30" s="1"/>
  <c r="O10" i="30" s="1"/>
  <c r="D51" i="30"/>
  <c r="C51" i="30"/>
  <c r="D51" i="29"/>
  <c r="C51" i="29"/>
  <c r="D49" i="29"/>
  <c r="C49" i="29"/>
  <c r="F5" i="30"/>
  <c r="E5" i="30"/>
  <c r="D5" i="30"/>
  <c r="M13" i="30" s="1"/>
  <c r="C5" i="30"/>
  <c r="L7" i="30" s="1"/>
  <c r="G5" i="30"/>
  <c r="B5" i="30"/>
  <c r="G5" i="29"/>
  <c r="F5" i="29"/>
  <c r="E5" i="29"/>
  <c r="C25" i="29" s="1"/>
  <c r="B5" i="29"/>
  <c r="D5" i="29"/>
  <c r="M13" i="29" s="1"/>
  <c r="C5" i="29"/>
  <c r="L5" i="29" s="1"/>
  <c r="C26" i="29" a="1"/>
  <c r="D17" i="29" a="1"/>
  <c r="D17" i="30" a="1"/>
  <c r="C26" i="30" a="1"/>
  <c r="C38" i="29" a="1"/>
  <c r="M19" i="29" a="1"/>
  <c r="C38" i="30" a="1"/>
  <c r="D26" i="29" a="1"/>
  <c r="M19" i="30" a="1"/>
  <c r="C17" i="29" a="1"/>
  <c r="D38" i="30" a="1"/>
  <c r="C17" i="30" a="1"/>
  <c r="D38" i="29" a="1"/>
  <c r="D26" i="30" a="1"/>
  <c r="L6" i="30" l="1"/>
  <c r="M4" i="30"/>
  <c r="L5" i="30"/>
  <c r="M19" i="30"/>
  <c r="P19" i="30" s="1"/>
  <c r="C25" i="30"/>
  <c r="D25" i="30"/>
  <c r="M19" i="29"/>
  <c r="M4" i="29"/>
  <c r="D25" i="29"/>
  <c r="L7" i="29"/>
  <c r="L6" i="29"/>
  <c r="C26" i="30"/>
  <c r="D26" i="30"/>
  <c r="D17" i="30"/>
  <c r="C17" i="30"/>
  <c r="C38" i="30"/>
  <c r="D38" i="30"/>
  <c r="C38" i="29"/>
  <c r="C52" i="29" s="1"/>
  <c r="D26" i="29"/>
  <c r="C26" i="29"/>
  <c r="C17" i="29"/>
  <c r="I6" i="18" s="1"/>
  <c r="D17" i="29"/>
  <c r="I7" i="18" s="1"/>
  <c r="D38" i="29"/>
  <c r="D52" i="29" s="1"/>
  <c r="C23" i="14"/>
  <c r="B23" i="14"/>
  <c r="B25" i="14"/>
  <c r="C25" i="14"/>
  <c r="D25" i="14"/>
  <c r="E25" i="14"/>
  <c r="C24" i="14"/>
  <c r="D24" i="14"/>
  <c r="E24" i="14"/>
  <c r="B24" i="14"/>
  <c r="C4" i="14"/>
  <c r="B4" i="14"/>
  <c r="C6" i="14"/>
  <c r="D6" i="14"/>
  <c r="E6" i="14"/>
  <c r="B6" i="14"/>
  <c r="C5" i="14"/>
  <c r="D5" i="14"/>
  <c r="E5" i="14"/>
  <c r="B5" i="14"/>
  <c r="D12" i="7"/>
  <c r="D13" i="7"/>
  <c r="D14" i="7"/>
  <c r="D15" i="7"/>
  <c r="D16" i="7"/>
  <c r="D17" i="7"/>
  <c r="D18" i="7"/>
  <c r="D19" i="7"/>
  <c r="D20" i="7"/>
  <c r="D21" i="7"/>
  <c r="D11" i="7"/>
  <c r="M10" i="29" a="1"/>
  <c r="M10" i="30" a="1"/>
  <c r="O19" i="29" l="1"/>
  <c r="P19" i="29" s="1"/>
  <c r="I4" i="18"/>
  <c r="O10" i="29"/>
  <c r="I3" i="18"/>
  <c r="M10" i="30"/>
  <c r="P10" i="30" s="1"/>
  <c r="M10" i="29"/>
  <c r="X11" i="7"/>
  <c r="P10" i="29" l="1"/>
  <c r="J16" i="18" s="1"/>
  <c r="J15" i="18"/>
  <c r="S35" i="19"/>
  <c r="Q35" i="19"/>
  <c r="V35" i="19" s="1"/>
  <c r="O35" i="19"/>
  <c r="V34" i="19"/>
  <c r="S34" i="19"/>
  <c r="Q34" i="19"/>
  <c r="O34" i="19"/>
  <c r="S33" i="19"/>
  <c r="Q33" i="19"/>
  <c r="V33" i="19" s="1"/>
  <c r="O33" i="19"/>
  <c r="V32" i="19"/>
  <c r="S32" i="19"/>
  <c r="Q32" i="19"/>
  <c r="O32" i="19"/>
  <c r="S31" i="19"/>
  <c r="Q31" i="19"/>
  <c r="V31" i="19" s="1"/>
  <c r="O31" i="19"/>
  <c r="V30" i="19"/>
  <c r="S30" i="19"/>
  <c r="Q30" i="19"/>
  <c r="O30" i="19"/>
  <c r="S29" i="19"/>
  <c r="Q29" i="19"/>
  <c r="V29" i="19" s="1"/>
  <c r="O29" i="19"/>
  <c r="V28" i="19"/>
  <c r="S28" i="19"/>
  <c r="Q28" i="19"/>
  <c r="O28" i="19"/>
  <c r="S27" i="19"/>
  <c r="Q27" i="19"/>
  <c r="V27" i="19" s="1"/>
  <c r="O27" i="19"/>
  <c r="V26" i="19"/>
  <c r="Q26" i="19"/>
  <c r="S26" i="19" s="1"/>
  <c r="T26" i="19" s="1"/>
  <c r="O26" i="19"/>
  <c r="S25" i="19"/>
  <c r="T25" i="19" s="1"/>
  <c r="Q25" i="19"/>
  <c r="V25" i="19" s="1"/>
  <c r="W25" i="19" s="1"/>
  <c r="O25" i="19"/>
  <c r="Z21" i="19"/>
  <c r="X21" i="19"/>
  <c r="Z20" i="19"/>
  <c r="X20" i="19"/>
  <c r="Z19" i="19"/>
  <c r="X19" i="19"/>
  <c r="Z18" i="19"/>
  <c r="X18" i="19"/>
  <c r="Z17" i="19"/>
  <c r="X17" i="19"/>
  <c r="Z16" i="19"/>
  <c r="X16" i="19"/>
  <c r="Z15" i="19"/>
  <c r="X15" i="19"/>
  <c r="Z14" i="19"/>
  <c r="X14" i="19"/>
  <c r="Z13" i="19"/>
  <c r="X13" i="19"/>
  <c r="Z12" i="19"/>
  <c r="X12" i="19"/>
  <c r="Z11" i="19"/>
  <c r="X11" i="19"/>
  <c r="R5" i="19"/>
  <c r="J14" i="18" l="1"/>
  <c r="J22" i="18"/>
  <c r="J21" i="18"/>
  <c r="J18" i="18"/>
  <c r="J17" i="18"/>
  <c r="J23" i="18"/>
  <c r="J19" i="18"/>
  <c r="J24" i="18"/>
  <c r="J20" i="18"/>
  <c r="W26" i="19"/>
  <c r="W27" i="19"/>
  <c r="W28" i="19" s="1"/>
  <c r="W29" i="19" s="1"/>
  <c r="W30" i="19" s="1"/>
  <c r="W31" i="19" s="1"/>
  <c r="W32" i="19" s="1"/>
  <c r="W33" i="19" s="1"/>
  <c r="W34" i="19" s="1"/>
  <c r="W35" i="19" s="1"/>
  <c r="T27" i="19"/>
  <c r="T28" i="19" s="1"/>
  <c r="T29" i="19" s="1"/>
  <c r="T30" i="19" s="1"/>
  <c r="T31" i="19" s="1"/>
  <c r="T32" i="19" s="1"/>
  <c r="T33" i="19" s="1"/>
  <c r="T34" i="19" s="1"/>
  <c r="T35" i="19" s="1"/>
  <c r="A2" i="10"/>
  <c r="Z14" i="7"/>
  <c r="X14" i="7"/>
  <c r="Z13" i="7"/>
  <c r="X13" i="7"/>
  <c r="Z12" i="7"/>
  <c r="X12" i="7"/>
  <c r="Z11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<sst xmlns="http://schemas.openxmlformats.org/spreadsheetml/2006/main" count="768" uniqueCount="353">
  <si>
    <t>階数</t>
    <rPh sb="0" eb="2">
      <t>カイスウ</t>
    </rPh>
    <phoneticPr fontId="2"/>
  </si>
  <si>
    <t>Ｙ方向</t>
    <rPh sb="1" eb="3">
      <t>ホウコウ</t>
    </rPh>
    <phoneticPr fontId="2"/>
  </si>
  <si>
    <t>(m)</t>
    <phoneticPr fontId="2"/>
  </si>
  <si>
    <t>hi</t>
    <phoneticPr fontId="2"/>
  </si>
  <si>
    <t>wi</t>
    <phoneticPr fontId="2"/>
  </si>
  <si>
    <t>mi</t>
    <phoneticPr fontId="2"/>
  </si>
  <si>
    <t>(mm)</t>
    <phoneticPr fontId="2"/>
  </si>
  <si>
    <t>(t)</t>
    <phoneticPr fontId="2"/>
  </si>
  <si>
    <t>用途係数 I =</t>
  </si>
  <si>
    <t>hi</t>
  </si>
  <si>
    <t>wi</t>
  </si>
  <si>
    <t>qi</t>
    <phoneticPr fontId="2"/>
  </si>
  <si>
    <t>基準せん断力係数　Co =</t>
    <rPh sb="0" eb="2">
      <t>キジュン</t>
    </rPh>
    <rPh sb="4" eb="6">
      <t>ダンリョク</t>
    </rPh>
    <rPh sb="6" eb="8">
      <t>ケイスウ</t>
    </rPh>
    <phoneticPr fontId="2"/>
  </si>
  <si>
    <t>地盤種別係数 Tc =</t>
    <phoneticPr fontId="2"/>
  </si>
  <si>
    <t>一次固有周期 T =</t>
    <rPh sb="0" eb="2">
      <t>イチジ</t>
    </rPh>
    <rPh sb="2" eb="4">
      <t>コユウ</t>
    </rPh>
    <rPh sb="4" eb="6">
      <t>シュウキ</t>
    </rPh>
    <phoneticPr fontId="2"/>
  </si>
  <si>
    <t>振動特性係数 Rt =</t>
    <rPh sb="0" eb="2">
      <t>シンドウ</t>
    </rPh>
    <rPh sb="2" eb="4">
      <t>トクセイ</t>
    </rPh>
    <rPh sb="4" eb="6">
      <t>ケイスウ</t>
    </rPh>
    <phoneticPr fontId="2"/>
  </si>
  <si>
    <t>③</t>
  </si>
  <si>
    <t>⑦　固有ベクトル * m^-0.5</t>
  </si>
  <si>
    <t>⑧ 固有ベクトル</t>
  </si>
  <si>
    <t>F</t>
    <phoneticPr fontId="2"/>
  </si>
  <si>
    <t>Wi</t>
    <phoneticPr fontId="2"/>
  </si>
  <si>
    <t>Ki</t>
    <phoneticPr fontId="2"/>
  </si>
  <si>
    <t>δx</t>
    <phoneticPr fontId="2"/>
  </si>
  <si>
    <t>δy</t>
    <phoneticPr fontId="2"/>
  </si>
  <si>
    <t>X方向</t>
    <rPh sb="1" eb="3">
      <t>ホウコウ</t>
    </rPh>
    <phoneticPr fontId="2"/>
  </si>
  <si>
    <t>Y方向</t>
    <rPh sb="1" eb="3">
      <t>ホウコウ</t>
    </rPh>
    <phoneticPr fontId="2"/>
  </si>
  <si>
    <t>ki=qi/δy</t>
    <phoneticPr fontId="2"/>
  </si>
  <si>
    <t>地域係数 Z =</t>
    <phoneticPr fontId="2"/>
  </si>
  <si>
    <t>階数 S =</t>
    <rPh sb="0" eb="1">
      <t>カイ</t>
    </rPh>
    <rPh sb="1" eb="2">
      <t>スウ</t>
    </rPh>
    <phoneticPr fontId="2"/>
  </si>
  <si>
    <t>建物の高さ h =</t>
    <rPh sb="0" eb="2">
      <t>タテモノ</t>
    </rPh>
    <rPh sb="3" eb="4">
      <t>タカ</t>
    </rPh>
    <phoneticPr fontId="2"/>
  </si>
  <si>
    <t>kN</t>
    <phoneticPr fontId="2"/>
  </si>
  <si>
    <t>①</t>
    <phoneticPr fontId="2"/>
  </si>
  <si>
    <t>④</t>
    <phoneticPr fontId="2"/>
  </si>
  <si>
    <t>⑤</t>
    <phoneticPr fontId="2"/>
  </si>
  <si>
    <t>②</t>
    <phoneticPr fontId="2"/>
  </si>
  <si>
    <t>⑥</t>
    <phoneticPr fontId="2"/>
  </si>
  <si>
    <t>befor ⑥</t>
    <phoneticPr fontId="2"/>
  </si>
  <si>
    <t>固有ベクトル</t>
    <phoneticPr fontId="2"/>
  </si>
  <si>
    <t>刺激係数</t>
    <phoneticPr fontId="2"/>
  </si>
  <si>
    <t>刺激係数*固有ベクトル</t>
    <phoneticPr fontId="2"/>
  </si>
  <si>
    <t>ω^2</t>
    <phoneticPr fontId="2"/>
  </si>
  <si>
    <t>ω:固有円振動数</t>
    <phoneticPr fontId="2"/>
  </si>
  <si>
    <t>Ts:固有周期</t>
    <phoneticPr fontId="2"/>
  </si>
  <si>
    <t>Rt</t>
    <phoneticPr fontId="2"/>
  </si>
  <si>
    <t>T</t>
    <phoneticPr fontId="2"/>
  </si>
  <si>
    <t>0.75Rt</t>
    <phoneticPr fontId="2"/>
  </si>
  <si>
    <t>ｍi</t>
    <phoneticPr fontId="2"/>
  </si>
  <si>
    <t>mi*δdi</t>
    <phoneticPr fontId="2"/>
  </si>
  <si>
    <t>mi*δdi^2</t>
    <phoneticPr fontId="2"/>
  </si>
  <si>
    <t>設計用Rt</t>
    <rPh sb="0" eb="2">
      <t>セッケイ</t>
    </rPh>
    <rPh sb="2" eb="3">
      <t>ヨウ</t>
    </rPh>
    <phoneticPr fontId="2"/>
  </si>
  <si>
    <t>L</t>
    <phoneticPr fontId="11"/>
  </si>
  <si>
    <t>損傷限界</t>
    <rPh sb="0" eb="2">
      <t>ソンショウ</t>
    </rPh>
    <rPh sb="2" eb="4">
      <t>ゲンカイ</t>
    </rPh>
    <phoneticPr fontId="11"/>
  </si>
  <si>
    <t>弾性せん断剛性</t>
    <rPh sb="0" eb="2">
      <t>ダンセイ</t>
    </rPh>
    <rPh sb="4" eb="5">
      <t>ダン</t>
    </rPh>
    <rPh sb="5" eb="7">
      <t>ゴウセイ</t>
    </rPh>
    <phoneticPr fontId="11"/>
  </si>
  <si>
    <t>せん断剛性</t>
    <rPh sb="2" eb="3">
      <t>ダン</t>
    </rPh>
    <rPh sb="3" eb="5">
      <t>ゴウセイ</t>
    </rPh>
    <phoneticPr fontId="11"/>
  </si>
  <si>
    <t>せん断ばね剛性</t>
    <rPh sb="2" eb="3">
      <t>ダン</t>
    </rPh>
    <rPh sb="5" eb="7">
      <t>ゴウセイ</t>
    </rPh>
    <phoneticPr fontId="11"/>
  </si>
  <si>
    <t>層番号i</t>
    <rPh sb="0" eb="1">
      <t>ソウ</t>
    </rPh>
    <rPh sb="1" eb="3">
      <t>バンゴウ</t>
    </rPh>
    <phoneticPr fontId="11"/>
  </si>
  <si>
    <t>層厚　Hi</t>
    <rPh sb="0" eb="2">
      <t>ソウアツ</t>
    </rPh>
    <phoneticPr fontId="11"/>
  </si>
  <si>
    <t>湿潤密度pi</t>
    <rPh sb="0" eb="2">
      <t>シツジュン</t>
    </rPh>
    <rPh sb="2" eb="4">
      <t>ミツド</t>
    </rPh>
    <phoneticPr fontId="11"/>
  </si>
  <si>
    <t>P波速度Vp</t>
    <rPh sb="1" eb="2">
      <t>ナミ</t>
    </rPh>
    <rPh sb="2" eb="4">
      <t>ソクド</t>
    </rPh>
    <phoneticPr fontId="11"/>
  </si>
  <si>
    <t>S波速度Vs</t>
    <rPh sb="1" eb="2">
      <t>ナミ</t>
    </rPh>
    <rPh sb="2" eb="4">
      <t>ソクド</t>
    </rPh>
    <phoneticPr fontId="11"/>
  </si>
  <si>
    <t>土質</t>
    <rPh sb="0" eb="2">
      <t>ドシツ</t>
    </rPh>
    <phoneticPr fontId="11"/>
  </si>
  <si>
    <t>G01</t>
    <phoneticPr fontId="11"/>
  </si>
  <si>
    <t>低減係数 R</t>
    <rPh sb="0" eb="2">
      <t>テイゲン</t>
    </rPh>
    <rPh sb="2" eb="4">
      <t>ケイスウ</t>
    </rPh>
    <phoneticPr fontId="11"/>
  </si>
  <si>
    <t>Gi</t>
    <phoneticPr fontId="11"/>
  </si>
  <si>
    <t>Ki</t>
    <phoneticPr fontId="11"/>
  </si>
  <si>
    <t>mi</t>
    <phoneticPr fontId="11"/>
  </si>
  <si>
    <t>pe</t>
    <phoneticPr fontId="11"/>
  </si>
  <si>
    <t>Vse</t>
    <phoneticPr fontId="11"/>
  </si>
  <si>
    <t>α</t>
    <phoneticPr fontId="11"/>
  </si>
  <si>
    <t>h(0.8h)</t>
    <phoneticPr fontId="11"/>
  </si>
  <si>
    <t>Gs1</t>
    <phoneticPr fontId="11"/>
  </si>
  <si>
    <t>Gs2</t>
    <phoneticPr fontId="11"/>
  </si>
  <si>
    <t>Gb</t>
    <phoneticPr fontId="11"/>
  </si>
  <si>
    <t>T1</t>
    <phoneticPr fontId="11"/>
  </si>
  <si>
    <t>T2</t>
    <phoneticPr fontId="11"/>
  </si>
  <si>
    <t>粘性土</t>
    <rPh sb="0" eb="3">
      <t>ネンセイド</t>
    </rPh>
    <phoneticPr fontId="11"/>
  </si>
  <si>
    <t>粘性土</t>
    <rPh sb="0" eb="2">
      <t>ネンセイ</t>
    </rPh>
    <rPh sb="2" eb="3">
      <t>ツチ</t>
    </rPh>
    <phoneticPr fontId="11"/>
  </si>
  <si>
    <t>砂質土</t>
    <rPh sb="0" eb="3">
      <t>サシツド</t>
    </rPh>
    <phoneticPr fontId="11"/>
  </si>
  <si>
    <t>pe</t>
  </si>
  <si>
    <t>Vse</t>
  </si>
  <si>
    <t>α</t>
  </si>
  <si>
    <t>h</t>
  </si>
  <si>
    <t>Gs1</t>
  </si>
  <si>
    <t>Gs2</t>
  </si>
  <si>
    <t>Gb</t>
  </si>
  <si>
    <t>T1</t>
  </si>
  <si>
    <t>T2</t>
  </si>
  <si>
    <t>安全限界</t>
    <rPh sb="0" eb="2">
      <t>アンゼン</t>
    </rPh>
    <rPh sb="2" eb="4">
      <t>ゲンカイ</t>
    </rPh>
    <phoneticPr fontId="11"/>
  </si>
  <si>
    <t xml:space="preserve">     ≦ 0.396</t>
    <phoneticPr fontId="11"/>
  </si>
  <si>
    <t>2.39T</t>
    <phoneticPr fontId="11"/>
  </si>
  <si>
    <t>0.396 &lt; T ≦ 1.189</t>
    <phoneticPr fontId="11"/>
  </si>
  <si>
    <t>1.414T + 0.387</t>
    <phoneticPr fontId="11"/>
  </si>
  <si>
    <t>1.189 &lt; T ≦ 1.784</t>
    <phoneticPr fontId="11"/>
  </si>
  <si>
    <t>1.486 &lt; T    1.189</t>
    <phoneticPr fontId="11"/>
  </si>
  <si>
    <t>2.319T + 0.768</t>
    <phoneticPr fontId="11"/>
  </si>
  <si>
    <t>i</t>
    <phoneticPr fontId="11"/>
  </si>
  <si>
    <t>Ui</t>
    <phoneticPr fontId="11"/>
  </si>
  <si>
    <t>ui</t>
    <phoneticPr fontId="11"/>
  </si>
  <si>
    <t>γi</t>
    <phoneticPr fontId="11"/>
  </si>
  <si>
    <t>低減係数</t>
    <phoneticPr fontId="11"/>
  </si>
  <si>
    <t>hi</t>
    <phoneticPr fontId="11"/>
  </si>
  <si>
    <t>wi</t>
    <phoneticPr fontId="11"/>
  </si>
  <si>
    <t>低減係数</t>
    <rPh sb="0" eb="2">
      <t>テイゲン</t>
    </rPh>
    <rPh sb="2" eb="4">
      <t>ケイスウ</t>
    </rPh>
    <phoneticPr fontId="11"/>
  </si>
  <si>
    <t>せん断ひずみ</t>
    <rPh sb="2" eb="3">
      <t>ダン</t>
    </rPh>
    <phoneticPr fontId="11"/>
  </si>
  <si>
    <t>減衰定数</t>
    <rPh sb="0" eb="2">
      <t>ゲンスイ</t>
    </rPh>
    <rPh sb="2" eb="4">
      <t>テイスウ</t>
    </rPh>
    <phoneticPr fontId="11"/>
  </si>
  <si>
    <t>Td&lt;0.16</t>
    <phoneticPr fontId="2"/>
  </si>
  <si>
    <t>0.16≦Td＜0.64</t>
    <phoneticPr fontId="2"/>
  </si>
  <si>
    <t>0.64≦Td</t>
    <phoneticPr fontId="2"/>
  </si>
  <si>
    <t>Pdi=（0.64+6Td）mi Bdi Z Gs</t>
    <phoneticPr fontId="2"/>
  </si>
  <si>
    <t>Pdi=1.024 mi Bdi Z Gs / Td</t>
    <phoneticPr fontId="2"/>
  </si>
  <si>
    <t>Pdi=1.7 mi Bdi Z Gs  / Td</t>
    <phoneticPr fontId="2"/>
  </si>
  <si>
    <t>階数</t>
    <rPh sb="0" eb="2">
      <t>カイスウ</t>
    </rPh>
    <phoneticPr fontId="2"/>
  </si>
  <si>
    <t>5以上</t>
    <rPh sb="1" eb="3">
      <t>イジョウ</t>
    </rPh>
    <phoneticPr fontId="2"/>
  </si>
  <si>
    <t>0.16以下</t>
    <rPh sb="4" eb="6">
      <t>イカ</t>
    </rPh>
    <phoneticPr fontId="2"/>
  </si>
  <si>
    <t>0.16を超える</t>
    <rPh sb="5" eb="6">
      <t>コ</t>
    </rPh>
    <phoneticPr fontId="2"/>
  </si>
  <si>
    <t>1-0.2/0.16td</t>
    <phoneticPr fontId="2"/>
  </si>
  <si>
    <t>1-0.15/0.16td</t>
    <phoneticPr fontId="2"/>
  </si>
  <si>
    <t>1-0.1/0.16td</t>
    <phoneticPr fontId="2"/>
  </si>
  <si>
    <t>1-0.05/0.16td</t>
    <phoneticPr fontId="2"/>
  </si>
  <si>
    <t>有効質量比</t>
    <rPh sb="0" eb="2">
      <t>ユウコウ</t>
    </rPh>
    <rPh sb="2" eb="4">
      <t>シツリョウ</t>
    </rPh>
    <rPh sb="4" eb="5">
      <t>ヒ</t>
    </rPh>
    <phoneticPr fontId="2"/>
  </si>
  <si>
    <t>0.75未満</t>
    <rPh sb="4" eb="6">
      <t>ミマン</t>
    </rPh>
    <phoneticPr fontId="2"/>
  </si>
  <si>
    <t>0.75以上</t>
    <rPh sb="4" eb="6">
      <t>イジョウ</t>
    </rPh>
    <phoneticPr fontId="2"/>
  </si>
  <si>
    <t>0.75*Σmi/Mud</t>
    <phoneticPr fontId="2"/>
  </si>
  <si>
    <t>階数=</t>
    <phoneticPr fontId="2"/>
  </si>
  <si>
    <t>地域係数 Z =</t>
  </si>
  <si>
    <t>F</t>
    <phoneticPr fontId="2"/>
  </si>
  <si>
    <t>変位δ</t>
    <rPh sb="0" eb="2">
      <t>ヘンイ</t>
    </rPh>
    <phoneticPr fontId="2"/>
  </si>
  <si>
    <t>δ(i+i-1)</t>
    <phoneticPr fontId="2"/>
  </si>
  <si>
    <t>hi/di</t>
    <phoneticPr fontId="2"/>
  </si>
  <si>
    <t>δd(m)</t>
    <phoneticPr fontId="2"/>
  </si>
  <si>
    <t>X方向</t>
    <rPh sb="1" eb="3">
      <t>ホウコウ</t>
    </rPh>
    <phoneticPr fontId="2"/>
  </si>
  <si>
    <t>Y方向</t>
    <rPh sb="1" eb="3">
      <t>ホウコウ</t>
    </rPh>
    <phoneticPr fontId="2"/>
  </si>
  <si>
    <t>略算</t>
    <rPh sb="0" eb="2">
      <t>リャクサン</t>
    </rPh>
    <phoneticPr fontId="2"/>
  </si>
  <si>
    <t xml:space="preserve">     T≦ 0.298</t>
    <phoneticPr fontId="2"/>
  </si>
  <si>
    <t>0.298 &lt; T ≦ 0.893</t>
    <phoneticPr fontId="2"/>
  </si>
  <si>
    <t>1.116 &lt; T    0.893</t>
    <phoneticPr fontId="2"/>
  </si>
  <si>
    <t>Td x</t>
    <phoneticPr fontId="2"/>
  </si>
  <si>
    <t>Td y</t>
    <phoneticPr fontId="2"/>
  </si>
  <si>
    <t>Z</t>
    <phoneticPr fontId="2"/>
  </si>
  <si>
    <t>0.893 &lt; T ≦ 1.339</t>
    <phoneticPr fontId="2"/>
  </si>
  <si>
    <t>3.968T</t>
    <phoneticPr fontId="2"/>
  </si>
  <si>
    <t>1.689T + 0.679</t>
    <phoneticPr fontId="2"/>
  </si>
  <si>
    <t>1.834T + 0.817</t>
    <phoneticPr fontId="2"/>
  </si>
  <si>
    <t>Gs X</t>
    <phoneticPr fontId="2"/>
  </si>
  <si>
    <t>Gs Y</t>
    <phoneticPr fontId="2"/>
  </si>
  <si>
    <t>p</t>
    <phoneticPr fontId="2"/>
  </si>
  <si>
    <t>q</t>
    <phoneticPr fontId="2"/>
  </si>
  <si>
    <t>mi</t>
    <phoneticPr fontId="2"/>
  </si>
  <si>
    <t>Qun</t>
    <phoneticPr fontId="2"/>
  </si>
  <si>
    <t>α</t>
    <phoneticPr fontId="2"/>
  </si>
  <si>
    <t>bdi</t>
    <phoneticPr fontId="2"/>
  </si>
  <si>
    <t>ki=qi/δx</t>
    <phoneticPr fontId="2"/>
  </si>
  <si>
    <t>qix</t>
    <phoneticPr fontId="2"/>
  </si>
  <si>
    <t>qiy</t>
    <phoneticPr fontId="2"/>
  </si>
  <si>
    <t>Qux</t>
    <phoneticPr fontId="2"/>
  </si>
  <si>
    <t>Quy</t>
    <phoneticPr fontId="2"/>
  </si>
  <si>
    <t>地震力　Qux=</t>
    <rPh sb="0" eb="2">
      <t>ジシン</t>
    </rPh>
    <rPh sb="2" eb="3">
      <t>リョク</t>
    </rPh>
    <phoneticPr fontId="2"/>
  </si>
  <si>
    <t>地震力　Quy=</t>
    <rPh sb="0" eb="2">
      <t>ジシン</t>
    </rPh>
    <rPh sb="2" eb="3">
      <t>リョク</t>
    </rPh>
    <phoneticPr fontId="2"/>
  </si>
  <si>
    <t>S</t>
    <phoneticPr fontId="2"/>
  </si>
  <si>
    <t>造</t>
    <rPh sb="0" eb="1">
      <t>ゾウ</t>
    </rPh>
    <phoneticPr fontId="2"/>
  </si>
  <si>
    <t>X</t>
    <phoneticPr fontId="2"/>
  </si>
  <si>
    <t>ΣM</t>
    <phoneticPr fontId="2"/>
  </si>
  <si>
    <t>ΣM*δx</t>
    <phoneticPr fontId="2"/>
  </si>
  <si>
    <t>ΣM*δx^2</t>
    <phoneticPr fontId="2"/>
  </si>
  <si>
    <t>Δｘ</t>
    <phoneticPr fontId="2"/>
  </si>
  <si>
    <t>Tdx</t>
    <phoneticPr fontId="2"/>
  </si>
  <si>
    <t>Mux</t>
    <phoneticPr fontId="2"/>
  </si>
  <si>
    <t>Y</t>
    <phoneticPr fontId="2"/>
  </si>
  <si>
    <t>ΣM*δy</t>
    <phoneticPr fontId="2"/>
  </si>
  <si>
    <t>ΣM*δy^2</t>
    <phoneticPr fontId="2"/>
  </si>
  <si>
    <t>Muy</t>
    <phoneticPr fontId="2"/>
  </si>
  <si>
    <t>Δy</t>
    <phoneticPr fontId="2"/>
  </si>
  <si>
    <t>Tdy</t>
    <phoneticPr fontId="2"/>
  </si>
  <si>
    <t>Bdi</t>
    <phoneticPr fontId="2"/>
  </si>
  <si>
    <t>Pdi</t>
    <phoneticPr fontId="2"/>
  </si>
  <si>
    <t>損傷限界固有周期：Td</t>
    <rPh sb="0" eb="2">
      <t>ソンショウ</t>
    </rPh>
    <rPh sb="2" eb="4">
      <t>ゲンカイ</t>
    </rPh>
    <rPh sb="4" eb="6">
      <t>コユウ</t>
    </rPh>
    <rPh sb="6" eb="8">
      <t>シュウキ</t>
    </rPh>
    <phoneticPr fontId="2"/>
  </si>
  <si>
    <t>余裕度：Qd/Qdn</t>
    <rPh sb="0" eb="2">
      <t>ヨユウ</t>
    </rPh>
    <rPh sb="2" eb="3">
      <t>ド</t>
    </rPh>
    <phoneticPr fontId="2"/>
  </si>
  <si>
    <t>損傷限界耐力：Qd</t>
    <rPh sb="0" eb="2">
      <t>ソンショウ</t>
    </rPh>
    <rPh sb="2" eb="4">
      <t>ゲンカイ</t>
    </rPh>
    <rPh sb="4" eb="6">
      <t>タイリョク</t>
    </rPh>
    <phoneticPr fontId="2"/>
  </si>
  <si>
    <t>必要損傷限界耐力時の最大層間変形角</t>
    <rPh sb="0" eb="2">
      <t>ヒツヨウ</t>
    </rPh>
    <rPh sb="2" eb="4">
      <t>ソンショウ</t>
    </rPh>
    <rPh sb="4" eb="6">
      <t>ゲンカイ</t>
    </rPh>
    <rPh sb="6" eb="8">
      <t>タイリョク</t>
    </rPh>
    <rPh sb="8" eb="9">
      <t>ジ</t>
    </rPh>
    <rPh sb="10" eb="12">
      <t>サイダイ</t>
    </rPh>
    <rPh sb="12" eb="13">
      <t>ソウ</t>
    </rPh>
    <rPh sb="13" eb="14">
      <t>カン</t>
    </rPh>
    <rPh sb="14" eb="16">
      <t>ヘンケイ</t>
    </rPh>
    <rPh sb="16" eb="17">
      <t>カク</t>
    </rPh>
    <phoneticPr fontId="2"/>
  </si>
  <si>
    <t>Psi</t>
    <phoneticPr fontId="2"/>
  </si>
  <si>
    <t>ラーメン0.25,ブレース0.2</t>
    <phoneticPr fontId="2"/>
  </si>
  <si>
    <t>減衰定数ｈ算定時構造形式r1=</t>
    <rPh sb="0" eb="2">
      <t>ゲンスイ</t>
    </rPh>
    <rPh sb="2" eb="4">
      <t>テイスウ</t>
    </rPh>
    <rPh sb="5" eb="7">
      <t>サンテイ</t>
    </rPh>
    <rPh sb="7" eb="8">
      <t>ジ</t>
    </rPh>
    <rPh sb="8" eb="12">
      <t>コウゾウケイシキ</t>
    </rPh>
    <phoneticPr fontId="2"/>
  </si>
  <si>
    <t>f</t>
    <phoneticPr fontId="11"/>
  </si>
  <si>
    <t>T1</t>
    <phoneticPr fontId="2"/>
  </si>
  <si>
    <t>α</t>
    <phoneticPr fontId="2"/>
  </si>
  <si>
    <t>建物高さH=</t>
    <rPh sb="0" eb="2">
      <t>タテモノ</t>
    </rPh>
    <rPh sb="2" eb="3">
      <t>タカ</t>
    </rPh>
    <phoneticPr fontId="2"/>
  </si>
  <si>
    <t>総質量ΣM=</t>
    <rPh sb="0" eb="1">
      <t>ソウ</t>
    </rPh>
    <rPh sb="1" eb="3">
      <t>シツリョウ</t>
    </rPh>
    <phoneticPr fontId="2"/>
  </si>
  <si>
    <t>安全限界固有周期</t>
    <rPh sb="0" eb="2">
      <t>アンゼン</t>
    </rPh>
    <rPh sb="2" eb="4">
      <t>ゲンカイ</t>
    </rPh>
    <rPh sb="4" eb="8">
      <t>コユウシュウキ</t>
    </rPh>
    <phoneticPr fontId="2"/>
  </si>
  <si>
    <t>損傷限界固有周期</t>
    <rPh sb="0" eb="2">
      <t>ソンショウ</t>
    </rPh>
    <rPh sb="2" eb="4">
      <t>ゲンカイ</t>
    </rPh>
    <rPh sb="4" eb="8">
      <t>コユウシュウキ</t>
    </rPh>
    <phoneticPr fontId="2"/>
  </si>
  <si>
    <t>必要損傷限界耐力：Qdn</t>
    <rPh sb="0" eb="2">
      <t>ヒツヨウ</t>
    </rPh>
    <rPh sb="2" eb="4">
      <t>ソンショウ</t>
    </rPh>
    <rPh sb="4" eb="6">
      <t>ゲンカイ</t>
    </rPh>
    <rPh sb="6" eb="8">
      <t>タイリョク</t>
    </rPh>
    <phoneticPr fontId="2"/>
  </si>
  <si>
    <t>地震力　Qdx=</t>
    <rPh sb="0" eb="2">
      <t>ジシン</t>
    </rPh>
    <rPh sb="2" eb="3">
      <t>リョク</t>
    </rPh>
    <phoneticPr fontId="2"/>
  </si>
  <si>
    <t>地震力　Qdy=</t>
    <rPh sb="0" eb="2">
      <t>ジシン</t>
    </rPh>
    <rPh sb="2" eb="3">
      <t>リョク</t>
    </rPh>
    <phoneticPr fontId="2"/>
  </si>
  <si>
    <t>有効質量:Mud</t>
    <rPh sb="0" eb="2">
      <t>ユウコウ</t>
    </rPh>
    <rPh sb="2" eb="4">
      <t>シツリョウ</t>
    </rPh>
    <phoneticPr fontId="2"/>
  </si>
  <si>
    <t>有効質量比：Mud/Σm</t>
    <rPh sb="0" eb="2">
      <t>ユウコウ</t>
    </rPh>
    <rPh sb="2" eb="4">
      <t>シツリョウ</t>
    </rPh>
    <rPh sb="4" eb="5">
      <t>ヒ</t>
    </rPh>
    <phoneticPr fontId="2"/>
  </si>
  <si>
    <t>地盤種別 =</t>
    <phoneticPr fontId="2"/>
  </si>
  <si>
    <t>Qdn</t>
    <phoneticPr fontId="2"/>
  </si>
  <si>
    <t>Δdx</t>
    <phoneticPr fontId="2"/>
  </si>
  <si>
    <t>Δdy</t>
    <phoneticPr fontId="2"/>
  </si>
  <si>
    <t>Δsx</t>
    <phoneticPr fontId="2"/>
  </si>
  <si>
    <t>Δsy</t>
    <phoneticPr fontId="2"/>
  </si>
  <si>
    <t>必要安全限界耐力：Qdn</t>
    <rPh sb="0" eb="2">
      <t>ヒツヨウ</t>
    </rPh>
    <rPh sb="2" eb="4">
      <t>アンゼン</t>
    </rPh>
    <rPh sb="4" eb="6">
      <t>ゲンカイ</t>
    </rPh>
    <rPh sb="6" eb="8">
      <t>タイリョク</t>
    </rPh>
    <phoneticPr fontId="2"/>
  </si>
  <si>
    <t>余裕度：Qs/Qsn</t>
    <rPh sb="0" eb="2">
      <t>ヨユウ</t>
    </rPh>
    <rPh sb="2" eb="3">
      <t>ド</t>
    </rPh>
    <phoneticPr fontId="2"/>
  </si>
  <si>
    <t>安全限界耐力：Qs</t>
    <rPh sb="0" eb="2">
      <t>アンゼン</t>
    </rPh>
    <rPh sb="2" eb="4">
      <t>ゲンカイ</t>
    </rPh>
    <rPh sb="4" eb="6">
      <t>タイリョク</t>
    </rPh>
    <phoneticPr fontId="2"/>
  </si>
  <si>
    <t>有効質量比：Mus/Σm</t>
    <rPh sb="0" eb="2">
      <t>ユウコウ</t>
    </rPh>
    <rPh sb="2" eb="4">
      <t>シツリョウ</t>
    </rPh>
    <rPh sb="4" eb="5">
      <t>ヒ</t>
    </rPh>
    <phoneticPr fontId="2"/>
  </si>
  <si>
    <t>安全限界固有周期：Ts</t>
    <rPh sb="0" eb="2">
      <t>アンゼン</t>
    </rPh>
    <rPh sb="2" eb="4">
      <t>ゲンカイ</t>
    </rPh>
    <rPh sb="4" eb="6">
      <t>コユウ</t>
    </rPh>
    <rPh sb="6" eb="8">
      <t>シュウキ</t>
    </rPh>
    <phoneticPr fontId="2"/>
  </si>
  <si>
    <t>Mdx</t>
    <phoneticPr fontId="2"/>
  </si>
  <si>
    <t>Mdy</t>
    <phoneticPr fontId="2"/>
  </si>
  <si>
    <t>Mus X</t>
    <phoneticPr fontId="2"/>
  </si>
  <si>
    <t>Mus Y</t>
    <phoneticPr fontId="2"/>
  </si>
  <si>
    <t>i</t>
    <phoneticPr fontId="2"/>
  </si>
  <si>
    <t>G0</t>
    <phoneticPr fontId="2"/>
  </si>
  <si>
    <t>低減係数</t>
    <phoneticPr fontId="2"/>
  </si>
  <si>
    <t>Gi</t>
    <phoneticPr fontId="2"/>
  </si>
  <si>
    <t>T2</t>
    <phoneticPr fontId="2"/>
  </si>
  <si>
    <t>粘性土</t>
    <rPh sb="0" eb="3">
      <t>ネンセイド</t>
    </rPh>
    <phoneticPr fontId="2"/>
  </si>
  <si>
    <t>砂質度</t>
    <rPh sb="0" eb="3">
      <t>サシツド</t>
    </rPh>
    <phoneticPr fontId="2"/>
  </si>
  <si>
    <t>ui</t>
    <phoneticPr fontId="2"/>
  </si>
  <si>
    <t>砂質土</t>
    <rPh sb="0" eb="2">
      <t>サシツ</t>
    </rPh>
    <rPh sb="2" eb="3">
      <t>ツチ</t>
    </rPh>
    <phoneticPr fontId="2"/>
  </si>
  <si>
    <t>pe</t>
    <phoneticPr fontId="2"/>
  </si>
  <si>
    <t>vse</t>
    <phoneticPr fontId="2"/>
  </si>
  <si>
    <t>alf</t>
    <phoneticPr fontId="2"/>
  </si>
  <si>
    <t>h</t>
    <phoneticPr fontId="2"/>
  </si>
  <si>
    <t>Gs1</t>
    <phoneticPr fontId="2"/>
  </si>
  <si>
    <t>Gs2</t>
    <phoneticPr fontId="2"/>
  </si>
  <si>
    <t>Gb</t>
    <phoneticPr fontId="2"/>
  </si>
  <si>
    <t>ri</t>
    <phoneticPr fontId="2"/>
  </si>
  <si>
    <t>低減係数</t>
    <rPh sb="0" eb="2">
      <t>テイゲン</t>
    </rPh>
    <rPh sb="2" eb="4">
      <t>ケイスウ</t>
    </rPh>
    <phoneticPr fontId="2"/>
  </si>
  <si>
    <t>P114</t>
    <phoneticPr fontId="2"/>
  </si>
  <si>
    <t>GS1</t>
    <phoneticPr fontId="2"/>
  </si>
  <si>
    <t>GS2</t>
  </si>
  <si>
    <t xml:space="preserve">     T≦ 0.092</t>
    <phoneticPr fontId="2"/>
  </si>
  <si>
    <t>0.092 &lt; T ≦ 0.275</t>
    <phoneticPr fontId="2"/>
  </si>
  <si>
    <t>0.275 &lt; T ≦ 0.413</t>
    <phoneticPr fontId="2"/>
  </si>
  <si>
    <t>0.344 &lt; T    0.275</t>
    <phoneticPr fontId="2"/>
  </si>
  <si>
    <t>18.696T</t>
    <phoneticPr fontId="2"/>
  </si>
  <si>
    <t>4.694T + 1.288</t>
    <phoneticPr fontId="2"/>
  </si>
  <si>
    <t>0.68T + 0.932</t>
    <phoneticPr fontId="2"/>
  </si>
  <si>
    <t xml:space="preserve">     T≦ 0.09</t>
    <phoneticPr fontId="2"/>
  </si>
  <si>
    <t>0.09 &lt; T ≦ 0.27</t>
    <phoneticPr fontId="2"/>
  </si>
  <si>
    <t>0.27 &lt; T ≦ 0.41</t>
    <phoneticPr fontId="2"/>
  </si>
  <si>
    <t xml:space="preserve">0.41 &lt; T        </t>
    <phoneticPr fontId="2"/>
  </si>
  <si>
    <t>21.5T</t>
    <phoneticPr fontId="2"/>
  </si>
  <si>
    <t>4.29T + 1.51</t>
    <phoneticPr fontId="2"/>
  </si>
  <si>
    <t>0.71T + 0.93</t>
    <phoneticPr fontId="2"/>
  </si>
  <si>
    <t>損傷限界</t>
    <rPh sb="0" eb="2">
      <t>ソンショウ</t>
    </rPh>
    <rPh sb="2" eb="4">
      <t>ゲンカイ</t>
    </rPh>
    <phoneticPr fontId="2"/>
  </si>
  <si>
    <t>GsY</t>
    <phoneticPr fontId="2"/>
  </si>
  <si>
    <t>GsX</t>
    <phoneticPr fontId="2"/>
  </si>
  <si>
    <t>安全限界</t>
    <rPh sb="0" eb="4">
      <t>アンゼンゲンカイ</t>
    </rPh>
    <phoneticPr fontId="2"/>
  </si>
  <si>
    <t>Tsx</t>
    <phoneticPr fontId="2"/>
  </si>
  <si>
    <t>Tsy</t>
    <phoneticPr fontId="2"/>
  </si>
  <si>
    <t>ΣWi</t>
    <phoneticPr fontId="2"/>
  </si>
  <si>
    <t>αi</t>
    <phoneticPr fontId="2"/>
  </si>
  <si>
    <t>Ai</t>
    <phoneticPr fontId="2"/>
  </si>
  <si>
    <t>Ci</t>
    <phoneticPr fontId="2"/>
  </si>
  <si>
    <t>地盤種別</t>
    <rPh sb="0" eb="2">
      <t>ジバン</t>
    </rPh>
    <rPh sb="2" eb="4">
      <t>シュベツ</t>
    </rPh>
    <phoneticPr fontId="2"/>
  </si>
  <si>
    <t>0.75*Mud/Σmi</t>
    <phoneticPr fontId="2"/>
  </si>
  <si>
    <t>Td &lt;= 0.16以下</t>
    <rPh sb="10" eb="12">
      <t>イカ</t>
    </rPh>
    <phoneticPr fontId="2"/>
  </si>
  <si>
    <t>Td &lt; 0.16を超える</t>
    <rPh sb="10" eb="11">
      <t>コ</t>
    </rPh>
    <phoneticPr fontId="2"/>
  </si>
  <si>
    <t>pの算定</t>
    <rPh sb="2" eb="4">
      <t>サンテイ</t>
    </rPh>
    <phoneticPr fontId="2"/>
  </si>
  <si>
    <t>qの算定</t>
    <rPh sb="2" eb="4">
      <t>サンテイ</t>
    </rPh>
    <phoneticPr fontId="2"/>
  </si>
  <si>
    <t>ΣM =</t>
    <phoneticPr fontId="2"/>
  </si>
  <si>
    <t>Mud X=</t>
    <phoneticPr fontId="2"/>
  </si>
  <si>
    <t>Mud Y=</t>
    <phoneticPr fontId="2"/>
  </si>
  <si>
    <t>Mu/ΣM</t>
    <phoneticPr fontId="2"/>
  </si>
  <si>
    <t>Gsの算定</t>
    <rPh sb="3" eb="5">
      <t>サンテイ</t>
    </rPh>
    <phoneticPr fontId="2"/>
  </si>
  <si>
    <t>平１２建告第１４５７号第７第二号</t>
    <rPh sb="0" eb="1">
      <t>ヘイ</t>
    </rPh>
    <rPh sb="3" eb="4">
      <t>ケン</t>
    </rPh>
    <rPh sb="4" eb="5">
      <t>コク</t>
    </rPh>
    <rPh sb="5" eb="6">
      <t>ダイ</t>
    </rPh>
    <rPh sb="10" eb="11">
      <t>ゴウ</t>
    </rPh>
    <rPh sb="11" eb="12">
      <t>ダイ</t>
    </rPh>
    <rPh sb="13" eb="14">
      <t>ダイ</t>
    </rPh>
    <rPh sb="14" eb="16">
      <t>ニゴウ</t>
    </rPh>
    <phoneticPr fontId="2"/>
  </si>
  <si>
    <t>T&lt;0.64</t>
    <phoneticPr fontId="2"/>
  </si>
  <si>
    <t>0.64&lt;=T&lt;Tu</t>
    <phoneticPr fontId="2"/>
  </si>
  <si>
    <t>Tu&lt;T</t>
    <phoneticPr fontId="2"/>
  </si>
  <si>
    <t>Tu=0.64*(gv/1.5)</t>
    <phoneticPr fontId="2"/>
  </si>
  <si>
    <t>第2種地盤</t>
    <rPh sb="0" eb="1">
      <t>ダイ</t>
    </rPh>
    <rPh sb="2" eb="3">
      <t>シュ</t>
    </rPh>
    <rPh sb="3" eb="5">
      <t>ジバン</t>
    </rPh>
    <phoneticPr fontId="2"/>
  </si>
  <si>
    <t>第3種地盤</t>
    <rPh sb="0" eb="1">
      <t>ダイ</t>
    </rPh>
    <rPh sb="2" eb="3">
      <t>シュ</t>
    </rPh>
    <rPh sb="3" eb="5">
      <t>ジバン</t>
    </rPh>
    <phoneticPr fontId="2"/>
  </si>
  <si>
    <t>gv=2.025</t>
    <phoneticPr fontId="2"/>
  </si>
  <si>
    <t>gv=2.7</t>
    <phoneticPr fontId="2"/>
  </si>
  <si>
    <t>第1種地盤</t>
    <rPh sb="0" eb="1">
      <t>ダイ</t>
    </rPh>
    <rPh sb="2" eb="3">
      <t>シュ</t>
    </rPh>
    <rPh sb="3" eb="5">
      <t>ジバン</t>
    </rPh>
    <phoneticPr fontId="2"/>
  </si>
  <si>
    <t>T&lt;0.576</t>
    <phoneticPr fontId="2"/>
  </si>
  <si>
    <t>0.576&lt;=T&lt;0.64</t>
    <phoneticPr fontId="2"/>
  </si>
  <si>
    <t>0.64&lt;=T</t>
    <phoneticPr fontId="2"/>
  </si>
  <si>
    <t>Gs=0.864/T</t>
    <phoneticPr fontId="2"/>
  </si>
  <si>
    <t>Gs=1.5</t>
    <phoneticPr fontId="2"/>
  </si>
  <si>
    <t>Gs=1.35</t>
    <phoneticPr fontId="2"/>
  </si>
  <si>
    <t>Gs=1.5*(T/0.64)</t>
    <phoneticPr fontId="2"/>
  </si>
  <si>
    <t>Gs=gv</t>
    <phoneticPr fontId="2"/>
  </si>
  <si>
    <t>平１２建告第１４５７号第７第一号</t>
    <rPh sb="0" eb="1">
      <t>ヘイ</t>
    </rPh>
    <rPh sb="3" eb="4">
      <t>ケン</t>
    </rPh>
    <rPh sb="4" eb="5">
      <t>コク</t>
    </rPh>
    <rPh sb="5" eb="6">
      <t>ダイ</t>
    </rPh>
    <rPh sb="10" eb="11">
      <t>ゴウ</t>
    </rPh>
    <rPh sb="11" eb="12">
      <t>ダイ</t>
    </rPh>
    <rPh sb="13" eb="14">
      <t>ダイ</t>
    </rPh>
    <rPh sb="15" eb="16">
      <t>ゴウ</t>
    </rPh>
    <phoneticPr fontId="2"/>
  </si>
  <si>
    <t>安全限界</t>
    <rPh sb="0" eb="2">
      <t>アンゼン</t>
    </rPh>
    <rPh sb="2" eb="4">
      <t>ゲンカイ</t>
    </rPh>
    <phoneticPr fontId="2"/>
  </si>
  <si>
    <t>Musx</t>
    <phoneticPr fontId="2"/>
  </si>
  <si>
    <t>Musy</t>
    <phoneticPr fontId="2"/>
  </si>
  <si>
    <t>Mudx</t>
    <phoneticPr fontId="2"/>
  </si>
  <si>
    <t>Mudy</t>
    <phoneticPr fontId="2"/>
  </si>
  <si>
    <t>採用</t>
    <rPh sb="0" eb="2">
      <t>サイヨウ</t>
    </rPh>
    <phoneticPr fontId="2"/>
  </si>
  <si>
    <t>Gs</t>
    <phoneticPr fontId="2"/>
  </si>
  <si>
    <t>pdiの算定</t>
    <rPh sb="4" eb="6">
      <t>サンテイ</t>
    </rPh>
    <phoneticPr fontId="2"/>
  </si>
  <si>
    <t>(0.64+6*Td)*m*Bdi*Z*Gs</t>
    <phoneticPr fontId="2"/>
  </si>
  <si>
    <t>1.6*mi*Bdi*Z*Gs</t>
    <phoneticPr fontId="2"/>
  </si>
  <si>
    <t>1.024*mi*Bdi*Z*Gs</t>
    <phoneticPr fontId="2"/>
  </si>
  <si>
    <t>Td&lt;=0.16</t>
    <phoneticPr fontId="2"/>
  </si>
  <si>
    <t>&lt;Td</t>
    <phoneticPr fontId="2"/>
  </si>
  <si>
    <t>Td&lt;=0.64</t>
    <phoneticPr fontId="2"/>
  </si>
  <si>
    <t>Tdx=</t>
    <phoneticPr fontId="2"/>
  </si>
  <si>
    <t>1.024*mi*Bdi*Z*Gs/Td</t>
    <phoneticPr fontId="2"/>
  </si>
  <si>
    <t>alf*Z*Gs</t>
    <phoneticPr fontId="2"/>
  </si>
  <si>
    <t>Tdy=</t>
    <phoneticPr fontId="2"/>
  </si>
  <si>
    <t>階数</t>
    <phoneticPr fontId="2"/>
  </si>
  <si>
    <t>変位δ</t>
    <phoneticPr fontId="2"/>
  </si>
  <si>
    <t>1/338</t>
    <phoneticPr fontId="2"/>
  </si>
  <si>
    <t>1/422</t>
    <phoneticPr fontId="2"/>
  </si>
  <si>
    <t>1/380</t>
    <phoneticPr fontId="2"/>
  </si>
  <si>
    <t>1/345</t>
    <phoneticPr fontId="2"/>
  </si>
  <si>
    <t>1/475</t>
    <phoneticPr fontId="2"/>
  </si>
  <si>
    <t>1/591</t>
    <phoneticPr fontId="2"/>
  </si>
  <si>
    <t>1/390</t>
    <phoneticPr fontId="2"/>
  </si>
  <si>
    <t>1/317</t>
    <phoneticPr fontId="2"/>
  </si>
  <si>
    <t>1/394</t>
    <phoneticPr fontId="2"/>
  </si>
  <si>
    <t>有効質量　Mud=(Σmi*δdi)^2/(Σ(mi*δdi^2)=74537.2/19.48=3826.5t</t>
    <phoneticPr fontId="2"/>
  </si>
  <si>
    <t>代表変位　Δd=(Σmi*δdi^2)/(Σmi*δdi)=19.48/273.02=0.071m</t>
    <phoneticPr fontId="2"/>
  </si>
  <si>
    <t>有効質量　Mud=(Σmi*δdi)^2/(Σ(mi*δdi^2)=100645.6/25.15=3826.5t</t>
    <phoneticPr fontId="2"/>
  </si>
  <si>
    <t>代表変位　Δd=(Σmi*δdi^2)/(Σmi*δdi)=25.15/317.25=0.079m</t>
    <phoneticPr fontId="2"/>
  </si>
  <si>
    <t>Td=2π(Mud・Δd/Qd)^0.5=1.236sec</t>
    <phoneticPr fontId="2"/>
  </si>
  <si>
    <t>Td=2π(Mud・Δd/Qd)^0.5=1.394sec</t>
    <phoneticPr fontId="2"/>
  </si>
  <si>
    <t>1/82</t>
    <phoneticPr fontId="2"/>
  </si>
  <si>
    <t>1/106</t>
    <phoneticPr fontId="2"/>
  </si>
  <si>
    <t>1/76</t>
    <phoneticPr fontId="2"/>
  </si>
  <si>
    <t>1/61</t>
    <phoneticPr fontId="2"/>
  </si>
  <si>
    <t>1/60</t>
    <phoneticPr fontId="2"/>
  </si>
  <si>
    <t>1/66</t>
    <phoneticPr fontId="2"/>
  </si>
  <si>
    <t>1/64</t>
    <phoneticPr fontId="2"/>
  </si>
  <si>
    <t>1/68</t>
    <phoneticPr fontId="2"/>
  </si>
  <si>
    <t>1/81</t>
    <phoneticPr fontId="2"/>
  </si>
  <si>
    <t>1/88</t>
    <phoneticPr fontId="2"/>
  </si>
  <si>
    <t>1/115</t>
    <phoneticPr fontId="2"/>
  </si>
  <si>
    <t>1/133</t>
    <phoneticPr fontId="2"/>
  </si>
  <si>
    <t>1/58</t>
    <phoneticPr fontId="2"/>
  </si>
  <si>
    <t>1/50</t>
    <phoneticPr fontId="2"/>
  </si>
  <si>
    <t>1/54</t>
    <phoneticPr fontId="2"/>
  </si>
  <si>
    <t>1/59</t>
    <phoneticPr fontId="2"/>
  </si>
  <si>
    <t>1/91</t>
    <phoneticPr fontId="2"/>
  </si>
  <si>
    <t>有効質量　Mud=(Σmi*δdi)^2/(Σ(mi*δdi^2)=2320568.0/603.51=3845.1t</t>
    <phoneticPr fontId="2"/>
  </si>
  <si>
    <t>代表変位　Δd=(Σmi*δdi^2)/(Σmi*δdi)=603.51/1523.34=0.396m</t>
    <phoneticPr fontId="2"/>
  </si>
  <si>
    <t>Td=2π(Mud・Δd/Qd)^0.5=1.580sec</t>
    <phoneticPr fontId="2"/>
  </si>
  <si>
    <t>有効質量　Mud=(Σmi*δdi)^2/(Σ(mi*δdi^2)=3383557.3/863.79=3845.1t</t>
    <phoneticPr fontId="2"/>
  </si>
  <si>
    <t>代表変位　Δd=(Σmi*δdi^2)/(Σmi*δdi)=863.79/1839.45=0.470m</t>
    <phoneticPr fontId="2"/>
  </si>
  <si>
    <t>Td=2π(Mud・Δd/Qd)^0.5=2.035sec</t>
    <phoneticPr fontId="2"/>
  </si>
  <si>
    <t>0.09 &lt; T ≦ 0.28</t>
    <phoneticPr fontId="2"/>
  </si>
  <si>
    <t>0.28 &lt; T ≦ 0.41</t>
    <phoneticPr fontId="2"/>
  </si>
  <si>
    <t>18.7T</t>
    <phoneticPr fontId="2"/>
  </si>
  <si>
    <t>4.69T + 1.29</t>
    <phoneticPr fontId="2"/>
  </si>
  <si>
    <t>0.68T + 0.93</t>
    <phoneticPr fontId="2"/>
  </si>
  <si>
    <t xml:space="preserve">     T≦ 0.12</t>
    <phoneticPr fontId="2"/>
  </si>
  <si>
    <t>0.12 &lt; T ≦ 0.37</t>
    <phoneticPr fontId="2"/>
  </si>
  <si>
    <t>0.37 &lt; T ≦ 0.55</t>
    <phoneticPr fontId="2"/>
  </si>
  <si>
    <t xml:space="preserve">0.55 &lt; T        </t>
    <phoneticPr fontId="2"/>
  </si>
  <si>
    <t>8.6T</t>
    <phoneticPr fontId="2"/>
  </si>
  <si>
    <t>4.59T + 0.49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</si>
</sst>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00_ "/>
    <numFmt numFmtId="177" formatCode="0.0_ "/>
    <numFmt numFmtId="178" formatCode="0.0000_ "/>
    <numFmt numFmtId="179" formatCode="0.000"/>
    <numFmt numFmtId="180" formatCode="&quot;1/&quot;#"/>
    <numFmt numFmtId="181" formatCode="0.0000"/>
    <numFmt numFmtId="182" formatCode="0.00000"/>
    <numFmt numFmtId="183" formatCode="0.000000000000000000_ "/>
    <numFmt numFmtId="184" formatCode="#,###"/>
    <numFmt numFmtId="185" formatCode="0.000000_);[Red]\(0.000000\)"/>
    <numFmt numFmtId="186" formatCode="0.00000_ "/>
    <numFmt numFmtId="187" formatCode="0.000000_ "/>
    <numFmt numFmtId="188" formatCode="#,##0_ "/>
    <numFmt numFmtId="189" formatCode="0.0000000_ "/>
    <numFmt numFmtId="190" formatCode="0.0000000"/>
  </numFmts>
  <fonts count="18" x14ac:knownFonts="1">
    <font>
      <sz val="10"/>
      <name val="ＭＳ ゴシック"/>
      <family val="3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10"/>
      <color theme="8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10"/>
      <color rgb="FF00B0F0"/>
      <name val="ＭＳ ゴシック"/>
      <family val="3"/>
      <charset val="128"/>
    </font>
    <font>
      <sz val="10"/>
      <color theme="8" tint="-0.249977111117893"/>
      <name val="ＭＳ ゴシック"/>
      <family val="3"/>
      <charset val="128"/>
    </font>
    <font>
      <sz val="10"/>
      <name val="Meiryo UI"/>
      <family val="3"/>
      <charset val="128"/>
    </font>
    <font>
      <sz val="10"/>
      <color rgb="FF0070C0"/>
      <name val="Meiryo UI"/>
      <family val="3"/>
      <charset val="128"/>
    </font>
    <font>
      <sz val="10"/>
      <color theme="8" tint="-0.249977111117893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游ゴシック"/>
      <family val="3"/>
      <charset val="128"/>
    </font>
    <font>
      <sz val="11"/>
      <color theme="1"/>
      <name val="Meiryo UI"/>
      <family val="3"/>
      <charset val="128"/>
    </font>
    <font>
      <sz val="10"/>
      <color rgb="FF00B0F0"/>
      <name val="Meiryo UI"/>
      <family val="3"/>
      <charset val="128"/>
    </font>
    <font>
      <sz val="10"/>
      <color theme="8"/>
      <name val="Meiryo UI"/>
      <family val="3"/>
      <charset val="128"/>
    </font>
    <font>
      <sz val="10"/>
      <color theme="4"/>
      <name val="Meiryo UI"/>
      <family val="3"/>
      <charset val="128"/>
    </font>
    <font>
      <sz val="10"/>
      <color theme="1"/>
      <name val="Meiryo UI"/>
      <family val="3"/>
      <charset val="128"/>
    </font>
    <font>
      <sz val="1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0" fillId="0" borderId="0">
      <alignment vertical="center"/>
    </xf>
  </cellStyleXfs>
  <cellXfs count="93">
    <xf numFmtId="0" fontId="0" fillId="0" borderId="0" xfId="0">
      <alignment vertical="center"/>
    </xf>
    <xf numFmtId="0" fontId="1" fillId="0" borderId="0" xfId="2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179" fontId="6" fillId="0" borderId="0" xfId="0" applyNumberFormat="1" applyFont="1">
      <alignment vertical="center"/>
    </xf>
    <xf numFmtId="0" fontId="7" fillId="0" borderId="0" xfId="0" applyFont="1">
      <alignment vertical="center"/>
    </xf>
    <xf numFmtId="0" fontId="8" fillId="0" borderId="0" xfId="0" applyFont="1" applyFill="1" applyAlignment="1">
      <alignment horizontal="center" vertical="center"/>
    </xf>
    <xf numFmtId="176" fontId="8" fillId="0" borderId="0" xfId="0" applyNumberFormat="1" applyFont="1" applyFill="1" applyBorder="1" applyAlignment="1">
      <alignment horizontal="right" vertical="center"/>
    </xf>
    <xf numFmtId="177" fontId="9" fillId="0" borderId="0" xfId="0" applyNumberFormat="1" applyFont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0" fontId="8" fillId="0" borderId="0" xfId="0" applyFont="1" applyAlignment="1">
      <alignment horizontal="right" vertical="center"/>
    </xf>
    <xf numFmtId="179" fontId="7" fillId="0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80" fontId="7" fillId="0" borderId="0" xfId="0" applyNumberFormat="1" applyFont="1" applyAlignment="1">
      <alignment horizontal="center" vertical="center"/>
    </xf>
    <xf numFmtId="2" fontId="7" fillId="0" borderId="0" xfId="0" applyNumberFormat="1" applyFont="1">
      <alignment vertical="center"/>
    </xf>
    <xf numFmtId="179" fontId="9" fillId="0" borderId="0" xfId="0" applyNumberFormat="1" applyFont="1" applyFill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9" fontId="9" fillId="0" borderId="0" xfId="0" applyNumberFormat="1" applyFont="1" applyAlignment="1">
      <alignment horizontal="center" vertical="center"/>
    </xf>
    <xf numFmtId="180" fontId="9" fillId="0" borderId="0" xfId="0" applyNumberFormat="1" applyFont="1">
      <alignment vertical="center"/>
    </xf>
    <xf numFmtId="2" fontId="9" fillId="0" borderId="0" xfId="0" applyNumberFormat="1" applyFont="1">
      <alignment vertical="center"/>
    </xf>
    <xf numFmtId="0" fontId="9" fillId="0" borderId="0" xfId="0" applyFont="1" applyFill="1" applyAlignment="1">
      <alignment horizontal="center" vertical="center"/>
    </xf>
    <xf numFmtId="0" fontId="6" fillId="0" borderId="0" xfId="2" applyFont="1" applyFill="1">
      <alignment vertical="center"/>
    </xf>
    <xf numFmtId="0" fontId="10" fillId="0" borderId="0" xfId="3">
      <alignment vertical="center"/>
    </xf>
    <xf numFmtId="0" fontId="10" fillId="0" borderId="0" xfId="3" applyAlignment="1">
      <alignment horizontal="right" vertical="center"/>
    </xf>
    <xf numFmtId="0" fontId="10" fillId="0" borderId="0" xfId="3" applyAlignment="1">
      <alignment horizontal="left" vertical="center"/>
    </xf>
    <xf numFmtId="182" fontId="10" fillId="0" borderId="0" xfId="3" applyNumberFormat="1">
      <alignment vertical="center"/>
    </xf>
    <xf numFmtId="179" fontId="10" fillId="0" borderId="0" xfId="3" applyNumberFormat="1">
      <alignment vertical="center"/>
    </xf>
    <xf numFmtId="183" fontId="10" fillId="0" borderId="0" xfId="3" applyNumberFormat="1">
      <alignment vertical="center"/>
    </xf>
    <xf numFmtId="176" fontId="10" fillId="0" borderId="0" xfId="3" applyNumberFormat="1">
      <alignment vertical="center"/>
    </xf>
    <xf numFmtId="0" fontId="0" fillId="0" borderId="0" xfId="0" applyNumberForma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184" fontId="7" fillId="0" borderId="0" xfId="0" applyNumberFormat="1" applyFont="1">
      <alignment vertical="center"/>
    </xf>
    <xf numFmtId="0" fontId="12" fillId="0" borderId="0" xfId="3" applyFont="1">
      <alignment vertical="center"/>
    </xf>
    <xf numFmtId="0" fontId="7" fillId="0" borderId="0" xfId="0" applyNumberFormat="1" applyFo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9" fillId="0" borderId="0" xfId="2" applyFont="1" applyFill="1">
      <alignment vertical="center"/>
    </xf>
    <xf numFmtId="0" fontId="15" fillId="0" borderId="0" xfId="0" applyFont="1" applyAlignment="1">
      <alignment horizontal="right" vertical="center"/>
    </xf>
    <xf numFmtId="0" fontId="15" fillId="0" borderId="0" xfId="0" applyFont="1" applyFill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3" fillId="0" borderId="0" xfId="0" applyFont="1" applyAlignment="1">
      <alignment horizontal="right" vertical="center"/>
    </xf>
    <xf numFmtId="38" fontId="7" fillId="0" borderId="0" xfId="1" applyFont="1">
      <alignment vertical="center"/>
    </xf>
    <xf numFmtId="1" fontId="7" fillId="0" borderId="0" xfId="0" applyNumberFormat="1" applyFont="1">
      <alignment vertical="center"/>
    </xf>
    <xf numFmtId="5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10" fillId="0" borderId="0" xfId="3" applyFill="1">
      <alignment vertical="center"/>
    </xf>
    <xf numFmtId="0" fontId="10" fillId="0" borderId="0" xfId="3" applyAlignment="1">
      <alignment horizontal="center" vertical="center"/>
    </xf>
    <xf numFmtId="185" fontId="0" fillId="0" borderId="0" xfId="0" applyNumberFormat="1">
      <alignment vertical="center"/>
    </xf>
    <xf numFmtId="0" fontId="8" fillId="0" borderId="0" xfId="0" applyFont="1" applyFill="1" applyAlignment="1">
      <alignment horizontal="left" vertical="center"/>
    </xf>
    <xf numFmtId="188" fontId="7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16" fillId="0" borderId="0" xfId="3" applyFont="1">
      <alignment vertical="center"/>
    </xf>
    <xf numFmtId="189" fontId="0" fillId="0" borderId="0" xfId="0" applyNumberFormat="1">
      <alignment vertical="center"/>
    </xf>
    <xf numFmtId="190" fontId="0" fillId="0" borderId="0" xfId="0" applyNumberFormat="1">
      <alignment vertical="center"/>
    </xf>
    <xf numFmtId="182" fontId="7" fillId="0" borderId="0" xfId="0" applyNumberFormat="1" applyFont="1">
      <alignment vertical="center"/>
    </xf>
    <xf numFmtId="182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81" fontId="7" fillId="0" borderId="0" xfId="0" applyNumberFormat="1" applyFont="1" applyAlignment="1">
      <alignment horizontal="center" vertical="center"/>
    </xf>
    <xf numFmtId="18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87" fontId="7" fillId="0" borderId="0" xfId="0" applyNumberFormat="1" applyFont="1">
      <alignment vertical="center"/>
    </xf>
    <xf numFmtId="0" fontId="16" fillId="0" borderId="0" xfId="3" applyFont="1" applyAlignment="1">
      <alignment horizontal="center" vertical="center"/>
    </xf>
    <xf numFmtId="179" fontId="16" fillId="0" borderId="0" xfId="3" applyNumberFormat="1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79" fontId="16" fillId="0" borderId="0" xfId="3" applyNumberFormat="1" applyFont="1">
      <alignment vertical="center"/>
    </xf>
    <xf numFmtId="2" fontId="7" fillId="0" borderId="0" xfId="0" applyNumberFormat="1" applyFont="1" applyAlignment="1">
      <alignment horizontal="center" vertical="center"/>
    </xf>
    <xf numFmtId="0" fontId="16" fillId="0" borderId="0" xfId="3" applyFont="1" applyAlignment="1">
      <alignment horizontal="right" vertical="center"/>
    </xf>
    <xf numFmtId="179" fontId="16" fillId="0" borderId="0" xfId="3" applyNumberFormat="1" applyFont="1" applyAlignment="1">
      <alignment horizontal="left" vertical="center"/>
    </xf>
    <xf numFmtId="0" fontId="16" fillId="0" borderId="1" xfId="3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49" fontId="7" fillId="0" borderId="0" xfId="0" applyNumberFormat="1" applyFont="1">
      <alignment vertical="center"/>
    </xf>
    <xf numFmtId="179" fontId="16" fillId="0" borderId="1" xfId="3" applyNumberFormat="1" applyFont="1" applyBorder="1" applyAlignment="1">
      <alignment horizontal="center" vertical="center"/>
    </xf>
    <xf numFmtId="2" fontId="16" fillId="0" borderId="1" xfId="3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2" fillId="0" borderId="0" xfId="3" applyFont="1" applyAlignment="1">
      <alignment horizontal="center" vertical="center"/>
    </xf>
    <xf numFmtId="0" fontId="12" fillId="0" borderId="0" xfId="3" applyFont="1" applyFill="1">
      <alignment vertical="center"/>
    </xf>
    <xf numFmtId="0" fontId="17" fillId="0" borderId="0" xfId="0" applyFont="1">
      <alignment vertical="center"/>
    </xf>
    <xf numFmtId="0" fontId="7" fillId="0" borderId="1" xfId="0" applyFont="1" applyBorder="1" applyAlignment="1">
      <alignment horizontal="right" vertical="center"/>
    </xf>
  </cellXfs>
  <cellStyles count="4">
    <cellStyle name="桁区切り" xfId="1" builtinId="6"/>
    <cellStyle name="標準" xfId="0" builtinId="0"/>
    <cellStyle name="標準 2" xfId="2" xr:uid="{50D55138-5732-443B-AEA4-896256C8F0C4}"/>
    <cellStyle name="標準 3" xfId="3" xr:uid="{D22697D1-F917-4655-9988-851CAAC1CF7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2</xdr:row>
          <xdr:rowOff>85725</xdr:rowOff>
        </xdr:from>
        <xdr:to>
          <xdr:col>8</xdr:col>
          <xdr:colOff>400050</xdr:colOff>
          <xdr:row>4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</xdr:row>
          <xdr:rowOff>38100</xdr:rowOff>
        </xdr:from>
        <xdr:to>
          <xdr:col>11</xdr:col>
          <xdr:colOff>295275</xdr:colOff>
          <xdr:row>4</xdr:row>
          <xdr:rowOff>95250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161925</xdr:rowOff>
        </xdr:from>
        <xdr:to>
          <xdr:col>5</xdr:col>
          <xdr:colOff>390525</xdr:colOff>
          <xdr:row>3</xdr:row>
          <xdr:rowOff>76200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9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sprctrum &amp; 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38100</xdr:rowOff>
        </xdr:from>
        <xdr:to>
          <xdr:col>0</xdr:col>
          <xdr:colOff>609600</xdr:colOff>
          <xdr:row>5</xdr:row>
          <xdr:rowOff>28575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0</xdr:rowOff>
        </xdr:from>
        <xdr:to>
          <xdr:col>0</xdr:col>
          <xdr:colOff>628650</xdr:colOff>
          <xdr:row>10</xdr:row>
          <xdr:rowOff>142875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B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jocobi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</xdr:row>
          <xdr:rowOff>19050</xdr:rowOff>
        </xdr:from>
        <xdr:to>
          <xdr:col>3</xdr:col>
          <xdr:colOff>47625</xdr:colOff>
          <xdr:row>2</xdr:row>
          <xdr:rowOff>114300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16</xdr:row>
          <xdr:rowOff>66675</xdr:rowOff>
        </xdr:from>
        <xdr:to>
          <xdr:col>0</xdr:col>
          <xdr:colOff>600075</xdr:colOff>
          <xdr:row>18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6</xdr:row>
          <xdr:rowOff>9525</xdr:rowOff>
        </xdr:from>
        <xdr:to>
          <xdr:col>0</xdr:col>
          <xdr:colOff>628650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38100</xdr:rowOff>
        </xdr:from>
        <xdr:to>
          <xdr:col>0</xdr:col>
          <xdr:colOff>609600</xdr:colOff>
          <xdr:row>5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1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0</xdr:rowOff>
        </xdr:from>
        <xdr:to>
          <xdr:col>0</xdr:col>
          <xdr:colOff>628650</xdr:colOff>
          <xdr:row>10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jocobi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903E9-A602-4034-968E-B175578917C3}">
  <sheetPr codeName="Sheet13"/>
  <dimension ref="A1:Z35"/>
  <sheetViews>
    <sheetView workbookViewId="0">
      <selection activeCell="E17" sqref="E17"/>
    </sheetView>
  </sheetViews>
  <sheetFormatPr defaultRowHeight="12" x14ac:dyDescent="0.15"/>
  <cols>
    <col min="15" max="15" width="14.140625" bestFit="1" customWidth="1"/>
  </cols>
  <sheetData>
    <row r="1" spans="1:26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43.699996948242188</v>
      </c>
      <c r="W1">
        <v>23</v>
      </c>
      <c r="X1">
        <v>24</v>
      </c>
      <c r="Y1">
        <v>25</v>
      </c>
      <c r="Z1">
        <v>26</v>
      </c>
    </row>
    <row r="2" spans="1:26" x14ac:dyDescent="0.15">
      <c r="B2" s="4"/>
      <c r="C2" s="6" t="s">
        <v>123</v>
      </c>
      <c r="D2" s="5">
        <v>11</v>
      </c>
      <c r="E2" s="5"/>
      <c r="F2" s="5"/>
    </row>
    <row r="3" spans="1:26" x14ac:dyDescent="0.15">
      <c r="B3" s="4"/>
      <c r="C3" s="6" t="s">
        <v>124</v>
      </c>
      <c r="D3" s="5">
        <v>1</v>
      </c>
      <c r="E3" s="5"/>
      <c r="F3" s="6" t="s">
        <v>8</v>
      </c>
      <c r="G3" s="4"/>
    </row>
    <row r="4" spans="1:26" x14ac:dyDescent="0.15">
      <c r="B4" s="4"/>
      <c r="C4" s="6" t="s">
        <v>12</v>
      </c>
      <c r="D4" s="5">
        <v>0.2</v>
      </c>
      <c r="E4" s="5"/>
      <c r="F4" s="7"/>
    </row>
    <row r="5" spans="1:26" x14ac:dyDescent="0.15">
      <c r="B5" s="4"/>
      <c r="C5" s="6" t="s">
        <v>13</v>
      </c>
      <c r="D5" s="5">
        <v>0.6</v>
      </c>
      <c r="E5" s="5"/>
      <c r="F5" s="7"/>
      <c r="P5">
        <v>251</v>
      </c>
      <c r="Q5">
        <v>3.37</v>
      </c>
      <c r="R5">
        <f>P5*Q5</f>
        <v>845.87</v>
      </c>
    </row>
    <row r="6" spans="1:26" x14ac:dyDescent="0.15">
      <c r="B6" s="4"/>
      <c r="C6" s="6" t="s">
        <v>14</v>
      </c>
      <c r="D6">
        <v>1.3200000524520874</v>
      </c>
      <c r="F6" s="6"/>
      <c r="G6">
        <v>44</v>
      </c>
    </row>
    <row r="7" spans="1:26" x14ac:dyDescent="0.15">
      <c r="B7" s="4"/>
      <c r="C7" s="6" t="s">
        <v>15</v>
      </c>
      <c r="D7">
        <v>0.72727272727272729</v>
      </c>
      <c r="F7" s="6"/>
      <c r="G7">
        <v>7274.7517045454551</v>
      </c>
      <c r="M7" t="s">
        <v>5</v>
      </c>
      <c r="N7" s="8" t="s">
        <v>149</v>
      </c>
      <c r="O7" s="8" t="s">
        <v>150</v>
      </c>
    </row>
    <row r="8" spans="1:26" x14ac:dyDescent="0.15">
      <c r="F8" s="6"/>
    </row>
    <row r="9" spans="1:26" x14ac:dyDescent="0.15">
      <c r="A9" s="7">
        <v>1</v>
      </c>
      <c r="B9" s="7">
        <v>2</v>
      </c>
      <c r="C9" s="7">
        <v>3</v>
      </c>
      <c r="D9" s="7">
        <v>4</v>
      </c>
      <c r="E9" s="7">
        <v>5</v>
      </c>
      <c r="F9" s="7">
        <v>6</v>
      </c>
      <c r="G9" s="7">
        <v>7</v>
      </c>
      <c r="H9" s="7">
        <v>8</v>
      </c>
      <c r="I9" s="7">
        <v>9</v>
      </c>
      <c r="J9" s="7">
        <v>10</v>
      </c>
      <c r="K9" s="7">
        <v>11</v>
      </c>
      <c r="L9" s="7">
        <v>12</v>
      </c>
      <c r="M9" s="7">
        <v>13</v>
      </c>
      <c r="N9" s="7">
        <v>14</v>
      </c>
      <c r="O9" s="7">
        <v>15</v>
      </c>
      <c r="P9" s="7">
        <v>16</v>
      </c>
      <c r="Q9" s="7">
        <v>17</v>
      </c>
      <c r="R9" s="7">
        <v>18</v>
      </c>
      <c r="S9" s="7">
        <v>19</v>
      </c>
      <c r="T9" s="7">
        <v>20</v>
      </c>
    </row>
    <row r="10" spans="1:26" x14ac:dyDescent="0.15">
      <c r="A10" s="7"/>
      <c r="B10" s="7"/>
      <c r="C10" s="8" t="s">
        <v>9</v>
      </c>
      <c r="D10" s="8" t="s">
        <v>10</v>
      </c>
      <c r="F10" s="8" t="s">
        <v>22</v>
      </c>
      <c r="G10" s="8" t="s">
        <v>152</v>
      </c>
      <c r="H10" s="8" t="s">
        <v>23</v>
      </c>
      <c r="I10" s="8" t="s">
        <v>153</v>
      </c>
      <c r="J10" s="9" t="s">
        <v>151</v>
      </c>
      <c r="K10" s="9" t="s">
        <v>26</v>
      </c>
      <c r="L10" s="8" t="s">
        <v>23</v>
      </c>
      <c r="N10" s="7"/>
      <c r="Q10" s="8" t="s">
        <v>11</v>
      </c>
      <c r="R10" s="7"/>
    </row>
    <row r="11" spans="1:26" ht="14.25" x14ac:dyDescent="0.15">
      <c r="B11">
        <v>11</v>
      </c>
      <c r="C11">
        <v>5.07</v>
      </c>
      <c r="D11">
        <v>2510</v>
      </c>
      <c r="F11">
        <v>0.109</v>
      </c>
      <c r="G11">
        <v>1171</v>
      </c>
      <c r="H11">
        <v>0.11700000000000001</v>
      </c>
      <c r="I11">
        <v>1070</v>
      </c>
      <c r="Q11" s="44">
        <v>1175</v>
      </c>
      <c r="R11" s="7"/>
      <c r="T11">
        <v>1.4999999999999999E-2</v>
      </c>
      <c r="U11">
        <v>1.2999999999999999E-2</v>
      </c>
      <c r="V11" s="33">
        <v>251</v>
      </c>
      <c r="W11" s="33">
        <v>0.109</v>
      </c>
      <c r="X11">
        <f>+W11-W12</f>
        <v>1.4999999999999999E-2</v>
      </c>
      <c r="Y11" s="33">
        <v>0.11700000000000001</v>
      </c>
      <c r="Z11">
        <f>+Y11-Y12</f>
        <v>1.3000000000000012E-2</v>
      </c>
    </row>
    <row r="12" spans="1:26" ht="14.25" x14ac:dyDescent="0.15">
      <c r="B12">
        <v>10</v>
      </c>
      <c r="C12">
        <v>3.8</v>
      </c>
      <c r="D12">
        <v>6400</v>
      </c>
      <c r="F12">
        <v>9.4E-2</v>
      </c>
      <c r="G12">
        <v>2688</v>
      </c>
      <c r="H12">
        <v>0.104</v>
      </c>
      <c r="I12">
        <v>2453</v>
      </c>
      <c r="Q12" s="11">
        <v>2696</v>
      </c>
      <c r="R12" s="7"/>
      <c r="T12">
        <v>8.9999999999999993E-3</v>
      </c>
      <c r="U12">
        <v>8.9999999999999993E-3</v>
      </c>
      <c r="V12" s="33">
        <v>640</v>
      </c>
      <c r="W12" s="33">
        <v>9.4E-2</v>
      </c>
      <c r="X12">
        <f t="shared" ref="X12:X21" si="0">+W12-W13</f>
        <v>8.9999999999999941E-3</v>
      </c>
      <c r="Y12" s="33">
        <v>0.104</v>
      </c>
      <c r="Z12">
        <f t="shared" ref="Z12:Z21" si="1">+Y12-Y13</f>
        <v>8.9999999999999941E-3</v>
      </c>
    </row>
    <row r="13" spans="1:26" ht="14.25" x14ac:dyDescent="0.15">
      <c r="B13">
        <v>9</v>
      </c>
      <c r="C13">
        <v>3.8</v>
      </c>
      <c r="D13">
        <v>4540</v>
      </c>
      <c r="F13">
        <v>8.5000000000000006E-2</v>
      </c>
      <c r="G13">
        <v>3528</v>
      </c>
      <c r="H13">
        <v>9.5000000000000001E-2</v>
      </c>
      <c r="I13">
        <v>3222</v>
      </c>
      <c r="Q13" s="11">
        <v>3539</v>
      </c>
      <c r="R13" s="7"/>
      <c r="T13">
        <v>0.01</v>
      </c>
      <c r="U13">
        <v>1.0999999999999999E-2</v>
      </c>
      <c r="V13" s="33">
        <v>454</v>
      </c>
      <c r="W13" s="33">
        <v>8.5000000000000006E-2</v>
      </c>
      <c r="X13">
        <f t="shared" si="0"/>
        <v>1.0000000000000009E-2</v>
      </c>
      <c r="Y13" s="33">
        <v>9.5000000000000001E-2</v>
      </c>
      <c r="Z13">
        <f t="shared" si="1"/>
        <v>1.0999999999999996E-2</v>
      </c>
    </row>
    <row r="14" spans="1:26" ht="14.25" x14ac:dyDescent="0.15">
      <c r="B14">
        <v>8</v>
      </c>
      <c r="C14">
        <v>3.8</v>
      </c>
      <c r="D14">
        <v>4550</v>
      </c>
      <c r="F14">
        <v>7.4999999999999997E-2</v>
      </c>
      <c r="G14">
        <v>4254</v>
      </c>
      <c r="H14">
        <v>8.4000000000000005E-2</v>
      </c>
      <c r="I14">
        <v>3884</v>
      </c>
      <c r="Q14" s="11">
        <v>4267</v>
      </c>
      <c r="R14" s="7"/>
      <c r="T14">
        <v>1.0999999999999999E-2</v>
      </c>
      <c r="U14">
        <v>1.2E-2</v>
      </c>
      <c r="V14" s="33">
        <v>455</v>
      </c>
      <c r="W14" s="33">
        <v>7.4999999999999997E-2</v>
      </c>
      <c r="X14">
        <f t="shared" si="0"/>
        <v>1.0999999999999996E-2</v>
      </c>
      <c r="Y14" s="33">
        <v>8.4000000000000005E-2</v>
      </c>
      <c r="Z14">
        <f t="shared" si="1"/>
        <v>1.2000000000000011E-2</v>
      </c>
    </row>
    <row r="15" spans="1:26" ht="14.25" x14ac:dyDescent="0.15">
      <c r="B15">
        <v>7</v>
      </c>
      <c r="C15">
        <v>3.8</v>
      </c>
      <c r="D15">
        <v>4600</v>
      </c>
      <c r="F15">
        <v>6.4000000000000001E-2</v>
      </c>
      <c r="G15">
        <v>4890</v>
      </c>
      <c r="H15">
        <v>7.1999999999999995E-2</v>
      </c>
      <c r="I15">
        <v>4465</v>
      </c>
      <c r="Q15" s="11">
        <v>4905</v>
      </c>
      <c r="R15" s="7"/>
      <c r="T15">
        <v>1.0999999999999999E-2</v>
      </c>
      <c r="U15">
        <v>1.0999999999999999E-2</v>
      </c>
      <c r="V15" s="33">
        <v>460</v>
      </c>
      <c r="W15" s="33">
        <v>6.4000000000000001E-2</v>
      </c>
      <c r="X15">
        <f t="shared" si="0"/>
        <v>1.1000000000000003E-2</v>
      </c>
      <c r="Y15" s="33">
        <v>7.1999999999999995E-2</v>
      </c>
      <c r="Z15">
        <f t="shared" si="1"/>
        <v>1.0999999999999996E-2</v>
      </c>
    </row>
    <row r="16" spans="1:26" ht="14.25" x14ac:dyDescent="0.15">
      <c r="B16">
        <v>6</v>
      </c>
      <c r="C16">
        <v>3.8</v>
      </c>
      <c r="D16">
        <v>4670</v>
      </c>
      <c r="F16">
        <v>5.2999999999999999E-2</v>
      </c>
      <c r="G16">
        <v>5445</v>
      </c>
      <c r="H16">
        <v>6.0999999999999999E-2</v>
      </c>
      <c r="I16">
        <v>4972</v>
      </c>
      <c r="Q16" s="11">
        <v>5463</v>
      </c>
      <c r="R16" s="7"/>
      <c r="T16">
        <v>8.9999999999999993E-3</v>
      </c>
      <c r="U16">
        <v>0.01</v>
      </c>
      <c r="V16" s="33">
        <v>467</v>
      </c>
      <c r="W16" s="33">
        <v>5.2999999999999999E-2</v>
      </c>
      <c r="X16">
        <f t="shared" si="0"/>
        <v>9.0000000000000011E-3</v>
      </c>
      <c r="Y16" s="33">
        <v>6.0999999999999999E-2</v>
      </c>
      <c r="Z16">
        <f t="shared" si="1"/>
        <v>1.0000000000000002E-2</v>
      </c>
    </row>
    <row r="17" spans="2:26" ht="14.25" x14ac:dyDescent="0.15">
      <c r="B17">
        <v>5</v>
      </c>
      <c r="C17">
        <v>3.8</v>
      </c>
      <c r="D17">
        <v>4690</v>
      </c>
      <c r="F17">
        <v>4.3999999999999997E-2</v>
      </c>
      <c r="G17">
        <v>5920</v>
      </c>
      <c r="H17">
        <v>5.0999999999999997E-2</v>
      </c>
      <c r="I17">
        <v>5405</v>
      </c>
      <c r="Q17" s="46">
        <v>5940</v>
      </c>
      <c r="R17" s="7"/>
      <c r="T17">
        <v>0.01</v>
      </c>
      <c r="U17">
        <v>8.9999999999999993E-3</v>
      </c>
      <c r="V17" s="33">
        <v>469</v>
      </c>
      <c r="W17" s="33">
        <v>4.3999999999999997E-2</v>
      </c>
      <c r="X17">
        <f t="shared" si="0"/>
        <v>9.999999999999995E-3</v>
      </c>
      <c r="Y17" s="33">
        <v>5.0999999999999997E-2</v>
      </c>
      <c r="Z17">
        <f t="shared" si="1"/>
        <v>8.9999999999999941E-3</v>
      </c>
    </row>
    <row r="18" spans="2:26" ht="14.25" x14ac:dyDescent="0.15">
      <c r="B18">
        <v>4</v>
      </c>
      <c r="C18">
        <v>3.8</v>
      </c>
      <c r="D18">
        <v>4710</v>
      </c>
      <c r="F18">
        <v>3.4000000000000002E-2</v>
      </c>
      <c r="G18">
        <v>6316</v>
      </c>
      <c r="H18">
        <v>4.2000000000000003E-2</v>
      </c>
      <c r="I18">
        <v>5767</v>
      </c>
      <c r="Q18" s="11">
        <v>6338</v>
      </c>
      <c r="R18" s="10"/>
      <c r="T18">
        <v>8.9999999999999993E-3</v>
      </c>
      <c r="U18">
        <v>0.01</v>
      </c>
      <c r="V18" s="33">
        <v>471</v>
      </c>
      <c r="W18" s="33">
        <v>3.4000000000000002E-2</v>
      </c>
      <c r="X18">
        <f t="shared" si="0"/>
        <v>9.0000000000000011E-3</v>
      </c>
      <c r="Y18" s="33">
        <v>4.2000000000000003E-2</v>
      </c>
      <c r="Z18">
        <f>+Y18-Y19</f>
        <v>1.0000000000000002E-2</v>
      </c>
    </row>
    <row r="19" spans="2:26" ht="14.25" x14ac:dyDescent="0.15">
      <c r="B19">
        <v>3</v>
      </c>
      <c r="C19">
        <v>3.8</v>
      </c>
      <c r="D19">
        <v>4750</v>
      </c>
      <c r="F19">
        <v>2.5000000000000001E-2</v>
      </c>
      <c r="G19">
        <v>6638</v>
      </c>
      <c r="H19">
        <v>3.2000000000000001E-2</v>
      </c>
      <c r="I19">
        <v>6061</v>
      </c>
      <c r="Q19" s="11">
        <v>6662</v>
      </c>
      <c r="T19">
        <v>8.9999999999999993E-3</v>
      </c>
      <c r="U19">
        <v>0.01</v>
      </c>
      <c r="V19" s="33">
        <v>475</v>
      </c>
      <c r="W19" s="33">
        <v>2.5000000000000001E-2</v>
      </c>
      <c r="X19">
        <f t="shared" si="0"/>
        <v>9.0000000000000011E-3</v>
      </c>
      <c r="Y19" s="33">
        <v>3.2000000000000001E-2</v>
      </c>
      <c r="Z19">
        <f>+Y19-Y20</f>
        <v>1.0000000000000002E-2</v>
      </c>
    </row>
    <row r="20" spans="2:26" ht="14.25" x14ac:dyDescent="0.15">
      <c r="B20">
        <v>2</v>
      </c>
      <c r="C20">
        <v>3.8</v>
      </c>
      <c r="D20">
        <v>4770</v>
      </c>
      <c r="F20">
        <v>1.6E-2</v>
      </c>
      <c r="G20">
        <v>6885</v>
      </c>
      <c r="H20">
        <v>2.1999999999999999E-2</v>
      </c>
      <c r="I20">
        <v>6287</v>
      </c>
      <c r="Q20" s="11">
        <v>6909</v>
      </c>
      <c r="T20">
        <v>8.0000000000000002E-3</v>
      </c>
      <c r="U20">
        <v>0.01</v>
      </c>
      <c r="V20" s="33">
        <v>477</v>
      </c>
      <c r="W20" s="33">
        <v>1.6E-2</v>
      </c>
      <c r="X20">
        <f t="shared" si="0"/>
        <v>8.0000000000000002E-3</v>
      </c>
      <c r="Y20" s="33">
        <v>2.1999999999999999E-2</v>
      </c>
      <c r="Z20">
        <f t="shared" si="1"/>
        <v>9.9999999999999985E-3</v>
      </c>
    </row>
    <row r="21" spans="2:26" ht="14.25" x14ac:dyDescent="0.15">
      <c r="B21">
        <v>1</v>
      </c>
      <c r="C21">
        <v>4.7300000000000004</v>
      </c>
      <c r="D21">
        <v>4810</v>
      </c>
      <c r="F21">
        <v>8.0000000000000002E-3</v>
      </c>
      <c r="G21">
        <v>7057</v>
      </c>
      <c r="H21">
        <v>1.2E-2</v>
      </c>
      <c r="I21">
        <v>6444</v>
      </c>
      <c r="Q21" s="11">
        <v>7082</v>
      </c>
      <c r="T21">
        <v>8.0000000000000002E-3</v>
      </c>
      <c r="U21">
        <v>1.2E-2</v>
      </c>
      <c r="V21" s="33">
        <v>481</v>
      </c>
      <c r="W21" s="33">
        <v>8.0000000000000002E-3</v>
      </c>
      <c r="X21">
        <f t="shared" si="0"/>
        <v>8.0000000000000002E-3</v>
      </c>
      <c r="Y21" s="33">
        <v>1.2E-2</v>
      </c>
      <c r="Z21">
        <f t="shared" si="1"/>
        <v>1.2E-2</v>
      </c>
    </row>
    <row r="22" spans="2:26" x14ac:dyDescent="0.15">
      <c r="O22" s="41"/>
    </row>
    <row r="24" spans="2:26" x14ac:dyDescent="0.15">
      <c r="O24" s="7"/>
    </row>
    <row r="25" spans="2:26" x14ac:dyDescent="0.15">
      <c r="O25">
        <f>H25-M25</f>
        <v>0</v>
      </c>
      <c r="Q25">
        <f>M25*E25</f>
        <v>0</v>
      </c>
      <c r="R25">
        <v>0.14099999999999999</v>
      </c>
      <c r="S25">
        <f>+Q25*R25</f>
        <v>0</v>
      </c>
      <c r="T25">
        <f>+S25</f>
        <v>0</v>
      </c>
      <c r="U25">
        <v>0.129</v>
      </c>
      <c r="V25">
        <f>Q25*U25</f>
        <v>0</v>
      </c>
      <c r="W25">
        <f>+V25</f>
        <v>0</v>
      </c>
    </row>
    <row r="26" spans="2:26" x14ac:dyDescent="0.15">
      <c r="O26">
        <f t="shared" ref="O26:O35" si="2">H26-M26</f>
        <v>0</v>
      </c>
      <c r="Q26">
        <f t="shared" ref="Q26:Q35" si="3">M26*E26</f>
        <v>0</v>
      </c>
      <c r="R26">
        <v>0.14099999999999999</v>
      </c>
      <c r="S26">
        <f t="shared" ref="S26:S35" si="4">+Q26*R26</f>
        <v>0</v>
      </c>
      <c r="T26">
        <f>+S26+T25</f>
        <v>0</v>
      </c>
      <c r="U26">
        <v>0.129</v>
      </c>
      <c r="V26">
        <f t="shared" ref="V26:V35" si="5">Q26*U26</f>
        <v>0</v>
      </c>
      <c r="W26">
        <f>+V26+W25</f>
        <v>0</v>
      </c>
    </row>
    <row r="27" spans="2:26" x14ac:dyDescent="0.15">
      <c r="O27">
        <f t="shared" si="2"/>
        <v>0</v>
      </c>
      <c r="Q27">
        <f t="shared" si="3"/>
        <v>0</v>
      </c>
      <c r="R27">
        <v>0.14099999999999999</v>
      </c>
      <c r="S27">
        <f t="shared" si="4"/>
        <v>0</v>
      </c>
      <c r="T27">
        <f t="shared" ref="T27:T35" si="6">+S27+T26</f>
        <v>0</v>
      </c>
      <c r="U27">
        <v>0.129</v>
      </c>
      <c r="V27">
        <f t="shared" si="5"/>
        <v>0</v>
      </c>
      <c r="W27">
        <f t="shared" ref="W27:W35" si="7">+V27+W26</f>
        <v>0</v>
      </c>
    </row>
    <row r="28" spans="2:26" x14ac:dyDescent="0.15">
      <c r="O28">
        <f t="shared" si="2"/>
        <v>0</v>
      </c>
      <c r="Q28">
        <f t="shared" si="3"/>
        <v>0</v>
      </c>
      <c r="R28">
        <v>0.14099999999999999</v>
      </c>
      <c r="S28">
        <f t="shared" si="4"/>
        <v>0</v>
      </c>
      <c r="T28">
        <f t="shared" si="6"/>
        <v>0</v>
      </c>
      <c r="U28">
        <v>0.129</v>
      </c>
      <c r="V28">
        <f t="shared" si="5"/>
        <v>0</v>
      </c>
      <c r="W28">
        <f t="shared" si="7"/>
        <v>0</v>
      </c>
    </row>
    <row r="29" spans="2:26" x14ac:dyDescent="0.15">
      <c r="O29">
        <f t="shared" si="2"/>
        <v>0</v>
      </c>
      <c r="Q29">
        <f t="shared" si="3"/>
        <v>0</v>
      </c>
      <c r="R29">
        <v>0.14099999999999999</v>
      </c>
      <c r="S29">
        <f t="shared" si="4"/>
        <v>0</v>
      </c>
      <c r="T29">
        <f t="shared" si="6"/>
        <v>0</v>
      </c>
      <c r="U29">
        <v>0.129</v>
      </c>
      <c r="V29">
        <f t="shared" si="5"/>
        <v>0</v>
      </c>
      <c r="W29">
        <f t="shared" si="7"/>
        <v>0</v>
      </c>
    </row>
    <row r="30" spans="2:26" x14ac:dyDescent="0.15">
      <c r="O30">
        <f t="shared" si="2"/>
        <v>0</v>
      </c>
      <c r="Q30">
        <f t="shared" si="3"/>
        <v>0</v>
      </c>
      <c r="R30">
        <v>0.14099999999999999</v>
      </c>
      <c r="S30">
        <f t="shared" si="4"/>
        <v>0</v>
      </c>
      <c r="T30">
        <f t="shared" si="6"/>
        <v>0</v>
      </c>
      <c r="U30">
        <v>0.129</v>
      </c>
      <c r="V30">
        <f t="shared" si="5"/>
        <v>0</v>
      </c>
      <c r="W30">
        <f t="shared" si="7"/>
        <v>0</v>
      </c>
    </row>
    <row r="31" spans="2:26" x14ac:dyDescent="0.15">
      <c r="O31">
        <f t="shared" si="2"/>
        <v>0</v>
      </c>
      <c r="Q31">
        <f t="shared" si="3"/>
        <v>0</v>
      </c>
      <c r="R31">
        <v>0.14099999999999999</v>
      </c>
      <c r="S31">
        <f t="shared" si="4"/>
        <v>0</v>
      </c>
      <c r="T31">
        <f t="shared" si="6"/>
        <v>0</v>
      </c>
      <c r="U31">
        <v>0.129</v>
      </c>
      <c r="V31">
        <f t="shared" si="5"/>
        <v>0</v>
      </c>
      <c r="W31">
        <f t="shared" si="7"/>
        <v>0</v>
      </c>
    </row>
    <row r="32" spans="2:26" x14ac:dyDescent="0.15">
      <c r="O32">
        <f t="shared" si="2"/>
        <v>0</v>
      </c>
      <c r="Q32">
        <f t="shared" si="3"/>
        <v>0</v>
      </c>
      <c r="R32">
        <v>0.14099999999999999</v>
      </c>
      <c r="S32">
        <f t="shared" si="4"/>
        <v>0</v>
      </c>
      <c r="T32">
        <f t="shared" si="6"/>
        <v>0</v>
      </c>
      <c r="U32">
        <v>0.129</v>
      </c>
      <c r="V32">
        <f t="shared" si="5"/>
        <v>0</v>
      </c>
      <c r="W32">
        <f t="shared" si="7"/>
        <v>0</v>
      </c>
    </row>
    <row r="33" spans="15:23" x14ac:dyDescent="0.15">
      <c r="O33">
        <f t="shared" si="2"/>
        <v>0</v>
      </c>
      <c r="Q33">
        <f t="shared" si="3"/>
        <v>0</v>
      </c>
      <c r="R33">
        <v>0.14099999999999999</v>
      </c>
      <c r="S33">
        <f t="shared" si="4"/>
        <v>0</v>
      </c>
      <c r="T33">
        <f t="shared" si="6"/>
        <v>0</v>
      </c>
      <c r="U33">
        <v>0.129</v>
      </c>
      <c r="V33">
        <f t="shared" si="5"/>
        <v>0</v>
      </c>
      <c r="W33">
        <f t="shared" si="7"/>
        <v>0</v>
      </c>
    </row>
    <row r="34" spans="15:23" x14ac:dyDescent="0.15">
      <c r="O34">
        <f t="shared" si="2"/>
        <v>0</v>
      </c>
      <c r="Q34">
        <f t="shared" si="3"/>
        <v>0</v>
      </c>
      <c r="R34">
        <v>0.14099999999999999</v>
      </c>
      <c r="S34">
        <f t="shared" si="4"/>
        <v>0</v>
      </c>
      <c r="T34">
        <f t="shared" si="6"/>
        <v>0</v>
      </c>
      <c r="U34">
        <v>0.129</v>
      </c>
      <c r="V34">
        <f t="shared" si="5"/>
        <v>0</v>
      </c>
      <c r="W34">
        <f t="shared" si="7"/>
        <v>0</v>
      </c>
    </row>
    <row r="35" spans="15:23" x14ac:dyDescent="0.15">
      <c r="O35">
        <f t="shared" si="2"/>
        <v>0</v>
      </c>
      <c r="Q35">
        <f t="shared" si="3"/>
        <v>0</v>
      </c>
      <c r="R35">
        <v>0.14099999999999999</v>
      </c>
      <c r="S35">
        <f t="shared" si="4"/>
        <v>0</v>
      </c>
      <c r="T35">
        <f t="shared" si="6"/>
        <v>0</v>
      </c>
      <c r="U35">
        <v>0.129</v>
      </c>
      <c r="V35">
        <f t="shared" si="5"/>
        <v>0</v>
      </c>
      <c r="W35">
        <f t="shared" si="7"/>
        <v>0</v>
      </c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learEQ">
                <anchor moveWithCells="1" sizeWithCells="1">
                  <from>
                    <xdr:col>7</xdr:col>
                    <xdr:colOff>438150</xdr:colOff>
                    <xdr:row>2</xdr:row>
                    <xdr:rowOff>85725</xdr:rowOff>
                  </from>
                  <to>
                    <xdr:col>8</xdr:col>
                    <xdr:colOff>400050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eq_ready">
                <anchor moveWithCells="1" sizeWithCells="1">
                  <from>
                    <xdr:col>10</xdr:col>
                    <xdr:colOff>333375</xdr:colOff>
                    <xdr:row>2</xdr:row>
                    <xdr:rowOff>38100</xdr:rowOff>
                  </from>
                  <to>
                    <xdr:col>11</xdr:col>
                    <xdr:colOff>295275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X100"/>
  <sheetViews>
    <sheetView topLeftCell="A4" workbookViewId="0">
      <selection activeCell="G6" sqref="G6"/>
    </sheetView>
  </sheetViews>
  <sheetFormatPr defaultRowHeight="14.25" x14ac:dyDescent="0.15"/>
  <cols>
    <col min="1" max="5" width="9.140625" style="11"/>
    <col min="6" max="6" width="9.5703125" style="11" customWidth="1"/>
    <col min="7" max="14" width="9.140625" style="11"/>
    <col min="15" max="15" width="9.140625" style="11" customWidth="1"/>
    <col min="16" max="21" width="9.140625" style="11"/>
    <col min="22" max="22" width="10.7109375" style="11" bestFit="1" customWidth="1"/>
    <col min="23" max="23" width="9.7109375" style="11" bestFit="1" customWidth="1"/>
    <col min="24" max="24" width="9.28515625" style="11" bestFit="1" customWidth="1"/>
    <col min="25" max="16384" width="9.140625" style="11"/>
  </cols>
  <sheetData>
    <row r="1" spans="1:26" x14ac:dyDescent="0.15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  <c r="Q1" s="11">
        <v>17</v>
      </c>
      <c r="R1" s="11">
        <v>18</v>
      </c>
      <c r="S1" s="11">
        <v>19</v>
      </c>
      <c r="T1" s="11">
        <v>20</v>
      </c>
      <c r="U1" s="11">
        <v>21</v>
      </c>
      <c r="V1" s="11">
        <v>43.699996948242188</v>
      </c>
      <c r="W1" s="11">
        <v>23</v>
      </c>
      <c r="X1" s="11">
        <v>24</v>
      </c>
      <c r="Y1" s="11">
        <v>25</v>
      </c>
      <c r="Z1" s="11">
        <v>26</v>
      </c>
    </row>
    <row r="2" spans="1:26" x14ac:dyDescent="0.15">
      <c r="D2" s="52" t="s">
        <v>158</v>
      </c>
      <c r="E2" s="11" t="s">
        <v>159</v>
      </c>
      <c r="I2" s="50" t="s">
        <v>160</v>
      </c>
      <c r="J2" s="50" t="s">
        <v>161</v>
      </c>
      <c r="K2" s="11">
        <v>5200.552734375</v>
      </c>
      <c r="L2" s="50" t="s">
        <v>167</v>
      </c>
      <c r="M2" s="50" t="s">
        <v>161</v>
      </c>
      <c r="N2" s="11">
        <v>5200.552734375</v>
      </c>
      <c r="P2" s="50" t="s">
        <v>160</v>
      </c>
      <c r="Q2" s="50" t="s">
        <v>161</v>
      </c>
      <c r="R2" s="11">
        <v>5200.552734375</v>
      </c>
      <c r="S2" s="50" t="s">
        <v>167</v>
      </c>
      <c r="T2" s="50" t="s">
        <v>161</v>
      </c>
      <c r="U2" s="11">
        <v>5200.552734375</v>
      </c>
    </row>
    <row r="3" spans="1:26" x14ac:dyDescent="0.15">
      <c r="B3" s="47"/>
      <c r="C3" s="54" t="s">
        <v>123</v>
      </c>
      <c r="D3" s="48">
        <v>11</v>
      </c>
      <c r="E3" s="48"/>
      <c r="F3" s="54" t="s">
        <v>185</v>
      </c>
      <c r="G3" s="43">
        <v>43.999996185302734</v>
      </c>
      <c r="I3" s="53"/>
      <c r="J3" s="50" t="s">
        <v>162</v>
      </c>
      <c r="L3" s="53"/>
      <c r="M3" s="50" t="s">
        <v>168</v>
      </c>
      <c r="P3" s="53"/>
      <c r="Q3" s="50" t="s">
        <v>162</v>
      </c>
      <c r="S3" s="53"/>
      <c r="T3" s="50" t="s">
        <v>168</v>
      </c>
    </row>
    <row r="4" spans="1:26" x14ac:dyDescent="0.15">
      <c r="B4" s="47"/>
      <c r="C4" s="54" t="s">
        <v>124</v>
      </c>
      <c r="D4" s="48">
        <v>1</v>
      </c>
      <c r="E4" s="48"/>
      <c r="F4" s="54" t="s">
        <v>186</v>
      </c>
      <c r="G4" s="43">
        <v>5100</v>
      </c>
      <c r="I4" s="53"/>
      <c r="J4" s="50" t="s">
        <v>163</v>
      </c>
      <c r="L4" s="53"/>
      <c r="M4" s="50" t="s">
        <v>169</v>
      </c>
      <c r="P4" s="53"/>
      <c r="Q4" s="50" t="s">
        <v>163</v>
      </c>
      <c r="S4" s="53"/>
      <c r="T4" s="50" t="s">
        <v>169</v>
      </c>
    </row>
    <row r="5" spans="1:26" x14ac:dyDescent="0.15">
      <c r="B5" s="47"/>
      <c r="C5" s="54" t="s">
        <v>12</v>
      </c>
      <c r="D5" s="48">
        <v>0.2</v>
      </c>
      <c r="E5" s="48"/>
      <c r="F5" s="54" t="s">
        <v>14</v>
      </c>
      <c r="G5" s="43">
        <v>1.3199999332427979</v>
      </c>
      <c r="I5" s="53"/>
      <c r="J5" s="50" t="s">
        <v>205</v>
      </c>
      <c r="K5" s="11">
        <v>3826.48974609375</v>
      </c>
      <c r="L5" s="53"/>
      <c r="M5" s="50" t="s">
        <v>206</v>
      </c>
      <c r="N5" s="11">
        <v>4001.11474609375</v>
      </c>
      <c r="P5" s="53"/>
      <c r="Q5" s="50" t="s">
        <v>166</v>
      </c>
      <c r="R5" s="11">
        <v>3845.13525390625</v>
      </c>
      <c r="S5" s="53"/>
      <c r="T5" s="50" t="s">
        <v>170</v>
      </c>
      <c r="U5" s="11">
        <v>3917.09130859375</v>
      </c>
    </row>
    <row r="6" spans="1:26" x14ac:dyDescent="0.15">
      <c r="B6" s="47"/>
      <c r="C6" s="54" t="s">
        <v>13</v>
      </c>
      <c r="D6" s="48">
        <v>0.6</v>
      </c>
      <c r="F6" s="54" t="s">
        <v>15</v>
      </c>
      <c r="G6" s="43">
        <v>0.72727279295277991</v>
      </c>
      <c r="I6" s="53"/>
      <c r="J6" s="50" t="s">
        <v>164</v>
      </c>
      <c r="K6" s="11">
        <v>7.1348667144775391E-2</v>
      </c>
      <c r="L6" s="53"/>
      <c r="M6" s="50" t="s">
        <v>171</v>
      </c>
      <c r="N6" s="11">
        <v>7.9289637506008148E-2</v>
      </c>
      <c r="P6" s="53"/>
      <c r="Q6" s="50" t="s">
        <v>164</v>
      </c>
      <c r="R6" s="11">
        <v>0.39617359638214111</v>
      </c>
      <c r="S6" s="53"/>
      <c r="T6" s="50" t="s">
        <v>171</v>
      </c>
      <c r="U6" s="11">
        <v>0.46959459781646729</v>
      </c>
    </row>
    <row r="7" spans="1:26" x14ac:dyDescent="0.15">
      <c r="B7" s="47"/>
      <c r="C7" s="54" t="s">
        <v>194</v>
      </c>
      <c r="D7" s="63">
        <v>2</v>
      </c>
      <c r="F7" s="54" t="s">
        <v>8</v>
      </c>
      <c r="I7" s="53"/>
      <c r="J7" s="50" t="s">
        <v>165</v>
      </c>
      <c r="K7" s="11">
        <v>1.2358423471450806</v>
      </c>
      <c r="L7" s="53"/>
      <c r="M7" s="50" t="s">
        <v>172</v>
      </c>
      <c r="N7" s="22">
        <v>1.3941222429275513</v>
      </c>
      <c r="O7" s="18"/>
      <c r="P7" s="53"/>
      <c r="Q7" s="50" t="s">
        <v>165</v>
      </c>
      <c r="R7" s="11">
        <v>0</v>
      </c>
      <c r="S7" s="53"/>
      <c r="T7" s="50" t="s">
        <v>172</v>
      </c>
      <c r="U7" s="11">
        <v>0</v>
      </c>
    </row>
    <row r="8" spans="1:26" x14ac:dyDescent="0.15">
      <c r="B8" s="47"/>
      <c r="C8" s="42" t="s">
        <v>181</v>
      </c>
      <c r="D8" s="11">
        <v>0.25</v>
      </c>
      <c r="E8" s="11" t="s">
        <v>180</v>
      </c>
      <c r="F8" s="15"/>
    </row>
    <row r="9" spans="1:26" x14ac:dyDescent="0.15">
      <c r="A9" s="16">
        <v>1</v>
      </c>
      <c r="B9" s="16">
        <v>2</v>
      </c>
      <c r="C9" s="16">
        <v>3</v>
      </c>
      <c r="D9" s="16">
        <v>4</v>
      </c>
      <c r="E9" s="16">
        <v>5</v>
      </c>
      <c r="F9" s="16">
        <v>6</v>
      </c>
      <c r="G9" s="16">
        <v>7</v>
      </c>
      <c r="H9" s="16">
        <v>1.2389950752258301</v>
      </c>
      <c r="I9" s="16">
        <v>9</v>
      </c>
      <c r="J9" s="16">
        <v>10</v>
      </c>
      <c r="K9" s="16">
        <v>11</v>
      </c>
      <c r="L9" s="16">
        <v>12</v>
      </c>
      <c r="M9" s="16">
        <v>13</v>
      </c>
      <c r="N9" s="16">
        <v>14</v>
      </c>
      <c r="O9" s="16">
        <v>15</v>
      </c>
      <c r="P9" s="16">
        <v>16</v>
      </c>
      <c r="Q9" s="16">
        <v>17</v>
      </c>
      <c r="R9" s="16">
        <v>18</v>
      </c>
      <c r="S9" s="16">
        <v>19</v>
      </c>
      <c r="T9" s="16">
        <v>20</v>
      </c>
    </row>
    <row r="10" spans="1:26" x14ac:dyDescent="0.15">
      <c r="A10" s="16"/>
      <c r="B10" s="16"/>
      <c r="C10" s="18" t="s">
        <v>9</v>
      </c>
      <c r="D10" s="18" t="s">
        <v>10</v>
      </c>
      <c r="E10" s="11" t="s">
        <v>154</v>
      </c>
      <c r="F10" s="11" t="s">
        <v>155</v>
      </c>
      <c r="H10" s="18" t="s">
        <v>22</v>
      </c>
      <c r="I10" s="18" t="s">
        <v>152</v>
      </c>
      <c r="J10" s="18" t="s">
        <v>23</v>
      </c>
      <c r="K10" s="18" t="s">
        <v>153</v>
      </c>
      <c r="L10" s="18"/>
      <c r="M10" s="11" t="s">
        <v>154</v>
      </c>
      <c r="N10" s="11" t="s">
        <v>155</v>
      </c>
      <c r="P10" s="18" t="s">
        <v>22</v>
      </c>
      <c r="Q10" s="18" t="s">
        <v>152</v>
      </c>
      <c r="R10" s="18" t="s">
        <v>23</v>
      </c>
      <c r="S10" s="18" t="s">
        <v>153</v>
      </c>
    </row>
    <row r="11" spans="1:26" x14ac:dyDescent="0.15">
      <c r="B11" s="11">
        <v>11</v>
      </c>
      <c r="C11">
        <v>5.07</v>
      </c>
      <c r="D11">
        <f>U11*9.80665</f>
        <v>2461.4691499999999</v>
      </c>
      <c r="E11" s="11">
        <v>7057</v>
      </c>
      <c r="F11" s="11">
        <v>6444</v>
      </c>
      <c r="H11" s="11">
        <v>1.4999999999999999E-2</v>
      </c>
      <c r="I11">
        <v>1171</v>
      </c>
      <c r="J11" s="11">
        <v>1.2999999999999999E-2</v>
      </c>
      <c r="K11">
        <v>1070</v>
      </c>
      <c r="M11" s="55">
        <v>24088</v>
      </c>
      <c r="N11" s="55">
        <v>17532</v>
      </c>
      <c r="P11" s="11">
        <v>6.2E-2</v>
      </c>
      <c r="Q11" s="11">
        <v>3998</v>
      </c>
      <c r="R11" s="11">
        <v>3.7999999999999999E-2</v>
      </c>
      <c r="S11" s="11">
        <v>2901</v>
      </c>
      <c r="U11" s="11">
        <v>251</v>
      </c>
      <c r="V11" s="49">
        <v>251</v>
      </c>
      <c r="W11" s="49">
        <v>0.109</v>
      </c>
      <c r="X11" s="11">
        <f>+W11-W12</f>
        <v>1.4999999999999999E-2</v>
      </c>
      <c r="Y11" s="49">
        <v>0.11700000000000001</v>
      </c>
      <c r="Z11" s="11">
        <f>+Y11-Y12</f>
        <v>1.3000000000000012E-2</v>
      </c>
    </row>
    <row r="12" spans="1:26" x14ac:dyDescent="0.15">
      <c r="B12" s="11">
        <v>10</v>
      </c>
      <c r="C12">
        <v>3.8</v>
      </c>
      <c r="D12">
        <f t="shared" ref="D12:D21" si="0">U12*9.80665</f>
        <v>6276.2559999999994</v>
      </c>
      <c r="H12" s="11">
        <v>8.9999999999999993E-3</v>
      </c>
      <c r="I12">
        <v>2688</v>
      </c>
      <c r="J12" s="11">
        <v>8.9999999999999993E-3</v>
      </c>
      <c r="K12">
        <v>2453</v>
      </c>
      <c r="P12" s="11">
        <v>3.5999999999999997E-2</v>
      </c>
      <c r="Q12" s="11">
        <v>9173</v>
      </c>
      <c r="R12" s="11">
        <v>4.2999999999999997E-2</v>
      </c>
      <c r="S12" s="11">
        <v>7125</v>
      </c>
      <c r="U12" s="11">
        <v>640</v>
      </c>
      <c r="V12" s="49">
        <v>640</v>
      </c>
      <c r="W12" s="49">
        <v>9.4E-2</v>
      </c>
      <c r="X12" s="11">
        <f t="shared" ref="X12:X14" si="1">+W12-W13</f>
        <v>8.9999999999999941E-3</v>
      </c>
      <c r="Y12" s="49">
        <v>0.104</v>
      </c>
      <c r="Z12" s="11">
        <f t="shared" ref="Z12:Z14" si="2">+Y12-Y13</f>
        <v>8.9999999999999941E-3</v>
      </c>
    </row>
    <row r="13" spans="1:26" x14ac:dyDescent="0.15">
      <c r="B13" s="11">
        <v>9</v>
      </c>
      <c r="C13">
        <v>3.8</v>
      </c>
      <c r="D13">
        <f t="shared" si="0"/>
        <v>4452.2190999999993</v>
      </c>
      <c r="H13" s="11">
        <v>0.01</v>
      </c>
      <c r="I13">
        <v>3528</v>
      </c>
      <c r="J13" s="11">
        <v>1.0999999999999999E-2</v>
      </c>
      <c r="K13">
        <v>3222</v>
      </c>
      <c r="P13" s="11">
        <v>0.05</v>
      </c>
      <c r="Q13" s="11">
        <v>12044</v>
      </c>
      <c r="R13" s="11">
        <v>6.6000000000000003E-2</v>
      </c>
      <c r="S13" s="11">
        <v>8722</v>
      </c>
      <c r="U13" s="11">
        <v>454</v>
      </c>
      <c r="V13" s="49">
        <v>454</v>
      </c>
      <c r="W13" s="49">
        <v>8.5000000000000006E-2</v>
      </c>
      <c r="X13" s="11">
        <f t="shared" si="1"/>
        <v>1.0000000000000009E-2</v>
      </c>
      <c r="Y13" s="49">
        <v>9.5000000000000001E-2</v>
      </c>
      <c r="Z13" s="11">
        <f t="shared" si="2"/>
        <v>1.0999999999999996E-2</v>
      </c>
    </row>
    <row r="14" spans="1:26" x14ac:dyDescent="0.15">
      <c r="B14" s="11">
        <v>8</v>
      </c>
      <c r="C14">
        <v>3.8</v>
      </c>
      <c r="D14">
        <f t="shared" si="0"/>
        <v>4462.0257499999998</v>
      </c>
      <c r="H14" s="11">
        <v>1.0999999999999999E-2</v>
      </c>
      <c r="I14">
        <v>4254</v>
      </c>
      <c r="J14" s="11">
        <v>1.2E-2</v>
      </c>
      <c r="K14">
        <v>3884</v>
      </c>
      <c r="P14" s="11">
        <v>6.2E-2</v>
      </c>
      <c r="Q14" s="11">
        <v>14524</v>
      </c>
      <c r="R14" s="11">
        <v>7.5999999999999998E-2</v>
      </c>
      <c r="S14" s="11">
        <v>10555</v>
      </c>
      <c r="U14" s="11">
        <v>455</v>
      </c>
      <c r="V14" s="49">
        <v>455</v>
      </c>
      <c r="W14" s="49">
        <v>7.4999999999999997E-2</v>
      </c>
      <c r="X14" s="11">
        <f t="shared" si="1"/>
        <v>7.4999999999999997E-2</v>
      </c>
      <c r="Y14" s="49">
        <v>8.4000000000000005E-2</v>
      </c>
      <c r="Z14" s="11">
        <f t="shared" si="2"/>
        <v>8.4000000000000005E-2</v>
      </c>
    </row>
    <row r="15" spans="1:26" x14ac:dyDescent="0.15">
      <c r="B15" s="11">
        <v>7</v>
      </c>
      <c r="C15">
        <v>3.8</v>
      </c>
      <c r="D15">
        <f t="shared" si="0"/>
        <v>4511.0589999999993</v>
      </c>
      <c r="H15" s="11">
        <v>1.0999999999999999E-2</v>
      </c>
      <c r="I15">
        <v>4890</v>
      </c>
      <c r="J15" s="11">
        <v>1.0999999999999999E-2</v>
      </c>
      <c r="K15">
        <v>4465</v>
      </c>
      <c r="P15" s="11">
        <v>6.3E-2</v>
      </c>
      <c r="Q15" s="11">
        <v>16689</v>
      </c>
      <c r="R15" s="11">
        <v>7.0999999999999994E-2</v>
      </c>
      <c r="S15" s="11">
        <v>12123</v>
      </c>
      <c r="U15" s="11">
        <v>460</v>
      </c>
    </row>
    <row r="16" spans="1:26" x14ac:dyDescent="0.15">
      <c r="B16" s="11">
        <v>6</v>
      </c>
      <c r="C16">
        <v>3.8</v>
      </c>
      <c r="D16">
        <f t="shared" si="0"/>
        <v>4579.7055499999997</v>
      </c>
      <c r="H16" s="11">
        <v>0.01</v>
      </c>
      <c r="I16">
        <v>5445</v>
      </c>
      <c r="J16" s="11">
        <v>0.01</v>
      </c>
      <c r="K16">
        <v>4972</v>
      </c>
      <c r="P16" s="11">
        <v>5.8000000000000003E-2</v>
      </c>
      <c r="Q16" s="11">
        <v>18591</v>
      </c>
      <c r="R16" s="11">
        <v>6.4000000000000001E-2</v>
      </c>
      <c r="S16" s="11">
        <v>13495</v>
      </c>
      <c r="U16" s="11">
        <v>467</v>
      </c>
    </row>
    <row r="17" spans="1:50" x14ac:dyDescent="0.15">
      <c r="B17" s="11">
        <v>5</v>
      </c>
      <c r="C17">
        <v>3.8</v>
      </c>
      <c r="D17">
        <f t="shared" si="0"/>
        <v>4599.3188499999997</v>
      </c>
      <c r="H17" s="11">
        <v>0.01</v>
      </c>
      <c r="I17">
        <v>5920</v>
      </c>
      <c r="J17" s="11">
        <v>0.01</v>
      </c>
      <c r="K17">
        <v>5405</v>
      </c>
      <c r="P17" s="11">
        <v>5.8999999999999997E-2</v>
      </c>
      <c r="Q17" s="11">
        <v>20208</v>
      </c>
      <c r="R17" s="11">
        <v>6.3E-2</v>
      </c>
      <c r="S17" s="11">
        <v>14651</v>
      </c>
      <c r="U17" s="11">
        <v>469</v>
      </c>
    </row>
    <row r="18" spans="1:50" x14ac:dyDescent="0.15">
      <c r="B18" s="11">
        <v>4</v>
      </c>
      <c r="C18">
        <v>3.8</v>
      </c>
      <c r="D18">
        <f t="shared" si="0"/>
        <v>4618.9321499999996</v>
      </c>
      <c r="H18" s="11">
        <v>8.9999999999999993E-3</v>
      </c>
      <c r="I18">
        <v>6316</v>
      </c>
      <c r="J18" s="11">
        <v>0.01</v>
      </c>
      <c r="K18">
        <v>5767</v>
      </c>
      <c r="P18" s="11">
        <v>5.6000000000000001E-2</v>
      </c>
      <c r="Q18" s="11">
        <v>21560</v>
      </c>
      <c r="R18" s="11">
        <v>6.3E-2</v>
      </c>
      <c r="S18" s="11">
        <v>15660</v>
      </c>
      <c r="U18" s="11">
        <v>471</v>
      </c>
    </row>
    <row r="19" spans="1:50" x14ac:dyDescent="0.15">
      <c r="B19" s="11">
        <v>3</v>
      </c>
      <c r="C19">
        <v>3.8</v>
      </c>
      <c r="D19">
        <f t="shared" si="0"/>
        <v>4658.1587499999996</v>
      </c>
      <c r="H19" s="11">
        <v>8.0000000000000002E-3</v>
      </c>
      <c r="I19">
        <v>6638</v>
      </c>
      <c r="J19" s="11">
        <v>0.01</v>
      </c>
      <c r="K19">
        <v>6061</v>
      </c>
      <c r="P19" s="11">
        <v>4.7E-2</v>
      </c>
      <c r="Q19" s="11">
        <v>22658</v>
      </c>
      <c r="R19" s="11">
        <v>6.3E-2</v>
      </c>
      <c r="S19" s="11">
        <v>16395</v>
      </c>
      <c r="U19" s="11">
        <v>475</v>
      </c>
    </row>
    <row r="20" spans="1:50" x14ac:dyDescent="0.15">
      <c r="B20" s="11">
        <v>2</v>
      </c>
      <c r="C20">
        <v>3.8</v>
      </c>
      <c r="D20">
        <f t="shared" si="0"/>
        <v>4677.7720499999996</v>
      </c>
      <c r="H20" s="11">
        <v>8.0000000000000002E-3</v>
      </c>
      <c r="I20">
        <v>6885</v>
      </c>
      <c r="J20" s="11">
        <v>0.01</v>
      </c>
      <c r="K20">
        <v>6287</v>
      </c>
      <c r="P20" s="11">
        <v>4.2999999999999997E-2</v>
      </c>
      <c r="Q20" s="11">
        <v>23500</v>
      </c>
      <c r="R20" s="11">
        <v>5.8999999999999997E-2</v>
      </c>
      <c r="S20" s="11">
        <v>17081</v>
      </c>
      <c r="U20" s="11">
        <v>477</v>
      </c>
    </row>
    <row r="21" spans="1:50" x14ac:dyDescent="0.15">
      <c r="B21" s="11">
        <v>1</v>
      </c>
      <c r="C21">
        <v>4.7300000000000004</v>
      </c>
      <c r="D21">
        <f t="shared" si="0"/>
        <v>4716.9986499999995</v>
      </c>
      <c r="H21" s="11">
        <v>8.0000000000000002E-3</v>
      </c>
      <c r="I21">
        <v>7057</v>
      </c>
      <c r="J21" s="11">
        <v>1.2E-2</v>
      </c>
      <c r="K21">
        <v>6444</v>
      </c>
      <c r="P21" s="11">
        <v>4.1000000000000002E-2</v>
      </c>
      <c r="Q21" s="11">
        <v>24088</v>
      </c>
      <c r="R21" s="11">
        <v>5.1999999999999998E-2</v>
      </c>
      <c r="S21" s="11">
        <v>17532</v>
      </c>
      <c r="U21" s="11">
        <v>481</v>
      </c>
    </row>
    <row r="26" spans="1:50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</row>
    <row r="27" spans="1:50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 s="5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</row>
    <row r="28" spans="1:50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 s="5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</row>
    <row r="29" spans="1:50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 s="58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</row>
    <row r="30" spans="1:50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 s="58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</row>
    <row r="31" spans="1:50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 s="58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</row>
    <row r="32" spans="1:50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 s="58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</row>
    <row r="33" spans="1:50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 s="58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</row>
    <row r="34" spans="1:50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 s="58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</row>
    <row r="35" spans="1:50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 s="58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</row>
    <row r="36" spans="1:50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 s="58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</row>
    <row r="37" spans="1:50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 s="58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</row>
    <row r="38" spans="1:50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</row>
    <row r="39" spans="1:50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</row>
    <row r="40" spans="1:50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</row>
    <row r="41" spans="1:50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</row>
    <row r="42" spans="1:50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</row>
    <row r="43" spans="1:50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 s="57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</row>
    <row r="44" spans="1:50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 s="58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</row>
    <row r="45" spans="1:50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 s="58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</row>
    <row r="46" spans="1:50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 s="58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</row>
    <row r="47" spans="1:50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 s="58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</row>
    <row r="48" spans="1:50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 s="5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</row>
    <row r="49" spans="1:50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 s="58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</row>
    <row r="50" spans="1:50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58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</row>
    <row r="51" spans="1:50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58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</row>
    <row r="52" spans="1:50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58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</row>
    <row r="53" spans="1:50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58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</row>
    <row r="54" spans="1:50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</row>
    <row r="55" spans="1:50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</row>
    <row r="56" spans="1:50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</row>
    <row r="57" spans="1:50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1:50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1:50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  <row r="60" spans="1:50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</row>
    <row r="61" spans="1:50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</row>
    <row r="62" spans="1:50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</row>
    <row r="63" spans="1:50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</row>
    <row r="64" spans="1:50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</row>
    <row r="65" spans="1:50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</row>
    <row r="66" spans="1:50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</row>
    <row r="67" spans="1:50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</row>
    <row r="68" spans="1:50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</row>
    <row r="69" spans="1:50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</row>
    <row r="70" spans="1:50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</row>
    <row r="71" spans="1:50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</row>
    <row r="72" spans="1:50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</row>
    <row r="73" spans="1:50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</row>
    <row r="74" spans="1:50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</row>
    <row r="75" spans="1:50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</row>
    <row r="76" spans="1:50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</row>
    <row r="77" spans="1:50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</row>
    <row r="78" spans="1:50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</row>
    <row r="79" spans="1:50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</row>
    <row r="80" spans="1:50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</row>
    <row r="81" spans="1:50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</row>
    <row r="82" spans="1:50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</row>
    <row r="83" spans="1:50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</row>
    <row r="84" spans="1:50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</row>
    <row r="85" spans="1:50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</row>
    <row r="86" spans="1:50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</row>
    <row r="87" spans="1:50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</row>
    <row r="88" spans="1:50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</row>
    <row r="89" spans="1:50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</row>
    <row r="90" spans="1:50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</row>
    <row r="91" spans="1:50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</row>
    <row r="92" spans="1:50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</row>
    <row r="93" spans="1:50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</row>
    <row r="94" spans="1:50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</row>
    <row r="95" spans="1:50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</row>
    <row r="96" spans="1:50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</row>
    <row r="97" spans="1:50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</row>
    <row r="98" spans="1:50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</row>
    <row r="99" spans="1:50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85B10-0CF5-4084-9AFD-54BCA72287F8}">
  <sheetPr codeName="Sheet22"/>
  <dimension ref="A1:L21"/>
  <sheetViews>
    <sheetView workbookViewId="0">
      <selection activeCell="D32" sqref="D32"/>
    </sheetView>
  </sheetViews>
  <sheetFormatPr defaultRowHeight="12" x14ac:dyDescent="0.15"/>
  <sheetData>
    <row r="1" spans="1:12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ht="14.25" x14ac:dyDescent="0.15">
      <c r="B2" s="11"/>
      <c r="C2" s="11"/>
      <c r="D2" s="52" t="s">
        <v>158</v>
      </c>
      <c r="E2" s="11" t="s">
        <v>159</v>
      </c>
      <c r="F2" s="11"/>
      <c r="G2" s="11"/>
    </row>
    <row r="3" spans="1:12" ht="14.25" x14ac:dyDescent="0.15">
      <c r="B3" s="47"/>
      <c r="C3" s="54" t="s">
        <v>123</v>
      </c>
      <c r="D3" s="48">
        <v>11</v>
      </c>
      <c r="E3" s="48"/>
      <c r="F3" s="54" t="s">
        <v>185</v>
      </c>
      <c r="G3" s="43">
        <v>44</v>
      </c>
    </row>
    <row r="4" spans="1:12" ht="14.25" x14ac:dyDescent="0.15">
      <c r="B4" s="47"/>
      <c r="C4" s="54" t="s">
        <v>124</v>
      </c>
      <c r="D4" s="48">
        <v>1</v>
      </c>
      <c r="E4" s="48"/>
      <c r="F4" s="54" t="s">
        <v>186</v>
      </c>
      <c r="G4" s="43"/>
    </row>
    <row r="5" spans="1:12" ht="14.25" x14ac:dyDescent="0.15">
      <c r="B5" s="47"/>
      <c r="C5" s="54" t="s">
        <v>12</v>
      </c>
      <c r="D5" s="48">
        <v>0.2</v>
      </c>
      <c r="E5" s="48"/>
      <c r="F5" s="54" t="s">
        <v>14</v>
      </c>
      <c r="G5" s="43">
        <v>1.3200000524520874</v>
      </c>
    </row>
    <row r="6" spans="1:12" ht="14.25" x14ac:dyDescent="0.15">
      <c r="B6" s="47"/>
      <c r="C6" s="54" t="s">
        <v>13</v>
      </c>
      <c r="D6" s="48">
        <v>0.6</v>
      </c>
      <c r="E6" s="11"/>
      <c r="F6" s="54" t="s">
        <v>15</v>
      </c>
      <c r="G6" s="43">
        <v>0.72727274894714355</v>
      </c>
    </row>
    <row r="7" spans="1:12" ht="14.25" x14ac:dyDescent="0.15">
      <c r="B7" s="47"/>
      <c r="C7" s="54" t="s">
        <v>194</v>
      </c>
      <c r="D7" s="63">
        <v>2</v>
      </c>
      <c r="E7" s="11"/>
      <c r="F7" s="54" t="s">
        <v>8</v>
      </c>
      <c r="G7" s="11">
        <v>7274.7522194561316</v>
      </c>
    </row>
    <row r="10" spans="1:12" x14ac:dyDescent="0.15">
      <c r="C10" t="s">
        <v>19</v>
      </c>
      <c r="E10" t="s">
        <v>4</v>
      </c>
      <c r="F10" t="s">
        <v>250</v>
      </c>
      <c r="G10" t="s">
        <v>251</v>
      </c>
      <c r="H10" t="s">
        <v>252</v>
      </c>
      <c r="I10" t="s">
        <v>253</v>
      </c>
      <c r="J10" t="s">
        <v>11</v>
      </c>
    </row>
    <row r="11" spans="1:12" x14ac:dyDescent="0.15">
      <c r="C11">
        <v>11</v>
      </c>
      <c r="E11">
        <v>2461.46923828125</v>
      </c>
      <c r="F11">
        <v>2461.46923828125</v>
      </c>
      <c r="G11">
        <v>4.9215685576200485E-2</v>
      </c>
      <c r="H11">
        <v>3.3730269353678248</v>
      </c>
      <c r="I11">
        <v>0.49062213441635066</v>
      </c>
      <c r="J11">
        <v>1208</v>
      </c>
      <c r="K11">
        <v>2415</v>
      </c>
    </row>
    <row r="12" spans="1:12" x14ac:dyDescent="0.15">
      <c r="C12">
        <v>10</v>
      </c>
      <c r="E12">
        <v>6276.255859375</v>
      </c>
      <c r="F12">
        <v>8737.724609375</v>
      </c>
      <c r="G12">
        <v>0.1747058629989624</v>
      </c>
      <c r="H12">
        <v>2.1804222055164342</v>
      </c>
      <c r="I12">
        <v>0.31715234325059521</v>
      </c>
      <c r="J12">
        <v>2771</v>
      </c>
      <c r="K12">
        <v>5542</v>
      </c>
    </row>
    <row r="13" spans="1:12" x14ac:dyDescent="0.15">
      <c r="C13">
        <v>9</v>
      </c>
      <c r="E13">
        <v>4452.21923828125</v>
      </c>
      <c r="F13">
        <v>13189.943359375</v>
      </c>
      <c r="G13">
        <v>0.26372545957565308</v>
      </c>
      <c r="H13">
        <v>1.8960749521007485</v>
      </c>
      <c r="I13">
        <v>0.27579273982631436</v>
      </c>
      <c r="J13">
        <v>3638</v>
      </c>
      <c r="K13">
        <v>7275</v>
      </c>
    </row>
    <row r="14" spans="1:12" x14ac:dyDescent="0.15">
      <c r="C14">
        <v>8</v>
      </c>
      <c r="E14">
        <v>4462.02587890625</v>
      </c>
      <c r="F14">
        <v>17651.96875</v>
      </c>
      <c r="G14">
        <v>0.3529411256313324</v>
      </c>
      <c r="H14">
        <v>1.7080681676544955</v>
      </c>
      <c r="I14">
        <v>0.24844629651671873</v>
      </c>
      <c r="J14">
        <v>4386</v>
      </c>
      <c r="K14">
        <v>8771</v>
      </c>
    </row>
    <row r="15" spans="1:12" x14ac:dyDescent="0.15">
      <c r="C15">
        <v>7</v>
      </c>
      <c r="E15">
        <v>4511.05908203125</v>
      </c>
      <c r="F15">
        <v>22163.02734375</v>
      </c>
      <c r="G15">
        <v>0.44313719868659973</v>
      </c>
      <c r="H15">
        <v>1.5637005253057674</v>
      </c>
      <c r="I15">
        <v>0.22744736523422501</v>
      </c>
      <c r="J15">
        <v>5041</v>
      </c>
      <c r="K15">
        <v>10082</v>
      </c>
    </row>
    <row r="16" spans="1:12" x14ac:dyDescent="0.15">
      <c r="C16">
        <v>6</v>
      </c>
      <c r="E16">
        <v>4579.70556640625</v>
      </c>
      <c r="F16">
        <v>26742.732421875</v>
      </c>
      <c r="G16">
        <v>0.53470581769943237</v>
      </c>
      <c r="H16">
        <v>1.443286936076102</v>
      </c>
      <c r="I16">
        <v>0.20993266010657391</v>
      </c>
      <c r="J16">
        <v>5614</v>
      </c>
      <c r="K16">
        <v>11228</v>
      </c>
    </row>
    <row r="17" spans="3:11" x14ac:dyDescent="0.15">
      <c r="C17">
        <v>5</v>
      </c>
      <c r="E17">
        <v>4599.31884765625</v>
      </c>
      <c r="F17">
        <v>31342.05078125</v>
      </c>
      <c r="G17">
        <v>0.6266666054725647</v>
      </c>
      <c r="H17">
        <v>1.3388149239646179</v>
      </c>
      <c r="I17">
        <v>0.19473672999660052</v>
      </c>
      <c r="J17">
        <v>6103</v>
      </c>
      <c r="K17">
        <v>12207</v>
      </c>
    </row>
    <row r="18" spans="3:11" x14ac:dyDescent="0.15">
      <c r="C18">
        <v>4</v>
      </c>
      <c r="E18">
        <v>4618.93212890625</v>
      </c>
      <c r="F18">
        <v>35960.984375</v>
      </c>
      <c r="G18">
        <v>0.71901953220367432</v>
      </c>
      <c r="H18">
        <v>1.2449957473327689</v>
      </c>
      <c r="I18">
        <v>0.18109030333879417</v>
      </c>
      <c r="J18">
        <v>6512</v>
      </c>
      <c r="K18">
        <v>13024</v>
      </c>
    </row>
    <row r="19" spans="3:11" x14ac:dyDescent="0.15">
      <c r="C19">
        <v>3</v>
      </c>
      <c r="E19">
        <v>4658.15869140625</v>
      </c>
      <c r="F19">
        <v>40619.14453125</v>
      </c>
      <c r="G19">
        <v>0.8121567964553833</v>
      </c>
      <c r="H19">
        <v>1.1583350614038368</v>
      </c>
      <c r="I19">
        <v>0.16848511176602032</v>
      </c>
      <c r="J19">
        <v>6844</v>
      </c>
      <c r="K19">
        <v>13687</v>
      </c>
    </row>
    <row r="20" spans="3:11" x14ac:dyDescent="0.15">
      <c r="C20">
        <v>2</v>
      </c>
      <c r="E20">
        <v>4677.77197265625</v>
      </c>
      <c r="F20">
        <v>45296.91796875</v>
      </c>
      <c r="G20">
        <v>0.90568625926971436</v>
      </c>
      <c r="H20">
        <v>1.0772264324632679</v>
      </c>
      <c r="I20">
        <v>0.15668749217598696</v>
      </c>
      <c r="J20">
        <v>7097</v>
      </c>
      <c r="K20">
        <v>14195</v>
      </c>
    </row>
    <row r="21" spans="3:11" x14ac:dyDescent="0.15">
      <c r="C21">
        <v>1</v>
      </c>
      <c r="E21">
        <v>4716.99853515625</v>
      </c>
      <c r="F21">
        <v>50013.91796875</v>
      </c>
      <c r="G21">
        <v>1</v>
      </c>
      <c r="H21">
        <v>1</v>
      </c>
      <c r="I21">
        <v>0.14545455574989319</v>
      </c>
      <c r="J21">
        <v>7275</v>
      </c>
      <c r="K21">
        <v>14550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EFD48-6BF7-45EC-B66F-791543175D0D}">
  <sheetPr codeName="Sheet6"/>
  <dimension ref="A1:L100"/>
  <sheetViews>
    <sheetView workbookViewId="0">
      <selection activeCell="C16" sqref="C16"/>
    </sheetView>
  </sheetViews>
  <sheetFormatPr defaultRowHeight="14.25" x14ac:dyDescent="0.15"/>
  <cols>
    <col min="1" max="1" width="4.7109375" style="11" customWidth="1"/>
    <col min="2" max="2" width="9.7109375" style="12" customWidth="1"/>
    <col min="3" max="3" width="9.7109375" style="19" customWidth="1"/>
    <col min="4" max="4" width="9.7109375" style="11" customWidth="1"/>
    <col min="5" max="5" width="9.7109375" style="17" customWidth="1"/>
    <col min="6" max="6" width="9.7109375" style="11" customWidth="1"/>
    <col min="7" max="7" width="9.7109375" style="17" customWidth="1"/>
    <col min="8" max="9" width="9.7109375" style="11" customWidth="1"/>
    <col min="10" max="12" width="10.7109375" style="11" customWidth="1"/>
    <col min="13" max="16384" width="9.140625" style="11"/>
  </cols>
  <sheetData>
    <row r="1" spans="1:12" x14ac:dyDescent="0.15">
      <c r="A1" s="50">
        <v>1</v>
      </c>
      <c r="B1" s="51">
        <v>2</v>
      </c>
      <c r="C1" s="50">
        <v>3</v>
      </c>
      <c r="D1" s="51">
        <v>4</v>
      </c>
      <c r="E1" s="50">
        <v>5</v>
      </c>
      <c r="F1" s="51">
        <v>6</v>
      </c>
      <c r="G1" s="50">
        <v>7</v>
      </c>
      <c r="H1" s="51">
        <v>8</v>
      </c>
      <c r="I1" s="50">
        <v>9</v>
      </c>
      <c r="J1" s="51">
        <v>10</v>
      </c>
      <c r="K1" s="50">
        <v>11</v>
      </c>
    </row>
    <row r="2" spans="1:12" x14ac:dyDescent="0.15">
      <c r="B2" s="62" t="s">
        <v>188</v>
      </c>
    </row>
    <row r="4" spans="1:12" x14ac:dyDescent="0.15">
      <c r="C4" s="13"/>
      <c r="D4" s="14" t="s">
        <v>29</v>
      </c>
      <c r="E4" s="22">
        <v>43.999996185302734</v>
      </c>
      <c r="G4" s="11"/>
      <c r="H4" s="15" t="s">
        <v>190</v>
      </c>
      <c r="I4" s="22">
        <v>7057</v>
      </c>
      <c r="J4" s="16" t="s">
        <v>30</v>
      </c>
    </row>
    <row r="5" spans="1:12" x14ac:dyDescent="0.15">
      <c r="C5" s="13"/>
      <c r="D5" s="14" t="s">
        <v>28</v>
      </c>
      <c r="E5" s="22">
        <v>11</v>
      </c>
      <c r="H5" s="15" t="s">
        <v>191</v>
      </c>
      <c r="I5" s="22">
        <v>6444</v>
      </c>
      <c r="J5" s="16" t="s">
        <v>30</v>
      </c>
    </row>
    <row r="6" spans="1:12" x14ac:dyDescent="0.15">
      <c r="C6" s="13"/>
      <c r="D6" s="14" t="s">
        <v>27</v>
      </c>
      <c r="E6" s="22">
        <v>1</v>
      </c>
    </row>
    <row r="7" spans="1:12" x14ac:dyDescent="0.15">
      <c r="C7" s="13"/>
      <c r="D7" s="14" t="s">
        <v>12</v>
      </c>
      <c r="E7" s="22">
        <v>0.20000000298023224</v>
      </c>
    </row>
    <row r="8" spans="1:12" x14ac:dyDescent="0.15">
      <c r="C8" s="13"/>
      <c r="D8" s="14" t="s">
        <v>13</v>
      </c>
      <c r="E8" s="22">
        <v>0.60000002384185791</v>
      </c>
      <c r="F8" s="16"/>
      <c r="H8" s="18" t="s">
        <v>44</v>
      </c>
      <c r="I8" s="18" t="s">
        <v>43</v>
      </c>
      <c r="J8" s="18" t="s">
        <v>49</v>
      </c>
    </row>
    <row r="9" spans="1:12" x14ac:dyDescent="0.15">
      <c r="D9" s="14" t="s">
        <v>260</v>
      </c>
      <c r="E9" s="22">
        <v>5100</v>
      </c>
      <c r="G9" s="20" t="s">
        <v>130</v>
      </c>
      <c r="H9" s="11">
        <v>1.2359999418258667</v>
      </c>
      <c r="I9" s="22">
        <v>0.77700000000000002</v>
      </c>
      <c r="L9" s="16"/>
    </row>
    <row r="10" spans="1:12" x14ac:dyDescent="0.15">
      <c r="D10" s="20" t="s">
        <v>261</v>
      </c>
      <c r="E10" s="22">
        <v>3826</v>
      </c>
      <c r="F10" s="12"/>
      <c r="G10" s="15" t="s">
        <v>131</v>
      </c>
      <c r="H10" s="11">
        <v>1.3940000534057617</v>
      </c>
      <c r="I10" s="22">
        <v>0.68899999999999995</v>
      </c>
    </row>
    <row r="11" spans="1:12" x14ac:dyDescent="0.15">
      <c r="D11" s="20" t="s">
        <v>262</v>
      </c>
      <c r="E11" s="22">
        <v>4001</v>
      </c>
      <c r="F11" s="22"/>
      <c r="G11" s="20" t="s">
        <v>132</v>
      </c>
      <c r="I11" s="22"/>
      <c r="J11" s="18" t="s">
        <v>45</v>
      </c>
    </row>
    <row r="12" spans="1:12" x14ac:dyDescent="0.15">
      <c r="B12" s="23"/>
      <c r="C12" s="21"/>
      <c r="D12" s="24"/>
      <c r="E12" s="24"/>
      <c r="F12" s="25"/>
      <c r="G12" s="22"/>
      <c r="I12" s="26"/>
      <c r="J12" s="26"/>
    </row>
    <row r="13" spans="1:12" x14ac:dyDescent="0.15">
      <c r="B13" s="32" t="s">
        <v>0</v>
      </c>
      <c r="C13" s="27" t="s">
        <v>126</v>
      </c>
      <c r="D13" s="28" t="s">
        <v>127</v>
      </c>
      <c r="E13" s="29" t="s">
        <v>3</v>
      </c>
      <c r="F13" s="29" t="s">
        <v>128</v>
      </c>
      <c r="G13" s="18" t="s">
        <v>46</v>
      </c>
      <c r="H13" s="28" t="s">
        <v>47</v>
      </c>
      <c r="I13" s="28" t="s">
        <v>48</v>
      </c>
    </row>
    <row r="14" spans="1:12" x14ac:dyDescent="0.15">
      <c r="B14" s="23"/>
      <c r="C14" s="27" t="s">
        <v>6</v>
      </c>
      <c r="D14" s="28" t="s">
        <v>129</v>
      </c>
      <c r="E14" s="29" t="s">
        <v>2</v>
      </c>
      <c r="F14" s="30"/>
      <c r="G14" s="18" t="s">
        <v>7</v>
      </c>
      <c r="H14" s="31"/>
      <c r="I14" s="31"/>
    </row>
    <row r="15" spans="1:12" x14ac:dyDescent="0.15">
      <c r="B15" s="11">
        <v>11</v>
      </c>
      <c r="C15" s="11">
        <v>1.4999999999999999E-2</v>
      </c>
      <c r="D15" s="11">
        <v>0.109</v>
      </c>
      <c r="E15" s="11">
        <v>5.07</v>
      </c>
      <c r="F15" s="85" t="s">
        <v>304</v>
      </c>
      <c r="G15" s="11">
        <v>251</v>
      </c>
      <c r="H15" s="11">
        <v>27.36</v>
      </c>
      <c r="I15" s="11">
        <v>2.98</v>
      </c>
    </row>
    <row r="16" spans="1:12" x14ac:dyDescent="0.15">
      <c r="B16" s="11">
        <v>10</v>
      </c>
      <c r="C16" s="11">
        <v>8.9999999999999993E-3</v>
      </c>
      <c r="D16" s="11">
        <v>9.4E-2</v>
      </c>
      <c r="E16" s="11">
        <v>3.8</v>
      </c>
      <c r="F16" s="85" t="s">
        <v>305</v>
      </c>
      <c r="G16" s="11">
        <v>640</v>
      </c>
      <c r="H16" s="11">
        <v>60.16</v>
      </c>
      <c r="I16" s="11">
        <v>5.66</v>
      </c>
    </row>
    <row r="17" spans="2:9" x14ac:dyDescent="0.15">
      <c r="B17" s="11">
        <v>9</v>
      </c>
      <c r="C17" s="11">
        <v>0.01</v>
      </c>
      <c r="D17" s="11">
        <v>8.5000000000000006E-2</v>
      </c>
      <c r="E17" s="11">
        <v>3.8</v>
      </c>
      <c r="F17" s="85" t="s">
        <v>306</v>
      </c>
      <c r="G17" s="11">
        <v>454</v>
      </c>
      <c r="H17" s="11">
        <v>38.590000000000003</v>
      </c>
      <c r="I17" s="11">
        <v>3.28</v>
      </c>
    </row>
    <row r="18" spans="2:9" x14ac:dyDescent="0.15">
      <c r="B18" s="11">
        <v>8</v>
      </c>
      <c r="C18" s="11">
        <v>1.0999999999999999E-2</v>
      </c>
      <c r="D18" s="11">
        <v>7.4999999999999997E-2</v>
      </c>
      <c r="E18" s="11">
        <v>3.8</v>
      </c>
      <c r="F18" s="85" t="s">
        <v>307</v>
      </c>
      <c r="G18" s="11">
        <v>455</v>
      </c>
      <c r="H18" s="11">
        <v>34.130000000000003</v>
      </c>
      <c r="I18" s="11">
        <v>2.56</v>
      </c>
    </row>
    <row r="19" spans="2:9" x14ac:dyDescent="0.15">
      <c r="B19" s="11">
        <v>7</v>
      </c>
      <c r="C19" s="11">
        <v>1.0999999999999999E-2</v>
      </c>
      <c r="D19" s="11">
        <v>6.4000000000000001E-2</v>
      </c>
      <c r="E19" s="11">
        <v>3.8</v>
      </c>
      <c r="F19" s="85" t="s">
        <v>307</v>
      </c>
      <c r="G19" s="11">
        <v>460</v>
      </c>
      <c r="H19" s="11">
        <v>29.44</v>
      </c>
      <c r="I19" s="11">
        <v>1.88</v>
      </c>
    </row>
    <row r="20" spans="2:9" x14ac:dyDescent="0.15">
      <c r="B20" s="11">
        <v>6</v>
      </c>
      <c r="C20" s="11">
        <v>0.01</v>
      </c>
      <c r="D20" s="11">
        <v>5.2999999999999999E-2</v>
      </c>
      <c r="E20" s="11">
        <v>3.8</v>
      </c>
      <c r="F20" s="85" t="s">
        <v>306</v>
      </c>
      <c r="G20" s="11">
        <v>467</v>
      </c>
      <c r="H20" s="11">
        <v>24.75</v>
      </c>
      <c r="I20" s="11">
        <v>1.31</v>
      </c>
    </row>
    <row r="21" spans="2:9" x14ac:dyDescent="0.15">
      <c r="B21" s="11">
        <v>5</v>
      </c>
      <c r="C21" s="11">
        <v>0.01</v>
      </c>
      <c r="D21" s="11">
        <v>4.2999999999999997E-2</v>
      </c>
      <c r="E21" s="11">
        <v>3.8</v>
      </c>
      <c r="F21" s="85" t="s">
        <v>306</v>
      </c>
      <c r="G21" s="11">
        <v>469</v>
      </c>
      <c r="H21" s="11">
        <v>20.170000000000002</v>
      </c>
      <c r="I21" s="11">
        <v>0.87</v>
      </c>
    </row>
    <row r="22" spans="2:9" x14ac:dyDescent="0.15">
      <c r="B22" s="11">
        <v>4</v>
      </c>
      <c r="C22" s="11">
        <v>8.9999999999999993E-3</v>
      </c>
      <c r="D22" s="11">
        <v>3.3000000000000002E-2</v>
      </c>
      <c r="E22" s="11">
        <v>3.8</v>
      </c>
      <c r="F22" s="85" t="s">
        <v>305</v>
      </c>
      <c r="G22" s="11">
        <v>471</v>
      </c>
      <c r="H22" s="11">
        <v>15.54</v>
      </c>
      <c r="I22" s="11">
        <v>0.51</v>
      </c>
    </row>
    <row r="23" spans="2:9" x14ac:dyDescent="0.15">
      <c r="B23" s="11">
        <v>3</v>
      </c>
      <c r="C23" s="11">
        <v>8.0000000000000002E-3</v>
      </c>
      <c r="D23" s="11">
        <v>2.4E-2</v>
      </c>
      <c r="E23" s="11">
        <v>3.8</v>
      </c>
      <c r="F23" s="85" t="s">
        <v>308</v>
      </c>
      <c r="G23" s="11">
        <v>475</v>
      </c>
      <c r="H23" s="11">
        <v>11.4</v>
      </c>
      <c r="I23" s="11">
        <v>0.27</v>
      </c>
    </row>
    <row r="24" spans="2:9" x14ac:dyDescent="0.15">
      <c r="B24" s="11">
        <v>2</v>
      </c>
      <c r="C24" s="11">
        <v>8.0000000000000002E-3</v>
      </c>
      <c r="D24" s="11">
        <v>1.6E-2</v>
      </c>
      <c r="E24" s="11">
        <v>3.8</v>
      </c>
      <c r="F24" s="85" t="s">
        <v>308</v>
      </c>
      <c r="G24" s="11">
        <v>477</v>
      </c>
      <c r="H24" s="11">
        <v>7.63</v>
      </c>
      <c r="I24" s="11">
        <v>0.12</v>
      </c>
    </row>
    <row r="25" spans="2:9" x14ac:dyDescent="0.15">
      <c r="B25" s="11">
        <v>1</v>
      </c>
      <c r="C25" s="11">
        <v>8.0000000000000002E-3</v>
      </c>
      <c r="D25" s="11">
        <v>8.0000000000000002E-3</v>
      </c>
      <c r="E25" s="11">
        <v>4.7300000000000004</v>
      </c>
      <c r="F25" s="85" t="s">
        <v>309</v>
      </c>
      <c r="G25" s="11">
        <v>481</v>
      </c>
      <c r="H25" s="11">
        <v>3.85</v>
      </c>
      <c r="I25" s="11">
        <v>0.03</v>
      </c>
    </row>
    <row r="26" spans="2:9" x14ac:dyDescent="0.15">
      <c r="B26" s="11"/>
      <c r="C26" s="11"/>
      <c r="E26" s="11"/>
      <c r="G26" s="11">
        <v>0</v>
      </c>
      <c r="H26" s="11">
        <v>273.02</v>
      </c>
      <c r="I26" s="11">
        <v>19.48</v>
      </c>
    </row>
    <row r="27" spans="2:9" x14ac:dyDescent="0.15">
      <c r="B27" s="11"/>
      <c r="C27" s="11"/>
      <c r="E27" s="11"/>
      <c r="G27" s="11"/>
    </row>
    <row r="28" spans="2:9" x14ac:dyDescent="0.15">
      <c r="B28" s="11"/>
      <c r="C28" s="11" t="s">
        <v>313</v>
      </c>
      <c r="E28" s="11"/>
      <c r="G28" s="11"/>
    </row>
    <row r="29" spans="2:9" x14ac:dyDescent="0.15">
      <c r="B29" s="11"/>
      <c r="C29" s="11"/>
      <c r="E29" s="11"/>
      <c r="G29" s="11"/>
    </row>
    <row r="30" spans="2:9" x14ac:dyDescent="0.15">
      <c r="B30" s="11"/>
      <c r="C30" s="11" t="s">
        <v>314</v>
      </c>
      <c r="E30" s="11"/>
      <c r="G30" s="11"/>
    </row>
    <row r="31" spans="2:9" x14ac:dyDescent="0.15">
      <c r="B31" s="11"/>
      <c r="C31" s="11"/>
      <c r="E31" s="11"/>
      <c r="G31" s="11"/>
    </row>
    <row r="32" spans="2:9" x14ac:dyDescent="0.15">
      <c r="B32" s="11"/>
      <c r="C32" s="11" t="s">
        <v>317</v>
      </c>
      <c r="E32" s="11"/>
      <c r="G32" s="11"/>
    </row>
    <row r="33" spans="2:9" x14ac:dyDescent="0.15">
      <c r="B33" s="11"/>
      <c r="C33" s="11"/>
      <c r="E33" s="11"/>
      <c r="G33" s="11"/>
    </row>
    <row r="34" spans="2:9" x14ac:dyDescent="0.15">
      <c r="B34" s="11"/>
      <c r="C34" s="11"/>
      <c r="E34" s="11"/>
      <c r="G34" s="11"/>
    </row>
    <row r="35" spans="2:9" x14ac:dyDescent="0.15">
      <c r="B35" s="11" t="s">
        <v>302</v>
      </c>
      <c r="C35" s="11" t="s">
        <v>303</v>
      </c>
      <c r="D35" s="11" t="s">
        <v>127</v>
      </c>
      <c r="E35" s="11" t="s">
        <v>3</v>
      </c>
      <c r="F35" s="11" t="s">
        <v>128</v>
      </c>
      <c r="G35" s="11" t="s">
        <v>46</v>
      </c>
      <c r="H35" s="11" t="s">
        <v>47</v>
      </c>
      <c r="I35" s="11" t="s">
        <v>48</v>
      </c>
    </row>
    <row r="36" spans="2:9" x14ac:dyDescent="0.15">
      <c r="B36" s="11"/>
      <c r="C36" s="11" t="s">
        <v>6</v>
      </c>
      <c r="D36" s="11" t="s">
        <v>129</v>
      </c>
      <c r="E36" s="11" t="s">
        <v>2</v>
      </c>
      <c r="G36" s="11" t="s">
        <v>7</v>
      </c>
    </row>
    <row r="37" spans="2:9" x14ac:dyDescent="0.15">
      <c r="B37" s="11">
        <v>11</v>
      </c>
      <c r="C37" s="11">
        <v>1.2999999999999999E-2</v>
      </c>
      <c r="D37" s="11">
        <v>0.11799999999999999</v>
      </c>
      <c r="E37" s="11">
        <v>5.07</v>
      </c>
      <c r="F37" s="85" t="s">
        <v>310</v>
      </c>
      <c r="G37" s="11">
        <v>251</v>
      </c>
      <c r="H37" s="11">
        <v>29.62</v>
      </c>
      <c r="I37" s="11">
        <v>3.49</v>
      </c>
    </row>
    <row r="38" spans="2:9" x14ac:dyDescent="0.15">
      <c r="B38" s="11">
        <v>10</v>
      </c>
      <c r="C38" s="11">
        <v>8.9999999999999993E-3</v>
      </c>
      <c r="D38" s="11">
        <v>0.105</v>
      </c>
      <c r="E38" s="11">
        <v>3.8</v>
      </c>
      <c r="F38" s="85" t="s">
        <v>305</v>
      </c>
      <c r="G38" s="11">
        <v>640</v>
      </c>
      <c r="H38" s="11">
        <v>67.2</v>
      </c>
      <c r="I38" s="11">
        <v>7.06</v>
      </c>
    </row>
    <row r="39" spans="2:9" x14ac:dyDescent="0.15">
      <c r="B39" s="11">
        <v>9</v>
      </c>
      <c r="C39" s="11">
        <v>1.0999999999999999E-2</v>
      </c>
      <c r="D39" s="11">
        <v>9.6000000000000002E-2</v>
      </c>
      <c r="E39" s="11">
        <v>3.8</v>
      </c>
      <c r="F39" s="85" t="s">
        <v>307</v>
      </c>
      <c r="G39" s="11">
        <v>454</v>
      </c>
      <c r="H39" s="11">
        <v>43.58</v>
      </c>
      <c r="I39" s="11">
        <v>4.18</v>
      </c>
    </row>
    <row r="40" spans="2:9" x14ac:dyDescent="0.15">
      <c r="B40" s="11">
        <v>8</v>
      </c>
      <c r="C40" s="11">
        <v>1.2E-2</v>
      </c>
      <c r="D40" s="11">
        <v>8.5000000000000006E-2</v>
      </c>
      <c r="E40" s="11">
        <v>3.8</v>
      </c>
      <c r="F40" s="85" t="s">
        <v>311</v>
      </c>
      <c r="G40" s="11">
        <v>455</v>
      </c>
      <c r="H40" s="11">
        <v>38.68</v>
      </c>
      <c r="I40" s="11">
        <v>3.29</v>
      </c>
    </row>
    <row r="41" spans="2:9" x14ac:dyDescent="0.15">
      <c r="B41" s="11">
        <v>7</v>
      </c>
      <c r="C41" s="11">
        <v>1.0999999999999999E-2</v>
      </c>
      <c r="D41" s="11">
        <v>7.2999999999999995E-2</v>
      </c>
      <c r="E41" s="11">
        <v>3.8</v>
      </c>
      <c r="F41" s="85" t="s">
        <v>307</v>
      </c>
      <c r="G41" s="11">
        <v>460</v>
      </c>
      <c r="H41" s="11">
        <v>33.58</v>
      </c>
      <c r="I41" s="11">
        <v>2.4500000000000002</v>
      </c>
    </row>
    <row r="42" spans="2:9" x14ac:dyDescent="0.15">
      <c r="B42" s="11">
        <v>6</v>
      </c>
      <c r="C42" s="11">
        <v>0.01</v>
      </c>
      <c r="D42" s="11">
        <v>6.2E-2</v>
      </c>
      <c r="E42" s="11">
        <v>3.8</v>
      </c>
      <c r="F42" s="85" t="s">
        <v>306</v>
      </c>
      <c r="G42" s="11">
        <v>467</v>
      </c>
      <c r="H42" s="11">
        <v>28.95</v>
      </c>
      <c r="I42" s="11">
        <v>1.8</v>
      </c>
    </row>
    <row r="43" spans="2:9" x14ac:dyDescent="0.15">
      <c r="B43" s="11">
        <v>5</v>
      </c>
      <c r="C43" s="11">
        <v>0.01</v>
      </c>
      <c r="D43" s="11">
        <v>5.1999999999999998E-2</v>
      </c>
      <c r="E43" s="11">
        <v>3.8</v>
      </c>
      <c r="F43" s="85" t="s">
        <v>306</v>
      </c>
      <c r="G43" s="11">
        <v>469</v>
      </c>
      <c r="H43" s="11">
        <v>24.39</v>
      </c>
      <c r="I43" s="11">
        <v>1.27</v>
      </c>
    </row>
    <row r="44" spans="2:9" x14ac:dyDescent="0.15">
      <c r="B44" s="11">
        <v>4</v>
      </c>
      <c r="C44" s="11">
        <v>0.01</v>
      </c>
      <c r="D44" s="11">
        <v>4.2000000000000003E-2</v>
      </c>
      <c r="E44" s="11">
        <v>3.8</v>
      </c>
      <c r="F44" s="85" t="s">
        <v>306</v>
      </c>
      <c r="G44" s="11">
        <v>471</v>
      </c>
      <c r="H44" s="11">
        <v>19.78</v>
      </c>
      <c r="I44" s="11">
        <v>0.83</v>
      </c>
    </row>
    <row r="45" spans="2:9" x14ac:dyDescent="0.15">
      <c r="B45" s="11">
        <v>3</v>
      </c>
      <c r="C45" s="11">
        <v>0.01</v>
      </c>
      <c r="D45" s="11">
        <v>3.2000000000000001E-2</v>
      </c>
      <c r="E45" s="11">
        <v>3.8</v>
      </c>
      <c r="F45" s="85" t="s">
        <v>306</v>
      </c>
      <c r="G45" s="11">
        <v>475</v>
      </c>
      <c r="H45" s="11">
        <v>15.2</v>
      </c>
      <c r="I45" s="11">
        <v>0.49</v>
      </c>
    </row>
    <row r="46" spans="2:9" x14ac:dyDescent="0.15">
      <c r="B46" s="11">
        <v>2</v>
      </c>
      <c r="C46" s="11">
        <v>0.01</v>
      </c>
      <c r="D46" s="11">
        <v>2.1999999999999999E-2</v>
      </c>
      <c r="E46" s="11">
        <v>3.8</v>
      </c>
      <c r="F46" s="85" t="s">
        <v>306</v>
      </c>
      <c r="G46" s="11">
        <v>477</v>
      </c>
      <c r="H46" s="11">
        <v>10.49</v>
      </c>
      <c r="I46" s="11">
        <v>0.23</v>
      </c>
    </row>
    <row r="47" spans="2:9" x14ac:dyDescent="0.15">
      <c r="B47" s="11">
        <v>1</v>
      </c>
      <c r="C47" s="11">
        <v>1.2E-2</v>
      </c>
      <c r="D47" s="11">
        <v>1.2E-2</v>
      </c>
      <c r="E47" s="11">
        <v>4.7300000000000004</v>
      </c>
      <c r="F47" s="85" t="s">
        <v>312</v>
      </c>
      <c r="G47" s="11">
        <v>481</v>
      </c>
      <c r="H47" s="11">
        <v>5.77</v>
      </c>
      <c r="I47" s="11">
        <v>7.0000000000000007E-2</v>
      </c>
    </row>
    <row r="48" spans="2:9" x14ac:dyDescent="0.15">
      <c r="B48" s="11"/>
      <c r="C48" s="11"/>
      <c r="E48" s="11"/>
      <c r="G48" s="11">
        <v>0</v>
      </c>
      <c r="H48" s="11">
        <v>317.25</v>
      </c>
      <c r="I48" s="11">
        <v>25.15</v>
      </c>
    </row>
    <row r="49" spans="3:3" s="11" customFormat="1" x14ac:dyDescent="0.15"/>
    <row r="50" spans="3:3" s="11" customFormat="1" x14ac:dyDescent="0.15">
      <c r="C50" s="11" t="s">
        <v>315</v>
      </c>
    </row>
    <row r="51" spans="3:3" s="11" customFormat="1" x14ac:dyDescent="0.15"/>
    <row r="52" spans="3:3" s="11" customFormat="1" x14ac:dyDescent="0.15">
      <c r="C52" s="11" t="s">
        <v>316</v>
      </c>
    </row>
    <row r="53" spans="3:3" s="11" customFormat="1" x14ac:dyDescent="0.15"/>
    <row r="54" spans="3:3" s="11" customFormat="1" x14ac:dyDescent="0.15">
      <c r="C54" s="11" t="s">
        <v>318</v>
      </c>
    </row>
    <row r="55" spans="3:3" s="11" customFormat="1" x14ac:dyDescent="0.15"/>
    <row r="56" spans="3:3" s="11" customFormat="1" x14ac:dyDescent="0.15"/>
    <row r="57" spans="3:3" s="11" customFormat="1" x14ac:dyDescent="0.15"/>
    <row r="58" spans="3:3" s="11" customFormat="1" x14ac:dyDescent="0.15"/>
    <row r="59" spans="3:3" s="11" customFormat="1" x14ac:dyDescent="0.15"/>
    <row r="60" spans="3:3" s="11" customFormat="1" x14ac:dyDescent="0.15"/>
    <row r="61" spans="3:3" s="11" customFormat="1" x14ac:dyDescent="0.15"/>
    <row r="62" spans="3:3" s="11" customFormat="1" x14ac:dyDescent="0.15"/>
    <row r="63" spans="3:3" s="11" customFormat="1" x14ac:dyDescent="0.15"/>
    <row r="64" spans="3:3" s="11" customFormat="1" x14ac:dyDescent="0.15"/>
    <row r="65" s="11" customFormat="1" x14ac:dyDescent="0.15"/>
    <row r="66" s="11" customFormat="1" x14ac:dyDescent="0.15"/>
    <row r="67" s="11" customFormat="1" x14ac:dyDescent="0.15"/>
    <row r="68" s="11" customFormat="1" x14ac:dyDescent="0.15"/>
    <row r="69" s="11" customFormat="1" x14ac:dyDescent="0.15"/>
    <row r="70" s="11" customFormat="1" x14ac:dyDescent="0.15"/>
    <row r="71" s="11" customFormat="1" x14ac:dyDescent="0.15"/>
    <row r="72" s="11" customFormat="1" x14ac:dyDescent="0.15"/>
    <row r="73" s="11" customFormat="1" x14ac:dyDescent="0.15"/>
    <row r="74" s="11" customFormat="1" x14ac:dyDescent="0.15"/>
    <row r="75" s="11" customFormat="1" x14ac:dyDescent="0.15"/>
    <row r="76" s="11" customFormat="1" x14ac:dyDescent="0.15"/>
    <row r="77" s="11" customFormat="1" x14ac:dyDescent="0.15"/>
    <row r="78" s="11" customFormat="1" x14ac:dyDescent="0.15"/>
    <row r="79" s="11" customFormat="1" x14ac:dyDescent="0.15"/>
    <row r="80" s="11" customFormat="1" x14ac:dyDescent="0.15"/>
    <row r="81" s="11" customFormat="1" x14ac:dyDescent="0.15"/>
    <row r="82" s="11" customFormat="1" x14ac:dyDescent="0.15"/>
    <row r="83" s="11" customFormat="1" x14ac:dyDescent="0.15"/>
    <row r="84" s="11" customFormat="1" x14ac:dyDescent="0.15"/>
    <row r="85" s="11" customFormat="1" x14ac:dyDescent="0.15"/>
    <row r="86" s="11" customFormat="1" x14ac:dyDescent="0.15"/>
    <row r="87" s="11" customFormat="1" x14ac:dyDescent="0.15"/>
    <row r="88" s="11" customFormat="1" x14ac:dyDescent="0.15"/>
    <row r="89" s="11" customFormat="1" x14ac:dyDescent="0.15"/>
    <row r="90" s="11" customFormat="1" x14ac:dyDescent="0.15"/>
    <row r="91" s="11" customFormat="1" x14ac:dyDescent="0.15"/>
    <row r="92" s="11" customFormat="1" x14ac:dyDescent="0.15"/>
    <row r="93" s="11" customFormat="1" x14ac:dyDescent="0.15"/>
    <row r="94" s="11" customFormat="1" x14ac:dyDescent="0.15"/>
    <row r="95" s="11" customFormat="1" x14ac:dyDescent="0.15"/>
    <row r="96" s="11" customFormat="1" x14ac:dyDescent="0.15"/>
    <row r="97" s="11" customFormat="1" x14ac:dyDescent="0.15"/>
    <row r="98" s="11" customFormat="1" x14ac:dyDescent="0.15"/>
    <row r="99" s="11" customFormat="1" x14ac:dyDescent="0.15"/>
    <row r="100" s="11" customFormat="1" x14ac:dyDescent="0.15"/>
  </sheetData>
  <phoneticPr fontId="2"/>
  <pageMargins left="0.25" right="0.25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FAEE2-CCD6-440D-9AD8-5CE7611EE841}">
  <sheetPr codeName="Sheet23"/>
  <dimension ref="A1:GR266"/>
  <sheetViews>
    <sheetView zoomScaleNormal="100" workbookViewId="0">
      <selection activeCell="J20" sqref="J20"/>
    </sheetView>
  </sheetViews>
  <sheetFormatPr defaultColWidth="17.85546875" defaultRowHeight="14.25" x14ac:dyDescent="0.15"/>
  <cols>
    <col min="1" max="1" width="5.28515625" style="65" customWidth="1"/>
    <col min="2" max="3" width="9.85546875" style="65" customWidth="1"/>
    <col min="4" max="4" width="11" style="65" customWidth="1"/>
    <col min="5" max="8" width="9.85546875" style="65" customWidth="1"/>
    <col min="9" max="17" width="8.7109375" style="65" customWidth="1"/>
    <col min="18" max="18" width="11" style="65" customWidth="1"/>
    <col min="19" max="19" width="17.42578125" style="65" customWidth="1"/>
    <col min="20" max="54" width="11" style="65" customWidth="1"/>
    <col min="55" max="256" width="17.85546875" style="65"/>
    <col min="257" max="257" width="5.28515625" style="65" customWidth="1"/>
    <col min="258" max="310" width="11" style="65" customWidth="1"/>
    <col min="311" max="512" width="17.85546875" style="65"/>
    <col min="513" max="513" width="5.28515625" style="65" customWidth="1"/>
    <col min="514" max="566" width="11" style="65" customWidth="1"/>
    <col min="567" max="768" width="17.85546875" style="65"/>
    <col min="769" max="769" width="5.28515625" style="65" customWidth="1"/>
    <col min="770" max="822" width="11" style="65" customWidth="1"/>
    <col min="823" max="1024" width="17.85546875" style="65"/>
    <col min="1025" max="1025" width="5.28515625" style="65" customWidth="1"/>
    <col min="1026" max="1078" width="11" style="65" customWidth="1"/>
    <col min="1079" max="1280" width="17.85546875" style="65"/>
    <col min="1281" max="1281" width="5.28515625" style="65" customWidth="1"/>
    <col min="1282" max="1334" width="11" style="65" customWidth="1"/>
    <col min="1335" max="1536" width="17.85546875" style="65"/>
    <col min="1537" max="1537" width="5.28515625" style="65" customWidth="1"/>
    <col min="1538" max="1590" width="11" style="65" customWidth="1"/>
    <col min="1591" max="1792" width="17.85546875" style="65"/>
    <col min="1793" max="1793" width="5.28515625" style="65" customWidth="1"/>
    <col min="1794" max="1846" width="11" style="65" customWidth="1"/>
    <col min="1847" max="2048" width="17.85546875" style="65"/>
    <col min="2049" max="2049" width="5.28515625" style="65" customWidth="1"/>
    <col min="2050" max="2102" width="11" style="65" customWidth="1"/>
    <col min="2103" max="2304" width="17.85546875" style="65"/>
    <col min="2305" max="2305" width="5.28515625" style="65" customWidth="1"/>
    <col min="2306" max="2358" width="11" style="65" customWidth="1"/>
    <col min="2359" max="2560" width="17.85546875" style="65"/>
    <col min="2561" max="2561" width="5.28515625" style="65" customWidth="1"/>
    <col min="2562" max="2614" width="11" style="65" customWidth="1"/>
    <col min="2615" max="2816" width="17.85546875" style="65"/>
    <col min="2817" max="2817" width="5.28515625" style="65" customWidth="1"/>
    <col min="2818" max="2870" width="11" style="65" customWidth="1"/>
    <col min="2871" max="3072" width="17.85546875" style="65"/>
    <col min="3073" max="3073" width="5.28515625" style="65" customWidth="1"/>
    <col min="3074" max="3126" width="11" style="65" customWidth="1"/>
    <col min="3127" max="3328" width="17.85546875" style="65"/>
    <col min="3329" max="3329" width="5.28515625" style="65" customWidth="1"/>
    <col min="3330" max="3382" width="11" style="65" customWidth="1"/>
    <col min="3383" max="3584" width="17.85546875" style="65"/>
    <col min="3585" max="3585" width="5.28515625" style="65" customWidth="1"/>
    <col min="3586" max="3638" width="11" style="65" customWidth="1"/>
    <col min="3639" max="3840" width="17.85546875" style="65"/>
    <col min="3841" max="3841" width="5.28515625" style="65" customWidth="1"/>
    <col min="3842" max="3894" width="11" style="65" customWidth="1"/>
    <col min="3895" max="4096" width="17.85546875" style="65"/>
    <col min="4097" max="4097" width="5.28515625" style="65" customWidth="1"/>
    <col min="4098" max="4150" width="11" style="65" customWidth="1"/>
    <col min="4151" max="4352" width="17.85546875" style="65"/>
    <col min="4353" max="4353" width="5.28515625" style="65" customWidth="1"/>
    <col min="4354" max="4406" width="11" style="65" customWidth="1"/>
    <col min="4407" max="4608" width="17.85546875" style="65"/>
    <col min="4609" max="4609" width="5.28515625" style="65" customWidth="1"/>
    <col min="4610" max="4662" width="11" style="65" customWidth="1"/>
    <col min="4663" max="4864" width="17.85546875" style="65"/>
    <col min="4865" max="4865" width="5.28515625" style="65" customWidth="1"/>
    <col min="4866" max="4918" width="11" style="65" customWidth="1"/>
    <col min="4919" max="5120" width="17.85546875" style="65"/>
    <col min="5121" max="5121" width="5.28515625" style="65" customWidth="1"/>
    <col min="5122" max="5174" width="11" style="65" customWidth="1"/>
    <col min="5175" max="5376" width="17.85546875" style="65"/>
    <col min="5377" max="5377" width="5.28515625" style="65" customWidth="1"/>
    <col min="5378" max="5430" width="11" style="65" customWidth="1"/>
    <col min="5431" max="5632" width="17.85546875" style="65"/>
    <col min="5633" max="5633" width="5.28515625" style="65" customWidth="1"/>
    <col min="5634" max="5686" width="11" style="65" customWidth="1"/>
    <col min="5687" max="5888" width="17.85546875" style="65"/>
    <col min="5889" max="5889" width="5.28515625" style="65" customWidth="1"/>
    <col min="5890" max="5942" width="11" style="65" customWidth="1"/>
    <col min="5943" max="6144" width="17.85546875" style="65"/>
    <col min="6145" max="6145" width="5.28515625" style="65" customWidth="1"/>
    <col min="6146" max="6198" width="11" style="65" customWidth="1"/>
    <col min="6199" max="6400" width="17.85546875" style="65"/>
    <col min="6401" max="6401" width="5.28515625" style="65" customWidth="1"/>
    <col min="6402" max="6454" width="11" style="65" customWidth="1"/>
    <col min="6455" max="6656" width="17.85546875" style="65"/>
    <col min="6657" max="6657" width="5.28515625" style="65" customWidth="1"/>
    <col min="6658" max="6710" width="11" style="65" customWidth="1"/>
    <col min="6711" max="6912" width="17.85546875" style="65"/>
    <col min="6913" max="6913" width="5.28515625" style="65" customWidth="1"/>
    <col min="6914" max="6966" width="11" style="65" customWidth="1"/>
    <col min="6967" max="7168" width="17.85546875" style="65"/>
    <col min="7169" max="7169" width="5.28515625" style="65" customWidth="1"/>
    <col min="7170" max="7222" width="11" style="65" customWidth="1"/>
    <col min="7223" max="7424" width="17.85546875" style="65"/>
    <col min="7425" max="7425" width="5.28515625" style="65" customWidth="1"/>
    <col min="7426" max="7478" width="11" style="65" customWidth="1"/>
    <col min="7479" max="7680" width="17.85546875" style="65"/>
    <col min="7681" max="7681" width="5.28515625" style="65" customWidth="1"/>
    <col min="7682" max="7734" width="11" style="65" customWidth="1"/>
    <col min="7735" max="7936" width="17.85546875" style="65"/>
    <col min="7937" max="7937" width="5.28515625" style="65" customWidth="1"/>
    <col min="7938" max="7990" width="11" style="65" customWidth="1"/>
    <col min="7991" max="8192" width="17.85546875" style="65"/>
    <col min="8193" max="8193" width="5.28515625" style="65" customWidth="1"/>
    <col min="8194" max="8246" width="11" style="65" customWidth="1"/>
    <col min="8247" max="8448" width="17.85546875" style="65"/>
    <col min="8449" max="8449" width="5.28515625" style="65" customWidth="1"/>
    <col min="8450" max="8502" width="11" style="65" customWidth="1"/>
    <col min="8503" max="8704" width="17.85546875" style="65"/>
    <col min="8705" max="8705" width="5.28515625" style="65" customWidth="1"/>
    <col min="8706" max="8758" width="11" style="65" customWidth="1"/>
    <col min="8759" max="8960" width="17.85546875" style="65"/>
    <col min="8961" max="8961" width="5.28515625" style="65" customWidth="1"/>
    <col min="8962" max="9014" width="11" style="65" customWidth="1"/>
    <col min="9015" max="9216" width="17.85546875" style="65"/>
    <col min="9217" max="9217" width="5.28515625" style="65" customWidth="1"/>
    <col min="9218" max="9270" width="11" style="65" customWidth="1"/>
    <col min="9271" max="9472" width="17.85546875" style="65"/>
    <col min="9473" max="9473" width="5.28515625" style="65" customWidth="1"/>
    <col min="9474" max="9526" width="11" style="65" customWidth="1"/>
    <col min="9527" max="9728" width="17.85546875" style="65"/>
    <col min="9729" max="9729" width="5.28515625" style="65" customWidth="1"/>
    <col min="9730" max="9782" width="11" style="65" customWidth="1"/>
    <col min="9783" max="9984" width="17.85546875" style="65"/>
    <col min="9985" max="9985" width="5.28515625" style="65" customWidth="1"/>
    <col min="9986" max="10038" width="11" style="65" customWidth="1"/>
    <col min="10039" max="10240" width="17.85546875" style="65"/>
    <col min="10241" max="10241" width="5.28515625" style="65" customWidth="1"/>
    <col min="10242" max="10294" width="11" style="65" customWidth="1"/>
    <col min="10295" max="10496" width="17.85546875" style="65"/>
    <col min="10497" max="10497" width="5.28515625" style="65" customWidth="1"/>
    <col min="10498" max="10550" width="11" style="65" customWidth="1"/>
    <col min="10551" max="10752" width="17.85546875" style="65"/>
    <col min="10753" max="10753" width="5.28515625" style="65" customWidth="1"/>
    <col min="10754" max="10806" width="11" style="65" customWidth="1"/>
    <col min="10807" max="11008" width="17.85546875" style="65"/>
    <col min="11009" max="11009" width="5.28515625" style="65" customWidth="1"/>
    <col min="11010" max="11062" width="11" style="65" customWidth="1"/>
    <col min="11063" max="11264" width="17.85546875" style="65"/>
    <col min="11265" max="11265" width="5.28515625" style="65" customWidth="1"/>
    <col min="11266" max="11318" width="11" style="65" customWidth="1"/>
    <col min="11319" max="11520" width="17.85546875" style="65"/>
    <col min="11521" max="11521" width="5.28515625" style="65" customWidth="1"/>
    <col min="11522" max="11574" width="11" style="65" customWidth="1"/>
    <col min="11575" max="11776" width="17.85546875" style="65"/>
    <col min="11777" max="11777" width="5.28515625" style="65" customWidth="1"/>
    <col min="11778" max="11830" width="11" style="65" customWidth="1"/>
    <col min="11831" max="12032" width="17.85546875" style="65"/>
    <col min="12033" max="12033" width="5.28515625" style="65" customWidth="1"/>
    <col min="12034" max="12086" width="11" style="65" customWidth="1"/>
    <col min="12087" max="12288" width="17.85546875" style="65"/>
    <col min="12289" max="12289" width="5.28515625" style="65" customWidth="1"/>
    <col min="12290" max="12342" width="11" style="65" customWidth="1"/>
    <col min="12343" max="12544" width="17.85546875" style="65"/>
    <col min="12545" max="12545" width="5.28515625" style="65" customWidth="1"/>
    <col min="12546" max="12598" width="11" style="65" customWidth="1"/>
    <col min="12599" max="12800" width="17.85546875" style="65"/>
    <col min="12801" max="12801" width="5.28515625" style="65" customWidth="1"/>
    <col min="12802" max="12854" width="11" style="65" customWidth="1"/>
    <col min="12855" max="13056" width="17.85546875" style="65"/>
    <col min="13057" max="13057" width="5.28515625" style="65" customWidth="1"/>
    <col min="13058" max="13110" width="11" style="65" customWidth="1"/>
    <col min="13111" max="13312" width="17.85546875" style="65"/>
    <col min="13313" max="13313" width="5.28515625" style="65" customWidth="1"/>
    <col min="13314" max="13366" width="11" style="65" customWidth="1"/>
    <col min="13367" max="13568" width="17.85546875" style="65"/>
    <col min="13569" max="13569" width="5.28515625" style="65" customWidth="1"/>
    <col min="13570" max="13622" width="11" style="65" customWidth="1"/>
    <col min="13623" max="13824" width="17.85546875" style="65"/>
    <col min="13825" max="13825" width="5.28515625" style="65" customWidth="1"/>
    <col min="13826" max="13878" width="11" style="65" customWidth="1"/>
    <col min="13879" max="14080" width="17.85546875" style="65"/>
    <col min="14081" max="14081" width="5.28515625" style="65" customWidth="1"/>
    <col min="14082" max="14134" width="11" style="65" customWidth="1"/>
    <col min="14135" max="14336" width="17.85546875" style="65"/>
    <col min="14337" max="14337" width="5.28515625" style="65" customWidth="1"/>
    <col min="14338" max="14390" width="11" style="65" customWidth="1"/>
    <col min="14391" max="14592" width="17.85546875" style="65"/>
    <col min="14593" max="14593" width="5.28515625" style="65" customWidth="1"/>
    <col min="14594" max="14646" width="11" style="65" customWidth="1"/>
    <col min="14647" max="14848" width="17.85546875" style="65"/>
    <col min="14849" max="14849" width="5.28515625" style="65" customWidth="1"/>
    <col min="14850" max="14902" width="11" style="65" customWidth="1"/>
    <col min="14903" max="15104" width="17.85546875" style="65"/>
    <col min="15105" max="15105" width="5.28515625" style="65" customWidth="1"/>
    <col min="15106" max="15158" width="11" style="65" customWidth="1"/>
    <col min="15159" max="15360" width="17.85546875" style="65"/>
    <col min="15361" max="15361" width="5.28515625" style="65" customWidth="1"/>
    <col min="15362" max="15414" width="11" style="65" customWidth="1"/>
    <col min="15415" max="15616" width="17.85546875" style="65"/>
    <col min="15617" max="15617" width="5.28515625" style="65" customWidth="1"/>
    <col min="15618" max="15670" width="11" style="65" customWidth="1"/>
    <col min="15671" max="15872" width="17.85546875" style="65"/>
    <col min="15873" max="15873" width="5.28515625" style="65" customWidth="1"/>
    <col min="15874" max="15926" width="11" style="65" customWidth="1"/>
    <col min="15927" max="16128" width="17.85546875" style="65"/>
    <col min="16129" max="16129" width="5.28515625" style="65" customWidth="1"/>
    <col min="16130" max="16182" width="11" style="65" customWidth="1"/>
    <col min="16183" max="16384" width="17.85546875" style="65"/>
  </cols>
  <sheetData>
    <row r="1" spans="1:200" x14ac:dyDescent="0.15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15">
      <c r="B2" s="65" t="s">
        <v>244</v>
      </c>
      <c r="L2" s="65" t="s">
        <v>291</v>
      </c>
    </row>
    <row r="4" spans="1:200" x14ac:dyDescent="0.15">
      <c r="B4" s="82" t="s">
        <v>0</v>
      </c>
      <c r="C4" s="82" t="s">
        <v>165</v>
      </c>
      <c r="D4" s="82" t="s">
        <v>172</v>
      </c>
      <c r="E4" s="82" t="s">
        <v>287</v>
      </c>
      <c r="F4" s="82" t="s">
        <v>288</v>
      </c>
      <c r="G4" s="82" t="s">
        <v>161</v>
      </c>
      <c r="L4" s="80" t="s">
        <v>298</v>
      </c>
      <c r="M4" s="81">
        <f>+C5</f>
        <v>1.2359999418258667</v>
      </c>
    </row>
    <row r="5" spans="1:200" x14ac:dyDescent="0.15">
      <c r="B5" s="82">
        <f>損傷限界固有周期!E5</f>
        <v>11</v>
      </c>
      <c r="C5" s="86">
        <f>損傷限界固有周期!H9</f>
        <v>1.2359999418258667</v>
      </c>
      <c r="D5" s="86">
        <f>損傷限界固有周期!H10</f>
        <v>1.3940000534057617</v>
      </c>
      <c r="E5" s="82">
        <f>損傷限界固有周期!E10</f>
        <v>3826</v>
      </c>
      <c r="F5" s="82">
        <f>損傷限界固有周期!E11</f>
        <v>4001</v>
      </c>
      <c r="G5" s="82">
        <f>損傷限界固有周期!E9</f>
        <v>5100</v>
      </c>
      <c r="L5" s="65" t="str">
        <f>IF(C5&lt;=0.16,"Pdi=","")</f>
        <v/>
      </c>
      <c r="M5" s="65" t="s">
        <v>292</v>
      </c>
      <c r="R5" s="65" t="s">
        <v>295</v>
      </c>
    </row>
    <row r="6" spans="1:200" x14ac:dyDescent="0.15">
      <c r="L6" s="80" t="str">
        <f>IF(C5&lt;=0.64,IF(C5&gt;0.16,"Pdi=",""),"")</f>
        <v/>
      </c>
      <c r="M6" s="65" t="s">
        <v>293</v>
      </c>
      <c r="Q6" s="65">
        <v>0.16</v>
      </c>
      <c r="R6" s="65" t="s">
        <v>297</v>
      </c>
    </row>
    <row r="7" spans="1:200" x14ac:dyDescent="0.15">
      <c r="B7" s="65" t="s">
        <v>258</v>
      </c>
      <c r="L7" s="80" t="str">
        <f>IF(C5&gt;0.64,"Pdi=","")</f>
        <v>Pdi=</v>
      </c>
      <c r="M7" s="65" t="s">
        <v>299</v>
      </c>
      <c r="Q7" s="65">
        <v>0.64</v>
      </c>
      <c r="R7" s="65" t="s">
        <v>296</v>
      </c>
    </row>
    <row r="8" spans="1:200" x14ac:dyDescent="0.1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200" x14ac:dyDescent="0.15">
      <c r="B9" s="22" t="s">
        <v>0</v>
      </c>
      <c r="C9" s="11" t="s">
        <v>256</v>
      </c>
      <c r="D9" s="11"/>
      <c r="E9" s="11" t="s">
        <v>257</v>
      </c>
      <c r="F9" s="11"/>
      <c r="G9" s="11"/>
      <c r="H9" s="11"/>
      <c r="I9" s="11"/>
      <c r="J9" s="11"/>
      <c r="K9" s="11"/>
      <c r="M9" s="82" t="s">
        <v>220</v>
      </c>
      <c r="N9" s="82" t="s">
        <v>138</v>
      </c>
      <c r="O9" s="82" t="s">
        <v>290</v>
      </c>
      <c r="P9" s="82" t="s">
        <v>300</v>
      </c>
      <c r="S9" s="11"/>
    </row>
    <row r="10" spans="1:200" x14ac:dyDescent="0.15">
      <c r="B10" s="22">
        <v>1</v>
      </c>
      <c r="C10" s="11" t="s">
        <v>115</v>
      </c>
      <c r="D10" s="11"/>
      <c r="E10" s="26">
        <v>0.8</v>
      </c>
      <c r="F10" s="11"/>
      <c r="G10" s="11"/>
      <c r="H10" s="11"/>
      <c r="I10" s="11"/>
      <c r="J10" s="11"/>
      <c r="K10" s="11"/>
      <c r="M10" s="82" cm="1">
        <f t="array" ref="M10">Pdi_alf(M4)</f>
        <v>0.8284790033948608</v>
      </c>
      <c r="N10" s="82">
        <f>損傷限界固有周期!E6</f>
        <v>1</v>
      </c>
      <c r="O10" s="82">
        <f>C52</f>
        <v>2.0249999999999999</v>
      </c>
      <c r="P10" s="82">
        <f>M10*N10*O10</f>
        <v>1.677669981874593</v>
      </c>
      <c r="S10" s="11"/>
    </row>
    <row r="11" spans="1:200" x14ac:dyDescent="0.15">
      <c r="B11" s="22">
        <v>2</v>
      </c>
      <c r="C11" s="11" t="s">
        <v>116</v>
      </c>
      <c r="D11" s="11"/>
      <c r="E11" s="26">
        <v>0.85</v>
      </c>
      <c r="F11" s="11"/>
      <c r="G11" s="11"/>
      <c r="H11" s="11"/>
      <c r="I11" s="11"/>
      <c r="J11" s="11"/>
      <c r="K11" s="11"/>
      <c r="S11" s="11"/>
    </row>
    <row r="12" spans="1:200" x14ac:dyDescent="0.15">
      <c r="B12" s="22">
        <v>3</v>
      </c>
      <c r="C12" s="11" t="s">
        <v>117</v>
      </c>
      <c r="D12" s="11"/>
      <c r="E12" s="26">
        <v>0.9</v>
      </c>
      <c r="F12" s="11"/>
      <c r="G12" s="11"/>
      <c r="H12" s="11"/>
      <c r="I12" s="11"/>
      <c r="J12" s="11"/>
      <c r="L12" s="80"/>
      <c r="M12" s="81"/>
      <c r="S12" s="11"/>
    </row>
    <row r="13" spans="1:200" x14ac:dyDescent="0.15">
      <c r="B13" s="22">
        <v>4</v>
      </c>
      <c r="C13" s="11" t="s">
        <v>118</v>
      </c>
      <c r="D13" s="11"/>
      <c r="E13" s="26">
        <v>0.95</v>
      </c>
      <c r="F13" s="11"/>
      <c r="G13" s="11"/>
      <c r="H13" s="11"/>
      <c r="I13" s="11"/>
      <c r="J13" s="11"/>
      <c r="L13" s="80" t="s">
        <v>301</v>
      </c>
      <c r="M13" s="78">
        <f>D5</f>
        <v>1.3940000534057617</v>
      </c>
      <c r="S13" s="11"/>
    </row>
    <row r="14" spans="1:200" x14ac:dyDescent="0.15">
      <c r="B14" s="22" t="s">
        <v>112</v>
      </c>
      <c r="C14" s="43">
        <v>1</v>
      </c>
      <c r="D14" s="11"/>
      <c r="E14" s="26">
        <v>1</v>
      </c>
      <c r="F14" s="11"/>
      <c r="G14" s="11"/>
      <c r="H14" s="11"/>
      <c r="I14" s="11"/>
      <c r="J14" s="11"/>
      <c r="L14" s="65" t="str">
        <f>IF(C10&lt;=0.16,"Pdi=","")</f>
        <v/>
      </c>
      <c r="M14" s="65" t="s">
        <v>292</v>
      </c>
      <c r="R14" s="65" t="s">
        <v>295</v>
      </c>
      <c r="S14" s="11"/>
    </row>
    <row r="15" spans="1:200" x14ac:dyDescent="0.15">
      <c r="H15" s="11"/>
      <c r="I15" s="11"/>
      <c r="J15" s="11"/>
      <c r="L15" s="80" t="str">
        <f>IF(C10&lt;=0.64,IF(C10&gt;0.16,"Pdi=",""),"")</f>
        <v/>
      </c>
      <c r="M15" s="65" t="s">
        <v>293</v>
      </c>
      <c r="Q15" s="65">
        <v>0.16</v>
      </c>
      <c r="R15" s="65" t="s">
        <v>297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</row>
    <row r="16" spans="1:200" x14ac:dyDescent="0.15">
      <c r="B16" s="82"/>
      <c r="C16" s="82" t="s">
        <v>24</v>
      </c>
      <c r="D16" s="82" t="s">
        <v>1</v>
      </c>
      <c r="H16" s="11"/>
      <c r="I16" s="11"/>
      <c r="J16" s="11"/>
      <c r="K16" s="11"/>
      <c r="L16" s="80" t="str">
        <f>IF(C10&gt;0.64,"Pdi=","")</f>
        <v>Pdi=</v>
      </c>
      <c r="M16" s="65" t="s">
        <v>294</v>
      </c>
      <c r="Q16" s="65">
        <v>0.64</v>
      </c>
      <c r="R16" s="65" t="s">
        <v>296</v>
      </c>
      <c r="S16" s="68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199" x14ac:dyDescent="0.15">
      <c r="B17" s="82" t="s">
        <v>145</v>
      </c>
      <c r="C17" s="87" cm="1">
        <f t="array" ref="C17">bdi_p(B5,C5)</f>
        <v>1</v>
      </c>
      <c r="D17" s="87" cm="1">
        <f t="array" ref="D17">bdi_p(C5,D5)</f>
        <v>1</v>
      </c>
      <c r="G17" s="11"/>
      <c r="H17" s="11"/>
      <c r="I17" s="11"/>
      <c r="J17" s="11"/>
      <c r="K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199" x14ac:dyDescent="0.15">
      <c r="H18" s="11"/>
      <c r="I18" s="11"/>
      <c r="J18" s="11"/>
      <c r="K18" s="11"/>
      <c r="L18" s="68"/>
      <c r="M18" s="82" t="s">
        <v>220</v>
      </c>
      <c r="N18" s="82" t="s">
        <v>138</v>
      </c>
      <c r="O18" s="82" t="s">
        <v>290</v>
      </c>
      <c r="P18" s="82" t="s">
        <v>300</v>
      </c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199" x14ac:dyDescent="0.15">
      <c r="B19" s="65" t="s">
        <v>259</v>
      </c>
      <c r="I19" s="11"/>
      <c r="J19" s="11"/>
      <c r="K19" s="11"/>
      <c r="L19" s="68"/>
      <c r="M19" s="82" cm="1">
        <f t="array" ref="M19">Pdi_alf(M13)</f>
        <v>0.73457672938979213</v>
      </c>
      <c r="N19" s="82">
        <f>N10</f>
        <v>1</v>
      </c>
      <c r="O19" s="82">
        <f>D52</f>
        <v>2.0249999999999999</v>
      </c>
      <c r="P19" s="82">
        <f>M19*N19*O19</f>
        <v>1.4875178770143289</v>
      </c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199" x14ac:dyDescent="0.15">
      <c r="I20" s="11"/>
      <c r="J20" s="11"/>
      <c r="K20" s="11"/>
      <c r="L20" s="68"/>
      <c r="M20" s="69"/>
      <c r="N20" s="70"/>
      <c r="O20" s="71"/>
      <c r="P20" s="7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199" x14ac:dyDescent="0.15">
      <c r="C21" s="42" t="s">
        <v>119</v>
      </c>
      <c r="D21" s="42" t="s">
        <v>120</v>
      </c>
      <c r="F21" s="42" t="s">
        <v>255</v>
      </c>
      <c r="I21" s="11"/>
      <c r="J21" s="11"/>
      <c r="K21" s="11"/>
      <c r="L21" s="68"/>
      <c r="M21" s="69"/>
      <c r="N21" s="70"/>
      <c r="O21" s="71"/>
      <c r="P21" s="7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</row>
    <row r="22" spans="2:199" x14ac:dyDescent="0.15">
      <c r="C22" s="42"/>
      <c r="D22" s="42" t="s">
        <v>121</v>
      </c>
      <c r="E22" s="11">
        <v>1</v>
      </c>
      <c r="F22" s="11"/>
      <c r="I22" s="11"/>
      <c r="J22" s="11"/>
      <c r="K22" s="11"/>
      <c r="L22" s="68"/>
      <c r="M22" s="69"/>
      <c r="N22" s="70"/>
      <c r="O22" s="71"/>
      <c r="P22" s="7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</row>
    <row r="23" spans="2:199" x14ac:dyDescent="0.15">
      <c r="I23" s="11"/>
      <c r="J23" s="11"/>
      <c r="K23" s="11"/>
      <c r="L23" s="68"/>
      <c r="M23" s="69"/>
      <c r="N23" s="70"/>
      <c r="O23" s="71"/>
      <c r="P23" s="7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</row>
    <row r="24" spans="2:199" x14ac:dyDescent="0.15">
      <c r="B24" s="88"/>
      <c r="C24" s="82" t="s">
        <v>24</v>
      </c>
      <c r="D24" s="82" t="s">
        <v>1</v>
      </c>
      <c r="I24" s="11"/>
      <c r="J24" s="11"/>
      <c r="K24" s="11"/>
      <c r="L24" s="68"/>
      <c r="M24" s="69"/>
      <c r="N24" s="70"/>
      <c r="O24" s="71"/>
      <c r="P24" s="7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</row>
    <row r="25" spans="2:199" x14ac:dyDescent="0.15">
      <c r="B25" s="82" t="s">
        <v>263</v>
      </c>
      <c r="C25" s="87">
        <f>E5/G5</f>
        <v>0.75019607843137259</v>
      </c>
      <c r="D25" s="87">
        <f>F5/G5</f>
        <v>0.78450980392156866</v>
      </c>
      <c r="I25" s="11"/>
      <c r="J25" s="11"/>
      <c r="K25" s="11"/>
      <c r="L25" s="68"/>
      <c r="M25" s="69"/>
      <c r="N25" s="70"/>
      <c r="O25" s="71"/>
      <c r="P25" s="7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</row>
    <row r="26" spans="2:199" x14ac:dyDescent="0.15">
      <c r="B26" s="82" t="s">
        <v>145</v>
      </c>
      <c r="C26" s="87" cm="1">
        <f t="array" ref="C26">bdi_q(E5,G5)</f>
        <v>1</v>
      </c>
      <c r="D26" s="87" cm="1">
        <f t="array" ref="D26">bdi_p(F5,G5)</f>
        <v>1</v>
      </c>
      <c r="I26" s="11"/>
      <c r="J26" s="11"/>
      <c r="K26" s="11"/>
      <c r="L26" s="68"/>
      <c r="M26" s="69"/>
      <c r="N26" s="70"/>
      <c r="O26" s="71"/>
      <c r="P26" s="7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</row>
    <row r="27" spans="2:199" x14ac:dyDescent="0.15">
      <c r="I27" s="11"/>
      <c r="J27" s="11"/>
      <c r="K27" s="11"/>
      <c r="L27" s="68"/>
      <c r="M27" s="69"/>
      <c r="N27" s="70"/>
      <c r="O27" s="71"/>
      <c r="P27" s="7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</row>
    <row r="28" spans="2:199" x14ac:dyDescent="0.15">
      <c r="B28" s="65" t="s">
        <v>264</v>
      </c>
      <c r="I28" s="11"/>
      <c r="J28" s="11"/>
      <c r="K28" s="11"/>
      <c r="L28" s="68"/>
      <c r="M28" s="69"/>
      <c r="N28" s="70"/>
      <c r="O28" s="71"/>
      <c r="P28" s="7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</row>
    <row r="29" spans="2:199" x14ac:dyDescent="0.15">
      <c r="I29" s="11"/>
      <c r="J29" s="11"/>
      <c r="K29" s="11"/>
      <c r="L29" s="68"/>
      <c r="M29" s="69"/>
      <c r="N29" s="70"/>
      <c r="O29" s="71"/>
      <c r="P29" s="7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</row>
    <row r="30" spans="2:199" x14ac:dyDescent="0.15">
      <c r="B30" s="65" t="s">
        <v>265</v>
      </c>
      <c r="I30" s="11"/>
      <c r="J30" s="11"/>
      <c r="K30" s="11"/>
      <c r="L30" s="68"/>
      <c r="M30" s="69"/>
      <c r="N30" s="70"/>
      <c r="O30" s="71"/>
      <c r="P30" s="7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</row>
    <row r="31" spans="2:199" x14ac:dyDescent="0.15">
      <c r="F31" s="65" t="s">
        <v>270</v>
      </c>
      <c r="G31" s="65" t="s">
        <v>272</v>
      </c>
      <c r="I31" s="11"/>
      <c r="J31" s="11"/>
      <c r="K31" s="11"/>
      <c r="L31" s="68"/>
      <c r="M31" s="69"/>
      <c r="N31" s="70"/>
      <c r="O31" s="71"/>
      <c r="P31" s="7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</row>
    <row r="32" spans="2:199" x14ac:dyDescent="0.15">
      <c r="B32" s="65" t="s">
        <v>274</v>
      </c>
      <c r="F32" s="65" t="s">
        <v>271</v>
      </c>
      <c r="G32" s="65" t="s">
        <v>273</v>
      </c>
      <c r="J32" s="11"/>
      <c r="K32" s="11"/>
      <c r="L32" s="68"/>
      <c r="M32" s="69"/>
      <c r="N32" s="70"/>
      <c r="O32" s="71"/>
      <c r="P32" s="7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</row>
    <row r="33" spans="2:200" x14ac:dyDescent="0.15">
      <c r="B33" s="65" t="s">
        <v>275</v>
      </c>
      <c r="D33" s="65" t="s">
        <v>279</v>
      </c>
      <c r="F33" s="65" t="s">
        <v>266</v>
      </c>
      <c r="H33" s="65" t="s">
        <v>279</v>
      </c>
      <c r="J33" s="11"/>
      <c r="K33" s="11"/>
      <c r="L33" s="11"/>
      <c r="M33" s="11"/>
      <c r="N33" s="11"/>
      <c r="O33" s="11"/>
      <c r="P33" s="7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</row>
    <row r="34" spans="2:200" x14ac:dyDescent="0.15">
      <c r="B34" s="65" t="s">
        <v>276</v>
      </c>
      <c r="D34" s="65" t="s">
        <v>278</v>
      </c>
      <c r="F34" s="65" t="s">
        <v>267</v>
      </c>
      <c r="H34" s="65" t="s">
        <v>281</v>
      </c>
      <c r="K34" s="11"/>
      <c r="L34" s="11"/>
      <c r="M34" s="11"/>
      <c r="N34" s="11"/>
      <c r="O34" s="11"/>
      <c r="P34" s="7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</row>
    <row r="35" spans="2:200" x14ac:dyDescent="0.15">
      <c r="B35" s="65" t="s">
        <v>277</v>
      </c>
      <c r="D35" s="65" t="s">
        <v>280</v>
      </c>
      <c r="F35" s="65" t="s">
        <v>268</v>
      </c>
      <c r="H35" s="65" t="s">
        <v>282</v>
      </c>
      <c r="K35" s="11"/>
      <c r="L35" s="72"/>
      <c r="M35" s="72"/>
      <c r="N35" s="73"/>
      <c r="O35" s="72"/>
      <c r="P35" s="72"/>
      <c r="Q35" s="73"/>
      <c r="R35" s="73"/>
      <c r="S35" s="74"/>
      <c r="T35" s="73"/>
      <c r="U35" s="73"/>
      <c r="V35" s="73"/>
      <c r="W35" s="73"/>
      <c r="X35" s="73"/>
      <c r="Y35" s="73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</row>
    <row r="36" spans="2:200" x14ac:dyDescent="0.15">
      <c r="F36" s="65" t="s">
        <v>269</v>
      </c>
      <c r="K36" s="11"/>
      <c r="L36" s="72"/>
      <c r="M36" s="72"/>
      <c r="N36" s="73"/>
      <c r="O36" s="72"/>
      <c r="P36" s="72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</row>
    <row r="37" spans="2:200" x14ac:dyDescent="0.15">
      <c r="B37" s="88" t="s">
        <v>254</v>
      </c>
      <c r="C37" s="88" t="s">
        <v>246</v>
      </c>
      <c r="D37" s="88" t="s">
        <v>245</v>
      </c>
      <c r="K37" s="11"/>
      <c r="L37" s="72"/>
      <c r="M37" s="72"/>
      <c r="N37" s="73"/>
      <c r="O37" s="72"/>
      <c r="P37" s="72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15">
      <c r="B38" s="88">
        <v>2</v>
      </c>
      <c r="C38" s="88" cm="1">
        <f t="array" ref="C38">Gs387_7_2(C5,B38)</f>
        <v>2.0249999999999999</v>
      </c>
      <c r="D38" s="88" cm="1">
        <f t="array" ref="D38">Gs387_7_2(D5,B38)</f>
        <v>2.0249999999999999</v>
      </c>
      <c r="K38" s="11"/>
      <c r="L38" s="72"/>
      <c r="M38" s="72"/>
      <c r="N38" s="73"/>
      <c r="O38" s="72"/>
      <c r="P38" s="72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15">
      <c r="K39" s="11"/>
      <c r="L39" s="72"/>
      <c r="M39" s="72"/>
      <c r="N39" s="73"/>
      <c r="O39" s="72"/>
      <c r="P39" s="72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15">
      <c r="K40" s="11"/>
      <c r="L40" s="72"/>
      <c r="M40" s="72"/>
      <c r="N40" s="73"/>
      <c r="O40" s="72"/>
      <c r="P40" s="72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15">
      <c r="B41" s="65" t="s">
        <v>283</v>
      </c>
      <c r="K41" s="11"/>
      <c r="L41" s="72"/>
      <c r="M41" s="72"/>
      <c r="N41" s="72"/>
      <c r="O41" s="72"/>
      <c r="P41" s="72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15">
      <c r="K42" s="11"/>
      <c r="L42" s="72"/>
      <c r="M42" s="72"/>
      <c r="N42" s="72"/>
      <c r="O42" s="72"/>
      <c r="P42" s="72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15">
      <c r="C43" s="42" t="s">
        <v>237</v>
      </c>
      <c r="D43" s="43" t="s">
        <v>241</v>
      </c>
      <c r="E43" s="11"/>
      <c r="F43" s="11">
        <v>1.5</v>
      </c>
      <c r="H43" s="11"/>
      <c r="I43" s="11"/>
      <c r="J43" s="11"/>
      <c r="K43" s="11"/>
      <c r="L43" s="72"/>
      <c r="M43" s="72"/>
      <c r="N43" s="72"/>
      <c r="O43" s="72"/>
      <c r="P43" s="72"/>
      <c r="Q43" s="73"/>
      <c r="R43" s="73"/>
      <c r="S43" s="74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15">
      <c r="B44" s="11"/>
      <c r="C44" s="42" t="s">
        <v>238</v>
      </c>
      <c r="D44" s="43" t="s">
        <v>242</v>
      </c>
      <c r="E44" s="11"/>
      <c r="F44" s="11">
        <v>1.5</v>
      </c>
      <c r="I44" s="11"/>
      <c r="J44" s="11"/>
      <c r="K44" s="11"/>
      <c r="L44" s="72"/>
      <c r="M44" s="72"/>
      <c r="N44" s="72"/>
      <c r="O44" s="72"/>
      <c r="P44" s="72"/>
      <c r="Q44" s="73"/>
      <c r="R44" s="73"/>
      <c r="S44" s="74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15">
      <c r="B45" s="11"/>
      <c r="C45" s="42" t="s">
        <v>239</v>
      </c>
      <c r="D45" s="43">
        <v>2.68</v>
      </c>
      <c r="E45" s="11"/>
      <c r="F45" s="11">
        <v>1.5</v>
      </c>
      <c r="H45" s="11"/>
      <c r="I45" s="11"/>
      <c r="J45" s="11"/>
      <c r="K45" s="11"/>
      <c r="L45" s="72"/>
      <c r="M45" s="72"/>
      <c r="N45" s="72"/>
      <c r="O45" s="72"/>
      <c r="P45" s="72"/>
      <c r="Q45" s="73"/>
      <c r="R45" s="73"/>
      <c r="S45" s="74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15">
      <c r="B46" s="11"/>
      <c r="C46" s="65" t="s">
        <v>240</v>
      </c>
      <c r="D46" s="65" t="s">
        <v>243</v>
      </c>
      <c r="F46" s="11">
        <v>1.35</v>
      </c>
      <c r="H46" s="11"/>
      <c r="I46" s="11"/>
      <c r="J46" s="11"/>
      <c r="K46" s="11"/>
      <c r="L46" s="72"/>
      <c r="M46" s="72"/>
      <c r="N46" s="72"/>
      <c r="O46" s="72"/>
      <c r="P46" s="72"/>
      <c r="Q46" s="73"/>
      <c r="R46" s="73"/>
      <c r="S46" s="74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15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4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15">
      <c r="C48" s="82" t="s">
        <v>246</v>
      </c>
      <c r="D48" s="82" t="s">
        <v>245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4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15">
      <c r="C49" s="86">
        <f>GS!B16</f>
        <v>1.4801617860794067</v>
      </c>
      <c r="D49" s="86">
        <f>GS!C16</f>
        <v>1.4178048372268677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4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15"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4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15">
      <c r="B51" s="83"/>
      <c r="C51" s="83" t="str">
        <f>C48</f>
        <v>GsX</v>
      </c>
      <c r="D51" s="83" t="str">
        <f>D48</f>
        <v>GsY</v>
      </c>
      <c r="E51" s="84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4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15">
      <c r="B52" s="83" t="s">
        <v>289</v>
      </c>
      <c r="C52" s="83">
        <f>IF(E52=1,C38,C49)</f>
        <v>2.0249999999999999</v>
      </c>
      <c r="D52" s="83">
        <f>IF(E52=1,D38,D49)</f>
        <v>2.0249999999999999</v>
      </c>
      <c r="E52" s="84">
        <v>1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4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15">
      <c r="B53" s="11"/>
      <c r="C53" s="11"/>
      <c r="D53" s="43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4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15">
      <c r="B54" s="11"/>
      <c r="C54" s="42"/>
      <c r="D54" s="43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4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15">
      <c r="B55" s="11"/>
      <c r="C55" s="42"/>
      <c r="D55" s="43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4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15">
      <c r="B56" s="11"/>
      <c r="C56" s="42"/>
      <c r="D56" s="43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4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15">
      <c r="B57" s="11"/>
      <c r="C57" s="42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4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15">
      <c r="B58" s="11"/>
      <c r="C58" s="42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4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15"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15">
      <c r="B60" s="11"/>
      <c r="C60" s="42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1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1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73"/>
      <c r="R62" s="73"/>
      <c r="S62" s="73"/>
      <c r="T62" s="73"/>
      <c r="U62" s="73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15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73"/>
      <c r="R63" s="73"/>
      <c r="S63" s="73"/>
      <c r="T63" s="73"/>
      <c r="U63" s="73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1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73"/>
      <c r="R64" s="73"/>
      <c r="S64" s="73"/>
      <c r="T64" s="73"/>
      <c r="U64" s="73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1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73"/>
      <c r="R65" s="73"/>
      <c r="S65" s="73"/>
      <c r="T65" s="73"/>
      <c r="U65" s="73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1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73"/>
      <c r="R66" s="73"/>
      <c r="S66" s="73"/>
      <c r="T66" s="73"/>
      <c r="U66" s="73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1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73"/>
      <c r="R67" s="73"/>
      <c r="S67" s="73"/>
      <c r="T67" s="73"/>
      <c r="U67" s="73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15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73"/>
      <c r="R68" s="73"/>
      <c r="S68" s="73"/>
      <c r="T68" s="73"/>
      <c r="U68" s="73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15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73"/>
      <c r="R69" s="73"/>
      <c r="S69" s="73"/>
      <c r="T69" s="73"/>
      <c r="U69" s="73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1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73"/>
      <c r="R70" s="73"/>
      <c r="S70" s="73"/>
      <c r="T70" s="73"/>
      <c r="U70" s="73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1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73"/>
      <c r="R71" s="73"/>
      <c r="S71" s="73"/>
      <c r="T71" s="73"/>
      <c r="U71" s="73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1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73"/>
      <c r="R72" s="73"/>
      <c r="S72" s="73"/>
      <c r="T72" s="73"/>
      <c r="U72" s="73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1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73"/>
      <c r="R73" s="73"/>
      <c r="S73" s="73"/>
      <c r="T73" s="73"/>
      <c r="U73" s="73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1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73"/>
      <c r="R74" s="73"/>
      <c r="S74" s="73"/>
      <c r="T74" s="73"/>
      <c r="U74" s="73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15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73"/>
      <c r="R75" s="73"/>
      <c r="S75" s="73"/>
      <c r="T75" s="73"/>
      <c r="U75" s="73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15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73"/>
      <c r="R76" s="73"/>
      <c r="S76" s="73"/>
      <c r="T76" s="73"/>
      <c r="U76" s="73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1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73"/>
      <c r="R77" s="73"/>
      <c r="S77" s="73"/>
      <c r="T77" s="73"/>
      <c r="U77" s="73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1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1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1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1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1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1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1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1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15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1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1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1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15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1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1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1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15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15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15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1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15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15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1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1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15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1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15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15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15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1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15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1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1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15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15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15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15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15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15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15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1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1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15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15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1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15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15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15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15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1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1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15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15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1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15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15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15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15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15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15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1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15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15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15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15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15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15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1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15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15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15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1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15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1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15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15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1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1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1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1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1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1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1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1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15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15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15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15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1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15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1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15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1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15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15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15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15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1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15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1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1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15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1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15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1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1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15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15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15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15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15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15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15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15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15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15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15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15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15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15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15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15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15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15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15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15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15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15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15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15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15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15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15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15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15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15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15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15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15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15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15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1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1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1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1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1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1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1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1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1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1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1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1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1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1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1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1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1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1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1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1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1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1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1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1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1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1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1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1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1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1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1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1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  <row r="251" spans="2:200" x14ac:dyDescent="0.15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  <c r="CW251" s="11"/>
      <c r="CX251" s="11"/>
      <c r="CY251" s="11"/>
      <c r="CZ251" s="11"/>
      <c r="DA251" s="11"/>
      <c r="DB251" s="11"/>
      <c r="DC251" s="11"/>
      <c r="DD251" s="11"/>
      <c r="DE251" s="11"/>
      <c r="DF251" s="11"/>
      <c r="DG251" s="11"/>
      <c r="DH251" s="11"/>
      <c r="DI251" s="11"/>
      <c r="DJ251" s="11"/>
      <c r="DK251" s="11"/>
      <c r="DL251" s="11"/>
      <c r="DM251" s="11"/>
      <c r="DN251" s="11"/>
      <c r="DO251" s="11"/>
      <c r="DP251" s="11"/>
      <c r="DQ251" s="11"/>
      <c r="DR251" s="11"/>
      <c r="DS251" s="11"/>
      <c r="DT251" s="11"/>
      <c r="DU251" s="11"/>
      <c r="DV251" s="11"/>
      <c r="DW251" s="11"/>
      <c r="DX251" s="11"/>
      <c r="DY251" s="11"/>
      <c r="DZ251" s="11"/>
      <c r="EA251" s="11"/>
      <c r="EB251" s="11"/>
      <c r="EC251" s="11"/>
      <c r="ED251" s="11"/>
      <c r="EE251" s="11"/>
      <c r="EF251" s="11"/>
      <c r="EG251" s="11"/>
      <c r="EH251" s="11"/>
      <c r="EI251" s="11"/>
      <c r="EJ251" s="11"/>
      <c r="EK251" s="11"/>
      <c r="EL251" s="11"/>
      <c r="EM251" s="11"/>
      <c r="EN251" s="11"/>
      <c r="EO251" s="11"/>
      <c r="EP251" s="11"/>
      <c r="EQ251" s="11"/>
      <c r="ER251" s="11"/>
      <c r="ES251" s="11"/>
      <c r="ET251" s="11"/>
      <c r="EU251" s="11"/>
      <c r="EV251" s="11"/>
      <c r="EW251" s="11"/>
      <c r="EX251" s="11"/>
      <c r="EY251" s="11"/>
      <c r="EZ251" s="11"/>
      <c r="FA251" s="11"/>
      <c r="FB251" s="11"/>
      <c r="FC251" s="11"/>
      <c r="FD251" s="11"/>
      <c r="FE251" s="11"/>
      <c r="FF251" s="11"/>
      <c r="FG251" s="11"/>
      <c r="FH251" s="11"/>
      <c r="FI251" s="11"/>
      <c r="FJ251" s="11"/>
      <c r="FK251" s="11"/>
      <c r="FL251" s="11"/>
      <c r="FM251" s="11"/>
      <c r="FN251" s="11"/>
      <c r="FO251" s="11"/>
      <c r="FP251" s="11"/>
      <c r="FQ251" s="11"/>
      <c r="FR251" s="11"/>
      <c r="FS251" s="11"/>
      <c r="FT251" s="11"/>
      <c r="FU251" s="11"/>
      <c r="FV251" s="11"/>
      <c r="FW251" s="11"/>
      <c r="FX251" s="11"/>
      <c r="FY251" s="11"/>
      <c r="FZ251" s="11"/>
      <c r="GA251" s="11"/>
      <c r="GB251" s="11"/>
      <c r="GC251" s="11"/>
      <c r="GD251" s="11"/>
      <c r="GE251" s="11"/>
      <c r="GF251" s="11"/>
      <c r="GG251" s="11"/>
      <c r="GH251" s="11"/>
      <c r="GI251" s="11"/>
      <c r="GJ251" s="11"/>
      <c r="GK251" s="11"/>
      <c r="GL251" s="11"/>
      <c r="GM251" s="11"/>
      <c r="GN251" s="11"/>
      <c r="GO251" s="11"/>
      <c r="GP251" s="11"/>
      <c r="GQ251" s="11"/>
      <c r="GR251" s="11"/>
    </row>
    <row r="252" spans="2:200" x14ac:dyDescent="0.15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  <c r="CW252" s="11"/>
      <c r="CX252" s="11"/>
      <c r="CY252" s="11"/>
      <c r="CZ252" s="11"/>
      <c r="DA252" s="11"/>
      <c r="DB252" s="11"/>
      <c r="DC252" s="11"/>
      <c r="DD252" s="11"/>
      <c r="DE252" s="11"/>
      <c r="DF252" s="11"/>
      <c r="DG252" s="11"/>
      <c r="DH252" s="11"/>
      <c r="DI252" s="11"/>
      <c r="DJ252" s="11"/>
      <c r="DK252" s="11"/>
      <c r="DL252" s="11"/>
      <c r="DM252" s="11"/>
      <c r="DN252" s="11"/>
      <c r="DO252" s="11"/>
      <c r="DP252" s="11"/>
      <c r="DQ252" s="11"/>
      <c r="DR252" s="11"/>
      <c r="DS252" s="11"/>
      <c r="DT252" s="11"/>
      <c r="DU252" s="11"/>
      <c r="DV252" s="11"/>
      <c r="DW252" s="11"/>
      <c r="DX252" s="11"/>
      <c r="DY252" s="11"/>
      <c r="DZ252" s="11"/>
      <c r="EA252" s="11"/>
      <c r="EB252" s="11"/>
      <c r="EC252" s="11"/>
      <c r="ED252" s="11"/>
      <c r="EE252" s="11"/>
      <c r="EF252" s="11"/>
      <c r="EG252" s="11"/>
      <c r="EH252" s="11"/>
      <c r="EI252" s="11"/>
      <c r="EJ252" s="11"/>
      <c r="EK252" s="11"/>
      <c r="EL252" s="11"/>
      <c r="EM252" s="11"/>
      <c r="EN252" s="11"/>
      <c r="EO252" s="11"/>
      <c r="EP252" s="11"/>
      <c r="EQ252" s="11"/>
      <c r="ER252" s="11"/>
      <c r="ES252" s="11"/>
      <c r="ET252" s="11"/>
      <c r="EU252" s="11"/>
      <c r="EV252" s="11"/>
      <c r="EW252" s="11"/>
      <c r="EX252" s="11"/>
      <c r="EY252" s="11"/>
      <c r="EZ252" s="11"/>
      <c r="FA252" s="11"/>
      <c r="FB252" s="11"/>
      <c r="FC252" s="11"/>
      <c r="FD252" s="11"/>
      <c r="FE252" s="11"/>
      <c r="FF252" s="11"/>
      <c r="FG252" s="11"/>
      <c r="FH252" s="11"/>
      <c r="FI252" s="11"/>
      <c r="FJ252" s="11"/>
      <c r="FK252" s="11"/>
      <c r="FL252" s="11"/>
      <c r="FM252" s="11"/>
      <c r="FN252" s="11"/>
      <c r="FO252" s="11"/>
      <c r="FP252" s="11"/>
      <c r="FQ252" s="11"/>
      <c r="FR252" s="11"/>
      <c r="FS252" s="11"/>
      <c r="FT252" s="11"/>
      <c r="FU252" s="11"/>
      <c r="FV252" s="11"/>
      <c r="FW252" s="11"/>
      <c r="FX252" s="11"/>
      <c r="FY252" s="11"/>
      <c r="FZ252" s="11"/>
      <c r="GA252" s="11"/>
      <c r="GB252" s="11"/>
      <c r="GC252" s="11"/>
      <c r="GD252" s="11"/>
      <c r="GE252" s="11"/>
      <c r="GF252" s="11"/>
      <c r="GG252" s="11"/>
      <c r="GH252" s="11"/>
      <c r="GI252" s="11"/>
      <c r="GJ252" s="11"/>
      <c r="GK252" s="11"/>
      <c r="GL252" s="11"/>
      <c r="GM252" s="11"/>
      <c r="GN252" s="11"/>
      <c r="GO252" s="11"/>
      <c r="GP252" s="11"/>
      <c r="GQ252" s="11"/>
      <c r="GR252" s="11"/>
    </row>
    <row r="253" spans="2:200" x14ac:dyDescent="0.15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  <c r="CW253" s="11"/>
      <c r="CX253" s="11"/>
      <c r="CY253" s="11"/>
      <c r="CZ253" s="11"/>
      <c r="DA253" s="11"/>
      <c r="DB253" s="11"/>
      <c r="DC253" s="11"/>
      <c r="DD253" s="11"/>
      <c r="DE253" s="11"/>
      <c r="DF253" s="11"/>
      <c r="DG253" s="11"/>
      <c r="DH253" s="11"/>
      <c r="DI253" s="11"/>
      <c r="DJ253" s="11"/>
      <c r="DK253" s="11"/>
      <c r="DL253" s="11"/>
      <c r="DM253" s="11"/>
      <c r="DN253" s="11"/>
      <c r="DO253" s="11"/>
      <c r="DP253" s="11"/>
      <c r="DQ253" s="11"/>
      <c r="DR253" s="11"/>
      <c r="DS253" s="11"/>
      <c r="DT253" s="11"/>
      <c r="DU253" s="11"/>
      <c r="DV253" s="11"/>
      <c r="DW253" s="11"/>
      <c r="DX253" s="11"/>
      <c r="DY253" s="11"/>
      <c r="DZ253" s="11"/>
      <c r="EA253" s="11"/>
      <c r="EB253" s="11"/>
      <c r="EC253" s="11"/>
      <c r="ED253" s="11"/>
      <c r="EE253" s="11"/>
      <c r="EF253" s="11"/>
      <c r="EG253" s="11"/>
      <c r="EH253" s="11"/>
      <c r="EI253" s="11"/>
      <c r="EJ253" s="11"/>
      <c r="EK253" s="11"/>
      <c r="EL253" s="11"/>
      <c r="EM253" s="11"/>
      <c r="EN253" s="11"/>
      <c r="EO253" s="11"/>
      <c r="EP253" s="11"/>
      <c r="EQ253" s="11"/>
      <c r="ER253" s="11"/>
      <c r="ES253" s="11"/>
      <c r="ET253" s="11"/>
      <c r="EU253" s="11"/>
      <c r="EV253" s="11"/>
      <c r="EW253" s="11"/>
      <c r="EX253" s="11"/>
      <c r="EY253" s="11"/>
      <c r="EZ253" s="11"/>
      <c r="FA253" s="11"/>
      <c r="FB253" s="11"/>
      <c r="FC253" s="11"/>
      <c r="FD253" s="11"/>
      <c r="FE253" s="11"/>
      <c r="FF253" s="11"/>
      <c r="FG253" s="11"/>
      <c r="FH253" s="11"/>
      <c r="FI253" s="11"/>
      <c r="FJ253" s="11"/>
      <c r="FK253" s="11"/>
      <c r="FL253" s="11"/>
      <c r="FM253" s="11"/>
      <c r="FN253" s="11"/>
      <c r="FO253" s="11"/>
      <c r="FP253" s="11"/>
      <c r="FQ253" s="11"/>
      <c r="FR253" s="11"/>
      <c r="FS253" s="11"/>
      <c r="FT253" s="11"/>
      <c r="FU253" s="11"/>
      <c r="FV253" s="11"/>
      <c r="FW253" s="11"/>
      <c r="FX253" s="11"/>
      <c r="FY253" s="11"/>
      <c r="FZ253" s="11"/>
      <c r="GA253" s="11"/>
      <c r="GB253" s="11"/>
      <c r="GC253" s="11"/>
      <c r="GD253" s="11"/>
      <c r="GE253" s="11"/>
      <c r="GF253" s="11"/>
      <c r="GG253" s="11"/>
      <c r="GH253" s="11"/>
      <c r="GI253" s="11"/>
      <c r="GJ253" s="11"/>
      <c r="GK253" s="11"/>
      <c r="GL253" s="11"/>
      <c r="GM253" s="11"/>
      <c r="GN253" s="11"/>
      <c r="GO253" s="11"/>
      <c r="GP253" s="11"/>
      <c r="GQ253" s="11"/>
      <c r="GR253" s="11"/>
    </row>
    <row r="254" spans="2:200" x14ac:dyDescent="0.15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  <c r="CW254" s="11"/>
      <c r="CX254" s="11"/>
      <c r="CY254" s="11"/>
      <c r="CZ254" s="11"/>
      <c r="DA254" s="11"/>
      <c r="DB254" s="11"/>
      <c r="DC254" s="11"/>
      <c r="DD254" s="11"/>
      <c r="DE254" s="11"/>
      <c r="DF254" s="11"/>
      <c r="DG254" s="11"/>
      <c r="DH254" s="11"/>
      <c r="DI254" s="11"/>
      <c r="DJ254" s="11"/>
      <c r="DK254" s="11"/>
      <c r="DL254" s="11"/>
      <c r="DM254" s="11"/>
      <c r="DN254" s="11"/>
      <c r="DO254" s="11"/>
      <c r="DP254" s="11"/>
      <c r="DQ254" s="11"/>
      <c r="DR254" s="11"/>
      <c r="DS254" s="11"/>
      <c r="DT254" s="11"/>
      <c r="DU254" s="11"/>
      <c r="DV254" s="11"/>
      <c r="DW254" s="11"/>
      <c r="DX254" s="11"/>
      <c r="DY254" s="11"/>
      <c r="DZ254" s="11"/>
      <c r="EA254" s="11"/>
      <c r="EB254" s="11"/>
      <c r="EC254" s="11"/>
      <c r="ED254" s="11"/>
      <c r="EE254" s="11"/>
      <c r="EF254" s="11"/>
      <c r="EG254" s="11"/>
      <c r="EH254" s="11"/>
      <c r="EI254" s="11"/>
      <c r="EJ254" s="11"/>
      <c r="EK254" s="11"/>
      <c r="EL254" s="11"/>
      <c r="EM254" s="11"/>
      <c r="EN254" s="11"/>
      <c r="EO254" s="11"/>
      <c r="EP254" s="11"/>
      <c r="EQ254" s="11"/>
      <c r="ER254" s="11"/>
      <c r="ES254" s="11"/>
      <c r="ET254" s="11"/>
      <c r="EU254" s="11"/>
      <c r="EV254" s="11"/>
      <c r="EW254" s="11"/>
      <c r="EX254" s="11"/>
      <c r="EY254" s="11"/>
      <c r="EZ254" s="11"/>
      <c r="FA254" s="11"/>
      <c r="FB254" s="11"/>
      <c r="FC254" s="11"/>
      <c r="FD254" s="11"/>
      <c r="FE254" s="11"/>
      <c r="FF254" s="11"/>
      <c r="FG254" s="11"/>
      <c r="FH254" s="11"/>
      <c r="FI254" s="11"/>
      <c r="FJ254" s="11"/>
      <c r="FK254" s="11"/>
      <c r="FL254" s="11"/>
      <c r="FM254" s="11"/>
      <c r="FN254" s="11"/>
      <c r="FO254" s="11"/>
      <c r="FP254" s="11"/>
      <c r="FQ254" s="11"/>
      <c r="FR254" s="11"/>
      <c r="FS254" s="11"/>
      <c r="FT254" s="11"/>
      <c r="FU254" s="11"/>
      <c r="FV254" s="11"/>
      <c r="FW254" s="11"/>
      <c r="FX254" s="11"/>
      <c r="FY254" s="11"/>
      <c r="FZ254" s="11"/>
      <c r="GA254" s="11"/>
      <c r="GB254" s="11"/>
      <c r="GC254" s="11"/>
      <c r="GD254" s="11"/>
      <c r="GE254" s="11"/>
      <c r="GF254" s="11"/>
      <c r="GG254" s="11"/>
      <c r="GH254" s="11"/>
      <c r="GI254" s="11"/>
      <c r="GJ254" s="11"/>
      <c r="GK254" s="11"/>
      <c r="GL254" s="11"/>
      <c r="GM254" s="11"/>
      <c r="GN254" s="11"/>
      <c r="GO254" s="11"/>
      <c r="GP254" s="11"/>
      <c r="GQ254" s="11"/>
      <c r="GR254" s="11"/>
    </row>
    <row r="255" spans="2:200" x14ac:dyDescent="0.15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  <c r="CW255" s="11"/>
      <c r="CX255" s="11"/>
      <c r="CY255" s="11"/>
      <c r="CZ255" s="11"/>
      <c r="DA255" s="11"/>
      <c r="DB255" s="11"/>
      <c r="DC255" s="11"/>
      <c r="DD255" s="11"/>
      <c r="DE255" s="11"/>
      <c r="DF255" s="11"/>
      <c r="DG255" s="11"/>
      <c r="DH255" s="11"/>
      <c r="DI255" s="11"/>
      <c r="DJ255" s="11"/>
      <c r="DK255" s="11"/>
      <c r="DL255" s="11"/>
      <c r="DM255" s="11"/>
      <c r="DN255" s="11"/>
      <c r="DO255" s="11"/>
      <c r="DP255" s="11"/>
      <c r="DQ255" s="11"/>
      <c r="DR255" s="11"/>
      <c r="DS255" s="11"/>
      <c r="DT255" s="11"/>
      <c r="DU255" s="11"/>
      <c r="DV255" s="11"/>
      <c r="DW255" s="11"/>
      <c r="DX255" s="11"/>
      <c r="DY255" s="11"/>
      <c r="DZ255" s="11"/>
      <c r="EA255" s="11"/>
      <c r="EB255" s="11"/>
      <c r="EC255" s="11"/>
      <c r="ED255" s="11"/>
      <c r="EE255" s="11"/>
      <c r="EF255" s="11"/>
      <c r="EG255" s="11"/>
      <c r="EH255" s="11"/>
      <c r="EI255" s="11"/>
      <c r="EJ255" s="11"/>
      <c r="EK255" s="11"/>
      <c r="EL255" s="11"/>
      <c r="EM255" s="11"/>
      <c r="EN255" s="11"/>
      <c r="EO255" s="11"/>
      <c r="EP255" s="11"/>
      <c r="EQ255" s="11"/>
      <c r="ER255" s="11"/>
      <c r="ES255" s="11"/>
      <c r="ET255" s="11"/>
      <c r="EU255" s="11"/>
      <c r="EV255" s="11"/>
      <c r="EW255" s="11"/>
      <c r="EX255" s="11"/>
      <c r="EY255" s="11"/>
      <c r="EZ255" s="11"/>
      <c r="FA255" s="11"/>
      <c r="FB255" s="11"/>
      <c r="FC255" s="11"/>
      <c r="FD255" s="11"/>
      <c r="FE255" s="11"/>
      <c r="FF255" s="11"/>
      <c r="FG255" s="11"/>
      <c r="FH255" s="11"/>
      <c r="FI255" s="11"/>
      <c r="FJ255" s="11"/>
      <c r="FK255" s="11"/>
      <c r="FL255" s="11"/>
      <c r="FM255" s="11"/>
      <c r="FN255" s="11"/>
      <c r="FO255" s="11"/>
      <c r="FP255" s="11"/>
      <c r="FQ255" s="11"/>
      <c r="FR255" s="11"/>
      <c r="FS255" s="11"/>
      <c r="FT255" s="11"/>
      <c r="FU255" s="11"/>
      <c r="FV255" s="11"/>
      <c r="FW255" s="11"/>
      <c r="FX255" s="11"/>
      <c r="FY255" s="11"/>
      <c r="FZ255" s="11"/>
      <c r="GA255" s="11"/>
      <c r="GB255" s="11"/>
      <c r="GC255" s="11"/>
      <c r="GD255" s="11"/>
      <c r="GE255" s="11"/>
      <c r="GF255" s="11"/>
      <c r="GG255" s="11"/>
      <c r="GH255" s="11"/>
      <c r="GI255" s="11"/>
      <c r="GJ255" s="11"/>
      <c r="GK255" s="11"/>
      <c r="GL255" s="11"/>
      <c r="GM255" s="11"/>
      <c r="GN255" s="11"/>
      <c r="GO255" s="11"/>
      <c r="GP255" s="11"/>
      <c r="GQ255" s="11"/>
      <c r="GR255" s="11"/>
    </row>
    <row r="256" spans="2:200" x14ac:dyDescent="0.15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  <c r="CW256" s="11"/>
      <c r="CX256" s="11"/>
      <c r="CY256" s="11"/>
      <c r="CZ256" s="11"/>
      <c r="DA256" s="11"/>
      <c r="DB256" s="11"/>
      <c r="DC256" s="11"/>
      <c r="DD256" s="11"/>
      <c r="DE256" s="11"/>
      <c r="DF256" s="11"/>
      <c r="DG256" s="11"/>
      <c r="DH256" s="11"/>
      <c r="DI256" s="11"/>
      <c r="DJ256" s="11"/>
      <c r="DK256" s="11"/>
      <c r="DL256" s="11"/>
      <c r="DM256" s="11"/>
      <c r="DN256" s="11"/>
      <c r="DO256" s="11"/>
      <c r="DP256" s="11"/>
      <c r="DQ256" s="11"/>
      <c r="DR256" s="11"/>
      <c r="DS256" s="11"/>
      <c r="DT256" s="11"/>
      <c r="DU256" s="11"/>
      <c r="DV256" s="11"/>
      <c r="DW256" s="11"/>
      <c r="DX256" s="11"/>
      <c r="DY256" s="11"/>
      <c r="DZ256" s="11"/>
      <c r="EA256" s="11"/>
      <c r="EB256" s="11"/>
      <c r="EC256" s="11"/>
      <c r="ED256" s="11"/>
      <c r="EE256" s="11"/>
      <c r="EF256" s="11"/>
      <c r="EG256" s="11"/>
      <c r="EH256" s="11"/>
      <c r="EI256" s="11"/>
      <c r="EJ256" s="11"/>
      <c r="EK256" s="11"/>
      <c r="EL256" s="11"/>
      <c r="EM256" s="11"/>
      <c r="EN256" s="11"/>
      <c r="EO256" s="11"/>
      <c r="EP256" s="11"/>
      <c r="EQ256" s="11"/>
      <c r="ER256" s="11"/>
      <c r="ES256" s="11"/>
      <c r="ET256" s="11"/>
      <c r="EU256" s="11"/>
      <c r="EV256" s="11"/>
      <c r="EW256" s="11"/>
      <c r="EX256" s="11"/>
      <c r="EY256" s="11"/>
      <c r="EZ256" s="11"/>
      <c r="FA256" s="11"/>
      <c r="FB256" s="11"/>
      <c r="FC256" s="11"/>
      <c r="FD256" s="11"/>
      <c r="FE256" s="11"/>
      <c r="FF256" s="11"/>
      <c r="FG256" s="11"/>
      <c r="FH256" s="11"/>
      <c r="FI256" s="11"/>
      <c r="FJ256" s="11"/>
      <c r="FK256" s="11"/>
      <c r="FL256" s="11"/>
      <c r="FM256" s="11"/>
      <c r="FN256" s="11"/>
      <c r="FO256" s="11"/>
      <c r="FP256" s="11"/>
      <c r="FQ256" s="11"/>
      <c r="FR256" s="11"/>
      <c r="FS256" s="11"/>
      <c r="FT256" s="11"/>
      <c r="FU256" s="11"/>
      <c r="FV256" s="11"/>
      <c r="FW256" s="11"/>
      <c r="FX256" s="11"/>
      <c r="FY256" s="11"/>
      <c r="FZ256" s="11"/>
      <c r="GA256" s="11"/>
      <c r="GB256" s="11"/>
      <c r="GC256" s="11"/>
      <c r="GD256" s="11"/>
      <c r="GE256" s="11"/>
      <c r="GF256" s="11"/>
      <c r="GG256" s="11"/>
      <c r="GH256" s="11"/>
      <c r="GI256" s="11"/>
      <c r="GJ256" s="11"/>
      <c r="GK256" s="11"/>
      <c r="GL256" s="11"/>
      <c r="GM256" s="11"/>
      <c r="GN256" s="11"/>
      <c r="GO256" s="11"/>
      <c r="GP256" s="11"/>
      <c r="GQ256" s="11"/>
      <c r="GR256" s="11"/>
    </row>
    <row r="257" spans="2:200" x14ac:dyDescent="0.15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  <c r="CW257" s="11"/>
      <c r="CX257" s="11"/>
      <c r="CY257" s="11"/>
      <c r="CZ257" s="11"/>
      <c r="DA257" s="11"/>
      <c r="DB257" s="11"/>
      <c r="DC257" s="11"/>
      <c r="DD257" s="11"/>
      <c r="DE257" s="11"/>
      <c r="DF257" s="11"/>
      <c r="DG257" s="11"/>
      <c r="DH257" s="11"/>
      <c r="DI257" s="11"/>
      <c r="DJ257" s="11"/>
      <c r="DK257" s="11"/>
      <c r="DL257" s="11"/>
      <c r="DM257" s="11"/>
      <c r="DN257" s="11"/>
      <c r="DO257" s="11"/>
      <c r="DP257" s="11"/>
      <c r="DQ257" s="11"/>
      <c r="DR257" s="11"/>
      <c r="DS257" s="11"/>
      <c r="DT257" s="11"/>
      <c r="DU257" s="11"/>
      <c r="DV257" s="11"/>
      <c r="DW257" s="11"/>
      <c r="DX257" s="11"/>
      <c r="DY257" s="11"/>
      <c r="DZ257" s="11"/>
      <c r="EA257" s="11"/>
      <c r="EB257" s="11"/>
      <c r="EC257" s="11"/>
      <c r="ED257" s="11"/>
      <c r="EE257" s="11"/>
      <c r="EF257" s="11"/>
      <c r="EG257" s="11"/>
      <c r="EH257" s="11"/>
      <c r="EI257" s="11"/>
      <c r="EJ257" s="11"/>
      <c r="EK257" s="11"/>
      <c r="EL257" s="11"/>
      <c r="EM257" s="11"/>
      <c r="EN257" s="11"/>
      <c r="EO257" s="11"/>
      <c r="EP257" s="11"/>
      <c r="EQ257" s="11"/>
      <c r="ER257" s="11"/>
      <c r="ES257" s="11"/>
      <c r="ET257" s="11"/>
      <c r="EU257" s="11"/>
      <c r="EV257" s="11"/>
      <c r="EW257" s="11"/>
      <c r="EX257" s="11"/>
      <c r="EY257" s="11"/>
      <c r="EZ257" s="11"/>
      <c r="FA257" s="11"/>
      <c r="FB257" s="11"/>
      <c r="FC257" s="11"/>
      <c r="FD257" s="11"/>
      <c r="FE257" s="11"/>
      <c r="FF257" s="11"/>
      <c r="FG257" s="11"/>
      <c r="FH257" s="11"/>
      <c r="FI257" s="11"/>
      <c r="FJ257" s="11"/>
      <c r="FK257" s="11"/>
      <c r="FL257" s="11"/>
      <c r="FM257" s="11"/>
      <c r="FN257" s="11"/>
      <c r="FO257" s="11"/>
      <c r="FP257" s="11"/>
      <c r="FQ257" s="11"/>
      <c r="FR257" s="11"/>
      <c r="FS257" s="11"/>
      <c r="FT257" s="11"/>
      <c r="FU257" s="11"/>
      <c r="FV257" s="11"/>
      <c r="FW257" s="11"/>
      <c r="FX257" s="11"/>
      <c r="FY257" s="11"/>
      <c r="FZ257" s="11"/>
      <c r="GA257" s="11"/>
      <c r="GB257" s="11"/>
      <c r="GC257" s="11"/>
      <c r="GD257" s="11"/>
      <c r="GE257" s="11"/>
      <c r="GF257" s="11"/>
      <c r="GG257" s="11"/>
      <c r="GH257" s="11"/>
      <c r="GI257" s="11"/>
      <c r="GJ257" s="11"/>
      <c r="GK257" s="11"/>
      <c r="GL257" s="11"/>
      <c r="GM257" s="11"/>
      <c r="GN257" s="11"/>
      <c r="GO257" s="11"/>
      <c r="GP257" s="11"/>
      <c r="GQ257" s="11"/>
      <c r="GR257" s="11"/>
    </row>
    <row r="258" spans="2:200" x14ac:dyDescent="0.15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  <c r="CW258" s="11"/>
      <c r="CX258" s="11"/>
      <c r="CY258" s="11"/>
      <c r="CZ258" s="11"/>
      <c r="DA258" s="11"/>
      <c r="DB258" s="11"/>
      <c r="DC258" s="11"/>
      <c r="DD258" s="11"/>
      <c r="DE258" s="11"/>
      <c r="DF258" s="11"/>
      <c r="DG258" s="11"/>
      <c r="DH258" s="11"/>
      <c r="DI258" s="11"/>
      <c r="DJ258" s="11"/>
      <c r="DK258" s="11"/>
      <c r="DL258" s="11"/>
      <c r="DM258" s="11"/>
      <c r="DN258" s="11"/>
      <c r="DO258" s="11"/>
      <c r="DP258" s="11"/>
      <c r="DQ258" s="11"/>
      <c r="DR258" s="11"/>
      <c r="DS258" s="11"/>
      <c r="DT258" s="11"/>
      <c r="DU258" s="11"/>
      <c r="DV258" s="11"/>
      <c r="DW258" s="11"/>
      <c r="DX258" s="11"/>
      <c r="DY258" s="11"/>
      <c r="DZ258" s="11"/>
      <c r="EA258" s="11"/>
      <c r="EB258" s="11"/>
      <c r="EC258" s="11"/>
      <c r="ED258" s="11"/>
      <c r="EE258" s="11"/>
      <c r="EF258" s="11"/>
      <c r="EG258" s="11"/>
      <c r="EH258" s="11"/>
      <c r="EI258" s="11"/>
      <c r="EJ258" s="11"/>
      <c r="EK258" s="11"/>
      <c r="EL258" s="11"/>
      <c r="EM258" s="11"/>
      <c r="EN258" s="11"/>
      <c r="EO258" s="11"/>
      <c r="EP258" s="11"/>
      <c r="EQ258" s="11"/>
      <c r="ER258" s="11"/>
      <c r="ES258" s="11"/>
      <c r="ET258" s="11"/>
      <c r="EU258" s="11"/>
      <c r="EV258" s="11"/>
      <c r="EW258" s="11"/>
      <c r="EX258" s="11"/>
      <c r="EY258" s="11"/>
      <c r="EZ258" s="11"/>
      <c r="FA258" s="11"/>
      <c r="FB258" s="11"/>
      <c r="FC258" s="11"/>
      <c r="FD258" s="11"/>
      <c r="FE258" s="11"/>
      <c r="FF258" s="11"/>
      <c r="FG258" s="11"/>
      <c r="FH258" s="11"/>
      <c r="FI258" s="11"/>
      <c r="FJ258" s="11"/>
      <c r="FK258" s="11"/>
      <c r="FL258" s="11"/>
      <c r="FM258" s="11"/>
      <c r="FN258" s="11"/>
      <c r="FO258" s="11"/>
      <c r="FP258" s="11"/>
      <c r="FQ258" s="11"/>
      <c r="FR258" s="11"/>
      <c r="FS258" s="11"/>
      <c r="FT258" s="11"/>
      <c r="FU258" s="11"/>
      <c r="FV258" s="11"/>
      <c r="FW258" s="11"/>
      <c r="FX258" s="11"/>
      <c r="FY258" s="11"/>
      <c r="FZ258" s="11"/>
      <c r="GA258" s="11"/>
      <c r="GB258" s="11"/>
      <c r="GC258" s="11"/>
      <c r="GD258" s="11"/>
      <c r="GE258" s="11"/>
      <c r="GF258" s="11"/>
      <c r="GG258" s="11"/>
      <c r="GH258" s="11"/>
      <c r="GI258" s="11"/>
      <c r="GJ258" s="11"/>
      <c r="GK258" s="11"/>
      <c r="GL258" s="11"/>
      <c r="GM258" s="11"/>
      <c r="GN258" s="11"/>
      <c r="GO258" s="11"/>
      <c r="GP258" s="11"/>
      <c r="GQ258" s="11"/>
      <c r="GR258" s="11"/>
    </row>
    <row r="259" spans="2:200" x14ac:dyDescent="0.15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  <c r="CW259" s="11"/>
      <c r="CX259" s="11"/>
      <c r="CY259" s="11"/>
      <c r="CZ259" s="11"/>
      <c r="DA259" s="11"/>
      <c r="DB259" s="11"/>
      <c r="DC259" s="11"/>
      <c r="DD259" s="11"/>
      <c r="DE259" s="11"/>
      <c r="DF259" s="11"/>
      <c r="DG259" s="11"/>
      <c r="DH259" s="11"/>
      <c r="DI259" s="11"/>
      <c r="DJ259" s="11"/>
      <c r="DK259" s="11"/>
      <c r="DL259" s="11"/>
      <c r="DM259" s="11"/>
      <c r="DN259" s="11"/>
      <c r="DO259" s="11"/>
      <c r="DP259" s="11"/>
      <c r="DQ259" s="11"/>
      <c r="DR259" s="11"/>
      <c r="DS259" s="11"/>
      <c r="DT259" s="11"/>
      <c r="DU259" s="11"/>
      <c r="DV259" s="11"/>
      <c r="DW259" s="11"/>
      <c r="DX259" s="11"/>
      <c r="DY259" s="11"/>
      <c r="DZ259" s="11"/>
      <c r="EA259" s="11"/>
      <c r="EB259" s="11"/>
      <c r="EC259" s="11"/>
      <c r="ED259" s="11"/>
      <c r="EE259" s="11"/>
      <c r="EF259" s="11"/>
      <c r="EG259" s="11"/>
      <c r="EH259" s="11"/>
      <c r="EI259" s="11"/>
      <c r="EJ259" s="11"/>
      <c r="EK259" s="11"/>
      <c r="EL259" s="11"/>
      <c r="EM259" s="11"/>
      <c r="EN259" s="11"/>
      <c r="EO259" s="11"/>
      <c r="EP259" s="11"/>
      <c r="EQ259" s="11"/>
      <c r="ER259" s="11"/>
      <c r="ES259" s="11"/>
      <c r="ET259" s="11"/>
      <c r="EU259" s="11"/>
      <c r="EV259" s="11"/>
      <c r="EW259" s="11"/>
      <c r="EX259" s="11"/>
      <c r="EY259" s="11"/>
      <c r="EZ259" s="11"/>
      <c r="FA259" s="11"/>
      <c r="FB259" s="11"/>
      <c r="FC259" s="11"/>
      <c r="FD259" s="11"/>
      <c r="FE259" s="11"/>
      <c r="FF259" s="11"/>
      <c r="FG259" s="11"/>
      <c r="FH259" s="11"/>
      <c r="FI259" s="11"/>
      <c r="FJ259" s="11"/>
      <c r="FK259" s="11"/>
      <c r="FL259" s="11"/>
      <c r="FM259" s="11"/>
      <c r="FN259" s="11"/>
      <c r="FO259" s="11"/>
      <c r="FP259" s="11"/>
      <c r="FQ259" s="11"/>
      <c r="FR259" s="11"/>
      <c r="FS259" s="11"/>
      <c r="FT259" s="11"/>
      <c r="FU259" s="11"/>
      <c r="FV259" s="11"/>
      <c r="FW259" s="11"/>
      <c r="FX259" s="11"/>
      <c r="FY259" s="11"/>
      <c r="FZ259" s="11"/>
      <c r="GA259" s="11"/>
      <c r="GB259" s="11"/>
      <c r="GC259" s="11"/>
      <c r="GD259" s="11"/>
      <c r="GE259" s="11"/>
      <c r="GF259" s="11"/>
      <c r="GG259" s="11"/>
      <c r="GH259" s="11"/>
      <c r="GI259" s="11"/>
      <c r="GJ259" s="11"/>
      <c r="GK259" s="11"/>
      <c r="GL259" s="11"/>
      <c r="GM259" s="11"/>
      <c r="GN259" s="11"/>
      <c r="GO259" s="11"/>
      <c r="GP259" s="11"/>
      <c r="GQ259" s="11"/>
      <c r="GR259" s="11"/>
    </row>
    <row r="260" spans="2:200" x14ac:dyDescent="0.15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  <c r="CW260" s="11"/>
      <c r="CX260" s="11"/>
      <c r="CY260" s="11"/>
      <c r="CZ260" s="11"/>
      <c r="DA260" s="11"/>
      <c r="DB260" s="11"/>
      <c r="DC260" s="11"/>
      <c r="DD260" s="11"/>
      <c r="DE260" s="11"/>
      <c r="DF260" s="11"/>
      <c r="DG260" s="11"/>
      <c r="DH260" s="11"/>
      <c r="DI260" s="11"/>
      <c r="DJ260" s="11"/>
      <c r="DK260" s="11"/>
      <c r="DL260" s="11"/>
      <c r="DM260" s="11"/>
      <c r="DN260" s="11"/>
      <c r="DO260" s="11"/>
      <c r="DP260" s="11"/>
      <c r="DQ260" s="11"/>
      <c r="DR260" s="11"/>
      <c r="DS260" s="11"/>
      <c r="DT260" s="11"/>
      <c r="DU260" s="11"/>
      <c r="DV260" s="11"/>
      <c r="DW260" s="11"/>
      <c r="DX260" s="11"/>
      <c r="DY260" s="11"/>
      <c r="DZ260" s="11"/>
      <c r="EA260" s="11"/>
      <c r="EB260" s="11"/>
      <c r="EC260" s="11"/>
      <c r="ED260" s="11"/>
      <c r="EE260" s="11"/>
      <c r="EF260" s="11"/>
      <c r="EG260" s="11"/>
      <c r="EH260" s="11"/>
      <c r="EI260" s="11"/>
      <c r="EJ260" s="11"/>
      <c r="EK260" s="11"/>
      <c r="EL260" s="11"/>
      <c r="EM260" s="11"/>
      <c r="EN260" s="11"/>
      <c r="EO260" s="11"/>
      <c r="EP260" s="11"/>
      <c r="EQ260" s="11"/>
      <c r="ER260" s="11"/>
      <c r="ES260" s="11"/>
      <c r="ET260" s="11"/>
      <c r="EU260" s="11"/>
      <c r="EV260" s="11"/>
      <c r="EW260" s="11"/>
      <c r="EX260" s="11"/>
      <c r="EY260" s="11"/>
      <c r="EZ260" s="11"/>
      <c r="FA260" s="11"/>
      <c r="FB260" s="11"/>
      <c r="FC260" s="11"/>
      <c r="FD260" s="11"/>
      <c r="FE260" s="11"/>
      <c r="FF260" s="11"/>
      <c r="FG260" s="11"/>
      <c r="FH260" s="11"/>
      <c r="FI260" s="11"/>
      <c r="FJ260" s="11"/>
      <c r="FK260" s="11"/>
      <c r="FL260" s="11"/>
      <c r="FM260" s="11"/>
      <c r="FN260" s="11"/>
      <c r="FO260" s="11"/>
      <c r="FP260" s="11"/>
      <c r="FQ260" s="11"/>
      <c r="FR260" s="11"/>
      <c r="FS260" s="11"/>
      <c r="FT260" s="11"/>
      <c r="FU260" s="11"/>
      <c r="FV260" s="11"/>
      <c r="FW260" s="11"/>
      <c r="FX260" s="11"/>
      <c r="FY260" s="11"/>
      <c r="FZ260" s="11"/>
      <c r="GA260" s="11"/>
      <c r="GB260" s="11"/>
      <c r="GC260" s="11"/>
      <c r="GD260" s="11"/>
      <c r="GE260" s="11"/>
      <c r="GF260" s="11"/>
      <c r="GG260" s="11"/>
      <c r="GH260" s="11"/>
      <c r="GI260" s="11"/>
      <c r="GJ260" s="11"/>
      <c r="GK260" s="11"/>
      <c r="GL260" s="11"/>
      <c r="GM260" s="11"/>
      <c r="GN260" s="11"/>
      <c r="GO260" s="11"/>
      <c r="GP260" s="11"/>
      <c r="GQ260" s="11"/>
      <c r="GR260" s="11"/>
    </row>
    <row r="261" spans="2:200" x14ac:dyDescent="0.15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  <c r="CW261" s="11"/>
      <c r="CX261" s="11"/>
      <c r="CY261" s="11"/>
      <c r="CZ261" s="11"/>
      <c r="DA261" s="11"/>
      <c r="DB261" s="11"/>
      <c r="DC261" s="11"/>
      <c r="DD261" s="11"/>
      <c r="DE261" s="11"/>
      <c r="DF261" s="11"/>
      <c r="DG261" s="11"/>
      <c r="DH261" s="11"/>
      <c r="DI261" s="11"/>
      <c r="DJ261" s="11"/>
      <c r="DK261" s="11"/>
      <c r="DL261" s="11"/>
      <c r="DM261" s="11"/>
      <c r="DN261" s="11"/>
      <c r="DO261" s="11"/>
      <c r="DP261" s="11"/>
      <c r="DQ261" s="11"/>
      <c r="DR261" s="11"/>
      <c r="DS261" s="11"/>
      <c r="DT261" s="11"/>
      <c r="DU261" s="11"/>
      <c r="DV261" s="11"/>
      <c r="DW261" s="11"/>
      <c r="DX261" s="11"/>
      <c r="DY261" s="11"/>
      <c r="DZ261" s="11"/>
      <c r="EA261" s="11"/>
      <c r="EB261" s="11"/>
      <c r="EC261" s="11"/>
      <c r="ED261" s="11"/>
      <c r="EE261" s="11"/>
      <c r="EF261" s="11"/>
      <c r="EG261" s="11"/>
      <c r="EH261" s="11"/>
      <c r="EI261" s="11"/>
      <c r="EJ261" s="11"/>
      <c r="EK261" s="11"/>
      <c r="EL261" s="11"/>
      <c r="EM261" s="11"/>
      <c r="EN261" s="11"/>
      <c r="EO261" s="11"/>
      <c r="EP261" s="11"/>
      <c r="EQ261" s="11"/>
      <c r="ER261" s="11"/>
      <c r="ES261" s="11"/>
      <c r="ET261" s="11"/>
      <c r="EU261" s="11"/>
      <c r="EV261" s="11"/>
      <c r="EW261" s="11"/>
      <c r="EX261" s="11"/>
      <c r="EY261" s="11"/>
      <c r="EZ261" s="11"/>
      <c r="FA261" s="11"/>
      <c r="FB261" s="11"/>
      <c r="FC261" s="11"/>
      <c r="FD261" s="11"/>
      <c r="FE261" s="11"/>
      <c r="FF261" s="11"/>
      <c r="FG261" s="11"/>
      <c r="FH261" s="11"/>
      <c r="FI261" s="11"/>
      <c r="FJ261" s="11"/>
      <c r="FK261" s="11"/>
      <c r="FL261" s="11"/>
      <c r="FM261" s="11"/>
      <c r="FN261" s="11"/>
      <c r="FO261" s="11"/>
      <c r="FP261" s="11"/>
      <c r="FQ261" s="11"/>
      <c r="FR261" s="11"/>
      <c r="FS261" s="11"/>
      <c r="FT261" s="11"/>
      <c r="FU261" s="11"/>
      <c r="FV261" s="11"/>
      <c r="FW261" s="11"/>
      <c r="FX261" s="11"/>
      <c r="FY261" s="11"/>
      <c r="FZ261" s="11"/>
      <c r="GA261" s="11"/>
      <c r="GB261" s="11"/>
      <c r="GC261" s="11"/>
      <c r="GD261" s="11"/>
      <c r="GE261" s="11"/>
      <c r="GF261" s="11"/>
      <c r="GG261" s="11"/>
      <c r="GH261" s="11"/>
      <c r="GI261" s="11"/>
      <c r="GJ261" s="11"/>
      <c r="GK261" s="11"/>
      <c r="GL261" s="11"/>
      <c r="GM261" s="11"/>
      <c r="GN261" s="11"/>
      <c r="GO261" s="11"/>
      <c r="GP261" s="11"/>
      <c r="GQ261" s="11"/>
      <c r="GR261" s="11"/>
    </row>
    <row r="262" spans="2:200" x14ac:dyDescent="0.15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  <c r="CW262" s="11"/>
      <c r="CX262" s="11"/>
      <c r="CY262" s="11"/>
      <c r="CZ262" s="11"/>
      <c r="DA262" s="11"/>
      <c r="DB262" s="11"/>
      <c r="DC262" s="11"/>
      <c r="DD262" s="11"/>
      <c r="DE262" s="11"/>
      <c r="DF262" s="11"/>
      <c r="DG262" s="11"/>
      <c r="DH262" s="11"/>
      <c r="DI262" s="11"/>
      <c r="DJ262" s="11"/>
      <c r="DK262" s="11"/>
      <c r="DL262" s="11"/>
      <c r="DM262" s="11"/>
      <c r="DN262" s="11"/>
      <c r="DO262" s="11"/>
      <c r="DP262" s="11"/>
      <c r="DQ262" s="11"/>
      <c r="DR262" s="11"/>
      <c r="DS262" s="11"/>
      <c r="DT262" s="11"/>
      <c r="DU262" s="11"/>
      <c r="DV262" s="11"/>
      <c r="DW262" s="11"/>
      <c r="DX262" s="11"/>
      <c r="DY262" s="11"/>
      <c r="DZ262" s="11"/>
      <c r="EA262" s="11"/>
      <c r="EB262" s="11"/>
      <c r="EC262" s="11"/>
      <c r="ED262" s="11"/>
      <c r="EE262" s="11"/>
      <c r="EF262" s="11"/>
      <c r="EG262" s="11"/>
      <c r="EH262" s="11"/>
      <c r="EI262" s="11"/>
      <c r="EJ262" s="11"/>
      <c r="EK262" s="11"/>
      <c r="EL262" s="11"/>
      <c r="EM262" s="11"/>
      <c r="EN262" s="11"/>
      <c r="EO262" s="11"/>
      <c r="EP262" s="11"/>
      <c r="EQ262" s="11"/>
      <c r="ER262" s="11"/>
      <c r="ES262" s="11"/>
      <c r="ET262" s="11"/>
      <c r="EU262" s="11"/>
      <c r="EV262" s="11"/>
      <c r="EW262" s="11"/>
      <c r="EX262" s="11"/>
      <c r="EY262" s="11"/>
      <c r="EZ262" s="11"/>
      <c r="FA262" s="11"/>
      <c r="FB262" s="11"/>
      <c r="FC262" s="11"/>
      <c r="FD262" s="11"/>
      <c r="FE262" s="11"/>
      <c r="FF262" s="11"/>
      <c r="FG262" s="11"/>
      <c r="FH262" s="11"/>
      <c r="FI262" s="11"/>
      <c r="FJ262" s="11"/>
      <c r="FK262" s="11"/>
      <c r="FL262" s="11"/>
      <c r="FM262" s="11"/>
      <c r="FN262" s="11"/>
      <c r="FO262" s="11"/>
      <c r="FP262" s="11"/>
      <c r="FQ262" s="11"/>
      <c r="FR262" s="11"/>
      <c r="FS262" s="11"/>
      <c r="FT262" s="11"/>
      <c r="FU262" s="11"/>
      <c r="FV262" s="11"/>
      <c r="FW262" s="11"/>
      <c r="FX262" s="11"/>
      <c r="FY262" s="11"/>
      <c r="FZ262" s="11"/>
      <c r="GA262" s="11"/>
      <c r="GB262" s="11"/>
      <c r="GC262" s="11"/>
      <c r="GD262" s="11"/>
      <c r="GE262" s="11"/>
      <c r="GF262" s="11"/>
      <c r="GG262" s="11"/>
      <c r="GH262" s="11"/>
      <c r="GI262" s="11"/>
      <c r="GJ262" s="11"/>
      <c r="GK262" s="11"/>
      <c r="GL262" s="11"/>
      <c r="GM262" s="11"/>
      <c r="GN262" s="11"/>
      <c r="GO262" s="11"/>
      <c r="GP262" s="11"/>
      <c r="GQ262" s="11"/>
      <c r="GR262" s="11"/>
    </row>
    <row r="263" spans="2:200" x14ac:dyDescent="0.15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  <c r="CW263" s="11"/>
      <c r="CX263" s="11"/>
      <c r="CY263" s="11"/>
      <c r="CZ263" s="11"/>
      <c r="DA263" s="11"/>
      <c r="DB263" s="11"/>
      <c r="DC263" s="11"/>
      <c r="DD263" s="11"/>
      <c r="DE263" s="11"/>
      <c r="DF263" s="11"/>
      <c r="DG263" s="11"/>
      <c r="DH263" s="11"/>
      <c r="DI263" s="11"/>
      <c r="DJ263" s="11"/>
      <c r="DK263" s="11"/>
      <c r="DL263" s="11"/>
      <c r="DM263" s="11"/>
      <c r="DN263" s="11"/>
      <c r="DO263" s="11"/>
      <c r="DP263" s="11"/>
      <c r="DQ263" s="11"/>
      <c r="DR263" s="11"/>
      <c r="DS263" s="11"/>
      <c r="DT263" s="11"/>
      <c r="DU263" s="11"/>
      <c r="DV263" s="11"/>
      <c r="DW263" s="11"/>
      <c r="DX263" s="11"/>
      <c r="DY263" s="11"/>
      <c r="DZ263" s="11"/>
      <c r="EA263" s="11"/>
      <c r="EB263" s="11"/>
      <c r="EC263" s="11"/>
      <c r="ED263" s="11"/>
      <c r="EE263" s="11"/>
      <c r="EF263" s="11"/>
      <c r="EG263" s="11"/>
      <c r="EH263" s="11"/>
      <c r="EI263" s="11"/>
      <c r="EJ263" s="11"/>
      <c r="EK263" s="11"/>
      <c r="EL263" s="11"/>
      <c r="EM263" s="11"/>
      <c r="EN263" s="11"/>
      <c r="EO263" s="11"/>
      <c r="EP263" s="11"/>
      <c r="EQ263" s="11"/>
      <c r="ER263" s="11"/>
      <c r="ES263" s="11"/>
      <c r="ET263" s="11"/>
      <c r="EU263" s="11"/>
      <c r="EV263" s="11"/>
      <c r="EW263" s="11"/>
      <c r="EX263" s="11"/>
      <c r="EY263" s="11"/>
      <c r="EZ263" s="11"/>
      <c r="FA263" s="11"/>
      <c r="FB263" s="11"/>
      <c r="FC263" s="11"/>
      <c r="FD263" s="11"/>
      <c r="FE263" s="11"/>
      <c r="FF263" s="11"/>
      <c r="FG263" s="11"/>
      <c r="FH263" s="11"/>
      <c r="FI263" s="11"/>
      <c r="FJ263" s="11"/>
      <c r="FK263" s="11"/>
      <c r="FL263" s="11"/>
      <c r="FM263" s="11"/>
      <c r="FN263" s="11"/>
      <c r="FO263" s="11"/>
      <c r="FP263" s="11"/>
      <c r="FQ263" s="11"/>
      <c r="FR263" s="11"/>
      <c r="FS263" s="11"/>
      <c r="FT263" s="11"/>
      <c r="FU263" s="11"/>
      <c r="FV263" s="11"/>
      <c r="FW263" s="11"/>
      <c r="FX263" s="11"/>
      <c r="FY263" s="11"/>
      <c r="FZ263" s="11"/>
      <c r="GA263" s="11"/>
      <c r="GB263" s="11"/>
      <c r="GC263" s="11"/>
      <c r="GD263" s="11"/>
      <c r="GE263" s="11"/>
      <c r="GF263" s="11"/>
      <c r="GG263" s="11"/>
      <c r="GH263" s="11"/>
      <c r="GI263" s="11"/>
      <c r="GJ263" s="11"/>
      <c r="GK263" s="11"/>
      <c r="GL263" s="11"/>
      <c r="GM263" s="11"/>
      <c r="GN263" s="11"/>
      <c r="GO263" s="11"/>
      <c r="GP263" s="11"/>
      <c r="GQ263" s="11"/>
      <c r="GR263" s="11"/>
    </row>
    <row r="264" spans="2:200" x14ac:dyDescent="0.15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  <c r="CW264" s="11"/>
      <c r="CX264" s="11"/>
      <c r="CY264" s="11"/>
      <c r="CZ264" s="11"/>
      <c r="DA264" s="11"/>
      <c r="DB264" s="11"/>
      <c r="DC264" s="11"/>
      <c r="DD264" s="11"/>
      <c r="DE264" s="11"/>
      <c r="DF264" s="11"/>
      <c r="DG264" s="11"/>
      <c r="DH264" s="11"/>
      <c r="DI264" s="11"/>
      <c r="DJ264" s="11"/>
      <c r="DK264" s="11"/>
      <c r="DL264" s="11"/>
      <c r="DM264" s="11"/>
      <c r="DN264" s="11"/>
      <c r="DO264" s="11"/>
      <c r="DP264" s="11"/>
      <c r="DQ264" s="11"/>
      <c r="DR264" s="11"/>
      <c r="DS264" s="11"/>
      <c r="DT264" s="11"/>
      <c r="DU264" s="11"/>
      <c r="DV264" s="11"/>
      <c r="DW264" s="11"/>
      <c r="DX264" s="11"/>
      <c r="DY264" s="11"/>
      <c r="DZ264" s="11"/>
      <c r="EA264" s="11"/>
      <c r="EB264" s="11"/>
      <c r="EC264" s="11"/>
      <c r="ED264" s="11"/>
      <c r="EE264" s="11"/>
      <c r="EF264" s="11"/>
      <c r="EG264" s="11"/>
      <c r="EH264" s="11"/>
      <c r="EI264" s="11"/>
      <c r="EJ264" s="11"/>
      <c r="EK264" s="11"/>
      <c r="EL264" s="11"/>
      <c r="EM264" s="11"/>
      <c r="EN264" s="11"/>
      <c r="EO264" s="11"/>
      <c r="EP264" s="11"/>
      <c r="EQ264" s="11"/>
      <c r="ER264" s="11"/>
      <c r="ES264" s="11"/>
      <c r="ET264" s="11"/>
      <c r="EU264" s="11"/>
      <c r="EV264" s="11"/>
      <c r="EW264" s="11"/>
      <c r="EX264" s="11"/>
      <c r="EY264" s="11"/>
      <c r="EZ264" s="11"/>
      <c r="FA264" s="11"/>
      <c r="FB264" s="11"/>
      <c r="FC264" s="11"/>
      <c r="FD264" s="11"/>
      <c r="FE264" s="11"/>
      <c r="FF264" s="11"/>
      <c r="FG264" s="11"/>
      <c r="FH264" s="11"/>
      <c r="FI264" s="11"/>
      <c r="FJ264" s="11"/>
      <c r="FK264" s="11"/>
      <c r="FL264" s="11"/>
      <c r="FM264" s="11"/>
      <c r="FN264" s="11"/>
      <c r="FO264" s="11"/>
      <c r="FP264" s="11"/>
      <c r="FQ264" s="11"/>
      <c r="FR264" s="11"/>
      <c r="FS264" s="11"/>
      <c r="FT264" s="11"/>
      <c r="FU264" s="11"/>
      <c r="FV264" s="11"/>
      <c r="FW264" s="11"/>
      <c r="FX264" s="11"/>
      <c r="FY264" s="11"/>
      <c r="FZ264" s="11"/>
      <c r="GA264" s="11"/>
      <c r="GB264" s="11"/>
      <c r="GC264" s="11"/>
      <c r="GD264" s="11"/>
      <c r="GE264" s="11"/>
      <c r="GF264" s="11"/>
      <c r="GG264" s="11"/>
      <c r="GH264" s="11"/>
      <c r="GI264" s="11"/>
      <c r="GJ264" s="11"/>
      <c r="GK264" s="11"/>
      <c r="GL264" s="11"/>
      <c r="GM264" s="11"/>
      <c r="GN264" s="11"/>
      <c r="GO264" s="11"/>
      <c r="GP264" s="11"/>
      <c r="GQ264" s="11"/>
      <c r="GR264" s="11"/>
    </row>
    <row r="265" spans="2:200" x14ac:dyDescent="0.15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  <c r="CW265" s="11"/>
      <c r="CX265" s="11"/>
      <c r="CY265" s="11"/>
      <c r="CZ265" s="11"/>
      <c r="DA265" s="11"/>
      <c r="DB265" s="11"/>
      <c r="DC265" s="11"/>
      <c r="DD265" s="11"/>
      <c r="DE265" s="11"/>
      <c r="DF265" s="11"/>
      <c r="DG265" s="11"/>
      <c r="DH265" s="11"/>
      <c r="DI265" s="11"/>
      <c r="DJ265" s="11"/>
      <c r="DK265" s="11"/>
      <c r="DL265" s="11"/>
      <c r="DM265" s="11"/>
      <c r="DN265" s="11"/>
      <c r="DO265" s="11"/>
      <c r="DP265" s="11"/>
      <c r="DQ265" s="11"/>
      <c r="DR265" s="11"/>
      <c r="DS265" s="11"/>
      <c r="DT265" s="11"/>
      <c r="DU265" s="11"/>
      <c r="DV265" s="11"/>
      <c r="DW265" s="11"/>
      <c r="DX265" s="11"/>
      <c r="DY265" s="11"/>
      <c r="DZ265" s="11"/>
      <c r="EA265" s="11"/>
      <c r="EB265" s="11"/>
      <c r="EC265" s="11"/>
      <c r="ED265" s="11"/>
      <c r="EE265" s="11"/>
      <c r="EF265" s="11"/>
      <c r="EG265" s="11"/>
      <c r="EH265" s="11"/>
      <c r="EI265" s="11"/>
      <c r="EJ265" s="11"/>
      <c r="EK265" s="11"/>
      <c r="EL265" s="11"/>
      <c r="EM265" s="11"/>
      <c r="EN265" s="11"/>
      <c r="EO265" s="11"/>
      <c r="EP265" s="11"/>
      <c r="EQ265" s="11"/>
      <c r="ER265" s="11"/>
      <c r="ES265" s="11"/>
      <c r="ET265" s="11"/>
      <c r="EU265" s="11"/>
      <c r="EV265" s="11"/>
      <c r="EW265" s="11"/>
      <c r="EX265" s="11"/>
      <c r="EY265" s="11"/>
      <c r="EZ265" s="11"/>
      <c r="FA265" s="11"/>
      <c r="FB265" s="11"/>
      <c r="FC265" s="11"/>
      <c r="FD265" s="11"/>
      <c r="FE265" s="11"/>
      <c r="FF265" s="11"/>
      <c r="FG265" s="11"/>
      <c r="FH265" s="11"/>
      <c r="FI265" s="11"/>
      <c r="FJ265" s="11"/>
      <c r="FK265" s="11"/>
      <c r="FL265" s="11"/>
      <c r="FM265" s="11"/>
      <c r="FN265" s="11"/>
      <c r="FO265" s="11"/>
      <c r="FP265" s="11"/>
      <c r="FQ265" s="11"/>
      <c r="FR265" s="11"/>
      <c r="FS265" s="11"/>
      <c r="FT265" s="11"/>
      <c r="FU265" s="11"/>
      <c r="FV265" s="11"/>
      <c r="FW265" s="11"/>
      <c r="FX265" s="11"/>
      <c r="FY265" s="11"/>
      <c r="FZ265" s="11"/>
      <c r="GA265" s="11"/>
      <c r="GB265" s="11"/>
      <c r="GC265" s="11"/>
      <c r="GD265" s="11"/>
      <c r="GE265" s="11"/>
      <c r="GF265" s="11"/>
      <c r="GG265" s="11"/>
      <c r="GH265" s="11"/>
      <c r="GI265" s="11"/>
      <c r="GJ265" s="11"/>
      <c r="GK265" s="11"/>
      <c r="GL265" s="11"/>
      <c r="GM265" s="11"/>
      <c r="GN265" s="11"/>
      <c r="GO265" s="11"/>
      <c r="GP265" s="11"/>
      <c r="GQ265" s="11"/>
      <c r="GR265" s="11"/>
    </row>
    <row r="266" spans="2:200" x14ac:dyDescent="0.15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  <c r="CW266" s="11"/>
      <c r="CX266" s="11"/>
      <c r="CY266" s="11"/>
      <c r="CZ266" s="11"/>
      <c r="DA266" s="11"/>
      <c r="DB266" s="11"/>
      <c r="DC266" s="11"/>
      <c r="DD266" s="11"/>
      <c r="DE266" s="11"/>
      <c r="DF266" s="11"/>
      <c r="DG266" s="11"/>
      <c r="DH266" s="11"/>
      <c r="DI266" s="11"/>
      <c r="DJ266" s="11"/>
      <c r="DK266" s="11"/>
      <c r="DL266" s="11"/>
      <c r="DM266" s="11"/>
      <c r="DN266" s="11"/>
      <c r="DO266" s="11"/>
      <c r="DP266" s="11"/>
      <c r="DQ266" s="11"/>
      <c r="DR266" s="11"/>
      <c r="DS266" s="11"/>
      <c r="DT266" s="11"/>
      <c r="DU266" s="11"/>
      <c r="DV266" s="11"/>
      <c r="DW266" s="11"/>
      <c r="DX266" s="11"/>
      <c r="DY266" s="11"/>
      <c r="DZ266" s="11"/>
      <c r="EA266" s="11"/>
      <c r="EB266" s="11"/>
      <c r="EC266" s="11"/>
      <c r="ED266" s="11"/>
      <c r="EE266" s="11"/>
      <c r="EF266" s="11"/>
      <c r="EG266" s="11"/>
      <c r="EH266" s="11"/>
      <c r="EI266" s="11"/>
      <c r="EJ266" s="11"/>
      <c r="EK266" s="11"/>
      <c r="EL266" s="11"/>
      <c r="EM266" s="11"/>
      <c r="EN266" s="11"/>
      <c r="EO266" s="11"/>
      <c r="EP266" s="11"/>
      <c r="EQ266" s="11"/>
      <c r="ER266" s="11"/>
      <c r="ES266" s="11"/>
      <c r="ET266" s="11"/>
      <c r="EU266" s="11"/>
      <c r="EV266" s="11"/>
      <c r="EW266" s="11"/>
      <c r="EX266" s="11"/>
      <c r="EY266" s="11"/>
      <c r="EZ266" s="11"/>
      <c r="FA266" s="11"/>
      <c r="FB266" s="11"/>
      <c r="FC266" s="11"/>
      <c r="FD266" s="11"/>
      <c r="FE266" s="11"/>
      <c r="FF266" s="11"/>
      <c r="FG266" s="11"/>
      <c r="FH266" s="11"/>
      <c r="FI266" s="11"/>
      <c r="FJ266" s="11"/>
      <c r="FK266" s="11"/>
      <c r="FL266" s="11"/>
      <c r="FM266" s="11"/>
      <c r="FN266" s="11"/>
      <c r="FO266" s="11"/>
      <c r="FP266" s="11"/>
      <c r="FQ266" s="11"/>
      <c r="FR266" s="11"/>
      <c r="FS266" s="11"/>
      <c r="FT266" s="11"/>
      <c r="FU266" s="11"/>
      <c r="FV266" s="11"/>
      <c r="FW266" s="11"/>
      <c r="FX266" s="11"/>
      <c r="FY266" s="11"/>
      <c r="FZ266" s="11"/>
      <c r="GA266" s="11"/>
      <c r="GB266" s="11"/>
      <c r="GC266" s="11"/>
      <c r="GD266" s="11"/>
      <c r="GE266" s="11"/>
      <c r="GF266" s="11"/>
      <c r="GG266" s="11"/>
      <c r="GH266" s="11"/>
      <c r="GI266" s="11"/>
      <c r="GJ266" s="11"/>
      <c r="GK266" s="11"/>
      <c r="GL266" s="11"/>
      <c r="GM266" s="11"/>
      <c r="GN266" s="11"/>
      <c r="GO266" s="11"/>
      <c r="GP266" s="11"/>
      <c r="GQ266" s="11"/>
      <c r="GR266" s="11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4182-5A82-4699-9196-EC8217F4542A}">
  <sheetPr codeName="Sheet2"/>
  <dimension ref="A1:AA38"/>
  <sheetViews>
    <sheetView workbookViewId="0">
      <selection activeCell="N16" sqref="N16"/>
    </sheetView>
  </sheetViews>
  <sheetFormatPr defaultRowHeight="14.25" x14ac:dyDescent="0.15"/>
  <cols>
    <col min="1" max="12" width="9.140625" style="11"/>
    <col min="13" max="22" width="8.7109375" style="11" customWidth="1"/>
    <col min="23" max="16384" width="9.140625" style="11"/>
  </cols>
  <sheetData>
    <row r="1" spans="1:22" x14ac:dyDescent="0.15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  <c r="Q1" s="11">
        <v>17</v>
      </c>
      <c r="R1" s="11">
        <v>18</v>
      </c>
      <c r="S1" s="11">
        <v>19</v>
      </c>
      <c r="T1" s="11">
        <v>20</v>
      </c>
      <c r="U1" s="11">
        <v>21</v>
      </c>
      <c r="V1" s="11">
        <v>22</v>
      </c>
    </row>
    <row r="2" spans="1:22" x14ac:dyDescent="0.15">
      <c r="E2" s="54" t="s">
        <v>24</v>
      </c>
      <c r="F2" s="54" t="s">
        <v>25</v>
      </c>
      <c r="J2" s="42" t="s">
        <v>138</v>
      </c>
      <c r="K2" s="11">
        <v>1</v>
      </c>
    </row>
    <row r="3" spans="1:22" x14ac:dyDescent="0.15">
      <c r="D3" s="54" t="s">
        <v>175</v>
      </c>
      <c r="E3" s="11">
        <v>1.2359999418258667</v>
      </c>
      <c r="F3" s="11">
        <v>1.3940000534057617</v>
      </c>
      <c r="H3" s="42" t="s">
        <v>143</v>
      </c>
      <c r="I3" s="22">
        <f>pqGs72D!C52</f>
        <v>2.0249999999999999</v>
      </c>
      <c r="K3" s="11" t="s">
        <v>143</v>
      </c>
      <c r="L3" s="11">
        <v>1.5</v>
      </c>
    </row>
    <row r="4" spans="1:22" ht="15.75" x14ac:dyDescent="0.15">
      <c r="D4" s="42" t="s">
        <v>192</v>
      </c>
      <c r="E4" s="11">
        <v>3826</v>
      </c>
      <c r="F4" s="11">
        <v>4001</v>
      </c>
      <c r="H4" s="42" t="s">
        <v>144</v>
      </c>
      <c r="I4" s="22">
        <f>pqGs72D!D52</f>
        <v>2.0249999999999999</v>
      </c>
      <c r="K4" s="11" t="s">
        <v>144</v>
      </c>
      <c r="L4" s="11">
        <v>1.5</v>
      </c>
      <c r="N4" s="45" t="s">
        <v>66</v>
      </c>
      <c r="O4" s="45" t="s">
        <v>67</v>
      </c>
      <c r="P4" s="45" t="s">
        <v>68</v>
      </c>
      <c r="Q4" s="45" t="s">
        <v>69</v>
      </c>
      <c r="R4" s="45" t="s">
        <v>70</v>
      </c>
      <c r="S4" s="45" t="s">
        <v>71</v>
      </c>
      <c r="T4" s="45" t="s">
        <v>72</v>
      </c>
      <c r="U4" s="45" t="s">
        <v>73</v>
      </c>
      <c r="V4" s="45" t="s">
        <v>74</v>
      </c>
    </row>
    <row r="5" spans="1:22" x14ac:dyDescent="0.15">
      <c r="D5" s="42" t="s">
        <v>193</v>
      </c>
      <c r="E5" s="11">
        <v>0.75</v>
      </c>
      <c r="F5" s="11">
        <v>0.7850000262260437</v>
      </c>
      <c r="K5" s="42" t="s">
        <v>136</v>
      </c>
      <c r="L5" s="11">
        <v>1.2390408515930176</v>
      </c>
      <c r="M5" s="11">
        <v>5</v>
      </c>
      <c r="N5" s="11">
        <v>1.76</v>
      </c>
      <c r="O5" s="11">
        <v>107.5</v>
      </c>
      <c r="P5" s="11">
        <v>0.26300000000000001</v>
      </c>
      <c r="Q5" s="11">
        <v>0.124</v>
      </c>
      <c r="R5" s="11">
        <v>2.1859999999999999</v>
      </c>
      <c r="S5" s="11">
        <v>1.181</v>
      </c>
      <c r="T5" s="11">
        <v>0.42599999999999999</v>
      </c>
      <c r="U5" s="11">
        <v>1.1160000562667847</v>
      </c>
      <c r="V5" s="11">
        <v>0.37200000882148743</v>
      </c>
    </row>
    <row r="6" spans="1:22" x14ac:dyDescent="0.15">
      <c r="D6" s="54" t="s">
        <v>177</v>
      </c>
      <c r="E6" s="11">
        <v>7057</v>
      </c>
      <c r="F6" s="11">
        <v>6444</v>
      </c>
      <c r="H6" s="42" t="s">
        <v>145</v>
      </c>
      <c r="I6" s="79">
        <f>pqGs72D!C17</f>
        <v>1</v>
      </c>
      <c r="J6" s="55"/>
      <c r="K6" s="42" t="s">
        <v>137</v>
      </c>
      <c r="L6" s="11">
        <v>1.3870823383331299</v>
      </c>
    </row>
    <row r="7" spans="1:22" x14ac:dyDescent="0.15">
      <c r="D7" s="54" t="s">
        <v>189</v>
      </c>
      <c r="E7" s="11">
        <v>6419</v>
      </c>
      <c r="F7" s="11">
        <v>5952</v>
      </c>
      <c r="H7" s="42" t="s">
        <v>146</v>
      </c>
      <c r="I7" s="79">
        <f>pqGs72D!D17</f>
        <v>1</v>
      </c>
      <c r="J7" s="55"/>
    </row>
    <row r="8" spans="1:22" x14ac:dyDescent="0.15">
      <c r="D8" s="54" t="s">
        <v>176</v>
      </c>
      <c r="E8" s="11">
        <v>1.0989999771118164</v>
      </c>
      <c r="F8" s="11">
        <v>1.0829999446868896</v>
      </c>
      <c r="J8" s="55"/>
      <c r="O8" s="42"/>
      <c r="P8" s="42" t="s">
        <v>133</v>
      </c>
      <c r="Q8" s="11" t="s">
        <v>140</v>
      </c>
      <c r="S8" s="11">
        <v>1.5</v>
      </c>
    </row>
    <row r="9" spans="1:22" x14ac:dyDescent="0.15">
      <c r="D9" s="54" t="s">
        <v>178</v>
      </c>
      <c r="J9" s="55"/>
      <c r="O9" s="42"/>
      <c r="P9" s="42" t="s">
        <v>134</v>
      </c>
      <c r="Q9" s="11" t="s">
        <v>141</v>
      </c>
      <c r="S9" s="11">
        <v>1.5</v>
      </c>
    </row>
    <row r="10" spans="1:22" x14ac:dyDescent="0.15">
      <c r="O10" s="42"/>
      <c r="P10" s="42" t="s">
        <v>139</v>
      </c>
      <c r="Q10" s="11">
        <v>2.1859999999999999</v>
      </c>
      <c r="S10" s="11">
        <v>1.5</v>
      </c>
    </row>
    <row r="11" spans="1:22" x14ac:dyDescent="0.15">
      <c r="A11" s="11">
        <v>1</v>
      </c>
      <c r="B11" s="11">
        <v>2</v>
      </c>
      <c r="C11" s="11">
        <v>3</v>
      </c>
      <c r="D11" s="11">
        <v>4</v>
      </c>
      <c r="E11" s="11">
        <v>5</v>
      </c>
      <c r="F11" s="11">
        <v>6</v>
      </c>
      <c r="G11" s="11">
        <v>7</v>
      </c>
      <c r="H11" s="11">
        <v>8</v>
      </c>
      <c r="I11" s="11">
        <v>9</v>
      </c>
      <c r="J11" s="55"/>
      <c r="O11" s="42"/>
      <c r="P11" s="42" t="s">
        <v>135</v>
      </c>
      <c r="Q11" s="11" t="s">
        <v>142</v>
      </c>
      <c r="S11" s="11">
        <v>1.35</v>
      </c>
    </row>
    <row r="12" spans="1:22" x14ac:dyDescent="0.15">
      <c r="B12" s="22" t="s">
        <v>125</v>
      </c>
      <c r="C12" s="22" t="s">
        <v>145</v>
      </c>
      <c r="D12" s="22" t="s">
        <v>146</v>
      </c>
      <c r="E12" s="22" t="s">
        <v>147</v>
      </c>
      <c r="F12" s="22" t="s">
        <v>150</v>
      </c>
      <c r="G12" s="22" t="s">
        <v>173</v>
      </c>
      <c r="H12" s="22" t="s">
        <v>174</v>
      </c>
      <c r="I12" s="22" t="s">
        <v>195</v>
      </c>
      <c r="J12" s="55"/>
      <c r="O12" s="42"/>
    </row>
    <row r="13" spans="1:22" x14ac:dyDescent="0.15">
      <c r="J13" s="55"/>
      <c r="O13" s="42"/>
    </row>
    <row r="14" spans="1:22" x14ac:dyDescent="0.15">
      <c r="B14" s="11">
        <v>11</v>
      </c>
      <c r="C14" s="11">
        <v>1</v>
      </c>
      <c r="D14" s="11">
        <v>1</v>
      </c>
      <c r="E14" s="11">
        <v>251</v>
      </c>
      <c r="F14" s="11">
        <v>3.372999906539917</v>
      </c>
      <c r="G14" s="11">
        <v>2.5299999713897705</v>
      </c>
      <c r="H14" s="11">
        <v>1066</v>
      </c>
      <c r="I14" s="11">
        <v>1066</v>
      </c>
      <c r="J14" s="55">
        <f>C14*D14*E14*G14*pqGs72D!P$10</f>
        <v>1065.3707565421935</v>
      </c>
      <c r="O14" s="22" t="s">
        <v>111</v>
      </c>
      <c r="P14" s="43" t="s">
        <v>113</v>
      </c>
      <c r="R14" s="11" t="s">
        <v>114</v>
      </c>
    </row>
    <row r="15" spans="1:22" x14ac:dyDescent="0.15">
      <c r="B15" s="11">
        <v>10</v>
      </c>
      <c r="C15" s="11">
        <v>1</v>
      </c>
      <c r="D15" s="11">
        <v>1</v>
      </c>
      <c r="E15" s="11">
        <v>640</v>
      </c>
      <c r="F15" s="11">
        <v>1.7130000591278076</v>
      </c>
      <c r="G15" s="11">
        <v>1.2849999666213989</v>
      </c>
      <c r="H15" s="11">
        <v>1380</v>
      </c>
      <c r="I15" s="11">
        <v>2445</v>
      </c>
      <c r="J15" s="55">
        <f>C15*D15*E15*G15*pqGs72D!P$10</f>
        <v>1379.7157572547681</v>
      </c>
      <c r="O15" s="22">
        <v>1</v>
      </c>
      <c r="P15" s="43" t="s">
        <v>115</v>
      </c>
      <c r="R15" s="11">
        <v>0.8</v>
      </c>
    </row>
    <row r="16" spans="1:22" x14ac:dyDescent="0.15">
      <c r="B16" s="11">
        <v>9</v>
      </c>
      <c r="C16" s="11">
        <v>1</v>
      </c>
      <c r="D16" s="11">
        <v>1</v>
      </c>
      <c r="E16" s="11">
        <v>454</v>
      </c>
      <c r="F16" s="11">
        <v>1.3380000591278076</v>
      </c>
      <c r="G16" s="11">
        <v>1.0039999485015869</v>
      </c>
      <c r="H16" s="11">
        <v>765</v>
      </c>
      <c r="I16" s="11">
        <v>3210</v>
      </c>
      <c r="J16" s="55">
        <f>C16*D16*E16*G16*pqGs72D!P$10</f>
        <v>764.70878123375633</v>
      </c>
      <c r="O16" s="22">
        <v>2</v>
      </c>
      <c r="P16" s="43" t="s">
        <v>116</v>
      </c>
      <c r="R16" s="11">
        <v>0.85</v>
      </c>
    </row>
    <row r="17" spans="2:27" x14ac:dyDescent="0.15">
      <c r="B17" s="11">
        <v>8</v>
      </c>
      <c r="C17" s="11">
        <v>1</v>
      </c>
      <c r="D17" s="11">
        <v>1</v>
      </c>
      <c r="E17" s="11">
        <v>455</v>
      </c>
      <c r="F17" s="11">
        <v>1.1519999504089355</v>
      </c>
      <c r="G17" s="11">
        <v>0.86400002241134644</v>
      </c>
      <c r="H17" s="11">
        <v>660</v>
      </c>
      <c r="I17" s="11">
        <v>3870</v>
      </c>
      <c r="J17" s="55">
        <f>C17*D17*E17*G17*pqGs72D!P$10</f>
        <v>659.52564038201365</v>
      </c>
      <c r="O17" s="22">
        <v>3</v>
      </c>
      <c r="P17" s="43" t="s">
        <v>117</v>
      </c>
      <c r="R17" s="11">
        <v>0.9</v>
      </c>
    </row>
    <row r="18" spans="2:27" x14ac:dyDescent="0.15">
      <c r="B18" s="11">
        <v>7</v>
      </c>
      <c r="C18" s="11">
        <v>1</v>
      </c>
      <c r="D18" s="11">
        <v>1</v>
      </c>
      <c r="E18" s="11">
        <v>460</v>
      </c>
      <c r="F18" s="11">
        <v>0.99900001287460327</v>
      </c>
      <c r="G18" s="11">
        <v>0.74900001287460327</v>
      </c>
      <c r="H18" s="11">
        <v>578</v>
      </c>
      <c r="I18" s="11">
        <v>4448</v>
      </c>
      <c r="J18" s="55">
        <f>C18*D18*E18*G18*pqGs72D!P$10</f>
        <v>578.02442549076659</v>
      </c>
      <c r="O18" s="22">
        <v>4</v>
      </c>
      <c r="P18" s="43" t="s">
        <v>118</v>
      </c>
      <c r="R18" s="11">
        <v>0.95</v>
      </c>
    </row>
    <row r="19" spans="2:27" x14ac:dyDescent="0.15">
      <c r="B19" s="11">
        <v>6</v>
      </c>
      <c r="C19" s="11">
        <v>1</v>
      </c>
      <c r="D19" s="11">
        <v>1</v>
      </c>
      <c r="E19" s="11">
        <v>467</v>
      </c>
      <c r="F19" s="11">
        <v>0.86100000143051147</v>
      </c>
      <c r="G19" s="11">
        <v>0.64600002765655518</v>
      </c>
      <c r="H19" s="11">
        <v>506</v>
      </c>
      <c r="I19" s="11">
        <v>4954</v>
      </c>
      <c r="J19" s="55">
        <f>C19*D19*E19*G19*pqGs72D!P$10</f>
        <v>506.12285714002428</v>
      </c>
      <c r="O19" s="22" t="s">
        <v>112</v>
      </c>
      <c r="P19" s="43">
        <v>1</v>
      </c>
      <c r="R19" s="11">
        <v>1</v>
      </c>
    </row>
    <row r="20" spans="2:27" x14ac:dyDescent="0.15">
      <c r="B20" s="11">
        <v>5</v>
      </c>
      <c r="C20" s="11">
        <v>1</v>
      </c>
      <c r="D20" s="11">
        <v>1</v>
      </c>
      <c r="E20" s="11">
        <v>469</v>
      </c>
      <c r="F20" s="11">
        <v>0.73100000619888306</v>
      </c>
      <c r="G20" s="11">
        <v>0.54900002479553223</v>
      </c>
      <c r="H20" s="11">
        <v>432</v>
      </c>
      <c r="I20" s="56">
        <v>5385</v>
      </c>
      <c r="J20" s="55">
        <f>C20*D20*E20*G20*pqGs72D!P$10</f>
        <v>431.96816411285181</v>
      </c>
    </row>
    <row r="21" spans="2:27" x14ac:dyDescent="0.15">
      <c r="B21" s="11">
        <v>4</v>
      </c>
      <c r="C21" s="11">
        <v>1</v>
      </c>
      <c r="D21" s="11">
        <v>1</v>
      </c>
      <c r="E21" s="11">
        <v>471</v>
      </c>
      <c r="F21" s="11">
        <v>0.60799998044967651</v>
      </c>
      <c r="G21" s="11">
        <v>0.45600000023841858</v>
      </c>
      <c r="H21" s="11">
        <v>361</v>
      </c>
      <c r="I21" s="56">
        <v>5746</v>
      </c>
      <c r="J21" s="55">
        <f>C21*D21*E21*G21*pqGs72D!P$10</f>
        <v>360.32324821549179</v>
      </c>
      <c r="K21" s="56"/>
      <c r="O21" s="42" t="s">
        <v>119</v>
      </c>
      <c r="P21" s="11" t="s">
        <v>120</v>
      </c>
      <c r="Q21" s="11" t="s">
        <v>255</v>
      </c>
    </row>
    <row r="22" spans="2:27" x14ac:dyDescent="0.15">
      <c r="B22" s="11">
        <v>3</v>
      </c>
      <c r="C22" s="11">
        <v>1</v>
      </c>
      <c r="D22" s="11">
        <v>1</v>
      </c>
      <c r="E22" s="11">
        <v>475</v>
      </c>
      <c r="F22" s="11">
        <v>0.48899999260902405</v>
      </c>
      <c r="G22" s="11">
        <v>0.36700001358985901</v>
      </c>
      <c r="H22" s="11">
        <v>293</v>
      </c>
      <c r="I22" s="56">
        <v>6038</v>
      </c>
      <c r="J22" s="55">
        <f>C22*D22*E22*G22*pqGs72D!P$10</f>
        <v>292.45983041995521</v>
      </c>
      <c r="K22" s="56"/>
      <c r="O22" s="42"/>
      <c r="P22" s="11" t="s">
        <v>121</v>
      </c>
      <c r="Q22" s="11">
        <v>1</v>
      </c>
    </row>
    <row r="23" spans="2:27" x14ac:dyDescent="0.15">
      <c r="B23" s="11">
        <v>2</v>
      </c>
      <c r="C23" s="11">
        <v>1</v>
      </c>
      <c r="D23" s="11">
        <v>1</v>
      </c>
      <c r="E23" s="11">
        <v>477</v>
      </c>
      <c r="F23" s="11">
        <v>0.37299999594688416</v>
      </c>
      <c r="G23" s="11">
        <v>0.2800000011920929</v>
      </c>
      <c r="H23" s="11">
        <v>224</v>
      </c>
      <c r="I23" s="56">
        <v>6262</v>
      </c>
      <c r="J23" s="55">
        <f>C23*D23*E23*G23*pqGs72D!P$10</f>
        <v>224.06960373314129</v>
      </c>
      <c r="K23" s="56"/>
    </row>
    <row r="24" spans="2:27" x14ac:dyDescent="0.15">
      <c r="B24" s="11">
        <v>1</v>
      </c>
      <c r="C24" s="11">
        <v>1</v>
      </c>
      <c r="D24" s="11">
        <v>1</v>
      </c>
      <c r="E24" s="11">
        <v>481</v>
      </c>
      <c r="F24" s="11">
        <v>0.25799998641014099</v>
      </c>
      <c r="G24" s="11">
        <v>0.1940000057220459</v>
      </c>
      <c r="H24" s="11">
        <v>156</v>
      </c>
      <c r="I24" s="56">
        <v>6419</v>
      </c>
      <c r="J24" s="55">
        <f>C24*D24*E24*G24*pqGs72D!P$10</f>
        <v>156.5501013061037</v>
      </c>
      <c r="K24" s="56"/>
    </row>
    <row r="25" spans="2:27" x14ac:dyDescent="0.15">
      <c r="E25" s="11">
        <v>5100</v>
      </c>
      <c r="I25" s="56"/>
      <c r="K25" s="56"/>
      <c r="O25" s="42" t="s">
        <v>230</v>
      </c>
      <c r="P25" s="11" t="s">
        <v>234</v>
      </c>
      <c r="R25" s="11">
        <v>1.5</v>
      </c>
    </row>
    <row r="26" spans="2:27" x14ac:dyDescent="0.15">
      <c r="B26" s="11" t="s">
        <v>19</v>
      </c>
      <c r="C26" s="11" t="s">
        <v>145</v>
      </c>
      <c r="D26" s="11" t="s">
        <v>146</v>
      </c>
      <c r="E26" s="11" t="s">
        <v>5</v>
      </c>
      <c r="F26" s="11" t="s">
        <v>150</v>
      </c>
      <c r="G26" s="11" t="s">
        <v>173</v>
      </c>
      <c r="H26" s="11" t="s">
        <v>174</v>
      </c>
      <c r="I26" s="56" t="s">
        <v>195</v>
      </c>
      <c r="K26" s="56"/>
      <c r="O26" s="42" t="s">
        <v>231</v>
      </c>
      <c r="P26" s="11" t="s">
        <v>235</v>
      </c>
      <c r="R26" s="11">
        <v>1.5</v>
      </c>
    </row>
    <row r="27" spans="2:27" x14ac:dyDescent="0.15">
      <c r="I27" s="56"/>
      <c r="K27" s="56"/>
      <c r="O27" s="42" t="s">
        <v>232</v>
      </c>
      <c r="P27" s="11">
        <v>2.58</v>
      </c>
      <c r="R27" s="11">
        <v>1.5</v>
      </c>
    </row>
    <row r="28" spans="2:27" x14ac:dyDescent="0.15">
      <c r="B28" s="11">
        <v>11</v>
      </c>
      <c r="C28" s="11">
        <v>1</v>
      </c>
      <c r="D28" s="11">
        <v>1</v>
      </c>
      <c r="E28" s="11">
        <v>251</v>
      </c>
      <c r="F28" s="11">
        <v>3.372999906539917</v>
      </c>
      <c r="G28" s="11">
        <v>2.6459999084472656</v>
      </c>
      <c r="H28" s="11">
        <v>988</v>
      </c>
      <c r="I28" s="56">
        <v>988</v>
      </c>
      <c r="K28" s="56"/>
      <c r="O28" s="42" t="s">
        <v>233</v>
      </c>
      <c r="P28" s="11" t="s">
        <v>236</v>
      </c>
      <c r="R28" s="11">
        <v>1.35</v>
      </c>
      <c r="Z28" s="42"/>
      <c r="AA28" s="43"/>
    </row>
    <row r="29" spans="2:27" x14ac:dyDescent="0.15">
      <c r="B29" s="11">
        <v>10</v>
      </c>
      <c r="C29" s="11">
        <v>1</v>
      </c>
      <c r="D29" s="11">
        <v>1</v>
      </c>
      <c r="E29" s="11">
        <v>640</v>
      </c>
      <c r="F29" s="11">
        <v>1.7130000591278076</v>
      </c>
      <c r="G29" s="11">
        <v>1.343999981880188</v>
      </c>
      <c r="H29" s="11">
        <v>1279</v>
      </c>
      <c r="I29" s="56">
        <v>2267</v>
      </c>
      <c r="K29" s="56"/>
      <c r="Z29" s="42"/>
      <c r="AA29" s="43"/>
    </row>
    <row r="30" spans="2:27" x14ac:dyDescent="0.15">
      <c r="B30" s="11">
        <v>9</v>
      </c>
      <c r="C30" s="11">
        <v>1</v>
      </c>
      <c r="D30" s="11">
        <v>1</v>
      </c>
      <c r="E30" s="11">
        <v>454</v>
      </c>
      <c r="F30" s="11">
        <v>1.3380000591278076</v>
      </c>
      <c r="G30" s="11">
        <v>1.0499999523162842</v>
      </c>
      <c r="H30" s="11">
        <v>709</v>
      </c>
      <c r="I30" s="56">
        <v>2976</v>
      </c>
      <c r="J30" s="44"/>
      <c r="K30" s="56"/>
      <c r="Z30" s="42"/>
      <c r="AA30" s="43"/>
    </row>
    <row r="31" spans="2:27" x14ac:dyDescent="0.15">
      <c r="B31" s="11">
        <v>8</v>
      </c>
      <c r="C31" s="11">
        <v>1</v>
      </c>
      <c r="D31" s="11">
        <v>1</v>
      </c>
      <c r="E31" s="11">
        <v>455</v>
      </c>
      <c r="F31" s="11">
        <v>1.1519999504089355</v>
      </c>
      <c r="G31" s="11">
        <v>0.90399998426437378</v>
      </c>
      <c r="H31" s="11">
        <v>612</v>
      </c>
      <c r="I31" s="11">
        <v>3588</v>
      </c>
      <c r="Z31" s="42"/>
      <c r="AA31" s="43"/>
    </row>
    <row r="32" spans="2:27" x14ac:dyDescent="0.15">
      <c r="B32" s="11">
        <v>7</v>
      </c>
      <c r="C32" s="11">
        <v>1</v>
      </c>
      <c r="D32" s="11">
        <v>1</v>
      </c>
      <c r="E32" s="11">
        <v>460</v>
      </c>
      <c r="F32" s="11">
        <v>0.99900001287460327</v>
      </c>
      <c r="G32" s="11">
        <v>0.7839999794960022</v>
      </c>
      <c r="H32" s="11">
        <v>536</v>
      </c>
      <c r="I32" s="11">
        <v>4124</v>
      </c>
    </row>
    <row r="33" spans="2:9" x14ac:dyDescent="0.15">
      <c r="B33" s="11">
        <v>6</v>
      </c>
      <c r="C33" s="11">
        <v>1</v>
      </c>
      <c r="D33" s="11">
        <v>1</v>
      </c>
      <c r="E33" s="11">
        <v>467</v>
      </c>
      <c r="F33" s="11">
        <v>0.86100000143051147</v>
      </c>
      <c r="G33" s="11">
        <v>0.67500001192092896</v>
      </c>
      <c r="H33" s="11">
        <v>469</v>
      </c>
      <c r="I33" s="11">
        <v>4593</v>
      </c>
    </row>
    <row r="34" spans="2:9" x14ac:dyDescent="0.15">
      <c r="B34" s="11">
        <v>5</v>
      </c>
      <c r="C34" s="11">
        <v>1</v>
      </c>
      <c r="D34" s="11">
        <v>1</v>
      </c>
      <c r="E34" s="11">
        <v>469</v>
      </c>
      <c r="F34" s="11">
        <v>0.73100000619888306</v>
      </c>
      <c r="G34" s="11">
        <v>0.57400000095367432</v>
      </c>
      <c r="H34" s="11">
        <v>400</v>
      </c>
      <c r="I34" s="11">
        <v>4993</v>
      </c>
    </row>
    <row r="35" spans="2:9" x14ac:dyDescent="0.15">
      <c r="B35" s="11">
        <v>4</v>
      </c>
      <c r="C35" s="11">
        <v>1</v>
      </c>
      <c r="D35" s="11">
        <v>1</v>
      </c>
      <c r="E35" s="11">
        <v>471</v>
      </c>
      <c r="F35" s="11">
        <v>0.60799998044967651</v>
      </c>
      <c r="G35" s="11">
        <v>0.47699999809265137</v>
      </c>
      <c r="H35" s="11">
        <v>334</v>
      </c>
      <c r="I35" s="11">
        <v>5328</v>
      </c>
    </row>
    <row r="36" spans="2:9" x14ac:dyDescent="0.15">
      <c r="B36" s="11">
        <v>3</v>
      </c>
      <c r="C36" s="11">
        <v>1</v>
      </c>
      <c r="D36" s="11">
        <v>1</v>
      </c>
      <c r="E36" s="11">
        <v>475</v>
      </c>
      <c r="F36" s="11">
        <v>0.48899999260902405</v>
      </c>
      <c r="G36" s="11">
        <v>0.38400000333786011</v>
      </c>
      <c r="H36" s="11">
        <v>271</v>
      </c>
      <c r="I36" s="11">
        <v>5599</v>
      </c>
    </row>
    <row r="37" spans="2:9" x14ac:dyDescent="0.15">
      <c r="B37" s="11">
        <v>2</v>
      </c>
      <c r="C37" s="11">
        <v>1</v>
      </c>
      <c r="D37" s="11">
        <v>1</v>
      </c>
      <c r="E37" s="11">
        <v>477</v>
      </c>
      <c r="F37" s="11">
        <v>0.37299999594688416</v>
      </c>
      <c r="G37" s="11">
        <v>0.29300001263618469</v>
      </c>
      <c r="H37" s="11">
        <v>208</v>
      </c>
      <c r="I37" s="11">
        <v>5807</v>
      </c>
    </row>
    <row r="38" spans="2:9" x14ac:dyDescent="0.15">
      <c r="B38" s="11">
        <v>1</v>
      </c>
      <c r="C38" s="11">
        <v>1</v>
      </c>
      <c r="D38" s="11">
        <v>1</v>
      </c>
      <c r="E38" s="11">
        <v>481</v>
      </c>
      <c r="F38" s="11">
        <v>0.25799998641014099</v>
      </c>
      <c r="G38" s="11">
        <v>0.20299999415874481</v>
      </c>
      <c r="H38" s="11">
        <v>145</v>
      </c>
      <c r="I38" s="11">
        <v>5952</v>
      </c>
    </row>
  </sheetData>
  <phoneticPr fontId="2"/>
  <pageMargins left="0.25" right="0.25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AC09-6B88-4301-915A-4EA863613DC4}">
  <sheetPr codeName="Sheet15"/>
  <dimension ref="A1:L100"/>
  <sheetViews>
    <sheetView workbookViewId="0">
      <selection activeCell="M9" sqref="M9"/>
    </sheetView>
  </sheetViews>
  <sheetFormatPr defaultRowHeight="14.25" x14ac:dyDescent="0.15"/>
  <cols>
    <col min="1" max="1" width="4.7109375" style="11" customWidth="1"/>
    <col min="2" max="2" width="9.7109375" style="12" customWidth="1"/>
    <col min="3" max="3" width="9.7109375" style="19" customWidth="1"/>
    <col min="4" max="4" width="9.7109375" style="11" customWidth="1"/>
    <col min="5" max="5" width="9.7109375" style="17" customWidth="1"/>
    <col min="6" max="6" width="9.7109375" style="11" customWidth="1"/>
    <col min="7" max="7" width="9.7109375" style="17" customWidth="1"/>
    <col min="8" max="9" width="9.7109375" style="11" customWidth="1"/>
    <col min="10" max="12" width="10.7109375" style="11" customWidth="1"/>
    <col min="13" max="16384" width="9.140625" style="11"/>
  </cols>
  <sheetData>
    <row r="1" spans="1:12" x14ac:dyDescent="0.15">
      <c r="A1" s="50">
        <v>1</v>
      </c>
      <c r="B1" s="51">
        <v>2</v>
      </c>
      <c r="C1" s="50">
        <v>3</v>
      </c>
      <c r="D1" s="51">
        <v>4</v>
      </c>
      <c r="E1" s="50">
        <v>5</v>
      </c>
      <c r="F1" s="51">
        <v>6</v>
      </c>
      <c r="G1" s="50">
        <v>7</v>
      </c>
      <c r="H1" s="51">
        <v>8</v>
      </c>
      <c r="I1" s="50">
        <v>9</v>
      </c>
      <c r="J1" s="51">
        <v>10</v>
      </c>
      <c r="K1" s="50">
        <v>11</v>
      </c>
    </row>
    <row r="2" spans="1:12" x14ac:dyDescent="0.15">
      <c r="B2" s="62" t="s">
        <v>187</v>
      </c>
    </row>
    <row r="4" spans="1:12" x14ac:dyDescent="0.15">
      <c r="C4" s="13"/>
      <c r="D4" s="14" t="s">
        <v>29</v>
      </c>
      <c r="E4" s="11">
        <v>43.999996185302734</v>
      </c>
      <c r="G4" s="11"/>
      <c r="H4" s="15" t="s">
        <v>156</v>
      </c>
      <c r="J4" s="16" t="s">
        <v>30</v>
      </c>
    </row>
    <row r="5" spans="1:12" x14ac:dyDescent="0.15">
      <c r="C5" s="13"/>
      <c r="D5" s="14" t="s">
        <v>28</v>
      </c>
      <c r="E5" s="11">
        <v>11</v>
      </c>
      <c r="H5" s="15" t="s">
        <v>157</v>
      </c>
      <c r="J5" s="16" t="s">
        <v>30</v>
      </c>
    </row>
    <row r="6" spans="1:12" x14ac:dyDescent="0.15">
      <c r="C6" s="13"/>
      <c r="D6" s="14" t="s">
        <v>27</v>
      </c>
      <c r="E6" s="11">
        <v>1</v>
      </c>
    </row>
    <row r="7" spans="1:12" x14ac:dyDescent="0.15">
      <c r="C7" s="13"/>
      <c r="D7" s="14" t="s">
        <v>12</v>
      </c>
      <c r="E7" s="11">
        <v>0.20000000298023224</v>
      </c>
    </row>
    <row r="8" spans="1:12" x14ac:dyDescent="0.15">
      <c r="C8" s="13"/>
      <c r="D8" s="14" t="s">
        <v>13</v>
      </c>
      <c r="E8" s="11">
        <v>0.60000002384185791</v>
      </c>
      <c r="F8" s="16"/>
      <c r="H8" s="18" t="s">
        <v>44</v>
      </c>
      <c r="I8" s="18" t="s">
        <v>43</v>
      </c>
      <c r="J8" s="18" t="s">
        <v>49</v>
      </c>
    </row>
    <row r="9" spans="1:12" x14ac:dyDescent="0.15">
      <c r="G9" s="20" t="s">
        <v>24</v>
      </c>
      <c r="H9" s="11">
        <v>1.5800000429153442</v>
      </c>
      <c r="I9" s="11">
        <v>0.60799999999999998</v>
      </c>
      <c r="L9" s="16"/>
    </row>
    <row r="10" spans="1:12" x14ac:dyDescent="0.15">
      <c r="D10" s="17" t="s">
        <v>207</v>
      </c>
      <c r="E10" s="22">
        <v>3845</v>
      </c>
      <c r="F10" s="12"/>
      <c r="G10" s="15" t="s">
        <v>25</v>
      </c>
      <c r="H10" s="11">
        <v>2.0350000858306885</v>
      </c>
      <c r="I10" s="11">
        <v>0.47199999999999998</v>
      </c>
    </row>
    <row r="11" spans="1:12" x14ac:dyDescent="0.15">
      <c r="D11" s="17" t="s">
        <v>208</v>
      </c>
      <c r="E11" s="22">
        <v>3917</v>
      </c>
      <c r="F11" s="22"/>
      <c r="G11" s="20" t="s">
        <v>132</v>
      </c>
      <c r="K11" s="18" t="s">
        <v>45</v>
      </c>
    </row>
    <row r="12" spans="1:12" x14ac:dyDescent="0.15">
      <c r="B12" s="23"/>
      <c r="C12" s="21"/>
      <c r="D12" s="24"/>
      <c r="E12" s="24"/>
      <c r="F12" s="25"/>
      <c r="G12" s="22"/>
      <c r="I12" s="26"/>
      <c r="J12" s="26"/>
    </row>
    <row r="13" spans="1:12" x14ac:dyDescent="0.15">
      <c r="B13" s="32" t="s">
        <v>0</v>
      </c>
      <c r="C13" s="27" t="s">
        <v>126</v>
      </c>
      <c r="D13" s="28" t="s">
        <v>127</v>
      </c>
      <c r="E13" s="29" t="s">
        <v>3</v>
      </c>
      <c r="F13" s="29" t="s">
        <v>128</v>
      </c>
      <c r="G13" s="18" t="s">
        <v>46</v>
      </c>
      <c r="H13" s="28" t="s">
        <v>47</v>
      </c>
      <c r="I13" s="28" t="s">
        <v>48</v>
      </c>
    </row>
    <row r="14" spans="1:12" x14ac:dyDescent="0.15">
      <c r="B14" s="23"/>
      <c r="C14" s="27" t="s">
        <v>6</v>
      </c>
      <c r="D14" s="28" t="s">
        <v>129</v>
      </c>
      <c r="E14" s="29" t="s">
        <v>2</v>
      </c>
      <c r="F14" s="30"/>
      <c r="G14" s="18" t="s">
        <v>7</v>
      </c>
      <c r="H14" s="18"/>
      <c r="I14" s="31"/>
      <c r="J14" s="31"/>
    </row>
    <row r="15" spans="1:12" x14ac:dyDescent="0.15">
      <c r="B15" s="11">
        <v>11</v>
      </c>
      <c r="C15" s="11">
        <v>6.2E-2</v>
      </c>
      <c r="D15" s="11">
        <v>0.57699999999999996</v>
      </c>
      <c r="E15" s="11">
        <v>5.07</v>
      </c>
      <c r="F15" s="85" t="s">
        <v>319</v>
      </c>
      <c r="G15" s="11">
        <v>251</v>
      </c>
      <c r="H15" s="11">
        <v>144.83000000000001</v>
      </c>
      <c r="I15" s="11">
        <v>83.57</v>
      </c>
    </row>
    <row r="16" spans="1:12" x14ac:dyDescent="0.15">
      <c r="B16" s="11">
        <v>10</v>
      </c>
      <c r="C16" s="11">
        <v>3.5999999999999997E-2</v>
      </c>
      <c r="D16" s="11">
        <v>0.51500000000000001</v>
      </c>
      <c r="E16" s="11">
        <v>3.8</v>
      </c>
      <c r="F16" s="85" t="s">
        <v>320</v>
      </c>
      <c r="G16" s="11">
        <v>640</v>
      </c>
      <c r="H16" s="11">
        <v>329.6</v>
      </c>
      <c r="I16" s="11">
        <v>169.74</v>
      </c>
    </row>
    <row r="17" spans="2:9" x14ac:dyDescent="0.15">
      <c r="B17" s="11">
        <v>9</v>
      </c>
      <c r="C17" s="11">
        <v>0.05</v>
      </c>
      <c r="D17" s="11">
        <v>0.47899999999999998</v>
      </c>
      <c r="E17" s="11">
        <v>3.8</v>
      </c>
      <c r="F17" s="85" t="s">
        <v>321</v>
      </c>
      <c r="G17" s="11">
        <v>454</v>
      </c>
      <c r="H17" s="11">
        <v>217.47</v>
      </c>
      <c r="I17" s="11">
        <v>104.17</v>
      </c>
    </row>
    <row r="18" spans="2:9" x14ac:dyDescent="0.15">
      <c r="B18" s="11">
        <v>8</v>
      </c>
      <c r="C18" s="11">
        <v>6.2E-2</v>
      </c>
      <c r="D18" s="11">
        <v>0.42899999999999999</v>
      </c>
      <c r="E18" s="11">
        <v>3.8</v>
      </c>
      <c r="F18" s="85" t="s">
        <v>322</v>
      </c>
      <c r="G18" s="11">
        <v>455</v>
      </c>
      <c r="H18" s="11">
        <v>195.2</v>
      </c>
      <c r="I18" s="11">
        <v>83.74</v>
      </c>
    </row>
    <row r="19" spans="2:9" x14ac:dyDescent="0.15">
      <c r="B19" s="11">
        <v>7</v>
      </c>
      <c r="C19" s="11">
        <v>6.3E-2</v>
      </c>
      <c r="D19" s="11">
        <v>0.36699999999999999</v>
      </c>
      <c r="E19" s="11">
        <v>3.8</v>
      </c>
      <c r="F19" s="85" t="s">
        <v>323</v>
      </c>
      <c r="G19" s="11">
        <v>460</v>
      </c>
      <c r="H19" s="11">
        <v>168.82</v>
      </c>
      <c r="I19" s="11">
        <v>61.96</v>
      </c>
    </row>
    <row r="20" spans="2:9" x14ac:dyDescent="0.15">
      <c r="B20" s="11">
        <v>6</v>
      </c>
      <c r="C20" s="11">
        <v>5.8000000000000003E-2</v>
      </c>
      <c r="D20" s="11">
        <v>0.30399999999999999</v>
      </c>
      <c r="E20" s="11">
        <v>3.8</v>
      </c>
      <c r="F20" s="85" t="s">
        <v>324</v>
      </c>
      <c r="G20" s="11">
        <v>467</v>
      </c>
      <c r="H20" s="11">
        <v>141.97</v>
      </c>
      <c r="I20" s="11">
        <v>43.16</v>
      </c>
    </row>
    <row r="21" spans="2:9" x14ac:dyDescent="0.15">
      <c r="B21" s="11">
        <v>5</v>
      </c>
      <c r="C21" s="11">
        <v>5.8999999999999997E-2</v>
      </c>
      <c r="D21" s="11">
        <v>0.246</v>
      </c>
      <c r="E21" s="11">
        <v>3.8</v>
      </c>
      <c r="F21" s="85" t="s">
        <v>325</v>
      </c>
      <c r="G21" s="11">
        <v>469</v>
      </c>
      <c r="H21" s="11">
        <v>115.37</v>
      </c>
      <c r="I21" s="11">
        <v>28.38</v>
      </c>
    </row>
    <row r="22" spans="2:9" x14ac:dyDescent="0.15">
      <c r="B22" s="11">
        <v>4</v>
      </c>
      <c r="C22" s="11">
        <v>5.6000000000000001E-2</v>
      </c>
      <c r="D22" s="11">
        <v>0.187</v>
      </c>
      <c r="E22" s="11">
        <v>3.8</v>
      </c>
      <c r="F22" s="85" t="s">
        <v>326</v>
      </c>
      <c r="G22" s="11">
        <v>471</v>
      </c>
      <c r="H22" s="11">
        <v>88.08</v>
      </c>
      <c r="I22" s="11">
        <v>16.47</v>
      </c>
    </row>
    <row r="23" spans="2:9" x14ac:dyDescent="0.15">
      <c r="B23" s="11">
        <v>3</v>
      </c>
      <c r="C23" s="11">
        <v>4.7E-2</v>
      </c>
      <c r="D23" s="11">
        <v>0.13100000000000001</v>
      </c>
      <c r="E23" s="11">
        <v>3.8</v>
      </c>
      <c r="F23" s="85" t="s">
        <v>327</v>
      </c>
      <c r="G23" s="11">
        <v>475</v>
      </c>
      <c r="H23" s="11">
        <v>62.23</v>
      </c>
      <c r="I23" s="11">
        <v>8.15</v>
      </c>
    </row>
    <row r="24" spans="2:9" x14ac:dyDescent="0.15">
      <c r="B24" s="11">
        <v>2</v>
      </c>
      <c r="C24" s="11">
        <v>4.2999999999999997E-2</v>
      </c>
      <c r="D24" s="11">
        <v>8.4000000000000005E-2</v>
      </c>
      <c r="E24" s="11">
        <v>3.8</v>
      </c>
      <c r="F24" s="85" t="s">
        <v>328</v>
      </c>
      <c r="G24" s="11">
        <v>477</v>
      </c>
      <c r="H24" s="11">
        <v>40.07</v>
      </c>
      <c r="I24" s="11">
        <v>3.37</v>
      </c>
    </row>
    <row r="25" spans="2:9" x14ac:dyDescent="0.15">
      <c r="B25" s="11">
        <v>1</v>
      </c>
      <c r="C25" s="11">
        <v>4.1000000000000002E-2</v>
      </c>
      <c r="D25" s="11">
        <v>4.1000000000000002E-2</v>
      </c>
      <c r="E25" s="11">
        <v>4.7300000000000004</v>
      </c>
      <c r="F25" s="85" t="s">
        <v>329</v>
      </c>
      <c r="G25" s="11">
        <v>481</v>
      </c>
      <c r="H25" s="11">
        <v>19.72</v>
      </c>
      <c r="I25" s="11">
        <v>0.81</v>
      </c>
    </row>
    <row r="26" spans="2:9" x14ac:dyDescent="0.15">
      <c r="B26" s="11"/>
      <c r="C26" s="11"/>
      <c r="E26" s="11"/>
      <c r="G26" s="11">
        <v>0</v>
      </c>
      <c r="H26" s="11">
        <v>1523.34</v>
      </c>
      <c r="I26" s="11">
        <v>603.51</v>
      </c>
    </row>
    <row r="27" spans="2:9" x14ac:dyDescent="0.15">
      <c r="B27" s="11"/>
      <c r="C27" s="11"/>
      <c r="E27" s="11"/>
      <c r="G27" s="11"/>
    </row>
    <row r="28" spans="2:9" x14ac:dyDescent="0.15">
      <c r="B28" s="11"/>
      <c r="C28" s="11" t="s">
        <v>336</v>
      </c>
      <c r="E28" s="11"/>
      <c r="G28" s="11"/>
    </row>
    <row r="29" spans="2:9" x14ac:dyDescent="0.15">
      <c r="B29" s="11"/>
      <c r="C29" s="11"/>
      <c r="E29" s="11"/>
      <c r="G29" s="11"/>
    </row>
    <row r="30" spans="2:9" x14ac:dyDescent="0.15">
      <c r="B30" s="11"/>
      <c r="C30" s="11" t="s">
        <v>337</v>
      </c>
      <c r="E30" s="11"/>
      <c r="G30" s="11"/>
    </row>
    <row r="31" spans="2:9" x14ac:dyDescent="0.15">
      <c r="B31" s="11"/>
      <c r="C31" s="11"/>
      <c r="E31" s="11"/>
      <c r="G31" s="11"/>
    </row>
    <row r="32" spans="2:9" x14ac:dyDescent="0.15">
      <c r="B32" s="11"/>
      <c r="C32" s="11" t="s">
        <v>338</v>
      </c>
      <c r="E32" s="11"/>
      <c r="G32" s="11"/>
    </row>
    <row r="33" spans="2:9" x14ac:dyDescent="0.15">
      <c r="B33" s="11"/>
      <c r="C33" s="11"/>
      <c r="E33" s="11"/>
      <c r="G33" s="11"/>
    </row>
    <row r="34" spans="2:9" x14ac:dyDescent="0.15">
      <c r="B34" s="11"/>
      <c r="C34" s="11"/>
      <c r="E34" s="11"/>
      <c r="G34" s="11"/>
    </row>
    <row r="35" spans="2:9" x14ac:dyDescent="0.15">
      <c r="B35" s="11" t="s">
        <v>302</v>
      </c>
      <c r="C35" s="11" t="s">
        <v>303</v>
      </c>
      <c r="D35" s="11" t="s">
        <v>127</v>
      </c>
      <c r="E35" s="11" t="s">
        <v>3</v>
      </c>
      <c r="F35" s="11" t="s">
        <v>128</v>
      </c>
      <c r="G35" s="11" t="s">
        <v>46</v>
      </c>
      <c r="H35" s="11" t="s">
        <v>47</v>
      </c>
      <c r="I35" s="11" t="s">
        <v>48</v>
      </c>
    </row>
    <row r="36" spans="2:9" x14ac:dyDescent="0.15">
      <c r="B36" s="11"/>
      <c r="C36" s="11" t="s">
        <v>6</v>
      </c>
      <c r="D36" s="11" t="s">
        <v>129</v>
      </c>
      <c r="E36" s="11" t="s">
        <v>2</v>
      </c>
      <c r="G36" s="11" t="s">
        <v>7</v>
      </c>
    </row>
    <row r="37" spans="2:9" x14ac:dyDescent="0.15">
      <c r="B37" s="11">
        <v>11</v>
      </c>
      <c r="C37" s="11">
        <v>3.7999999999999999E-2</v>
      </c>
      <c r="D37" s="11">
        <v>0.65800000000000003</v>
      </c>
      <c r="E37" s="11">
        <v>5.07</v>
      </c>
      <c r="F37" s="85" t="s">
        <v>330</v>
      </c>
      <c r="G37" s="11">
        <v>251</v>
      </c>
      <c r="H37" s="11">
        <v>165.16</v>
      </c>
      <c r="I37" s="11">
        <v>108.67</v>
      </c>
    </row>
    <row r="38" spans="2:9" x14ac:dyDescent="0.15">
      <c r="B38" s="11">
        <v>10</v>
      </c>
      <c r="C38" s="11">
        <v>4.2999999999999997E-2</v>
      </c>
      <c r="D38" s="11">
        <v>0.62</v>
      </c>
      <c r="E38" s="11">
        <v>3.8</v>
      </c>
      <c r="F38" s="85" t="s">
        <v>328</v>
      </c>
      <c r="G38" s="11">
        <v>640</v>
      </c>
      <c r="H38" s="11">
        <v>396.8</v>
      </c>
      <c r="I38" s="11">
        <v>246.02</v>
      </c>
    </row>
    <row r="39" spans="2:9" x14ac:dyDescent="0.15">
      <c r="B39" s="11">
        <v>9</v>
      </c>
      <c r="C39" s="11">
        <v>6.6000000000000003E-2</v>
      </c>
      <c r="D39" s="11">
        <v>0.57699999999999996</v>
      </c>
      <c r="E39" s="11">
        <v>3.8</v>
      </c>
      <c r="F39" s="85" t="s">
        <v>331</v>
      </c>
      <c r="G39" s="11">
        <v>454</v>
      </c>
      <c r="H39" s="11">
        <v>261.95999999999998</v>
      </c>
      <c r="I39" s="11">
        <v>151.15</v>
      </c>
    </row>
    <row r="40" spans="2:9" x14ac:dyDescent="0.15">
      <c r="B40" s="11">
        <v>8</v>
      </c>
      <c r="C40" s="11">
        <v>7.5999999999999998E-2</v>
      </c>
      <c r="D40" s="11">
        <v>0.51100000000000001</v>
      </c>
      <c r="E40" s="11">
        <v>3.8</v>
      </c>
      <c r="F40" s="85" t="s">
        <v>332</v>
      </c>
      <c r="G40" s="11">
        <v>455</v>
      </c>
      <c r="H40" s="11">
        <v>232.51</v>
      </c>
      <c r="I40" s="11">
        <v>118.81</v>
      </c>
    </row>
    <row r="41" spans="2:9" x14ac:dyDescent="0.15">
      <c r="B41" s="11">
        <v>7</v>
      </c>
      <c r="C41" s="11">
        <v>7.0999999999999994E-2</v>
      </c>
      <c r="D41" s="11">
        <v>0.435</v>
      </c>
      <c r="E41" s="11">
        <v>3.8</v>
      </c>
      <c r="F41" s="85" t="s">
        <v>333</v>
      </c>
      <c r="G41" s="11">
        <v>460</v>
      </c>
      <c r="H41" s="11">
        <v>200.1</v>
      </c>
      <c r="I41" s="11">
        <v>87.04</v>
      </c>
    </row>
    <row r="42" spans="2:9" x14ac:dyDescent="0.15">
      <c r="B42" s="11">
        <v>6</v>
      </c>
      <c r="C42" s="11">
        <v>6.4000000000000001E-2</v>
      </c>
      <c r="D42" s="11">
        <v>0.36399999999999999</v>
      </c>
      <c r="E42" s="11">
        <v>3.8</v>
      </c>
      <c r="F42" s="85" t="s">
        <v>334</v>
      </c>
      <c r="G42" s="11">
        <v>467</v>
      </c>
      <c r="H42" s="11">
        <v>169.99</v>
      </c>
      <c r="I42" s="11">
        <v>61.88</v>
      </c>
    </row>
    <row r="43" spans="2:9" x14ac:dyDescent="0.15">
      <c r="B43" s="11">
        <v>5</v>
      </c>
      <c r="C43" s="11">
        <v>6.3E-2</v>
      </c>
      <c r="D43" s="11">
        <v>0.3</v>
      </c>
      <c r="E43" s="11">
        <v>3.8</v>
      </c>
      <c r="F43" s="85" t="s">
        <v>323</v>
      </c>
      <c r="G43" s="11">
        <v>469</v>
      </c>
      <c r="H43" s="11">
        <v>140.69999999999999</v>
      </c>
      <c r="I43" s="11">
        <v>42.21</v>
      </c>
    </row>
    <row r="44" spans="2:9" x14ac:dyDescent="0.15">
      <c r="B44" s="11">
        <v>4</v>
      </c>
      <c r="C44" s="11">
        <v>6.3E-2</v>
      </c>
      <c r="D44" s="11">
        <v>0.23699999999999999</v>
      </c>
      <c r="E44" s="11">
        <v>3.8</v>
      </c>
      <c r="F44" s="85" t="s">
        <v>323</v>
      </c>
      <c r="G44" s="11">
        <v>471</v>
      </c>
      <c r="H44" s="11">
        <v>111.63</v>
      </c>
      <c r="I44" s="11">
        <v>26.46</v>
      </c>
    </row>
    <row r="45" spans="2:9" x14ac:dyDescent="0.15">
      <c r="B45" s="11">
        <v>3</v>
      </c>
      <c r="C45" s="11">
        <v>6.3E-2</v>
      </c>
      <c r="D45" s="11">
        <v>0.17399999999999999</v>
      </c>
      <c r="E45" s="11">
        <v>3.8</v>
      </c>
      <c r="F45" s="85" t="s">
        <v>323</v>
      </c>
      <c r="G45" s="11">
        <v>475</v>
      </c>
      <c r="H45" s="11">
        <v>82.65</v>
      </c>
      <c r="I45" s="11">
        <v>14.38</v>
      </c>
    </row>
    <row r="46" spans="2:9" x14ac:dyDescent="0.15">
      <c r="B46" s="11">
        <v>2</v>
      </c>
      <c r="C46" s="11">
        <v>5.8999999999999997E-2</v>
      </c>
      <c r="D46" s="11">
        <v>0.111</v>
      </c>
      <c r="E46" s="11">
        <v>3.8</v>
      </c>
      <c r="F46" s="85" t="s">
        <v>325</v>
      </c>
      <c r="G46" s="11">
        <v>477</v>
      </c>
      <c r="H46" s="11">
        <v>52.95</v>
      </c>
      <c r="I46" s="11">
        <v>5.88</v>
      </c>
    </row>
    <row r="47" spans="2:9" x14ac:dyDescent="0.15">
      <c r="B47" s="11">
        <v>1</v>
      </c>
      <c r="C47" s="11">
        <v>5.1999999999999998E-2</v>
      </c>
      <c r="D47" s="11">
        <v>5.1999999999999998E-2</v>
      </c>
      <c r="E47" s="11">
        <v>4.7300000000000004</v>
      </c>
      <c r="F47" s="85" t="s">
        <v>335</v>
      </c>
      <c r="G47" s="11">
        <v>481</v>
      </c>
      <c r="H47" s="11">
        <v>25.01</v>
      </c>
      <c r="I47" s="11">
        <v>1.3</v>
      </c>
    </row>
    <row r="48" spans="2:9" x14ac:dyDescent="0.15">
      <c r="B48" s="11"/>
      <c r="C48" s="11"/>
      <c r="E48" s="11"/>
      <c r="G48" s="11">
        <v>0</v>
      </c>
      <c r="H48" s="11">
        <v>1839.45</v>
      </c>
      <c r="I48" s="11">
        <v>863.79</v>
      </c>
    </row>
    <row r="49" spans="3:3" s="11" customFormat="1" x14ac:dyDescent="0.15"/>
    <row r="50" spans="3:3" s="11" customFormat="1" x14ac:dyDescent="0.15">
      <c r="C50" s="11" t="s">
        <v>339</v>
      </c>
    </row>
    <row r="51" spans="3:3" s="11" customFormat="1" x14ac:dyDescent="0.15"/>
    <row r="52" spans="3:3" s="11" customFormat="1" x14ac:dyDescent="0.15">
      <c r="C52" s="11" t="s">
        <v>340</v>
      </c>
    </row>
    <row r="53" spans="3:3" s="11" customFormat="1" x14ac:dyDescent="0.15"/>
    <row r="54" spans="3:3" s="11" customFormat="1" x14ac:dyDescent="0.15">
      <c r="C54" s="11" t="s">
        <v>341</v>
      </c>
    </row>
    <row r="55" spans="3:3" s="11" customFormat="1" x14ac:dyDescent="0.15"/>
    <row r="56" spans="3:3" s="11" customFormat="1" x14ac:dyDescent="0.15"/>
    <row r="57" spans="3:3" s="11" customFormat="1" x14ac:dyDescent="0.15"/>
    <row r="58" spans="3:3" s="11" customFormat="1" x14ac:dyDescent="0.15"/>
    <row r="59" spans="3:3" s="11" customFormat="1" x14ac:dyDescent="0.15"/>
    <row r="60" spans="3:3" s="11" customFormat="1" x14ac:dyDescent="0.15"/>
    <row r="61" spans="3:3" s="11" customFormat="1" x14ac:dyDescent="0.15"/>
    <row r="62" spans="3:3" s="11" customFormat="1" x14ac:dyDescent="0.15"/>
    <row r="63" spans="3:3" s="11" customFormat="1" x14ac:dyDescent="0.15"/>
    <row r="64" spans="3:3" s="11" customFormat="1" x14ac:dyDescent="0.15"/>
    <row r="65" s="11" customFormat="1" x14ac:dyDescent="0.15"/>
    <row r="66" s="11" customFormat="1" x14ac:dyDescent="0.15"/>
    <row r="67" s="11" customFormat="1" x14ac:dyDescent="0.15"/>
    <row r="68" s="11" customFormat="1" x14ac:dyDescent="0.15"/>
    <row r="69" s="11" customFormat="1" x14ac:dyDescent="0.15"/>
    <row r="70" s="11" customFormat="1" x14ac:dyDescent="0.15"/>
    <row r="71" s="11" customFormat="1" x14ac:dyDescent="0.15"/>
    <row r="72" s="11" customFormat="1" x14ac:dyDescent="0.15"/>
    <row r="73" s="11" customFormat="1" x14ac:dyDescent="0.15"/>
    <row r="74" s="11" customFormat="1" x14ac:dyDescent="0.15"/>
    <row r="75" s="11" customFormat="1" x14ac:dyDescent="0.15"/>
    <row r="76" s="11" customFormat="1" x14ac:dyDescent="0.15"/>
    <row r="77" s="11" customFormat="1" x14ac:dyDescent="0.15"/>
    <row r="78" s="11" customFormat="1" x14ac:dyDescent="0.15"/>
    <row r="79" s="11" customFormat="1" x14ac:dyDescent="0.15"/>
    <row r="80" s="11" customFormat="1" x14ac:dyDescent="0.15"/>
    <row r="81" s="11" customFormat="1" x14ac:dyDescent="0.15"/>
    <row r="82" s="11" customFormat="1" x14ac:dyDescent="0.15"/>
    <row r="83" s="11" customFormat="1" x14ac:dyDescent="0.15"/>
    <row r="84" s="11" customFormat="1" x14ac:dyDescent="0.15"/>
    <row r="85" s="11" customFormat="1" x14ac:dyDescent="0.15"/>
    <row r="86" s="11" customFormat="1" x14ac:dyDescent="0.15"/>
    <row r="87" s="11" customFormat="1" x14ac:dyDescent="0.15"/>
    <row r="88" s="11" customFormat="1" x14ac:dyDescent="0.15"/>
    <row r="89" s="11" customFormat="1" x14ac:dyDescent="0.15"/>
    <row r="90" s="11" customFormat="1" x14ac:dyDescent="0.15"/>
    <row r="91" s="11" customFormat="1" x14ac:dyDescent="0.15"/>
    <row r="92" s="11" customFormat="1" x14ac:dyDescent="0.15"/>
    <row r="93" s="11" customFormat="1" x14ac:dyDescent="0.15"/>
    <row r="94" s="11" customFormat="1" x14ac:dyDescent="0.15"/>
    <row r="95" s="11" customFormat="1" x14ac:dyDescent="0.15"/>
    <row r="96" s="11" customFormat="1" x14ac:dyDescent="0.15"/>
    <row r="97" s="11" customFormat="1" x14ac:dyDescent="0.15"/>
    <row r="98" s="11" customFormat="1" x14ac:dyDescent="0.15"/>
    <row r="99" s="11" customFormat="1" x14ac:dyDescent="0.15"/>
    <row r="100" s="11" customFormat="1" x14ac:dyDescent="0.15"/>
  </sheetData>
  <phoneticPr fontId="2"/>
  <pageMargins left="0.25" right="0.25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88B-49A5-4F00-9624-099CD377FCA3}">
  <sheetPr codeName="Sheet24"/>
  <dimension ref="A1:GR266"/>
  <sheetViews>
    <sheetView topLeftCell="A33" zoomScaleNormal="100" workbookViewId="0">
      <selection activeCell="H12" sqref="H12"/>
    </sheetView>
  </sheetViews>
  <sheetFormatPr defaultColWidth="17.85546875" defaultRowHeight="14.25" x14ac:dyDescent="0.15"/>
  <cols>
    <col min="1" max="1" width="5.28515625" style="65" customWidth="1"/>
    <col min="2" max="3" width="9.85546875" style="65" customWidth="1"/>
    <col min="4" max="4" width="11" style="65" customWidth="1"/>
    <col min="5" max="8" width="9.85546875" style="65" customWidth="1"/>
    <col min="9" max="17" width="8.7109375" style="65" customWidth="1"/>
    <col min="18" max="18" width="11" style="65" customWidth="1"/>
    <col min="19" max="19" width="17.42578125" style="65" customWidth="1"/>
    <col min="20" max="54" width="11" style="65" customWidth="1"/>
    <col min="55" max="256" width="17.85546875" style="65"/>
    <col min="257" max="257" width="5.28515625" style="65" customWidth="1"/>
    <col min="258" max="310" width="11" style="65" customWidth="1"/>
    <col min="311" max="512" width="17.85546875" style="65"/>
    <col min="513" max="513" width="5.28515625" style="65" customWidth="1"/>
    <col min="514" max="566" width="11" style="65" customWidth="1"/>
    <col min="567" max="768" width="17.85546875" style="65"/>
    <col min="769" max="769" width="5.28515625" style="65" customWidth="1"/>
    <col min="770" max="822" width="11" style="65" customWidth="1"/>
    <col min="823" max="1024" width="17.85546875" style="65"/>
    <col min="1025" max="1025" width="5.28515625" style="65" customWidth="1"/>
    <col min="1026" max="1078" width="11" style="65" customWidth="1"/>
    <col min="1079" max="1280" width="17.85546875" style="65"/>
    <col min="1281" max="1281" width="5.28515625" style="65" customWidth="1"/>
    <col min="1282" max="1334" width="11" style="65" customWidth="1"/>
    <col min="1335" max="1536" width="17.85546875" style="65"/>
    <col min="1537" max="1537" width="5.28515625" style="65" customWidth="1"/>
    <col min="1538" max="1590" width="11" style="65" customWidth="1"/>
    <col min="1591" max="1792" width="17.85546875" style="65"/>
    <col min="1793" max="1793" width="5.28515625" style="65" customWidth="1"/>
    <col min="1794" max="1846" width="11" style="65" customWidth="1"/>
    <col min="1847" max="2048" width="17.85546875" style="65"/>
    <col min="2049" max="2049" width="5.28515625" style="65" customWidth="1"/>
    <col min="2050" max="2102" width="11" style="65" customWidth="1"/>
    <col min="2103" max="2304" width="17.85546875" style="65"/>
    <col min="2305" max="2305" width="5.28515625" style="65" customWidth="1"/>
    <col min="2306" max="2358" width="11" style="65" customWidth="1"/>
    <col min="2359" max="2560" width="17.85546875" style="65"/>
    <col min="2561" max="2561" width="5.28515625" style="65" customWidth="1"/>
    <col min="2562" max="2614" width="11" style="65" customWidth="1"/>
    <col min="2615" max="2816" width="17.85546875" style="65"/>
    <col min="2817" max="2817" width="5.28515625" style="65" customWidth="1"/>
    <col min="2818" max="2870" width="11" style="65" customWidth="1"/>
    <col min="2871" max="3072" width="17.85546875" style="65"/>
    <col min="3073" max="3073" width="5.28515625" style="65" customWidth="1"/>
    <col min="3074" max="3126" width="11" style="65" customWidth="1"/>
    <col min="3127" max="3328" width="17.85546875" style="65"/>
    <col min="3329" max="3329" width="5.28515625" style="65" customWidth="1"/>
    <col min="3330" max="3382" width="11" style="65" customWidth="1"/>
    <col min="3383" max="3584" width="17.85546875" style="65"/>
    <col min="3585" max="3585" width="5.28515625" style="65" customWidth="1"/>
    <col min="3586" max="3638" width="11" style="65" customWidth="1"/>
    <col min="3639" max="3840" width="17.85546875" style="65"/>
    <col min="3841" max="3841" width="5.28515625" style="65" customWidth="1"/>
    <col min="3842" max="3894" width="11" style="65" customWidth="1"/>
    <col min="3895" max="4096" width="17.85546875" style="65"/>
    <col min="4097" max="4097" width="5.28515625" style="65" customWidth="1"/>
    <col min="4098" max="4150" width="11" style="65" customWidth="1"/>
    <col min="4151" max="4352" width="17.85546875" style="65"/>
    <col min="4353" max="4353" width="5.28515625" style="65" customWidth="1"/>
    <col min="4354" max="4406" width="11" style="65" customWidth="1"/>
    <col min="4407" max="4608" width="17.85546875" style="65"/>
    <col min="4609" max="4609" width="5.28515625" style="65" customWidth="1"/>
    <col min="4610" max="4662" width="11" style="65" customWidth="1"/>
    <col min="4663" max="4864" width="17.85546875" style="65"/>
    <col min="4865" max="4865" width="5.28515625" style="65" customWidth="1"/>
    <col min="4866" max="4918" width="11" style="65" customWidth="1"/>
    <col min="4919" max="5120" width="17.85546875" style="65"/>
    <col min="5121" max="5121" width="5.28515625" style="65" customWidth="1"/>
    <col min="5122" max="5174" width="11" style="65" customWidth="1"/>
    <col min="5175" max="5376" width="17.85546875" style="65"/>
    <col min="5377" max="5377" width="5.28515625" style="65" customWidth="1"/>
    <col min="5378" max="5430" width="11" style="65" customWidth="1"/>
    <col min="5431" max="5632" width="17.85546875" style="65"/>
    <col min="5633" max="5633" width="5.28515625" style="65" customWidth="1"/>
    <col min="5634" max="5686" width="11" style="65" customWidth="1"/>
    <col min="5687" max="5888" width="17.85546875" style="65"/>
    <col min="5889" max="5889" width="5.28515625" style="65" customWidth="1"/>
    <col min="5890" max="5942" width="11" style="65" customWidth="1"/>
    <col min="5943" max="6144" width="17.85546875" style="65"/>
    <col min="6145" max="6145" width="5.28515625" style="65" customWidth="1"/>
    <col min="6146" max="6198" width="11" style="65" customWidth="1"/>
    <col min="6199" max="6400" width="17.85546875" style="65"/>
    <col min="6401" max="6401" width="5.28515625" style="65" customWidth="1"/>
    <col min="6402" max="6454" width="11" style="65" customWidth="1"/>
    <col min="6455" max="6656" width="17.85546875" style="65"/>
    <col min="6657" max="6657" width="5.28515625" style="65" customWidth="1"/>
    <col min="6658" max="6710" width="11" style="65" customWidth="1"/>
    <col min="6711" max="6912" width="17.85546875" style="65"/>
    <col min="6913" max="6913" width="5.28515625" style="65" customWidth="1"/>
    <col min="6914" max="6966" width="11" style="65" customWidth="1"/>
    <col min="6967" max="7168" width="17.85546875" style="65"/>
    <col min="7169" max="7169" width="5.28515625" style="65" customWidth="1"/>
    <col min="7170" max="7222" width="11" style="65" customWidth="1"/>
    <col min="7223" max="7424" width="17.85546875" style="65"/>
    <col min="7425" max="7425" width="5.28515625" style="65" customWidth="1"/>
    <col min="7426" max="7478" width="11" style="65" customWidth="1"/>
    <col min="7479" max="7680" width="17.85546875" style="65"/>
    <col min="7681" max="7681" width="5.28515625" style="65" customWidth="1"/>
    <col min="7682" max="7734" width="11" style="65" customWidth="1"/>
    <col min="7735" max="7936" width="17.85546875" style="65"/>
    <col min="7937" max="7937" width="5.28515625" style="65" customWidth="1"/>
    <col min="7938" max="7990" width="11" style="65" customWidth="1"/>
    <col min="7991" max="8192" width="17.85546875" style="65"/>
    <col min="8193" max="8193" width="5.28515625" style="65" customWidth="1"/>
    <col min="8194" max="8246" width="11" style="65" customWidth="1"/>
    <col min="8247" max="8448" width="17.85546875" style="65"/>
    <col min="8449" max="8449" width="5.28515625" style="65" customWidth="1"/>
    <col min="8450" max="8502" width="11" style="65" customWidth="1"/>
    <col min="8503" max="8704" width="17.85546875" style="65"/>
    <col min="8705" max="8705" width="5.28515625" style="65" customWidth="1"/>
    <col min="8706" max="8758" width="11" style="65" customWidth="1"/>
    <col min="8759" max="8960" width="17.85546875" style="65"/>
    <col min="8961" max="8961" width="5.28515625" style="65" customWidth="1"/>
    <col min="8962" max="9014" width="11" style="65" customWidth="1"/>
    <col min="9015" max="9216" width="17.85546875" style="65"/>
    <col min="9217" max="9217" width="5.28515625" style="65" customWidth="1"/>
    <col min="9218" max="9270" width="11" style="65" customWidth="1"/>
    <col min="9271" max="9472" width="17.85546875" style="65"/>
    <col min="9473" max="9473" width="5.28515625" style="65" customWidth="1"/>
    <col min="9474" max="9526" width="11" style="65" customWidth="1"/>
    <col min="9527" max="9728" width="17.85546875" style="65"/>
    <col min="9729" max="9729" width="5.28515625" style="65" customWidth="1"/>
    <col min="9730" max="9782" width="11" style="65" customWidth="1"/>
    <col min="9783" max="9984" width="17.85546875" style="65"/>
    <col min="9985" max="9985" width="5.28515625" style="65" customWidth="1"/>
    <col min="9986" max="10038" width="11" style="65" customWidth="1"/>
    <col min="10039" max="10240" width="17.85546875" style="65"/>
    <col min="10241" max="10241" width="5.28515625" style="65" customWidth="1"/>
    <col min="10242" max="10294" width="11" style="65" customWidth="1"/>
    <col min="10295" max="10496" width="17.85546875" style="65"/>
    <col min="10497" max="10497" width="5.28515625" style="65" customWidth="1"/>
    <col min="10498" max="10550" width="11" style="65" customWidth="1"/>
    <col min="10551" max="10752" width="17.85546875" style="65"/>
    <col min="10753" max="10753" width="5.28515625" style="65" customWidth="1"/>
    <col min="10754" max="10806" width="11" style="65" customWidth="1"/>
    <col min="10807" max="11008" width="17.85546875" style="65"/>
    <col min="11009" max="11009" width="5.28515625" style="65" customWidth="1"/>
    <col min="11010" max="11062" width="11" style="65" customWidth="1"/>
    <col min="11063" max="11264" width="17.85546875" style="65"/>
    <col min="11265" max="11265" width="5.28515625" style="65" customWidth="1"/>
    <col min="11266" max="11318" width="11" style="65" customWidth="1"/>
    <col min="11319" max="11520" width="17.85546875" style="65"/>
    <col min="11521" max="11521" width="5.28515625" style="65" customWidth="1"/>
    <col min="11522" max="11574" width="11" style="65" customWidth="1"/>
    <col min="11575" max="11776" width="17.85546875" style="65"/>
    <col min="11777" max="11777" width="5.28515625" style="65" customWidth="1"/>
    <col min="11778" max="11830" width="11" style="65" customWidth="1"/>
    <col min="11831" max="12032" width="17.85546875" style="65"/>
    <col min="12033" max="12033" width="5.28515625" style="65" customWidth="1"/>
    <col min="12034" max="12086" width="11" style="65" customWidth="1"/>
    <col min="12087" max="12288" width="17.85546875" style="65"/>
    <col min="12289" max="12289" width="5.28515625" style="65" customWidth="1"/>
    <col min="12290" max="12342" width="11" style="65" customWidth="1"/>
    <col min="12343" max="12544" width="17.85546875" style="65"/>
    <col min="12545" max="12545" width="5.28515625" style="65" customWidth="1"/>
    <col min="12546" max="12598" width="11" style="65" customWidth="1"/>
    <col min="12599" max="12800" width="17.85546875" style="65"/>
    <col min="12801" max="12801" width="5.28515625" style="65" customWidth="1"/>
    <col min="12802" max="12854" width="11" style="65" customWidth="1"/>
    <col min="12855" max="13056" width="17.85546875" style="65"/>
    <col min="13057" max="13057" width="5.28515625" style="65" customWidth="1"/>
    <col min="13058" max="13110" width="11" style="65" customWidth="1"/>
    <col min="13111" max="13312" width="17.85546875" style="65"/>
    <col min="13313" max="13313" width="5.28515625" style="65" customWidth="1"/>
    <col min="13314" max="13366" width="11" style="65" customWidth="1"/>
    <col min="13367" max="13568" width="17.85546875" style="65"/>
    <col min="13569" max="13569" width="5.28515625" style="65" customWidth="1"/>
    <col min="13570" max="13622" width="11" style="65" customWidth="1"/>
    <col min="13623" max="13824" width="17.85546875" style="65"/>
    <col min="13825" max="13825" width="5.28515625" style="65" customWidth="1"/>
    <col min="13826" max="13878" width="11" style="65" customWidth="1"/>
    <col min="13879" max="14080" width="17.85546875" style="65"/>
    <col min="14081" max="14081" width="5.28515625" style="65" customWidth="1"/>
    <col min="14082" max="14134" width="11" style="65" customWidth="1"/>
    <col min="14135" max="14336" width="17.85546875" style="65"/>
    <col min="14337" max="14337" width="5.28515625" style="65" customWidth="1"/>
    <col min="14338" max="14390" width="11" style="65" customWidth="1"/>
    <col min="14391" max="14592" width="17.85546875" style="65"/>
    <col min="14593" max="14593" width="5.28515625" style="65" customWidth="1"/>
    <col min="14594" max="14646" width="11" style="65" customWidth="1"/>
    <col min="14647" max="14848" width="17.85546875" style="65"/>
    <col min="14849" max="14849" width="5.28515625" style="65" customWidth="1"/>
    <col min="14850" max="14902" width="11" style="65" customWidth="1"/>
    <col min="14903" max="15104" width="17.85546875" style="65"/>
    <col min="15105" max="15105" width="5.28515625" style="65" customWidth="1"/>
    <col min="15106" max="15158" width="11" style="65" customWidth="1"/>
    <col min="15159" max="15360" width="17.85546875" style="65"/>
    <col min="15361" max="15361" width="5.28515625" style="65" customWidth="1"/>
    <col min="15362" max="15414" width="11" style="65" customWidth="1"/>
    <col min="15415" max="15616" width="17.85546875" style="65"/>
    <col min="15617" max="15617" width="5.28515625" style="65" customWidth="1"/>
    <col min="15618" max="15670" width="11" style="65" customWidth="1"/>
    <col min="15671" max="15872" width="17.85546875" style="65"/>
    <col min="15873" max="15873" width="5.28515625" style="65" customWidth="1"/>
    <col min="15874" max="15926" width="11" style="65" customWidth="1"/>
    <col min="15927" max="16128" width="17.85546875" style="65"/>
    <col min="16129" max="16129" width="5.28515625" style="65" customWidth="1"/>
    <col min="16130" max="16182" width="11" style="65" customWidth="1"/>
    <col min="16183" max="16384" width="17.85546875" style="65"/>
  </cols>
  <sheetData>
    <row r="1" spans="1:200" x14ac:dyDescent="0.15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15">
      <c r="B2" s="65" t="s">
        <v>284</v>
      </c>
      <c r="L2" s="65" t="s">
        <v>291</v>
      </c>
    </row>
    <row r="4" spans="1:200" x14ac:dyDescent="0.15">
      <c r="B4" s="75" t="s">
        <v>0</v>
      </c>
      <c r="C4" s="75" t="s">
        <v>248</v>
      </c>
      <c r="D4" s="75" t="s">
        <v>249</v>
      </c>
      <c r="E4" s="75" t="s">
        <v>285</v>
      </c>
      <c r="F4" s="75" t="s">
        <v>286</v>
      </c>
      <c r="G4" s="75" t="s">
        <v>161</v>
      </c>
      <c r="L4" s="80" t="s">
        <v>298</v>
      </c>
      <c r="M4" s="81">
        <f>+C5</f>
        <v>1.5800000429153442</v>
      </c>
    </row>
    <row r="5" spans="1:200" x14ac:dyDescent="0.15">
      <c r="B5" s="75">
        <f>損傷限界固有周期!E5</f>
        <v>11</v>
      </c>
      <c r="C5" s="76">
        <f>安全限界固有周期!H9</f>
        <v>1.5800000429153442</v>
      </c>
      <c r="D5" s="76">
        <f>安全限界固有周期!H10</f>
        <v>2.0350000858306885</v>
      </c>
      <c r="E5" s="75">
        <f>安全限界固有周期!E10</f>
        <v>3845</v>
      </c>
      <c r="F5" s="75">
        <f>安全限界固有周期!E11</f>
        <v>3917</v>
      </c>
      <c r="G5" s="75">
        <f>損傷限界固有周期!E9</f>
        <v>5100</v>
      </c>
      <c r="L5" s="65" t="str">
        <f>IF(C5&lt;=0.16,"Pdi=","")</f>
        <v/>
      </c>
      <c r="M5" s="65" t="s">
        <v>292</v>
      </c>
      <c r="R5" s="65" t="s">
        <v>295</v>
      </c>
    </row>
    <row r="6" spans="1:200" x14ac:dyDescent="0.15">
      <c r="L6" s="80" t="str">
        <f>IF(C5&lt;=0.64,IF(C5&gt;0.16,"Pdi=",""),"")</f>
        <v/>
      </c>
      <c r="M6" s="65" t="s">
        <v>293</v>
      </c>
      <c r="Q6" s="65">
        <v>0.16</v>
      </c>
      <c r="R6" s="65" t="s">
        <v>297</v>
      </c>
    </row>
    <row r="7" spans="1:200" x14ac:dyDescent="0.15">
      <c r="B7" s="65" t="s">
        <v>258</v>
      </c>
      <c r="L7" s="80" t="str">
        <f>IF(C5&gt;0.64,"Pdi=","")</f>
        <v>Pdi=</v>
      </c>
      <c r="M7" s="65" t="s">
        <v>299</v>
      </c>
      <c r="Q7" s="65">
        <v>0.64</v>
      </c>
      <c r="R7" s="65" t="s">
        <v>296</v>
      </c>
    </row>
    <row r="8" spans="1:200" x14ac:dyDescent="0.1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S8" s="11"/>
    </row>
    <row r="9" spans="1:200" x14ac:dyDescent="0.15">
      <c r="B9" s="22" t="s">
        <v>0</v>
      </c>
      <c r="C9" s="11" t="s">
        <v>256</v>
      </c>
      <c r="D9" s="11"/>
      <c r="E9" s="11" t="s">
        <v>257</v>
      </c>
      <c r="F9" s="11"/>
      <c r="G9" s="11"/>
      <c r="H9" s="11"/>
      <c r="I9" s="11"/>
      <c r="J9" s="11"/>
      <c r="K9" s="11"/>
      <c r="M9" s="82" t="s">
        <v>220</v>
      </c>
      <c r="N9" s="82" t="s">
        <v>138</v>
      </c>
      <c r="O9" s="82" t="s">
        <v>290</v>
      </c>
      <c r="P9" s="82" t="s">
        <v>300</v>
      </c>
      <c r="S9" s="11"/>
    </row>
    <row r="10" spans="1:200" x14ac:dyDescent="0.15">
      <c r="B10" s="22">
        <v>1</v>
      </c>
      <c r="C10" s="11" t="s">
        <v>115</v>
      </c>
      <c r="D10" s="11"/>
      <c r="E10" s="26">
        <v>0.8</v>
      </c>
      <c r="F10" s="11"/>
      <c r="G10" s="11"/>
      <c r="H10" s="11"/>
      <c r="I10" s="11"/>
      <c r="J10" s="11"/>
      <c r="K10" s="11"/>
      <c r="M10" s="82" cm="1">
        <f t="array" ref="M10">Pdi_alf(M4)</f>
        <v>0.64810124821931125</v>
      </c>
      <c r="N10" s="82">
        <f>損傷限界固有周期!E6</f>
        <v>1</v>
      </c>
      <c r="O10" s="82">
        <f>C52</f>
        <v>1.360379695892334</v>
      </c>
      <c r="P10" s="82">
        <f>M10*N10*O10</f>
        <v>0.88166377896002868</v>
      </c>
      <c r="S10" s="11"/>
    </row>
    <row r="11" spans="1:200" x14ac:dyDescent="0.15">
      <c r="B11" s="22">
        <v>2</v>
      </c>
      <c r="C11" s="11" t="s">
        <v>116</v>
      </c>
      <c r="D11" s="11"/>
      <c r="E11" s="26">
        <v>0.85</v>
      </c>
      <c r="F11" s="11"/>
      <c r="G11" s="11"/>
      <c r="H11" s="11"/>
      <c r="I11" s="11"/>
      <c r="J11" s="11"/>
      <c r="K11" s="11"/>
      <c r="S11" s="11"/>
    </row>
    <row r="12" spans="1:200" x14ac:dyDescent="0.15">
      <c r="B12" s="22">
        <v>3</v>
      </c>
      <c r="C12" s="11" t="s">
        <v>117</v>
      </c>
      <c r="D12" s="11"/>
      <c r="E12" s="26">
        <v>0.9</v>
      </c>
      <c r="F12" s="11"/>
      <c r="G12" s="11"/>
      <c r="H12" s="11"/>
      <c r="I12" s="11"/>
      <c r="J12" s="11"/>
      <c r="K12" s="11"/>
      <c r="L12" s="80"/>
      <c r="M12" s="81"/>
      <c r="S12" s="11"/>
    </row>
    <row r="13" spans="1:200" x14ac:dyDescent="0.15">
      <c r="B13" s="22">
        <v>4</v>
      </c>
      <c r="C13" s="11" t="s">
        <v>118</v>
      </c>
      <c r="D13" s="11"/>
      <c r="E13" s="26">
        <v>0.95</v>
      </c>
      <c r="F13" s="11"/>
      <c r="G13" s="11"/>
      <c r="H13" s="11"/>
      <c r="I13" s="11"/>
      <c r="J13" s="11"/>
      <c r="K13" s="11"/>
      <c r="L13" s="80" t="s">
        <v>301</v>
      </c>
      <c r="M13" s="78">
        <f>D5</f>
        <v>2.0350000858306885</v>
      </c>
      <c r="S13" s="11"/>
    </row>
    <row r="14" spans="1:200" x14ac:dyDescent="0.15">
      <c r="B14" s="22" t="s">
        <v>112</v>
      </c>
      <c r="C14" s="43">
        <v>1</v>
      </c>
      <c r="D14" s="11"/>
      <c r="E14" s="26">
        <v>1</v>
      </c>
      <c r="F14" s="11"/>
      <c r="G14" s="11"/>
      <c r="H14" s="11"/>
      <c r="I14" s="11"/>
      <c r="J14" s="11"/>
      <c r="K14" s="11"/>
      <c r="L14" s="65" t="str">
        <f>IF(C10&lt;=0.16,"Pdi=","")</f>
        <v/>
      </c>
      <c r="M14" s="65" t="s">
        <v>292</v>
      </c>
      <c r="R14" s="65" t="s">
        <v>295</v>
      </c>
      <c r="S14" s="11"/>
    </row>
    <row r="15" spans="1:200" x14ac:dyDescent="0.15">
      <c r="H15" s="11"/>
      <c r="I15" s="11"/>
      <c r="J15" s="11"/>
      <c r="K15" s="11"/>
      <c r="L15" s="80" t="str">
        <f>IF(C10&lt;=0.64,IF(C10&gt;0.16,"Pdi=",""),"")</f>
        <v/>
      </c>
      <c r="M15" s="65" t="s">
        <v>293</v>
      </c>
      <c r="Q15" s="65">
        <v>0.16</v>
      </c>
      <c r="R15" s="65" t="s">
        <v>297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</row>
    <row r="16" spans="1:200" x14ac:dyDescent="0.15">
      <c r="B16" s="75"/>
      <c r="C16" s="75" t="s">
        <v>24</v>
      </c>
      <c r="D16" s="75" t="s">
        <v>1</v>
      </c>
      <c r="H16" s="11"/>
      <c r="I16" s="11"/>
      <c r="J16" s="11"/>
      <c r="K16" s="11"/>
      <c r="L16" s="80" t="str">
        <f>IF(C10&gt;0.64,"Pdi=","")</f>
        <v>Pdi=</v>
      </c>
      <c r="M16" s="65" t="s">
        <v>294</v>
      </c>
      <c r="Q16" s="65">
        <v>0.64</v>
      </c>
      <c r="R16" s="65" t="s">
        <v>296</v>
      </c>
      <c r="S16" s="68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199" x14ac:dyDescent="0.15">
      <c r="B17" s="75" t="s">
        <v>145</v>
      </c>
      <c r="C17" s="77" cm="1">
        <f t="array" ref="C17">bdi_p(B5,C5)</f>
        <v>1</v>
      </c>
      <c r="D17" s="77" cm="1">
        <f t="array" ref="D17">bdi_p(C5,D5)</f>
        <v>1</v>
      </c>
      <c r="G17" s="11"/>
      <c r="H17" s="11"/>
      <c r="I17" s="11"/>
      <c r="J17" s="11"/>
      <c r="K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199" x14ac:dyDescent="0.15">
      <c r="H18" s="11"/>
      <c r="I18" s="11"/>
      <c r="J18" s="11"/>
      <c r="K18" s="11"/>
      <c r="L18" s="68"/>
      <c r="M18" s="82" t="s">
        <v>220</v>
      </c>
      <c r="N18" s="82" t="s">
        <v>138</v>
      </c>
      <c r="O18" s="82" t="s">
        <v>290</v>
      </c>
      <c r="P18" s="82" t="s">
        <v>300</v>
      </c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199" x14ac:dyDescent="0.15">
      <c r="B19" s="65" t="s">
        <v>259</v>
      </c>
      <c r="I19" s="11"/>
      <c r="J19" s="11"/>
      <c r="K19" s="11"/>
      <c r="L19" s="68"/>
      <c r="M19" s="82" cm="1">
        <f t="array" ref="M19">Pdi_alf(M13)</f>
        <v>0.50319408197076443</v>
      </c>
      <c r="N19" s="82">
        <f>N10</f>
        <v>1</v>
      </c>
      <c r="O19" s="82">
        <f>D52</f>
        <v>1.2641522884368896</v>
      </c>
      <c r="P19" s="82">
        <f>M19*N19*O19</f>
        <v>0.63611395025124173</v>
      </c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199" x14ac:dyDescent="0.15">
      <c r="I20" s="11"/>
      <c r="J20" s="11"/>
      <c r="K20" s="11"/>
      <c r="L20" s="68"/>
      <c r="M20" s="69"/>
      <c r="N20" s="70"/>
      <c r="O20" s="71"/>
      <c r="P20" s="7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199" x14ac:dyDescent="0.15">
      <c r="C21" s="42" t="s">
        <v>119</v>
      </c>
      <c r="D21" s="42" t="s">
        <v>120</v>
      </c>
      <c r="F21" s="42" t="s">
        <v>255</v>
      </c>
      <c r="I21" s="11"/>
      <c r="J21" s="11"/>
      <c r="K21" s="11"/>
      <c r="L21" s="68"/>
      <c r="M21" s="69"/>
      <c r="N21" s="70"/>
      <c r="O21" s="71"/>
      <c r="P21" s="7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</row>
    <row r="22" spans="2:199" x14ac:dyDescent="0.15">
      <c r="C22" s="42"/>
      <c r="D22" s="42" t="s">
        <v>121</v>
      </c>
      <c r="E22" s="11">
        <v>1</v>
      </c>
      <c r="F22" s="11"/>
      <c r="I22" s="11"/>
      <c r="J22" s="11"/>
      <c r="K22" s="11"/>
      <c r="L22" s="68"/>
      <c r="M22" s="69"/>
      <c r="N22" s="70"/>
      <c r="O22" s="71"/>
      <c r="P22" s="7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</row>
    <row r="23" spans="2:199" x14ac:dyDescent="0.15">
      <c r="I23" s="11"/>
      <c r="J23" s="11"/>
      <c r="K23" s="11"/>
      <c r="L23" s="68"/>
      <c r="M23" s="69"/>
      <c r="N23" s="70"/>
      <c r="O23" s="71"/>
      <c r="P23" s="7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</row>
    <row r="24" spans="2:199" x14ac:dyDescent="0.15">
      <c r="C24" s="75" t="s">
        <v>24</v>
      </c>
      <c r="D24" s="75" t="s">
        <v>1</v>
      </c>
      <c r="I24" s="11"/>
      <c r="J24" s="11"/>
      <c r="K24" s="11"/>
      <c r="L24" s="68"/>
      <c r="M24" s="69"/>
      <c r="N24" s="70"/>
      <c r="O24" s="71"/>
      <c r="P24" s="7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</row>
    <row r="25" spans="2:199" x14ac:dyDescent="0.15">
      <c r="B25" s="75" t="s">
        <v>263</v>
      </c>
      <c r="C25" s="77">
        <f>E5/G5</f>
        <v>0.75392156862745097</v>
      </c>
      <c r="D25" s="77">
        <f>F5/G5</f>
        <v>0.76803921568627453</v>
      </c>
      <c r="I25" s="11"/>
      <c r="J25" s="11"/>
      <c r="K25" s="11"/>
      <c r="L25" s="68"/>
      <c r="M25" s="69"/>
      <c r="N25" s="70"/>
      <c r="O25" s="71"/>
      <c r="P25" s="7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</row>
    <row r="26" spans="2:199" x14ac:dyDescent="0.15">
      <c r="B26" s="75" t="s">
        <v>145</v>
      </c>
      <c r="C26" s="77" cm="1">
        <f t="array" ref="C26">bdi_q(E5,G5)</f>
        <v>1</v>
      </c>
      <c r="D26" s="77" cm="1">
        <f t="array" ref="D26">bdi_p(F5,G5)</f>
        <v>1</v>
      </c>
      <c r="I26" s="11"/>
      <c r="J26" s="11"/>
      <c r="K26" s="11"/>
      <c r="L26" s="68"/>
      <c r="M26" s="69"/>
      <c r="N26" s="70"/>
      <c r="O26" s="71"/>
      <c r="P26" s="7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</row>
    <row r="27" spans="2:199" x14ac:dyDescent="0.15">
      <c r="I27" s="11"/>
      <c r="J27" s="11"/>
      <c r="K27" s="11"/>
      <c r="L27" s="68"/>
      <c r="M27" s="69"/>
      <c r="N27" s="70"/>
      <c r="O27" s="71"/>
      <c r="P27" s="7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</row>
    <row r="28" spans="2:199" x14ac:dyDescent="0.15">
      <c r="B28" s="65" t="s">
        <v>264</v>
      </c>
      <c r="I28" s="11"/>
      <c r="J28" s="11"/>
      <c r="K28" s="11"/>
      <c r="L28" s="68"/>
      <c r="M28" s="69"/>
      <c r="N28" s="70"/>
      <c r="O28" s="71"/>
      <c r="P28" s="7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</row>
    <row r="29" spans="2:199" x14ac:dyDescent="0.15">
      <c r="I29" s="11"/>
      <c r="J29" s="11"/>
      <c r="K29" s="11"/>
      <c r="L29" s="68"/>
      <c r="M29" s="69"/>
      <c r="N29" s="70"/>
      <c r="O29" s="71"/>
      <c r="P29" s="7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</row>
    <row r="30" spans="2:199" x14ac:dyDescent="0.15">
      <c r="B30" s="65" t="s">
        <v>265</v>
      </c>
      <c r="I30" s="11"/>
      <c r="J30" s="11"/>
      <c r="K30" s="11"/>
      <c r="L30" s="68"/>
      <c r="M30" s="69"/>
      <c r="N30" s="70"/>
      <c r="O30" s="71"/>
      <c r="P30" s="7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</row>
    <row r="31" spans="2:199" x14ac:dyDescent="0.15">
      <c r="F31" s="65" t="s">
        <v>270</v>
      </c>
      <c r="G31" s="65" t="s">
        <v>272</v>
      </c>
      <c r="I31" s="11"/>
      <c r="J31" s="11"/>
      <c r="K31" s="11"/>
      <c r="L31" s="68"/>
      <c r="M31" s="69"/>
      <c r="N31" s="70"/>
      <c r="O31" s="71"/>
      <c r="P31" s="7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</row>
    <row r="32" spans="2:199" x14ac:dyDescent="0.15">
      <c r="B32" s="65" t="s">
        <v>274</v>
      </c>
      <c r="F32" s="65" t="s">
        <v>271</v>
      </c>
      <c r="G32" s="65" t="s">
        <v>273</v>
      </c>
      <c r="J32" s="11"/>
      <c r="K32" s="11"/>
      <c r="L32" s="68"/>
      <c r="M32" s="69"/>
      <c r="N32" s="70"/>
      <c r="O32" s="71"/>
      <c r="P32" s="7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</row>
    <row r="33" spans="2:200" x14ac:dyDescent="0.15">
      <c r="B33" s="65" t="s">
        <v>275</v>
      </c>
      <c r="D33" s="65" t="s">
        <v>279</v>
      </c>
      <c r="F33" s="65" t="s">
        <v>266</v>
      </c>
      <c r="H33" s="65" t="s">
        <v>279</v>
      </c>
      <c r="J33" s="11"/>
      <c r="K33" s="11"/>
      <c r="L33" s="11"/>
      <c r="M33" s="11"/>
      <c r="N33" s="11"/>
      <c r="O33" s="11"/>
      <c r="P33" s="7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</row>
    <row r="34" spans="2:200" x14ac:dyDescent="0.15">
      <c r="B34" s="65" t="s">
        <v>276</v>
      </c>
      <c r="D34" s="65" t="s">
        <v>278</v>
      </c>
      <c r="F34" s="65" t="s">
        <v>267</v>
      </c>
      <c r="H34" s="65" t="s">
        <v>281</v>
      </c>
      <c r="K34" s="11"/>
      <c r="L34" s="11"/>
      <c r="M34" s="11"/>
      <c r="N34" s="11"/>
      <c r="O34" s="11"/>
      <c r="P34" s="7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</row>
    <row r="35" spans="2:200" x14ac:dyDescent="0.15">
      <c r="B35" s="65" t="s">
        <v>277</v>
      </c>
      <c r="D35" s="65" t="s">
        <v>280</v>
      </c>
      <c r="F35" s="65" t="s">
        <v>268</v>
      </c>
      <c r="H35" s="65" t="s">
        <v>282</v>
      </c>
      <c r="K35" s="11"/>
      <c r="L35" s="72"/>
      <c r="M35" s="72"/>
      <c r="N35" s="73"/>
      <c r="O35" s="72"/>
      <c r="P35" s="72"/>
      <c r="Q35" s="73"/>
      <c r="R35" s="73"/>
      <c r="S35" s="74"/>
      <c r="T35" s="73"/>
      <c r="U35" s="73"/>
      <c r="V35" s="73"/>
      <c r="W35" s="73"/>
      <c r="X35" s="73"/>
      <c r="Y35" s="73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</row>
    <row r="36" spans="2:200" x14ac:dyDescent="0.15">
      <c r="F36" s="65" t="s">
        <v>269</v>
      </c>
      <c r="K36" s="11"/>
      <c r="L36" s="72"/>
      <c r="M36" s="72"/>
      <c r="N36" s="73"/>
      <c r="O36" s="72"/>
      <c r="P36" s="72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</row>
    <row r="37" spans="2:200" x14ac:dyDescent="0.15">
      <c r="B37" s="65" t="s">
        <v>254</v>
      </c>
      <c r="C37" s="65" t="s">
        <v>246</v>
      </c>
      <c r="D37" s="65" t="s">
        <v>245</v>
      </c>
      <c r="K37" s="11"/>
      <c r="L37" s="72"/>
      <c r="M37" s="72"/>
      <c r="N37" s="73"/>
      <c r="O37" s="72"/>
      <c r="P37" s="72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15">
      <c r="B38" s="65">
        <v>2</v>
      </c>
      <c r="C38" s="65" cm="1">
        <f t="array" ref="C38">Gs387_7_2(C5,B38)</f>
        <v>2.0249999999999999</v>
      </c>
      <c r="D38" s="65" cm="1">
        <f t="array" ref="D38">Gs387_7_2(D5,B38)</f>
        <v>2.0249999999999999</v>
      </c>
      <c r="K38" s="11"/>
      <c r="L38" s="72"/>
      <c r="M38" s="72"/>
      <c r="N38" s="73"/>
      <c r="O38" s="72"/>
      <c r="P38" s="72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15">
      <c r="K39" s="11"/>
      <c r="L39" s="72"/>
      <c r="M39" s="72"/>
      <c r="N39" s="73"/>
      <c r="O39" s="72"/>
      <c r="P39" s="72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15">
      <c r="K40" s="11"/>
      <c r="L40" s="72"/>
      <c r="M40" s="72"/>
      <c r="N40" s="73"/>
      <c r="O40" s="72"/>
      <c r="P40" s="72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15">
      <c r="B41" s="65" t="s">
        <v>283</v>
      </c>
      <c r="K41" s="11"/>
      <c r="L41" s="72"/>
      <c r="M41" s="72"/>
      <c r="N41" s="72"/>
      <c r="O41" s="72"/>
      <c r="P41" s="72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15">
      <c r="K42" s="11"/>
      <c r="L42" s="72"/>
      <c r="M42" s="72"/>
      <c r="N42" s="72"/>
      <c r="O42" s="72"/>
      <c r="P42" s="72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15">
      <c r="C43" s="42" t="s">
        <v>237</v>
      </c>
      <c r="D43" s="43" t="s">
        <v>241</v>
      </c>
      <c r="E43" s="11"/>
      <c r="F43" s="11">
        <v>1.5</v>
      </c>
      <c r="H43" s="11"/>
      <c r="I43" s="11"/>
      <c r="J43" s="11"/>
      <c r="K43" s="11"/>
      <c r="L43" s="72"/>
      <c r="M43" s="72"/>
      <c r="N43" s="72"/>
      <c r="O43" s="72"/>
      <c r="P43" s="72"/>
      <c r="Q43" s="73"/>
      <c r="R43" s="73"/>
      <c r="S43" s="74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15">
      <c r="B44" s="11"/>
      <c r="C44" s="42" t="s">
        <v>238</v>
      </c>
      <c r="D44" s="43" t="s">
        <v>242</v>
      </c>
      <c r="E44" s="11"/>
      <c r="F44" s="11">
        <v>1.5</v>
      </c>
      <c r="I44" s="11"/>
      <c r="J44" s="11"/>
      <c r="K44" s="11"/>
      <c r="L44" s="72"/>
      <c r="M44" s="72"/>
      <c r="N44" s="72"/>
      <c r="O44" s="72"/>
      <c r="P44" s="72"/>
      <c r="Q44" s="73"/>
      <c r="R44" s="73"/>
      <c r="S44" s="74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15">
      <c r="B45" s="11"/>
      <c r="C45" s="42" t="s">
        <v>239</v>
      </c>
      <c r="D45" s="43">
        <v>2.68</v>
      </c>
      <c r="E45" s="11"/>
      <c r="F45" s="11">
        <v>1.5</v>
      </c>
      <c r="H45" s="11"/>
      <c r="I45" s="11"/>
      <c r="J45" s="11"/>
      <c r="K45" s="11"/>
      <c r="L45" s="72"/>
      <c r="M45" s="72"/>
      <c r="N45" s="72"/>
      <c r="O45" s="72"/>
      <c r="P45" s="72"/>
      <c r="Q45" s="73"/>
      <c r="R45" s="73"/>
      <c r="S45" s="74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15">
      <c r="B46" s="11"/>
      <c r="C46" s="65" t="s">
        <v>240</v>
      </c>
      <c r="D46" s="65" t="s">
        <v>243</v>
      </c>
      <c r="F46" s="11">
        <v>1.35</v>
      </c>
      <c r="H46" s="11"/>
      <c r="I46" s="11"/>
      <c r="J46" s="11"/>
      <c r="K46" s="11"/>
      <c r="L46" s="72"/>
      <c r="M46" s="72"/>
      <c r="N46" s="72"/>
      <c r="O46" s="72"/>
      <c r="P46" s="72"/>
      <c r="Q46" s="73"/>
      <c r="R46" s="73"/>
      <c r="S46" s="74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15"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4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15">
      <c r="C48" s="75" t="s">
        <v>246</v>
      </c>
      <c r="D48" s="75" t="s">
        <v>245</v>
      </c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4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15">
      <c r="C49" s="76">
        <f>GS!B36</f>
        <v>1.360379695892334</v>
      </c>
      <c r="D49" s="76">
        <f>GS!C36</f>
        <v>1.2641522884368896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4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15"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4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15">
      <c r="B51" s="83"/>
      <c r="C51" s="83" t="str">
        <f>C48</f>
        <v>GsX</v>
      </c>
      <c r="D51" s="83" t="str">
        <f>D48</f>
        <v>GsY</v>
      </c>
      <c r="E51" s="84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4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15">
      <c r="B52" s="83" t="s">
        <v>289</v>
      </c>
      <c r="C52" s="83">
        <f>IF(E52=1,C38,C49)</f>
        <v>1.360379695892334</v>
      </c>
      <c r="D52" s="83">
        <f>IF(E52=1,D38,D49)</f>
        <v>1.2641522884368896</v>
      </c>
      <c r="E52" s="84">
        <v>2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4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15">
      <c r="B53" s="11"/>
      <c r="C53" s="11"/>
      <c r="D53" s="43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4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15">
      <c r="B54" s="11"/>
      <c r="C54" s="42"/>
      <c r="D54" s="43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4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15">
      <c r="B55" s="11"/>
      <c r="C55" s="42"/>
      <c r="D55" s="43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4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15">
      <c r="B56" s="11"/>
      <c r="C56" s="42"/>
      <c r="D56" s="43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4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15">
      <c r="B57" s="11"/>
      <c r="C57" s="42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4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15">
      <c r="B58" s="11"/>
      <c r="C58" s="42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4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15"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15">
      <c r="B60" s="11"/>
      <c r="C60" s="42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1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1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73"/>
      <c r="R62" s="73"/>
      <c r="S62" s="73"/>
      <c r="T62" s="73"/>
      <c r="U62" s="73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15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73"/>
      <c r="R63" s="73"/>
      <c r="S63" s="73"/>
      <c r="T63" s="73"/>
      <c r="U63" s="73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1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73"/>
      <c r="R64" s="73"/>
      <c r="S64" s="73"/>
      <c r="T64" s="73"/>
      <c r="U64" s="73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1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73"/>
      <c r="R65" s="73"/>
      <c r="S65" s="73"/>
      <c r="T65" s="73"/>
      <c r="U65" s="73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1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73"/>
      <c r="R66" s="73"/>
      <c r="S66" s="73"/>
      <c r="T66" s="73"/>
      <c r="U66" s="73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1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73"/>
      <c r="R67" s="73"/>
      <c r="S67" s="73"/>
      <c r="T67" s="73"/>
      <c r="U67" s="73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15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73"/>
      <c r="R68" s="73"/>
      <c r="S68" s="73"/>
      <c r="T68" s="73"/>
      <c r="U68" s="73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15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73"/>
      <c r="R69" s="73"/>
      <c r="S69" s="73"/>
      <c r="T69" s="73"/>
      <c r="U69" s="73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1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73"/>
      <c r="R70" s="73"/>
      <c r="S70" s="73"/>
      <c r="T70" s="73"/>
      <c r="U70" s="73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1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73"/>
      <c r="R71" s="73"/>
      <c r="S71" s="73"/>
      <c r="T71" s="73"/>
      <c r="U71" s="73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1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73"/>
      <c r="R72" s="73"/>
      <c r="S72" s="73"/>
      <c r="T72" s="73"/>
      <c r="U72" s="73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1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73"/>
      <c r="R73" s="73"/>
      <c r="S73" s="73"/>
      <c r="T73" s="73"/>
      <c r="U73" s="73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1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73"/>
      <c r="R74" s="73"/>
      <c r="S74" s="73"/>
      <c r="T74" s="73"/>
      <c r="U74" s="73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15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73"/>
      <c r="R75" s="73"/>
      <c r="S75" s="73"/>
      <c r="T75" s="73"/>
      <c r="U75" s="73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15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73"/>
      <c r="R76" s="73"/>
      <c r="S76" s="73"/>
      <c r="T76" s="73"/>
      <c r="U76" s="73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1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73"/>
      <c r="R77" s="73"/>
      <c r="S77" s="73"/>
      <c r="T77" s="73"/>
      <c r="U77" s="73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1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1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1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1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1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1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1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1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15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1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1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1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15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1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1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1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15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15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15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1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15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15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1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1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15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1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15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15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15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1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15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1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1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15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15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15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15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15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15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15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1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1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15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15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1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15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15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15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15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1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1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15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15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1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15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15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15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15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15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15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1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15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15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15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15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15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15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1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15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15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15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1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15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1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15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15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1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1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1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1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1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1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1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1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15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15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15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15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1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15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1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15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1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15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15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15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15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1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15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1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1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15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1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15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1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1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15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15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15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15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15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15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15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15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15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15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15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15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15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15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15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15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15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15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15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15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15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15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15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15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15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15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15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15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15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15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15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15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15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15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15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1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1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1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1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1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1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1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1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1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1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1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1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1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1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1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1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1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1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1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1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1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1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1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1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1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1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1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1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1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1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1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1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  <row r="251" spans="2:200" x14ac:dyDescent="0.15"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P251" s="11"/>
      <c r="BQ251" s="11"/>
      <c r="BR251" s="11"/>
      <c r="BS251" s="11"/>
      <c r="BT251" s="11"/>
      <c r="BU251" s="11"/>
      <c r="BV251" s="11"/>
      <c r="BW251" s="11"/>
      <c r="BX251" s="11"/>
      <c r="BY251" s="11"/>
      <c r="BZ251" s="11"/>
      <c r="CA251" s="11"/>
      <c r="CB251" s="11"/>
      <c r="CC251" s="11"/>
      <c r="CD251" s="11"/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11"/>
      <c r="CW251" s="11"/>
      <c r="CX251" s="11"/>
      <c r="CY251" s="11"/>
      <c r="CZ251" s="11"/>
      <c r="DA251" s="11"/>
      <c r="DB251" s="11"/>
      <c r="DC251" s="11"/>
      <c r="DD251" s="11"/>
      <c r="DE251" s="11"/>
      <c r="DF251" s="11"/>
      <c r="DG251" s="11"/>
      <c r="DH251" s="11"/>
      <c r="DI251" s="11"/>
      <c r="DJ251" s="11"/>
      <c r="DK251" s="11"/>
      <c r="DL251" s="11"/>
      <c r="DM251" s="11"/>
      <c r="DN251" s="11"/>
      <c r="DO251" s="11"/>
      <c r="DP251" s="11"/>
      <c r="DQ251" s="11"/>
      <c r="DR251" s="11"/>
      <c r="DS251" s="11"/>
      <c r="DT251" s="11"/>
      <c r="DU251" s="11"/>
      <c r="DV251" s="11"/>
      <c r="DW251" s="11"/>
      <c r="DX251" s="11"/>
      <c r="DY251" s="11"/>
      <c r="DZ251" s="11"/>
      <c r="EA251" s="11"/>
      <c r="EB251" s="11"/>
      <c r="EC251" s="11"/>
      <c r="ED251" s="11"/>
      <c r="EE251" s="11"/>
      <c r="EF251" s="11"/>
      <c r="EG251" s="11"/>
      <c r="EH251" s="11"/>
      <c r="EI251" s="11"/>
      <c r="EJ251" s="11"/>
      <c r="EK251" s="11"/>
      <c r="EL251" s="11"/>
      <c r="EM251" s="11"/>
      <c r="EN251" s="11"/>
      <c r="EO251" s="11"/>
      <c r="EP251" s="11"/>
      <c r="EQ251" s="11"/>
      <c r="ER251" s="11"/>
      <c r="ES251" s="11"/>
      <c r="ET251" s="11"/>
      <c r="EU251" s="11"/>
      <c r="EV251" s="11"/>
      <c r="EW251" s="11"/>
      <c r="EX251" s="11"/>
      <c r="EY251" s="11"/>
      <c r="EZ251" s="11"/>
      <c r="FA251" s="11"/>
      <c r="FB251" s="11"/>
      <c r="FC251" s="11"/>
      <c r="FD251" s="11"/>
      <c r="FE251" s="11"/>
      <c r="FF251" s="11"/>
      <c r="FG251" s="11"/>
      <c r="FH251" s="11"/>
      <c r="FI251" s="11"/>
      <c r="FJ251" s="11"/>
      <c r="FK251" s="11"/>
      <c r="FL251" s="11"/>
      <c r="FM251" s="11"/>
      <c r="FN251" s="11"/>
      <c r="FO251" s="11"/>
      <c r="FP251" s="11"/>
      <c r="FQ251" s="11"/>
      <c r="FR251" s="11"/>
      <c r="FS251" s="11"/>
      <c r="FT251" s="11"/>
      <c r="FU251" s="11"/>
      <c r="FV251" s="11"/>
      <c r="FW251" s="11"/>
      <c r="FX251" s="11"/>
      <c r="FY251" s="11"/>
      <c r="FZ251" s="11"/>
      <c r="GA251" s="11"/>
      <c r="GB251" s="11"/>
      <c r="GC251" s="11"/>
      <c r="GD251" s="11"/>
      <c r="GE251" s="11"/>
      <c r="GF251" s="11"/>
      <c r="GG251" s="11"/>
      <c r="GH251" s="11"/>
      <c r="GI251" s="11"/>
      <c r="GJ251" s="11"/>
      <c r="GK251" s="11"/>
      <c r="GL251" s="11"/>
      <c r="GM251" s="11"/>
      <c r="GN251" s="11"/>
      <c r="GO251" s="11"/>
      <c r="GP251" s="11"/>
      <c r="GQ251" s="11"/>
      <c r="GR251" s="11"/>
    </row>
    <row r="252" spans="2:200" x14ac:dyDescent="0.15"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P252" s="11"/>
      <c r="BQ252" s="11"/>
      <c r="BR252" s="11"/>
      <c r="BS252" s="11"/>
      <c r="BT252" s="11"/>
      <c r="BU252" s="11"/>
      <c r="BV252" s="11"/>
      <c r="BW252" s="11"/>
      <c r="BX252" s="11"/>
      <c r="BY252" s="11"/>
      <c r="BZ252" s="11"/>
      <c r="CA252" s="11"/>
      <c r="CB252" s="11"/>
      <c r="CC252" s="11"/>
      <c r="CD252" s="11"/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11"/>
      <c r="CW252" s="11"/>
      <c r="CX252" s="11"/>
      <c r="CY252" s="11"/>
      <c r="CZ252" s="11"/>
      <c r="DA252" s="11"/>
      <c r="DB252" s="11"/>
      <c r="DC252" s="11"/>
      <c r="DD252" s="11"/>
      <c r="DE252" s="11"/>
      <c r="DF252" s="11"/>
      <c r="DG252" s="11"/>
      <c r="DH252" s="11"/>
      <c r="DI252" s="11"/>
      <c r="DJ252" s="11"/>
      <c r="DK252" s="11"/>
      <c r="DL252" s="11"/>
      <c r="DM252" s="11"/>
      <c r="DN252" s="11"/>
      <c r="DO252" s="11"/>
      <c r="DP252" s="11"/>
      <c r="DQ252" s="11"/>
      <c r="DR252" s="11"/>
      <c r="DS252" s="11"/>
      <c r="DT252" s="11"/>
      <c r="DU252" s="11"/>
      <c r="DV252" s="11"/>
      <c r="DW252" s="11"/>
      <c r="DX252" s="11"/>
      <c r="DY252" s="11"/>
      <c r="DZ252" s="11"/>
      <c r="EA252" s="11"/>
      <c r="EB252" s="11"/>
      <c r="EC252" s="11"/>
      <c r="ED252" s="11"/>
      <c r="EE252" s="11"/>
      <c r="EF252" s="11"/>
      <c r="EG252" s="11"/>
      <c r="EH252" s="11"/>
      <c r="EI252" s="11"/>
      <c r="EJ252" s="11"/>
      <c r="EK252" s="11"/>
      <c r="EL252" s="11"/>
      <c r="EM252" s="11"/>
      <c r="EN252" s="11"/>
      <c r="EO252" s="11"/>
      <c r="EP252" s="11"/>
      <c r="EQ252" s="11"/>
      <c r="ER252" s="11"/>
      <c r="ES252" s="11"/>
      <c r="ET252" s="11"/>
      <c r="EU252" s="11"/>
      <c r="EV252" s="11"/>
      <c r="EW252" s="11"/>
      <c r="EX252" s="11"/>
      <c r="EY252" s="11"/>
      <c r="EZ252" s="11"/>
      <c r="FA252" s="11"/>
      <c r="FB252" s="11"/>
      <c r="FC252" s="11"/>
      <c r="FD252" s="11"/>
      <c r="FE252" s="11"/>
      <c r="FF252" s="11"/>
      <c r="FG252" s="11"/>
      <c r="FH252" s="11"/>
      <c r="FI252" s="11"/>
      <c r="FJ252" s="11"/>
      <c r="FK252" s="11"/>
      <c r="FL252" s="11"/>
      <c r="FM252" s="11"/>
      <c r="FN252" s="11"/>
      <c r="FO252" s="11"/>
      <c r="FP252" s="11"/>
      <c r="FQ252" s="11"/>
      <c r="FR252" s="11"/>
      <c r="FS252" s="11"/>
      <c r="FT252" s="11"/>
      <c r="FU252" s="11"/>
      <c r="FV252" s="11"/>
      <c r="FW252" s="11"/>
      <c r="FX252" s="11"/>
      <c r="FY252" s="11"/>
      <c r="FZ252" s="11"/>
      <c r="GA252" s="11"/>
      <c r="GB252" s="11"/>
      <c r="GC252" s="11"/>
      <c r="GD252" s="11"/>
      <c r="GE252" s="11"/>
      <c r="GF252" s="11"/>
      <c r="GG252" s="11"/>
      <c r="GH252" s="11"/>
      <c r="GI252" s="11"/>
      <c r="GJ252" s="11"/>
      <c r="GK252" s="11"/>
      <c r="GL252" s="11"/>
      <c r="GM252" s="11"/>
      <c r="GN252" s="11"/>
      <c r="GO252" s="11"/>
      <c r="GP252" s="11"/>
      <c r="GQ252" s="11"/>
      <c r="GR252" s="11"/>
    </row>
    <row r="253" spans="2:200" x14ac:dyDescent="0.15"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P253" s="11"/>
      <c r="BQ253" s="11"/>
      <c r="BR253" s="11"/>
      <c r="BS253" s="11"/>
      <c r="BT253" s="11"/>
      <c r="BU253" s="11"/>
      <c r="BV253" s="11"/>
      <c r="BW253" s="11"/>
      <c r="BX253" s="11"/>
      <c r="BY253" s="11"/>
      <c r="BZ253" s="11"/>
      <c r="CA253" s="11"/>
      <c r="CB253" s="11"/>
      <c r="CC253" s="11"/>
      <c r="CD253" s="11"/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11"/>
      <c r="CW253" s="11"/>
      <c r="CX253" s="11"/>
      <c r="CY253" s="11"/>
      <c r="CZ253" s="11"/>
      <c r="DA253" s="11"/>
      <c r="DB253" s="11"/>
      <c r="DC253" s="11"/>
      <c r="DD253" s="11"/>
      <c r="DE253" s="11"/>
      <c r="DF253" s="11"/>
      <c r="DG253" s="11"/>
      <c r="DH253" s="11"/>
      <c r="DI253" s="11"/>
      <c r="DJ253" s="11"/>
      <c r="DK253" s="11"/>
      <c r="DL253" s="11"/>
      <c r="DM253" s="11"/>
      <c r="DN253" s="11"/>
      <c r="DO253" s="11"/>
      <c r="DP253" s="11"/>
      <c r="DQ253" s="11"/>
      <c r="DR253" s="11"/>
      <c r="DS253" s="11"/>
      <c r="DT253" s="11"/>
      <c r="DU253" s="11"/>
      <c r="DV253" s="11"/>
      <c r="DW253" s="11"/>
      <c r="DX253" s="11"/>
      <c r="DY253" s="11"/>
      <c r="DZ253" s="11"/>
      <c r="EA253" s="11"/>
      <c r="EB253" s="11"/>
      <c r="EC253" s="11"/>
      <c r="ED253" s="11"/>
      <c r="EE253" s="11"/>
      <c r="EF253" s="11"/>
      <c r="EG253" s="11"/>
      <c r="EH253" s="11"/>
      <c r="EI253" s="11"/>
      <c r="EJ253" s="11"/>
      <c r="EK253" s="11"/>
      <c r="EL253" s="11"/>
      <c r="EM253" s="11"/>
      <c r="EN253" s="11"/>
      <c r="EO253" s="11"/>
      <c r="EP253" s="11"/>
      <c r="EQ253" s="11"/>
      <c r="ER253" s="11"/>
      <c r="ES253" s="11"/>
      <c r="ET253" s="11"/>
      <c r="EU253" s="11"/>
      <c r="EV253" s="11"/>
      <c r="EW253" s="11"/>
      <c r="EX253" s="11"/>
      <c r="EY253" s="11"/>
      <c r="EZ253" s="11"/>
      <c r="FA253" s="11"/>
      <c r="FB253" s="11"/>
      <c r="FC253" s="11"/>
      <c r="FD253" s="11"/>
      <c r="FE253" s="11"/>
      <c r="FF253" s="11"/>
      <c r="FG253" s="11"/>
      <c r="FH253" s="11"/>
      <c r="FI253" s="11"/>
      <c r="FJ253" s="11"/>
      <c r="FK253" s="11"/>
      <c r="FL253" s="11"/>
      <c r="FM253" s="11"/>
      <c r="FN253" s="11"/>
      <c r="FO253" s="11"/>
      <c r="FP253" s="11"/>
      <c r="FQ253" s="11"/>
      <c r="FR253" s="11"/>
      <c r="FS253" s="11"/>
      <c r="FT253" s="11"/>
      <c r="FU253" s="11"/>
      <c r="FV253" s="11"/>
      <c r="FW253" s="11"/>
      <c r="FX253" s="11"/>
      <c r="FY253" s="11"/>
      <c r="FZ253" s="11"/>
      <c r="GA253" s="11"/>
      <c r="GB253" s="11"/>
      <c r="GC253" s="11"/>
      <c r="GD253" s="11"/>
      <c r="GE253" s="11"/>
      <c r="GF253" s="11"/>
      <c r="GG253" s="11"/>
      <c r="GH253" s="11"/>
      <c r="GI253" s="11"/>
      <c r="GJ253" s="11"/>
      <c r="GK253" s="11"/>
      <c r="GL253" s="11"/>
      <c r="GM253" s="11"/>
      <c r="GN253" s="11"/>
      <c r="GO253" s="11"/>
      <c r="GP253" s="11"/>
      <c r="GQ253" s="11"/>
      <c r="GR253" s="11"/>
    </row>
    <row r="254" spans="2:200" x14ac:dyDescent="0.15"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11"/>
      <c r="CW254" s="11"/>
      <c r="CX254" s="11"/>
      <c r="CY254" s="11"/>
      <c r="CZ254" s="11"/>
      <c r="DA254" s="11"/>
      <c r="DB254" s="11"/>
      <c r="DC254" s="11"/>
      <c r="DD254" s="11"/>
      <c r="DE254" s="11"/>
      <c r="DF254" s="11"/>
      <c r="DG254" s="11"/>
      <c r="DH254" s="11"/>
      <c r="DI254" s="11"/>
      <c r="DJ254" s="11"/>
      <c r="DK254" s="11"/>
      <c r="DL254" s="11"/>
      <c r="DM254" s="11"/>
      <c r="DN254" s="11"/>
      <c r="DO254" s="11"/>
      <c r="DP254" s="11"/>
      <c r="DQ254" s="11"/>
      <c r="DR254" s="11"/>
      <c r="DS254" s="11"/>
      <c r="DT254" s="11"/>
      <c r="DU254" s="11"/>
      <c r="DV254" s="11"/>
      <c r="DW254" s="11"/>
      <c r="DX254" s="11"/>
      <c r="DY254" s="11"/>
      <c r="DZ254" s="11"/>
      <c r="EA254" s="11"/>
      <c r="EB254" s="11"/>
      <c r="EC254" s="11"/>
      <c r="ED254" s="11"/>
      <c r="EE254" s="11"/>
      <c r="EF254" s="11"/>
      <c r="EG254" s="11"/>
      <c r="EH254" s="11"/>
      <c r="EI254" s="11"/>
      <c r="EJ254" s="11"/>
      <c r="EK254" s="11"/>
      <c r="EL254" s="11"/>
      <c r="EM254" s="11"/>
      <c r="EN254" s="11"/>
      <c r="EO254" s="11"/>
      <c r="EP254" s="11"/>
      <c r="EQ254" s="11"/>
      <c r="ER254" s="11"/>
      <c r="ES254" s="11"/>
      <c r="ET254" s="11"/>
      <c r="EU254" s="11"/>
      <c r="EV254" s="11"/>
      <c r="EW254" s="11"/>
      <c r="EX254" s="11"/>
      <c r="EY254" s="11"/>
      <c r="EZ254" s="11"/>
      <c r="FA254" s="11"/>
      <c r="FB254" s="11"/>
      <c r="FC254" s="11"/>
      <c r="FD254" s="11"/>
      <c r="FE254" s="11"/>
      <c r="FF254" s="11"/>
      <c r="FG254" s="11"/>
      <c r="FH254" s="11"/>
      <c r="FI254" s="11"/>
      <c r="FJ254" s="11"/>
      <c r="FK254" s="11"/>
      <c r="FL254" s="11"/>
      <c r="FM254" s="11"/>
      <c r="FN254" s="11"/>
      <c r="FO254" s="11"/>
      <c r="FP254" s="11"/>
      <c r="FQ254" s="11"/>
      <c r="FR254" s="11"/>
      <c r="FS254" s="11"/>
      <c r="FT254" s="11"/>
      <c r="FU254" s="11"/>
      <c r="FV254" s="11"/>
      <c r="FW254" s="11"/>
      <c r="FX254" s="11"/>
      <c r="FY254" s="11"/>
      <c r="FZ254" s="11"/>
      <c r="GA254" s="11"/>
      <c r="GB254" s="11"/>
      <c r="GC254" s="11"/>
      <c r="GD254" s="11"/>
      <c r="GE254" s="11"/>
      <c r="GF254" s="11"/>
      <c r="GG254" s="11"/>
      <c r="GH254" s="11"/>
      <c r="GI254" s="11"/>
      <c r="GJ254" s="11"/>
      <c r="GK254" s="11"/>
      <c r="GL254" s="11"/>
      <c r="GM254" s="11"/>
      <c r="GN254" s="11"/>
      <c r="GO254" s="11"/>
      <c r="GP254" s="11"/>
      <c r="GQ254" s="11"/>
      <c r="GR254" s="11"/>
    </row>
    <row r="255" spans="2:200" x14ac:dyDescent="0.15"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11"/>
      <c r="CW255" s="11"/>
      <c r="CX255" s="11"/>
      <c r="CY255" s="11"/>
      <c r="CZ255" s="11"/>
      <c r="DA255" s="11"/>
      <c r="DB255" s="11"/>
      <c r="DC255" s="11"/>
      <c r="DD255" s="11"/>
      <c r="DE255" s="11"/>
      <c r="DF255" s="11"/>
      <c r="DG255" s="11"/>
      <c r="DH255" s="11"/>
      <c r="DI255" s="11"/>
      <c r="DJ255" s="11"/>
      <c r="DK255" s="11"/>
      <c r="DL255" s="11"/>
      <c r="DM255" s="11"/>
      <c r="DN255" s="11"/>
      <c r="DO255" s="11"/>
      <c r="DP255" s="11"/>
      <c r="DQ255" s="11"/>
      <c r="DR255" s="11"/>
      <c r="DS255" s="11"/>
      <c r="DT255" s="11"/>
      <c r="DU255" s="11"/>
      <c r="DV255" s="11"/>
      <c r="DW255" s="11"/>
      <c r="DX255" s="11"/>
      <c r="DY255" s="11"/>
      <c r="DZ255" s="11"/>
      <c r="EA255" s="11"/>
      <c r="EB255" s="11"/>
      <c r="EC255" s="11"/>
      <c r="ED255" s="11"/>
      <c r="EE255" s="11"/>
      <c r="EF255" s="11"/>
      <c r="EG255" s="11"/>
      <c r="EH255" s="11"/>
      <c r="EI255" s="11"/>
      <c r="EJ255" s="11"/>
      <c r="EK255" s="11"/>
      <c r="EL255" s="11"/>
      <c r="EM255" s="11"/>
      <c r="EN255" s="11"/>
      <c r="EO255" s="11"/>
      <c r="EP255" s="11"/>
      <c r="EQ255" s="11"/>
      <c r="ER255" s="11"/>
      <c r="ES255" s="11"/>
      <c r="ET255" s="11"/>
      <c r="EU255" s="11"/>
      <c r="EV255" s="11"/>
      <c r="EW255" s="11"/>
      <c r="EX255" s="11"/>
      <c r="EY255" s="11"/>
      <c r="EZ255" s="11"/>
      <c r="FA255" s="11"/>
      <c r="FB255" s="11"/>
      <c r="FC255" s="11"/>
      <c r="FD255" s="11"/>
      <c r="FE255" s="11"/>
      <c r="FF255" s="11"/>
      <c r="FG255" s="11"/>
      <c r="FH255" s="11"/>
      <c r="FI255" s="11"/>
      <c r="FJ255" s="11"/>
      <c r="FK255" s="11"/>
      <c r="FL255" s="11"/>
      <c r="FM255" s="11"/>
      <c r="FN255" s="11"/>
      <c r="FO255" s="11"/>
      <c r="FP255" s="11"/>
      <c r="FQ255" s="11"/>
      <c r="FR255" s="11"/>
      <c r="FS255" s="11"/>
      <c r="FT255" s="11"/>
      <c r="FU255" s="11"/>
      <c r="FV255" s="11"/>
      <c r="FW255" s="11"/>
      <c r="FX255" s="11"/>
      <c r="FY255" s="11"/>
      <c r="FZ255" s="11"/>
      <c r="GA255" s="11"/>
      <c r="GB255" s="11"/>
      <c r="GC255" s="11"/>
      <c r="GD255" s="11"/>
      <c r="GE255" s="11"/>
      <c r="GF255" s="11"/>
      <c r="GG255" s="11"/>
      <c r="GH255" s="11"/>
      <c r="GI255" s="11"/>
      <c r="GJ255" s="11"/>
      <c r="GK255" s="11"/>
      <c r="GL255" s="11"/>
      <c r="GM255" s="11"/>
      <c r="GN255" s="11"/>
      <c r="GO255" s="11"/>
      <c r="GP255" s="11"/>
      <c r="GQ255" s="11"/>
      <c r="GR255" s="11"/>
    </row>
    <row r="256" spans="2:200" x14ac:dyDescent="0.15"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11"/>
      <c r="CW256" s="11"/>
      <c r="CX256" s="11"/>
      <c r="CY256" s="11"/>
      <c r="CZ256" s="11"/>
      <c r="DA256" s="11"/>
      <c r="DB256" s="11"/>
      <c r="DC256" s="11"/>
      <c r="DD256" s="11"/>
      <c r="DE256" s="11"/>
      <c r="DF256" s="11"/>
      <c r="DG256" s="11"/>
      <c r="DH256" s="11"/>
      <c r="DI256" s="11"/>
      <c r="DJ256" s="11"/>
      <c r="DK256" s="11"/>
      <c r="DL256" s="11"/>
      <c r="DM256" s="11"/>
      <c r="DN256" s="11"/>
      <c r="DO256" s="11"/>
      <c r="DP256" s="11"/>
      <c r="DQ256" s="11"/>
      <c r="DR256" s="11"/>
      <c r="DS256" s="11"/>
      <c r="DT256" s="11"/>
      <c r="DU256" s="11"/>
      <c r="DV256" s="11"/>
      <c r="DW256" s="11"/>
      <c r="DX256" s="11"/>
      <c r="DY256" s="11"/>
      <c r="DZ256" s="11"/>
      <c r="EA256" s="11"/>
      <c r="EB256" s="11"/>
      <c r="EC256" s="11"/>
      <c r="ED256" s="11"/>
      <c r="EE256" s="11"/>
      <c r="EF256" s="11"/>
      <c r="EG256" s="11"/>
      <c r="EH256" s="11"/>
      <c r="EI256" s="11"/>
      <c r="EJ256" s="11"/>
      <c r="EK256" s="11"/>
      <c r="EL256" s="11"/>
      <c r="EM256" s="11"/>
      <c r="EN256" s="11"/>
      <c r="EO256" s="11"/>
      <c r="EP256" s="11"/>
      <c r="EQ256" s="11"/>
      <c r="ER256" s="11"/>
      <c r="ES256" s="11"/>
      <c r="ET256" s="11"/>
      <c r="EU256" s="11"/>
      <c r="EV256" s="11"/>
      <c r="EW256" s="11"/>
      <c r="EX256" s="11"/>
      <c r="EY256" s="11"/>
      <c r="EZ256" s="11"/>
      <c r="FA256" s="11"/>
      <c r="FB256" s="11"/>
      <c r="FC256" s="11"/>
      <c r="FD256" s="11"/>
      <c r="FE256" s="11"/>
      <c r="FF256" s="11"/>
      <c r="FG256" s="11"/>
      <c r="FH256" s="11"/>
      <c r="FI256" s="11"/>
      <c r="FJ256" s="11"/>
      <c r="FK256" s="11"/>
      <c r="FL256" s="11"/>
      <c r="FM256" s="11"/>
      <c r="FN256" s="11"/>
      <c r="FO256" s="11"/>
      <c r="FP256" s="11"/>
      <c r="FQ256" s="11"/>
      <c r="FR256" s="11"/>
      <c r="FS256" s="11"/>
      <c r="FT256" s="11"/>
      <c r="FU256" s="11"/>
      <c r="FV256" s="11"/>
      <c r="FW256" s="11"/>
      <c r="FX256" s="11"/>
      <c r="FY256" s="11"/>
      <c r="FZ256" s="11"/>
      <c r="GA256" s="11"/>
      <c r="GB256" s="11"/>
      <c r="GC256" s="11"/>
      <c r="GD256" s="11"/>
      <c r="GE256" s="11"/>
      <c r="GF256" s="11"/>
      <c r="GG256" s="11"/>
      <c r="GH256" s="11"/>
      <c r="GI256" s="11"/>
      <c r="GJ256" s="11"/>
      <c r="GK256" s="11"/>
      <c r="GL256" s="11"/>
      <c r="GM256" s="11"/>
      <c r="GN256" s="11"/>
      <c r="GO256" s="11"/>
      <c r="GP256" s="11"/>
      <c r="GQ256" s="11"/>
      <c r="GR256" s="11"/>
    </row>
    <row r="257" spans="2:200" x14ac:dyDescent="0.15"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11"/>
      <c r="CW257" s="11"/>
      <c r="CX257" s="11"/>
      <c r="CY257" s="11"/>
      <c r="CZ257" s="11"/>
      <c r="DA257" s="11"/>
      <c r="DB257" s="11"/>
      <c r="DC257" s="11"/>
      <c r="DD257" s="11"/>
      <c r="DE257" s="11"/>
      <c r="DF257" s="11"/>
      <c r="DG257" s="11"/>
      <c r="DH257" s="11"/>
      <c r="DI257" s="11"/>
      <c r="DJ257" s="11"/>
      <c r="DK257" s="11"/>
      <c r="DL257" s="11"/>
      <c r="DM257" s="11"/>
      <c r="DN257" s="11"/>
      <c r="DO257" s="11"/>
      <c r="DP257" s="11"/>
      <c r="DQ257" s="11"/>
      <c r="DR257" s="11"/>
      <c r="DS257" s="11"/>
      <c r="DT257" s="11"/>
      <c r="DU257" s="11"/>
      <c r="DV257" s="11"/>
      <c r="DW257" s="11"/>
      <c r="DX257" s="11"/>
      <c r="DY257" s="11"/>
      <c r="DZ257" s="11"/>
      <c r="EA257" s="11"/>
      <c r="EB257" s="11"/>
      <c r="EC257" s="11"/>
      <c r="ED257" s="11"/>
      <c r="EE257" s="11"/>
      <c r="EF257" s="11"/>
      <c r="EG257" s="11"/>
      <c r="EH257" s="11"/>
      <c r="EI257" s="11"/>
      <c r="EJ257" s="11"/>
      <c r="EK257" s="11"/>
      <c r="EL257" s="11"/>
      <c r="EM257" s="11"/>
      <c r="EN257" s="11"/>
      <c r="EO257" s="11"/>
      <c r="EP257" s="11"/>
      <c r="EQ257" s="11"/>
      <c r="ER257" s="11"/>
      <c r="ES257" s="11"/>
      <c r="ET257" s="11"/>
      <c r="EU257" s="11"/>
      <c r="EV257" s="11"/>
      <c r="EW257" s="11"/>
      <c r="EX257" s="11"/>
      <c r="EY257" s="11"/>
      <c r="EZ257" s="11"/>
      <c r="FA257" s="11"/>
      <c r="FB257" s="11"/>
      <c r="FC257" s="11"/>
      <c r="FD257" s="11"/>
      <c r="FE257" s="11"/>
      <c r="FF257" s="11"/>
      <c r="FG257" s="11"/>
      <c r="FH257" s="11"/>
      <c r="FI257" s="11"/>
      <c r="FJ257" s="11"/>
      <c r="FK257" s="11"/>
      <c r="FL257" s="11"/>
      <c r="FM257" s="11"/>
      <c r="FN257" s="11"/>
      <c r="FO257" s="11"/>
      <c r="FP257" s="11"/>
      <c r="FQ257" s="11"/>
      <c r="FR257" s="11"/>
      <c r="FS257" s="11"/>
      <c r="FT257" s="11"/>
      <c r="FU257" s="11"/>
      <c r="FV257" s="11"/>
      <c r="FW257" s="11"/>
      <c r="FX257" s="11"/>
      <c r="FY257" s="11"/>
      <c r="FZ257" s="11"/>
      <c r="GA257" s="11"/>
      <c r="GB257" s="11"/>
      <c r="GC257" s="11"/>
      <c r="GD257" s="11"/>
      <c r="GE257" s="11"/>
      <c r="GF257" s="11"/>
      <c r="GG257" s="11"/>
      <c r="GH257" s="11"/>
      <c r="GI257" s="11"/>
      <c r="GJ257" s="11"/>
      <c r="GK257" s="11"/>
      <c r="GL257" s="11"/>
      <c r="GM257" s="11"/>
      <c r="GN257" s="11"/>
      <c r="GO257" s="11"/>
      <c r="GP257" s="11"/>
      <c r="GQ257" s="11"/>
      <c r="GR257" s="11"/>
    </row>
    <row r="258" spans="2:200" x14ac:dyDescent="0.15"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11"/>
      <c r="CV258" s="11"/>
      <c r="CW258" s="11"/>
      <c r="CX258" s="11"/>
      <c r="CY258" s="11"/>
      <c r="CZ258" s="11"/>
      <c r="DA258" s="11"/>
      <c r="DB258" s="11"/>
      <c r="DC258" s="11"/>
      <c r="DD258" s="11"/>
      <c r="DE258" s="11"/>
      <c r="DF258" s="11"/>
      <c r="DG258" s="11"/>
      <c r="DH258" s="11"/>
      <c r="DI258" s="11"/>
      <c r="DJ258" s="11"/>
      <c r="DK258" s="11"/>
      <c r="DL258" s="11"/>
      <c r="DM258" s="11"/>
      <c r="DN258" s="11"/>
      <c r="DO258" s="11"/>
      <c r="DP258" s="11"/>
      <c r="DQ258" s="11"/>
      <c r="DR258" s="11"/>
      <c r="DS258" s="11"/>
      <c r="DT258" s="11"/>
      <c r="DU258" s="11"/>
      <c r="DV258" s="11"/>
      <c r="DW258" s="11"/>
      <c r="DX258" s="11"/>
      <c r="DY258" s="11"/>
      <c r="DZ258" s="11"/>
      <c r="EA258" s="11"/>
      <c r="EB258" s="11"/>
      <c r="EC258" s="11"/>
      <c r="ED258" s="11"/>
      <c r="EE258" s="11"/>
      <c r="EF258" s="11"/>
      <c r="EG258" s="11"/>
      <c r="EH258" s="11"/>
      <c r="EI258" s="11"/>
      <c r="EJ258" s="11"/>
      <c r="EK258" s="11"/>
      <c r="EL258" s="11"/>
      <c r="EM258" s="11"/>
      <c r="EN258" s="11"/>
      <c r="EO258" s="11"/>
      <c r="EP258" s="11"/>
      <c r="EQ258" s="11"/>
      <c r="ER258" s="11"/>
      <c r="ES258" s="11"/>
      <c r="ET258" s="11"/>
      <c r="EU258" s="11"/>
      <c r="EV258" s="11"/>
      <c r="EW258" s="11"/>
      <c r="EX258" s="11"/>
      <c r="EY258" s="11"/>
      <c r="EZ258" s="11"/>
      <c r="FA258" s="11"/>
      <c r="FB258" s="11"/>
      <c r="FC258" s="11"/>
      <c r="FD258" s="11"/>
      <c r="FE258" s="11"/>
      <c r="FF258" s="11"/>
      <c r="FG258" s="11"/>
      <c r="FH258" s="11"/>
      <c r="FI258" s="11"/>
      <c r="FJ258" s="11"/>
      <c r="FK258" s="11"/>
      <c r="FL258" s="11"/>
      <c r="FM258" s="11"/>
      <c r="FN258" s="11"/>
      <c r="FO258" s="11"/>
      <c r="FP258" s="11"/>
      <c r="FQ258" s="11"/>
      <c r="FR258" s="11"/>
      <c r="FS258" s="11"/>
      <c r="FT258" s="11"/>
      <c r="FU258" s="11"/>
      <c r="FV258" s="11"/>
      <c r="FW258" s="11"/>
      <c r="FX258" s="11"/>
      <c r="FY258" s="11"/>
      <c r="FZ258" s="11"/>
      <c r="GA258" s="11"/>
      <c r="GB258" s="11"/>
      <c r="GC258" s="11"/>
      <c r="GD258" s="11"/>
      <c r="GE258" s="11"/>
      <c r="GF258" s="11"/>
      <c r="GG258" s="11"/>
      <c r="GH258" s="11"/>
      <c r="GI258" s="11"/>
      <c r="GJ258" s="11"/>
      <c r="GK258" s="11"/>
      <c r="GL258" s="11"/>
      <c r="GM258" s="11"/>
      <c r="GN258" s="11"/>
      <c r="GO258" s="11"/>
      <c r="GP258" s="11"/>
      <c r="GQ258" s="11"/>
      <c r="GR258" s="11"/>
    </row>
    <row r="259" spans="2:200" x14ac:dyDescent="0.15"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11"/>
      <c r="CW259" s="11"/>
      <c r="CX259" s="11"/>
      <c r="CY259" s="11"/>
      <c r="CZ259" s="11"/>
      <c r="DA259" s="11"/>
      <c r="DB259" s="11"/>
      <c r="DC259" s="11"/>
      <c r="DD259" s="11"/>
      <c r="DE259" s="11"/>
      <c r="DF259" s="11"/>
      <c r="DG259" s="11"/>
      <c r="DH259" s="11"/>
      <c r="DI259" s="11"/>
      <c r="DJ259" s="11"/>
      <c r="DK259" s="11"/>
      <c r="DL259" s="11"/>
      <c r="DM259" s="11"/>
      <c r="DN259" s="11"/>
      <c r="DO259" s="11"/>
      <c r="DP259" s="11"/>
      <c r="DQ259" s="11"/>
      <c r="DR259" s="11"/>
      <c r="DS259" s="11"/>
      <c r="DT259" s="11"/>
      <c r="DU259" s="11"/>
      <c r="DV259" s="11"/>
      <c r="DW259" s="11"/>
      <c r="DX259" s="11"/>
      <c r="DY259" s="11"/>
      <c r="DZ259" s="11"/>
      <c r="EA259" s="11"/>
      <c r="EB259" s="11"/>
      <c r="EC259" s="11"/>
      <c r="ED259" s="11"/>
      <c r="EE259" s="11"/>
      <c r="EF259" s="11"/>
      <c r="EG259" s="11"/>
      <c r="EH259" s="11"/>
      <c r="EI259" s="11"/>
      <c r="EJ259" s="11"/>
      <c r="EK259" s="11"/>
      <c r="EL259" s="11"/>
      <c r="EM259" s="11"/>
      <c r="EN259" s="11"/>
      <c r="EO259" s="11"/>
      <c r="EP259" s="11"/>
      <c r="EQ259" s="11"/>
      <c r="ER259" s="11"/>
      <c r="ES259" s="11"/>
      <c r="ET259" s="11"/>
      <c r="EU259" s="11"/>
      <c r="EV259" s="11"/>
      <c r="EW259" s="11"/>
      <c r="EX259" s="11"/>
      <c r="EY259" s="11"/>
      <c r="EZ259" s="11"/>
      <c r="FA259" s="11"/>
      <c r="FB259" s="11"/>
      <c r="FC259" s="11"/>
      <c r="FD259" s="11"/>
      <c r="FE259" s="11"/>
      <c r="FF259" s="11"/>
      <c r="FG259" s="11"/>
      <c r="FH259" s="11"/>
      <c r="FI259" s="11"/>
      <c r="FJ259" s="11"/>
      <c r="FK259" s="11"/>
      <c r="FL259" s="11"/>
      <c r="FM259" s="11"/>
      <c r="FN259" s="11"/>
      <c r="FO259" s="11"/>
      <c r="FP259" s="11"/>
      <c r="FQ259" s="11"/>
      <c r="FR259" s="11"/>
      <c r="FS259" s="11"/>
      <c r="FT259" s="11"/>
      <c r="FU259" s="11"/>
      <c r="FV259" s="11"/>
      <c r="FW259" s="11"/>
      <c r="FX259" s="11"/>
      <c r="FY259" s="11"/>
      <c r="FZ259" s="11"/>
      <c r="GA259" s="11"/>
      <c r="GB259" s="11"/>
      <c r="GC259" s="11"/>
      <c r="GD259" s="11"/>
      <c r="GE259" s="11"/>
      <c r="GF259" s="11"/>
      <c r="GG259" s="11"/>
      <c r="GH259" s="11"/>
      <c r="GI259" s="11"/>
      <c r="GJ259" s="11"/>
      <c r="GK259" s="11"/>
      <c r="GL259" s="11"/>
      <c r="GM259" s="11"/>
      <c r="GN259" s="11"/>
      <c r="GO259" s="11"/>
      <c r="GP259" s="11"/>
      <c r="GQ259" s="11"/>
      <c r="GR259" s="11"/>
    </row>
    <row r="260" spans="2:200" x14ac:dyDescent="0.15"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P260" s="11"/>
      <c r="BQ260" s="11"/>
      <c r="BR260" s="11"/>
      <c r="BS260" s="11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11"/>
      <c r="CW260" s="11"/>
      <c r="CX260" s="11"/>
      <c r="CY260" s="11"/>
      <c r="CZ260" s="11"/>
      <c r="DA260" s="11"/>
      <c r="DB260" s="11"/>
      <c r="DC260" s="11"/>
      <c r="DD260" s="11"/>
      <c r="DE260" s="11"/>
      <c r="DF260" s="11"/>
      <c r="DG260" s="11"/>
      <c r="DH260" s="11"/>
      <c r="DI260" s="11"/>
      <c r="DJ260" s="11"/>
      <c r="DK260" s="11"/>
      <c r="DL260" s="11"/>
      <c r="DM260" s="11"/>
      <c r="DN260" s="11"/>
      <c r="DO260" s="11"/>
      <c r="DP260" s="11"/>
      <c r="DQ260" s="11"/>
      <c r="DR260" s="11"/>
      <c r="DS260" s="11"/>
      <c r="DT260" s="11"/>
      <c r="DU260" s="11"/>
      <c r="DV260" s="11"/>
      <c r="DW260" s="11"/>
      <c r="DX260" s="11"/>
      <c r="DY260" s="11"/>
      <c r="DZ260" s="11"/>
      <c r="EA260" s="11"/>
      <c r="EB260" s="11"/>
      <c r="EC260" s="11"/>
      <c r="ED260" s="11"/>
      <c r="EE260" s="11"/>
      <c r="EF260" s="11"/>
      <c r="EG260" s="11"/>
      <c r="EH260" s="11"/>
      <c r="EI260" s="11"/>
      <c r="EJ260" s="11"/>
      <c r="EK260" s="11"/>
      <c r="EL260" s="11"/>
      <c r="EM260" s="11"/>
      <c r="EN260" s="11"/>
      <c r="EO260" s="11"/>
      <c r="EP260" s="11"/>
      <c r="EQ260" s="11"/>
      <c r="ER260" s="11"/>
      <c r="ES260" s="11"/>
      <c r="ET260" s="11"/>
      <c r="EU260" s="11"/>
      <c r="EV260" s="11"/>
      <c r="EW260" s="11"/>
      <c r="EX260" s="11"/>
      <c r="EY260" s="11"/>
      <c r="EZ260" s="11"/>
      <c r="FA260" s="11"/>
      <c r="FB260" s="11"/>
      <c r="FC260" s="11"/>
      <c r="FD260" s="11"/>
      <c r="FE260" s="11"/>
      <c r="FF260" s="11"/>
      <c r="FG260" s="11"/>
      <c r="FH260" s="11"/>
      <c r="FI260" s="11"/>
      <c r="FJ260" s="11"/>
      <c r="FK260" s="11"/>
      <c r="FL260" s="11"/>
      <c r="FM260" s="11"/>
      <c r="FN260" s="11"/>
      <c r="FO260" s="11"/>
      <c r="FP260" s="11"/>
      <c r="FQ260" s="11"/>
      <c r="FR260" s="11"/>
      <c r="FS260" s="11"/>
      <c r="FT260" s="11"/>
      <c r="FU260" s="11"/>
      <c r="FV260" s="11"/>
      <c r="FW260" s="11"/>
      <c r="FX260" s="11"/>
      <c r="FY260" s="11"/>
      <c r="FZ260" s="11"/>
      <c r="GA260" s="11"/>
      <c r="GB260" s="11"/>
      <c r="GC260" s="11"/>
      <c r="GD260" s="11"/>
      <c r="GE260" s="11"/>
      <c r="GF260" s="11"/>
      <c r="GG260" s="11"/>
      <c r="GH260" s="11"/>
      <c r="GI260" s="11"/>
      <c r="GJ260" s="11"/>
      <c r="GK260" s="11"/>
      <c r="GL260" s="11"/>
      <c r="GM260" s="11"/>
      <c r="GN260" s="11"/>
      <c r="GO260" s="11"/>
      <c r="GP260" s="11"/>
      <c r="GQ260" s="11"/>
      <c r="GR260" s="11"/>
    </row>
    <row r="261" spans="2:200" x14ac:dyDescent="0.15"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P261" s="11"/>
      <c r="BQ261" s="11"/>
      <c r="BR261" s="11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11"/>
      <c r="CW261" s="11"/>
      <c r="CX261" s="11"/>
      <c r="CY261" s="11"/>
      <c r="CZ261" s="11"/>
      <c r="DA261" s="11"/>
      <c r="DB261" s="11"/>
      <c r="DC261" s="11"/>
      <c r="DD261" s="11"/>
      <c r="DE261" s="11"/>
      <c r="DF261" s="11"/>
      <c r="DG261" s="11"/>
      <c r="DH261" s="11"/>
      <c r="DI261" s="11"/>
      <c r="DJ261" s="11"/>
      <c r="DK261" s="11"/>
      <c r="DL261" s="11"/>
      <c r="DM261" s="11"/>
      <c r="DN261" s="11"/>
      <c r="DO261" s="11"/>
      <c r="DP261" s="11"/>
      <c r="DQ261" s="11"/>
      <c r="DR261" s="11"/>
      <c r="DS261" s="11"/>
      <c r="DT261" s="11"/>
      <c r="DU261" s="11"/>
      <c r="DV261" s="11"/>
      <c r="DW261" s="11"/>
      <c r="DX261" s="11"/>
      <c r="DY261" s="11"/>
      <c r="DZ261" s="11"/>
      <c r="EA261" s="11"/>
      <c r="EB261" s="11"/>
      <c r="EC261" s="11"/>
      <c r="ED261" s="11"/>
      <c r="EE261" s="11"/>
      <c r="EF261" s="11"/>
      <c r="EG261" s="11"/>
      <c r="EH261" s="11"/>
      <c r="EI261" s="11"/>
      <c r="EJ261" s="11"/>
      <c r="EK261" s="11"/>
      <c r="EL261" s="11"/>
      <c r="EM261" s="11"/>
      <c r="EN261" s="11"/>
      <c r="EO261" s="11"/>
      <c r="EP261" s="11"/>
      <c r="EQ261" s="11"/>
      <c r="ER261" s="11"/>
      <c r="ES261" s="11"/>
      <c r="ET261" s="11"/>
      <c r="EU261" s="11"/>
      <c r="EV261" s="11"/>
      <c r="EW261" s="11"/>
      <c r="EX261" s="11"/>
      <c r="EY261" s="11"/>
      <c r="EZ261" s="11"/>
      <c r="FA261" s="11"/>
      <c r="FB261" s="11"/>
      <c r="FC261" s="11"/>
      <c r="FD261" s="11"/>
      <c r="FE261" s="11"/>
      <c r="FF261" s="11"/>
      <c r="FG261" s="11"/>
      <c r="FH261" s="11"/>
      <c r="FI261" s="11"/>
      <c r="FJ261" s="11"/>
      <c r="FK261" s="11"/>
      <c r="FL261" s="11"/>
      <c r="FM261" s="11"/>
      <c r="FN261" s="11"/>
      <c r="FO261" s="11"/>
      <c r="FP261" s="11"/>
      <c r="FQ261" s="11"/>
      <c r="FR261" s="11"/>
      <c r="FS261" s="11"/>
      <c r="FT261" s="11"/>
      <c r="FU261" s="11"/>
      <c r="FV261" s="11"/>
      <c r="FW261" s="11"/>
      <c r="FX261" s="11"/>
      <c r="FY261" s="11"/>
      <c r="FZ261" s="11"/>
      <c r="GA261" s="11"/>
      <c r="GB261" s="11"/>
      <c r="GC261" s="11"/>
      <c r="GD261" s="11"/>
      <c r="GE261" s="11"/>
      <c r="GF261" s="11"/>
      <c r="GG261" s="11"/>
      <c r="GH261" s="11"/>
      <c r="GI261" s="11"/>
      <c r="GJ261" s="11"/>
      <c r="GK261" s="11"/>
      <c r="GL261" s="11"/>
      <c r="GM261" s="11"/>
      <c r="GN261" s="11"/>
      <c r="GO261" s="11"/>
      <c r="GP261" s="11"/>
      <c r="GQ261" s="11"/>
      <c r="GR261" s="11"/>
    </row>
    <row r="262" spans="2:200" x14ac:dyDescent="0.15"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P262" s="11"/>
      <c r="BQ262" s="11"/>
      <c r="BR262" s="11"/>
      <c r="BS262" s="11"/>
      <c r="BT262" s="11"/>
      <c r="BU262" s="11"/>
      <c r="BV262" s="11"/>
      <c r="BW262" s="11"/>
      <c r="BX262" s="11"/>
      <c r="BY262" s="11"/>
      <c r="BZ262" s="11"/>
      <c r="CA262" s="11"/>
      <c r="CB262" s="11"/>
      <c r="CC262" s="11"/>
      <c r="CD262" s="11"/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11"/>
      <c r="CV262" s="11"/>
      <c r="CW262" s="11"/>
      <c r="CX262" s="11"/>
      <c r="CY262" s="11"/>
      <c r="CZ262" s="11"/>
      <c r="DA262" s="11"/>
      <c r="DB262" s="11"/>
      <c r="DC262" s="11"/>
      <c r="DD262" s="11"/>
      <c r="DE262" s="11"/>
      <c r="DF262" s="11"/>
      <c r="DG262" s="11"/>
      <c r="DH262" s="11"/>
      <c r="DI262" s="11"/>
      <c r="DJ262" s="11"/>
      <c r="DK262" s="11"/>
      <c r="DL262" s="11"/>
      <c r="DM262" s="11"/>
      <c r="DN262" s="11"/>
      <c r="DO262" s="11"/>
      <c r="DP262" s="11"/>
      <c r="DQ262" s="11"/>
      <c r="DR262" s="11"/>
      <c r="DS262" s="11"/>
      <c r="DT262" s="11"/>
      <c r="DU262" s="11"/>
      <c r="DV262" s="11"/>
      <c r="DW262" s="11"/>
      <c r="DX262" s="11"/>
      <c r="DY262" s="11"/>
      <c r="DZ262" s="11"/>
      <c r="EA262" s="11"/>
      <c r="EB262" s="11"/>
      <c r="EC262" s="11"/>
      <c r="ED262" s="11"/>
      <c r="EE262" s="11"/>
      <c r="EF262" s="11"/>
      <c r="EG262" s="11"/>
      <c r="EH262" s="11"/>
      <c r="EI262" s="11"/>
      <c r="EJ262" s="11"/>
      <c r="EK262" s="11"/>
      <c r="EL262" s="11"/>
      <c r="EM262" s="11"/>
      <c r="EN262" s="11"/>
      <c r="EO262" s="11"/>
      <c r="EP262" s="11"/>
      <c r="EQ262" s="11"/>
      <c r="ER262" s="11"/>
      <c r="ES262" s="11"/>
      <c r="ET262" s="11"/>
      <c r="EU262" s="11"/>
      <c r="EV262" s="11"/>
      <c r="EW262" s="11"/>
      <c r="EX262" s="11"/>
      <c r="EY262" s="11"/>
      <c r="EZ262" s="11"/>
      <c r="FA262" s="11"/>
      <c r="FB262" s="11"/>
      <c r="FC262" s="11"/>
      <c r="FD262" s="11"/>
      <c r="FE262" s="11"/>
      <c r="FF262" s="11"/>
      <c r="FG262" s="11"/>
      <c r="FH262" s="11"/>
      <c r="FI262" s="11"/>
      <c r="FJ262" s="11"/>
      <c r="FK262" s="11"/>
      <c r="FL262" s="11"/>
      <c r="FM262" s="11"/>
      <c r="FN262" s="11"/>
      <c r="FO262" s="11"/>
      <c r="FP262" s="11"/>
      <c r="FQ262" s="11"/>
      <c r="FR262" s="11"/>
      <c r="FS262" s="11"/>
      <c r="FT262" s="11"/>
      <c r="FU262" s="11"/>
      <c r="FV262" s="11"/>
      <c r="FW262" s="11"/>
      <c r="FX262" s="11"/>
      <c r="FY262" s="11"/>
      <c r="FZ262" s="11"/>
      <c r="GA262" s="11"/>
      <c r="GB262" s="11"/>
      <c r="GC262" s="11"/>
      <c r="GD262" s="11"/>
      <c r="GE262" s="11"/>
      <c r="GF262" s="11"/>
      <c r="GG262" s="11"/>
      <c r="GH262" s="11"/>
      <c r="GI262" s="11"/>
      <c r="GJ262" s="11"/>
      <c r="GK262" s="11"/>
      <c r="GL262" s="11"/>
      <c r="GM262" s="11"/>
      <c r="GN262" s="11"/>
      <c r="GO262" s="11"/>
      <c r="GP262" s="11"/>
      <c r="GQ262" s="11"/>
      <c r="GR262" s="11"/>
    </row>
    <row r="263" spans="2:200" x14ac:dyDescent="0.15"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P263" s="11"/>
      <c r="BQ263" s="11"/>
      <c r="BR263" s="11"/>
      <c r="BS263" s="11"/>
      <c r="BT263" s="11"/>
      <c r="BU263" s="11"/>
      <c r="BV263" s="11"/>
      <c r="BW263" s="11"/>
      <c r="BX263" s="11"/>
      <c r="BY263" s="11"/>
      <c r="BZ263" s="11"/>
      <c r="CA263" s="11"/>
      <c r="CB263" s="11"/>
      <c r="CC263" s="11"/>
      <c r="CD263" s="11"/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11"/>
      <c r="CW263" s="11"/>
      <c r="CX263" s="11"/>
      <c r="CY263" s="11"/>
      <c r="CZ263" s="11"/>
      <c r="DA263" s="11"/>
      <c r="DB263" s="11"/>
      <c r="DC263" s="11"/>
      <c r="DD263" s="11"/>
      <c r="DE263" s="11"/>
      <c r="DF263" s="11"/>
      <c r="DG263" s="11"/>
      <c r="DH263" s="11"/>
      <c r="DI263" s="11"/>
      <c r="DJ263" s="11"/>
      <c r="DK263" s="11"/>
      <c r="DL263" s="11"/>
      <c r="DM263" s="11"/>
      <c r="DN263" s="11"/>
      <c r="DO263" s="11"/>
      <c r="DP263" s="11"/>
      <c r="DQ263" s="11"/>
      <c r="DR263" s="11"/>
      <c r="DS263" s="11"/>
      <c r="DT263" s="11"/>
      <c r="DU263" s="11"/>
      <c r="DV263" s="11"/>
      <c r="DW263" s="11"/>
      <c r="DX263" s="11"/>
      <c r="DY263" s="11"/>
      <c r="DZ263" s="11"/>
      <c r="EA263" s="11"/>
      <c r="EB263" s="11"/>
      <c r="EC263" s="11"/>
      <c r="ED263" s="11"/>
      <c r="EE263" s="11"/>
      <c r="EF263" s="11"/>
      <c r="EG263" s="11"/>
      <c r="EH263" s="11"/>
      <c r="EI263" s="11"/>
      <c r="EJ263" s="11"/>
      <c r="EK263" s="11"/>
      <c r="EL263" s="11"/>
      <c r="EM263" s="11"/>
      <c r="EN263" s="11"/>
      <c r="EO263" s="11"/>
      <c r="EP263" s="11"/>
      <c r="EQ263" s="11"/>
      <c r="ER263" s="11"/>
      <c r="ES263" s="11"/>
      <c r="ET263" s="11"/>
      <c r="EU263" s="11"/>
      <c r="EV263" s="11"/>
      <c r="EW263" s="11"/>
      <c r="EX263" s="11"/>
      <c r="EY263" s="11"/>
      <c r="EZ263" s="11"/>
      <c r="FA263" s="11"/>
      <c r="FB263" s="11"/>
      <c r="FC263" s="11"/>
      <c r="FD263" s="11"/>
      <c r="FE263" s="11"/>
      <c r="FF263" s="11"/>
      <c r="FG263" s="11"/>
      <c r="FH263" s="11"/>
      <c r="FI263" s="11"/>
      <c r="FJ263" s="11"/>
      <c r="FK263" s="11"/>
      <c r="FL263" s="11"/>
      <c r="FM263" s="11"/>
      <c r="FN263" s="11"/>
      <c r="FO263" s="11"/>
      <c r="FP263" s="11"/>
      <c r="FQ263" s="11"/>
      <c r="FR263" s="11"/>
      <c r="FS263" s="11"/>
      <c r="FT263" s="11"/>
      <c r="FU263" s="11"/>
      <c r="FV263" s="11"/>
      <c r="FW263" s="11"/>
      <c r="FX263" s="11"/>
      <c r="FY263" s="11"/>
      <c r="FZ263" s="11"/>
      <c r="GA263" s="11"/>
      <c r="GB263" s="11"/>
      <c r="GC263" s="11"/>
      <c r="GD263" s="11"/>
      <c r="GE263" s="11"/>
      <c r="GF263" s="11"/>
      <c r="GG263" s="11"/>
      <c r="GH263" s="11"/>
      <c r="GI263" s="11"/>
      <c r="GJ263" s="11"/>
      <c r="GK263" s="11"/>
      <c r="GL263" s="11"/>
      <c r="GM263" s="11"/>
      <c r="GN263" s="11"/>
      <c r="GO263" s="11"/>
      <c r="GP263" s="11"/>
      <c r="GQ263" s="11"/>
      <c r="GR263" s="11"/>
    </row>
    <row r="264" spans="2:200" x14ac:dyDescent="0.15"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P264" s="11"/>
      <c r="BQ264" s="11"/>
      <c r="BR264" s="11"/>
      <c r="BS264" s="11"/>
      <c r="BT264" s="11"/>
      <c r="BU264" s="11"/>
      <c r="BV264" s="11"/>
      <c r="BW264" s="11"/>
      <c r="BX264" s="11"/>
      <c r="BY264" s="11"/>
      <c r="BZ264" s="11"/>
      <c r="CA264" s="11"/>
      <c r="CB264" s="11"/>
      <c r="CC264" s="11"/>
      <c r="CD264" s="11"/>
      <c r="CE264" s="11"/>
      <c r="CF264" s="11"/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11"/>
      <c r="CV264" s="11"/>
      <c r="CW264" s="11"/>
      <c r="CX264" s="11"/>
      <c r="CY264" s="11"/>
      <c r="CZ264" s="11"/>
      <c r="DA264" s="11"/>
      <c r="DB264" s="11"/>
      <c r="DC264" s="11"/>
      <c r="DD264" s="11"/>
      <c r="DE264" s="11"/>
      <c r="DF264" s="11"/>
      <c r="DG264" s="11"/>
      <c r="DH264" s="11"/>
      <c r="DI264" s="11"/>
      <c r="DJ264" s="11"/>
      <c r="DK264" s="11"/>
      <c r="DL264" s="11"/>
      <c r="DM264" s="11"/>
      <c r="DN264" s="11"/>
      <c r="DO264" s="11"/>
      <c r="DP264" s="11"/>
      <c r="DQ264" s="11"/>
      <c r="DR264" s="11"/>
      <c r="DS264" s="11"/>
      <c r="DT264" s="11"/>
      <c r="DU264" s="11"/>
      <c r="DV264" s="11"/>
      <c r="DW264" s="11"/>
      <c r="DX264" s="11"/>
      <c r="DY264" s="11"/>
      <c r="DZ264" s="11"/>
      <c r="EA264" s="11"/>
      <c r="EB264" s="11"/>
      <c r="EC264" s="11"/>
      <c r="ED264" s="11"/>
      <c r="EE264" s="11"/>
      <c r="EF264" s="11"/>
      <c r="EG264" s="11"/>
      <c r="EH264" s="11"/>
      <c r="EI264" s="11"/>
      <c r="EJ264" s="11"/>
      <c r="EK264" s="11"/>
      <c r="EL264" s="11"/>
      <c r="EM264" s="11"/>
      <c r="EN264" s="11"/>
      <c r="EO264" s="11"/>
      <c r="EP264" s="11"/>
      <c r="EQ264" s="11"/>
      <c r="ER264" s="11"/>
      <c r="ES264" s="11"/>
      <c r="ET264" s="11"/>
      <c r="EU264" s="11"/>
      <c r="EV264" s="11"/>
      <c r="EW264" s="11"/>
      <c r="EX264" s="11"/>
      <c r="EY264" s="11"/>
      <c r="EZ264" s="11"/>
      <c r="FA264" s="11"/>
      <c r="FB264" s="11"/>
      <c r="FC264" s="11"/>
      <c r="FD264" s="11"/>
      <c r="FE264" s="11"/>
      <c r="FF264" s="11"/>
      <c r="FG264" s="11"/>
      <c r="FH264" s="11"/>
      <c r="FI264" s="11"/>
      <c r="FJ264" s="11"/>
      <c r="FK264" s="11"/>
      <c r="FL264" s="11"/>
      <c r="FM264" s="11"/>
      <c r="FN264" s="11"/>
      <c r="FO264" s="11"/>
      <c r="FP264" s="11"/>
      <c r="FQ264" s="11"/>
      <c r="FR264" s="11"/>
      <c r="FS264" s="11"/>
      <c r="FT264" s="11"/>
      <c r="FU264" s="11"/>
      <c r="FV264" s="11"/>
      <c r="FW264" s="11"/>
      <c r="FX264" s="11"/>
      <c r="FY264" s="11"/>
      <c r="FZ264" s="11"/>
      <c r="GA264" s="11"/>
      <c r="GB264" s="11"/>
      <c r="GC264" s="11"/>
      <c r="GD264" s="11"/>
      <c r="GE264" s="11"/>
      <c r="GF264" s="11"/>
      <c r="GG264" s="11"/>
      <c r="GH264" s="11"/>
      <c r="GI264" s="11"/>
      <c r="GJ264" s="11"/>
      <c r="GK264" s="11"/>
      <c r="GL264" s="11"/>
      <c r="GM264" s="11"/>
      <c r="GN264" s="11"/>
      <c r="GO264" s="11"/>
      <c r="GP264" s="11"/>
      <c r="GQ264" s="11"/>
      <c r="GR264" s="11"/>
    </row>
    <row r="265" spans="2:200" x14ac:dyDescent="0.15"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P265" s="11"/>
      <c r="BQ265" s="11"/>
      <c r="BR265" s="11"/>
      <c r="BS265" s="11"/>
      <c r="BT265" s="11"/>
      <c r="BU265" s="11"/>
      <c r="BV265" s="11"/>
      <c r="BW265" s="11"/>
      <c r="BX265" s="11"/>
      <c r="BY265" s="11"/>
      <c r="BZ265" s="11"/>
      <c r="CA265" s="11"/>
      <c r="CB265" s="11"/>
      <c r="CC265" s="11"/>
      <c r="CD265" s="11"/>
      <c r="CE265" s="11"/>
      <c r="CF265" s="11"/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11"/>
      <c r="CV265" s="11"/>
      <c r="CW265" s="11"/>
      <c r="CX265" s="11"/>
      <c r="CY265" s="11"/>
      <c r="CZ265" s="11"/>
      <c r="DA265" s="11"/>
      <c r="DB265" s="11"/>
      <c r="DC265" s="11"/>
      <c r="DD265" s="11"/>
      <c r="DE265" s="11"/>
      <c r="DF265" s="11"/>
      <c r="DG265" s="11"/>
      <c r="DH265" s="11"/>
      <c r="DI265" s="11"/>
      <c r="DJ265" s="11"/>
      <c r="DK265" s="11"/>
      <c r="DL265" s="11"/>
      <c r="DM265" s="11"/>
      <c r="DN265" s="11"/>
      <c r="DO265" s="11"/>
      <c r="DP265" s="11"/>
      <c r="DQ265" s="11"/>
      <c r="DR265" s="11"/>
      <c r="DS265" s="11"/>
      <c r="DT265" s="11"/>
      <c r="DU265" s="11"/>
      <c r="DV265" s="11"/>
      <c r="DW265" s="11"/>
      <c r="DX265" s="11"/>
      <c r="DY265" s="11"/>
      <c r="DZ265" s="11"/>
      <c r="EA265" s="11"/>
      <c r="EB265" s="11"/>
      <c r="EC265" s="11"/>
      <c r="ED265" s="11"/>
      <c r="EE265" s="11"/>
      <c r="EF265" s="11"/>
      <c r="EG265" s="11"/>
      <c r="EH265" s="11"/>
      <c r="EI265" s="11"/>
      <c r="EJ265" s="11"/>
      <c r="EK265" s="11"/>
      <c r="EL265" s="11"/>
      <c r="EM265" s="11"/>
      <c r="EN265" s="11"/>
      <c r="EO265" s="11"/>
      <c r="EP265" s="11"/>
      <c r="EQ265" s="11"/>
      <c r="ER265" s="11"/>
      <c r="ES265" s="11"/>
      <c r="ET265" s="11"/>
      <c r="EU265" s="11"/>
      <c r="EV265" s="11"/>
      <c r="EW265" s="11"/>
      <c r="EX265" s="11"/>
      <c r="EY265" s="11"/>
      <c r="EZ265" s="11"/>
      <c r="FA265" s="11"/>
      <c r="FB265" s="11"/>
      <c r="FC265" s="11"/>
      <c r="FD265" s="11"/>
      <c r="FE265" s="11"/>
      <c r="FF265" s="11"/>
      <c r="FG265" s="11"/>
      <c r="FH265" s="11"/>
      <c r="FI265" s="11"/>
      <c r="FJ265" s="11"/>
      <c r="FK265" s="11"/>
      <c r="FL265" s="11"/>
      <c r="FM265" s="11"/>
      <c r="FN265" s="11"/>
      <c r="FO265" s="11"/>
      <c r="FP265" s="11"/>
      <c r="FQ265" s="11"/>
      <c r="FR265" s="11"/>
      <c r="FS265" s="11"/>
      <c r="FT265" s="11"/>
      <c r="FU265" s="11"/>
      <c r="FV265" s="11"/>
      <c r="FW265" s="11"/>
      <c r="FX265" s="11"/>
      <c r="FY265" s="11"/>
      <c r="FZ265" s="11"/>
      <c r="GA265" s="11"/>
      <c r="GB265" s="11"/>
      <c r="GC265" s="11"/>
      <c r="GD265" s="11"/>
      <c r="GE265" s="11"/>
      <c r="GF265" s="11"/>
      <c r="GG265" s="11"/>
      <c r="GH265" s="11"/>
      <c r="GI265" s="11"/>
      <c r="GJ265" s="11"/>
      <c r="GK265" s="11"/>
      <c r="GL265" s="11"/>
      <c r="GM265" s="11"/>
      <c r="GN265" s="11"/>
      <c r="GO265" s="11"/>
      <c r="GP265" s="11"/>
      <c r="GQ265" s="11"/>
      <c r="GR265" s="11"/>
    </row>
    <row r="266" spans="2:200" x14ac:dyDescent="0.15"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P266" s="11"/>
      <c r="BQ266" s="11"/>
      <c r="BR266" s="11"/>
      <c r="BS266" s="11"/>
      <c r="BT266" s="11"/>
      <c r="BU266" s="11"/>
      <c r="BV266" s="11"/>
      <c r="BW266" s="11"/>
      <c r="BX266" s="11"/>
      <c r="BY266" s="11"/>
      <c r="BZ266" s="11"/>
      <c r="CA266" s="11"/>
      <c r="CB266" s="11"/>
      <c r="CC266" s="11"/>
      <c r="CD266" s="11"/>
      <c r="CE266" s="11"/>
      <c r="CF266" s="11"/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11"/>
      <c r="CW266" s="11"/>
      <c r="CX266" s="11"/>
      <c r="CY266" s="11"/>
      <c r="CZ266" s="11"/>
      <c r="DA266" s="11"/>
      <c r="DB266" s="11"/>
      <c r="DC266" s="11"/>
      <c r="DD266" s="11"/>
      <c r="DE266" s="11"/>
      <c r="DF266" s="11"/>
      <c r="DG266" s="11"/>
      <c r="DH266" s="11"/>
      <c r="DI266" s="11"/>
      <c r="DJ266" s="11"/>
      <c r="DK266" s="11"/>
      <c r="DL266" s="11"/>
      <c r="DM266" s="11"/>
      <c r="DN266" s="11"/>
      <c r="DO266" s="11"/>
      <c r="DP266" s="11"/>
      <c r="DQ266" s="11"/>
      <c r="DR266" s="11"/>
      <c r="DS266" s="11"/>
      <c r="DT266" s="11"/>
      <c r="DU266" s="11"/>
      <c r="DV266" s="11"/>
      <c r="DW266" s="11"/>
      <c r="DX266" s="11"/>
      <c r="DY266" s="11"/>
      <c r="DZ266" s="11"/>
      <c r="EA266" s="11"/>
      <c r="EB266" s="11"/>
      <c r="EC266" s="11"/>
      <c r="ED266" s="11"/>
      <c r="EE266" s="11"/>
      <c r="EF266" s="11"/>
      <c r="EG266" s="11"/>
      <c r="EH266" s="11"/>
      <c r="EI266" s="11"/>
      <c r="EJ266" s="11"/>
      <c r="EK266" s="11"/>
      <c r="EL266" s="11"/>
      <c r="EM266" s="11"/>
      <c r="EN266" s="11"/>
      <c r="EO266" s="11"/>
      <c r="EP266" s="11"/>
      <c r="EQ266" s="11"/>
      <c r="ER266" s="11"/>
      <c r="ES266" s="11"/>
      <c r="ET266" s="11"/>
      <c r="EU266" s="11"/>
      <c r="EV266" s="11"/>
      <c r="EW266" s="11"/>
      <c r="EX266" s="11"/>
      <c r="EY266" s="11"/>
      <c r="EZ266" s="11"/>
      <c r="FA266" s="11"/>
      <c r="FB266" s="11"/>
      <c r="FC266" s="11"/>
      <c r="FD266" s="11"/>
      <c r="FE266" s="11"/>
      <c r="FF266" s="11"/>
      <c r="FG266" s="11"/>
      <c r="FH266" s="11"/>
      <c r="FI266" s="11"/>
      <c r="FJ266" s="11"/>
      <c r="FK266" s="11"/>
      <c r="FL266" s="11"/>
      <c r="FM266" s="11"/>
      <c r="FN266" s="11"/>
      <c r="FO266" s="11"/>
      <c r="FP266" s="11"/>
      <c r="FQ266" s="11"/>
      <c r="FR266" s="11"/>
      <c r="FS266" s="11"/>
      <c r="FT266" s="11"/>
      <c r="FU266" s="11"/>
      <c r="FV266" s="11"/>
      <c r="FW266" s="11"/>
      <c r="FX266" s="11"/>
      <c r="FY266" s="11"/>
      <c r="FZ266" s="11"/>
      <c r="GA266" s="11"/>
      <c r="GB266" s="11"/>
      <c r="GC266" s="11"/>
      <c r="GD266" s="11"/>
      <c r="GE266" s="11"/>
      <c r="GF266" s="11"/>
      <c r="GG266" s="11"/>
      <c r="GH266" s="11"/>
      <c r="GI266" s="11"/>
      <c r="GJ266" s="11"/>
      <c r="GK266" s="11"/>
      <c r="GL266" s="11"/>
      <c r="GM266" s="11"/>
      <c r="GN266" s="11"/>
      <c r="GO266" s="11"/>
      <c r="GP266" s="11"/>
      <c r="GQ266" s="11"/>
      <c r="GR266" s="11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4E719-61E6-4C86-9B1F-07CFA38D719A}">
  <sheetPr codeName="Sheet14"/>
  <dimension ref="A1:AQ38"/>
  <sheetViews>
    <sheetView topLeftCell="A25" workbookViewId="0">
      <selection activeCell="A15" sqref="A15"/>
    </sheetView>
  </sheetViews>
  <sheetFormatPr defaultRowHeight="14.25" x14ac:dyDescent="0.15"/>
  <cols>
    <col min="1" max="12" width="9.140625" style="11"/>
    <col min="13" max="22" width="8.7109375" style="11" customWidth="1"/>
    <col min="23" max="16384" width="9.140625" style="11"/>
  </cols>
  <sheetData>
    <row r="1" spans="1:22" x14ac:dyDescent="0.15">
      <c r="A1" s="11">
        <v>1</v>
      </c>
      <c r="B1" s="11">
        <v>2</v>
      </c>
      <c r="C1" s="11">
        <v>3</v>
      </c>
      <c r="D1" s="11">
        <v>4</v>
      </c>
      <c r="E1" s="11">
        <v>5</v>
      </c>
      <c r="F1" s="11">
        <v>6</v>
      </c>
      <c r="G1" s="11">
        <v>7</v>
      </c>
      <c r="H1" s="11">
        <v>8</v>
      </c>
      <c r="I1" s="11">
        <v>9</v>
      </c>
      <c r="J1" s="11">
        <v>10</v>
      </c>
      <c r="K1" s="11">
        <v>11</v>
      </c>
      <c r="L1" s="11">
        <v>12</v>
      </c>
      <c r="M1" s="11">
        <v>13</v>
      </c>
      <c r="N1" s="11">
        <v>14</v>
      </c>
      <c r="O1" s="11">
        <v>15</v>
      </c>
      <c r="P1" s="11">
        <v>16</v>
      </c>
      <c r="Q1" s="11">
        <v>17</v>
      </c>
      <c r="R1" s="11">
        <v>18</v>
      </c>
      <c r="S1" s="11">
        <v>19</v>
      </c>
      <c r="T1" s="11">
        <v>20</v>
      </c>
      <c r="U1" s="11">
        <v>21</v>
      </c>
      <c r="V1" s="11">
        <v>22</v>
      </c>
    </row>
    <row r="2" spans="1:22" x14ac:dyDescent="0.15">
      <c r="E2" s="54" t="s">
        <v>24</v>
      </c>
      <c r="F2" s="54" t="s">
        <v>25</v>
      </c>
      <c r="J2" s="42" t="s">
        <v>138</v>
      </c>
      <c r="K2" s="11">
        <v>1</v>
      </c>
    </row>
    <row r="3" spans="1:22" x14ac:dyDescent="0.15">
      <c r="D3" s="54" t="s">
        <v>204</v>
      </c>
      <c r="E3" s="11">
        <v>1.5800000429153442</v>
      </c>
      <c r="F3" s="11">
        <v>2.0350000858306885</v>
      </c>
      <c r="H3" s="11" t="s">
        <v>196</v>
      </c>
      <c r="I3" s="11">
        <v>2.0249999999999999</v>
      </c>
      <c r="K3" s="11" t="s">
        <v>143</v>
      </c>
      <c r="L3" s="11">
        <v>1.5</v>
      </c>
    </row>
    <row r="4" spans="1:22" ht="15.75" x14ac:dyDescent="0.15">
      <c r="D4" s="42" t="s">
        <v>192</v>
      </c>
      <c r="E4" s="11">
        <v>3845</v>
      </c>
      <c r="F4" s="11">
        <v>3917</v>
      </c>
      <c r="H4" s="11" t="s">
        <v>197</v>
      </c>
      <c r="I4" s="11">
        <v>2.0249999999999999</v>
      </c>
      <c r="K4" s="11" t="s">
        <v>144</v>
      </c>
      <c r="L4" s="11">
        <v>1.5</v>
      </c>
      <c r="N4" s="45" t="s">
        <v>66</v>
      </c>
      <c r="O4" s="45" t="s">
        <v>67</v>
      </c>
      <c r="P4" s="45" t="s">
        <v>68</v>
      </c>
      <c r="Q4" s="45" t="s">
        <v>69</v>
      </c>
      <c r="R4" s="45" t="s">
        <v>70</v>
      </c>
      <c r="S4" s="45" t="s">
        <v>71</v>
      </c>
      <c r="T4" s="45" t="s">
        <v>72</v>
      </c>
      <c r="U4" s="45" t="s">
        <v>73</v>
      </c>
      <c r="V4" s="45" t="s">
        <v>74</v>
      </c>
    </row>
    <row r="5" spans="1:22" x14ac:dyDescent="0.15">
      <c r="D5" s="42" t="s">
        <v>203</v>
      </c>
      <c r="E5" s="11">
        <v>0.75400000810623169</v>
      </c>
      <c r="F5" s="11">
        <v>0.76800000667572021</v>
      </c>
      <c r="H5" s="11" t="s">
        <v>198</v>
      </c>
      <c r="K5" s="42" t="s">
        <v>136</v>
      </c>
      <c r="L5" s="11">
        <v>1.2390408515930176</v>
      </c>
      <c r="M5" s="11">
        <v>5</v>
      </c>
      <c r="N5" s="11">
        <v>1.76</v>
      </c>
      <c r="O5" s="11">
        <v>107.5</v>
      </c>
      <c r="P5" s="11">
        <v>0.26300000000000001</v>
      </c>
      <c r="Q5" s="11">
        <v>0.124</v>
      </c>
      <c r="R5" s="11">
        <v>2.1859999999999999</v>
      </c>
      <c r="S5" s="11">
        <v>1.181</v>
      </c>
      <c r="T5" s="11">
        <v>0.42599999999999999</v>
      </c>
      <c r="U5" s="11">
        <v>1.1160000562667847</v>
      </c>
      <c r="V5" s="11">
        <v>0.37200000882148743</v>
      </c>
    </row>
    <row r="6" spans="1:22" x14ac:dyDescent="0.15">
      <c r="D6" s="54" t="s">
        <v>202</v>
      </c>
      <c r="E6" s="11">
        <v>24088</v>
      </c>
      <c r="F6" s="11">
        <v>17532</v>
      </c>
      <c r="H6" s="11" t="s">
        <v>199</v>
      </c>
      <c r="J6" s="55"/>
      <c r="K6" s="42" t="s">
        <v>137</v>
      </c>
      <c r="L6" s="11">
        <v>1.3870823383331299</v>
      </c>
    </row>
    <row r="7" spans="1:22" x14ac:dyDescent="0.15">
      <c r="D7" s="54" t="s">
        <v>200</v>
      </c>
      <c r="E7" s="11">
        <v>18553</v>
      </c>
      <c r="F7" s="11">
        <v>12984</v>
      </c>
      <c r="J7" s="55"/>
    </row>
    <row r="8" spans="1:22" x14ac:dyDescent="0.15">
      <c r="D8" s="54" t="s">
        <v>201</v>
      </c>
      <c r="E8" s="11">
        <v>1.2979999780654907</v>
      </c>
      <c r="F8" s="11">
        <v>1.3500000238418579</v>
      </c>
      <c r="J8" s="55"/>
      <c r="O8" s="42"/>
      <c r="P8" s="42" t="s">
        <v>133</v>
      </c>
      <c r="Q8" s="11" t="s">
        <v>140</v>
      </c>
      <c r="S8" s="11">
        <v>1.5</v>
      </c>
    </row>
    <row r="9" spans="1:22" x14ac:dyDescent="0.15">
      <c r="D9" s="54" t="s">
        <v>178</v>
      </c>
      <c r="J9" s="55"/>
      <c r="O9" s="42"/>
      <c r="P9" s="42" t="s">
        <v>134</v>
      </c>
      <c r="Q9" s="11" t="s">
        <v>141</v>
      </c>
      <c r="S9" s="11">
        <v>1.5</v>
      </c>
    </row>
    <row r="10" spans="1:22" x14ac:dyDescent="0.15">
      <c r="O10" s="42"/>
      <c r="P10" s="42" t="s">
        <v>139</v>
      </c>
      <c r="Q10" s="11">
        <v>2.1859999999999999</v>
      </c>
      <c r="S10" s="11">
        <v>1.5</v>
      </c>
    </row>
    <row r="11" spans="1:22" x14ac:dyDescent="0.15">
      <c r="J11" s="55"/>
      <c r="O11" s="42"/>
      <c r="P11" s="42" t="s">
        <v>135</v>
      </c>
      <c r="Q11" s="11" t="s">
        <v>142</v>
      </c>
      <c r="S11" s="11">
        <v>1.35</v>
      </c>
    </row>
    <row r="12" spans="1:22" x14ac:dyDescent="0.15">
      <c r="B12" s="11" t="s">
        <v>19</v>
      </c>
      <c r="C12" s="11" t="s">
        <v>145</v>
      </c>
      <c r="D12" s="11" t="s">
        <v>146</v>
      </c>
      <c r="E12" s="11" t="s">
        <v>5</v>
      </c>
      <c r="F12" s="11" t="s">
        <v>150</v>
      </c>
      <c r="G12" s="11" t="s">
        <v>173</v>
      </c>
      <c r="H12" s="11" t="s">
        <v>179</v>
      </c>
      <c r="I12" s="11" t="s">
        <v>148</v>
      </c>
      <c r="O12" s="42"/>
    </row>
    <row r="13" spans="1:22" x14ac:dyDescent="0.15">
      <c r="J13" s="55"/>
      <c r="O13" s="42"/>
    </row>
    <row r="14" spans="1:22" x14ac:dyDescent="0.15">
      <c r="B14" s="11">
        <v>11</v>
      </c>
      <c r="C14" s="11">
        <v>1</v>
      </c>
      <c r="D14" s="11">
        <v>1</v>
      </c>
      <c r="E14" s="11">
        <v>251</v>
      </c>
      <c r="F14" s="11">
        <v>3.372999906539917</v>
      </c>
      <c r="G14" s="11">
        <v>2.5429999828338623</v>
      </c>
      <c r="H14" s="11">
        <v>3080</v>
      </c>
      <c r="I14" s="11">
        <v>3080</v>
      </c>
      <c r="J14" s="55"/>
      <c r="O14" s="22" t="s">
        <v>0</v>
      </c>
      <c r="P14" s="11" t="s">
        <v>113</v>
      </c>
      <c r="R14" s="11" t="s">
        <v>114</v>
      </c>
    </row>
    <row r="15" spans="1:22" x14ac:dyDescent="0.15">
      <c r="B15" s="11">
        <v>10</v>
      </c>
      <c r="C15" s="11">
        <v>1</v>
      </c>
      <c r="D15" s="11">
        <v>1</v>
      </c>
      <c r="E15" s="11">
        <v>640</v>
      </c>
      <c r="F15" s="11">
        <v>1.7130000591278076</v>
      </c>
      <c r="G15" s="11">
        <v>1.2910000085830688</v>
      </c>
      <c r="H15" s="11">
        <v>3988</v>
      </c>
      <c r="I15" s="11">
        <v>7068</v>
      </c>
      <c r="J15" s="55"/>
      <c r="O15" s="22">
        <v>1</v>
      </c>
      <c r="P15" s="11" t="s">
        <v>115</v>
      </c>
      <c r="R15" s="11">
        <v>0.8</v>
      </c>
    </row>
    <row r="16" spans="1:22" x14ac:dyDescent="0.15">
      <c r="B16" s="11">
        <v>9</v>
      </c>
      <c r="C16" s="11">
        <v>1</v>
      </c>
      <c r="D16" s="11">
        <v>1</v>
      </c>
      <c r="E16" s="11">
        <v>454</v>
      </c>
      <c r="F16" s="11">
        <v>1.3380000591278076</v>
      </c>
      <c r="G16" s="11">
        <v>1.0089999437332153</v>
      </c>
      <c r="H16" s="11">
        <v>2210</v>
      </c>
      <c r="I16" s="11">
        <v>9277</v>
      </c>
      <c r="J16" s="55"/>
      <c r="O16" s="22">
        <v>2</v>
      </c>
      <c r="P16" s="11" t="s">
        <v>116</v>
      </c>
      <c r="R16" s="11">
        <v>0.85</v>
      </c>
    </row>
    <row r="17" spans="2:43" x14ac:dyDescent="0.15">
      <c r="B17" s="11">
        <v>8</v>
      </c>
      <c r="C17" s="11">
        <v>1</v>
      </c>
      <c r="D17" s="11">
        <v>1</v>
      </c>
      <c r="E17" s="11">
        <v>455</v>
      </c>
      <c r="F17" s="11">
        <v>1.1519999504089355</v>
      </c>
      <c r="G17" s="11">
        <v>0.86900001764297485</v>
      </c>
      <c r="H17" s="11">
        <v>1907</v>
      </c>
      <c r="I17" s="11">
        <v>11185</v>
      </c>
      <c r="O17" s="22">
        <v>3</v>
      </c>
      <c r="P17" s="11" t="s">
        <v>117</v>
      </c>
      <c r="R17" s="11">
        <v>0.9</v>
      </c>
    </row>
    <row r="18" spans="2:43" x14ac:dyDescent="0.15">
      <c r="B18" s="11">
        <v>7</v>
      </c>
      <c r="C18" s="11">
        <v>1</v>
      </c>
      <c r="D18" s="11">
        <v>1</v>
      </c>
      <c r="E18" s="11">
        <v>460</v>
      </c>
      <c r="F18" s="11">
        <v>0.99900001287460327</v>
      </c>
      <c r="G18" s="11">
        <v>0.75300002098083496</v>
      </c>
      <c r="H18" s="11">
        <v>1671</v>
      </c>
      <c r="I18" s="11">
        <v>12856</v>
      </c>
      <c r="O18" s="22">
        <v>4</v>
      </c>
      <c r="P18" s="11" t="s">
        <v>118</v>
      </c>
      <c r="R18" s="11">
        <v>0.95</v>
      </c>
    </row>
    <row r="19" spans="2:43" x14ac:dyDescent="0.15">
      <c r="B19" s="11">
        <v>6</v>
      </c>
      <c r="C19" s="11">
        <v>1</v>
      </c>
      <c r="D19" s="11">
        <v>1</v>
      </c>
      <c r="E19" s="11">
        <v>467</v>
      </c>
      <c r="F19" s="11">
        <v>0.86100000143051147</v>
      </c>
      <c r="G19" s="11">
        <v>0.64899998903274536</v>
      </c>
      <c r="H19" s="11">
        <v>1462</v>
      </c>
      <c r="I19" s="11">
        <v>14318</v>
      </c>
      <c r="O19" s="22" t="s">
        <v>112</v>
      </c>
      <c r="P19" s="11">
        <v>1</v>
      </c>
      <c r="R19" s="11">
        <v>1</v>
      </c>
    </row>
    <row r="20" spans="2:43" x14ac:dyDescent="0.15">
      <c r="B20" s="11">
        <v>5</v>
      </c>
      <c r="C20" s="11">
        <v>1</v>
      </c>
      <c r="D20" s="11">
        <v>1</v>
      </c>
      <c r="E20" s="11">
        <v>469</v>
      </c>
      <c r="F20" s="11">
        <v>0.73100000619888306</v>
      </c>
      <c r="G20" s="11">
        <v>0.55099999904632568</v>
      </c>
      <c r="H20" s="11">
        <v>1248</v>
      </c>
      <c r="I20" s="56">
        <v>15566</v>
      </c>
      <c r="AQ20" s="11">
        <v>1</v>
      </c>
    </row>
    <row r="21" spans="2:43" x14ac:dyDescent="0.15">
      <c r="B21" s="11">
        <v>4</v>
      </c>
      <c r="C21" s="11">
        <v>1</v>
      </c>
      <c r="D21" s="11">
        <v>1</v>
      </c>
      <c r="E21" s="11">
        <v>471</v>
      </c>
      <c r="F21" s="11">
        <v>0.60799998044967651</v>
      </c>
      <c r="G21" s="11">
        <v>0.45899999141693115</v>
      </c>
      <c r="H21" s="11">
        <v>1042</v>
      </c>
      <c r="I21" s="56">
        <v>16608</v>
      </c>
      <c r="K21" s="56"/>
      <c r="O21" s="42" t="s">
        <v>119</v>
      </c>
      <c r="P21" s="11" t="s">
        <v>120</v>
      </c>
      <c r="Q21" s="11" t="s">
        <v>122</v>
      </c>
      <c r="AQ21" s="11">
        <v>1</v>
      </c>
    </row>
    <row r="22" spans="2:43" x14ac:dyDescent="0.15">
      <c r="B22" s="11">
        <v>3</v>
      </c>
      <c r="C22" s="11">
        <v>1</v>
      </c>
      <c r="D22" s="11">
        <v>1</v>
      </c>
      <c r="E22" s="11">
        <v>475</v>
      </c>
      <c r="F22" s="11">
        <v>0.48899999260902405</v>
      </c>
      <c r="G22" s="11">
        <v>0.36899998784065247</v>
      </c>
      <c r="H22" s="11">
        <v>846</v>
      </c>
      <c r="I22" s="56">
        <v>17454</v>
      </c>
      <c r="K22" s="56"/>
      <c r="P22" s="11" t="s">
        <v>121</v>
      </c>
      <c r="Q22" s="11">
        <v>1</v>
      </c>
      <c r="AQ22" s="11">
        <v>1</v>
      </c>
    </row>
    <row r="23" spans="2:43" x14ac:dyDescent="0.15">
      <c r="B23" s="11">
        <v>2</v>
      </c>
      <c r="C23" s="11">
        <v>1</v>
      </c>
      <c r="D23" s="11">
        <v>1</v>
      </c>
      <c r="E23" s="11">
        <v>477</v>
      </c>
      <c r="F23" s="11">
        <v>0.37299999594688416</v>
      </c>
      <c r="G23" s="11">
        <v>0.28099998831748962</v>
      </c>
      <c r="H23" s="11">
        <v>647</v>
      </c>
      <c r="I23" s="56">
        <v>18101</v>
      </c>
      <c r="K23" s="56"/>
      <c r="AQ23" s="11">
        <v>1</v>
      </c>
    </row>
    <row r="24" spans="2:43" x14ac:dyDescent="0.15">
      <c r="B24" s="11">
        <v>1</v>
      </c>
      <c r="C24" s="11">
        <v>1</v>
      </c>
      <c r="D24" s="11">
        <v>1</v>
      </c>
      <c r="E24" s="11">
        <v>481</v>
      </c>
      <c r="F24" s="11">
        <v>0.25799998641014099</v>
      </c>
      <c r="G24" s="11">
        <v>0.19499999284744263</v>
      </c>
      <c r="H24" s="11">
        <v>452</v>
      </c>
      <c r="I24" s="56">
        <v>18553</v>
      </c>
      <c r="K24" s="56"/>
      <c r="O24" s="11" t="s">
        <v>105</v>
      </c>
      <c r="Q24" s="11" t="s">
        <v>108</v>
      </c>
      <c r="AQ24" s="11">
        <v>1</v>
      </c>
    </row>
    <row r="25" spans="2:43" x14ac:dyDescent="0.15">
      <c r="E25" s="11">
        <v>5100</v>
      </c>
      <c r="I25" s="56"/>
      <c r="K25" s="56"/>
      <c r="O25" s="11" t="s">
        <v>106</v>
      </c>
      <c r="Q25" s="11" t="s">
        <v>109</v>
      </c>
      <c r="AQ25" s="11">
        <v>1</v>
      </c>
    </row>
    <row r="26" spans="2:43" x14ac:dyDescent="0.15">
      <c r="B26" s="11" t="s">
        <v>19</v>
      </c>
      <c r="C26" s="11" t="s">
        <v>145</v>
      </c>
      <c r="D26" s="11" t="s">
        <v>146</v>
      </c>
      <c r="E26" s="11" t="s">
        <v>5</v>
      </c>
      <c r="F26" s="11" t="s">
        <v>150</v>
      </c>
      <c r="G26" s="11" t="s">
        <v>173</v>
      </c>
      <c r="H26" s="11" t="s">
        <v>174</v>
      </c>
      <c r="I26" s="56" t="s">
        <v>195</v>
      </c>
      <c r="K26" s="56"/>
      <c r="O26" s="11" t="s">
        <v>107</v>
      </c>
      <c r="Q26" s="11" t="s">
        <v>110</v>
      </c>
      <c r="AQ26" s="11">
        <v>1</v>
      </c>
    </row>
    <row r="27" spans="2:43" x14ac:dyDescent="0.15">
      <c r="I27" s="56"/>
      <c r="K27" s="56"/>
      <c r="AQ27" s="11">
        <v>1</v>
      </c>
    </row>
    <row r="28" spans="2:43" x14ac:dyDescent="0.15">
      <c r="B28" s="11">
        <v>11</v>
      </c>
      <c r="C28" s="11">
        <v>1</v>
      </c>
      <c r="D28" s="11">
        <v>1</v>
      </c>
      <c r="E28" s="11">
        <v>251</v>
      </c>
      <c r="F28" s="11">
        <v>3.372999906539917</v>
      </c>
      <c r="G28" s="11">
        <v>2.5910000801086426</v>
      </c>
      <c r="H28" s="11">
        <v>2155</v>
      </c>
      <c r="I28" s="56">
        <v>2155</v>
      </c>
      <c r="K28" s="56"/>
      <c r="Z28" s="42"/>
      <c r="AA28" s="43"/>
      <c r="AQ28" s="11">
        <v>1</v>
      </c>
    </row>
    <row r="29" spans="2:43" x14ac:dyDescent="0.15">
      <c r="B29" s="11">
        <v>10</v>
      </c>
      <c r="C29" s="11">
        <v>1</v>
      </c>
      <c r="D29" s="11">
        <v>1</v>
      </c>
      <c r="E29" s="11">
        <v>640</v>
      </c>
      <c r="F29" s="11">
        <v>1.7130000591278076</v>
      </c>
      <c r="G29" s="11">
        <v>1.315000057220459</v>
      </c>
      <c r="H29" s="11">
        <v>2791</v>
      </c>
      <c r="I29" s="56">
        <v>4946</v>
      </c>
      <c r="K29" s="56"/>
      <c r="Z29" s="42"/>
      <c r="AA29" s="43"/>
      <c r="AQ29" s="11">
        <v>1</v>
      </c>
    </row>
    <row r="30" spans="2:43" x14ac:dyDescent="0.15">
      <c r="B30" s="11">
        <v>9</v>
      </c>
      <c r="C30" s="11">
        <v>1</v>
      </c>
      <c r="D30" s="11">
        <v>1</v>
      </c>
      <c r="E30" s="11">
        <v>454</v>
      </c>
      <c r="F30" s="11">
        <v>1.3380000591278076</v>
      </c>
      <c r="G30" s="11">
        <v>1.0279999971389771</v>
      </c>
      <c r="H30" s="11">
        <v>1546</v>
      </c>
      <c r="I30" s="56">
        <v>6492</v>
      </c>
      <c r="J30" s="44"/>
      <c r="K30" s="56"/>
      <c r="Z30" s="42"/>
      <c r="AA30" s="43"/>
      <c r="AQ30" s="11">
        <v>1</v>
      </c>
    </row>
    <row r="31" spans="2:43" x14ac:dyDescent="0.15">
      <c r="B31" s="11">
        <v>8</v>
      </c>
      <c r="C31" s="11">
        <v>1</v>
      </c>
      <c r="D31" s="11">
        <v>1</v>
      </c>
      <c r="E31" s="11">
        <v>455</v>
      </c>
      <c r="F31" s="11">
        <v>1.1519999504089355</v>
      </c>
      <c r="G31" s="11">
        <v>0.88499999046325684</v>
      </c>
      <c r="H31" s="11">
        <v>1335</v>
      </c>
      <c r="I31" s="11">
        <v>7827</v>
      </c>
      <c r="Z31" s="42"/>
      <c r="AA31" s="43"/>
    </row>
    <row r="32" spans="2:43" x14ac:dyDescent="0.15">
      <c r="B32" s="11">
        <v>7</v>
      </c>
      <c r="C32" s="11">
        <v>1</v>
      </c>
      <c r="D32" s="11">
        <v>1</v>
      </c>
      <c r="E32" s="11">
        <v>460</v>
      </c>
      <c r="F32" s="11">
        <v>0.99900001287460327</v>
      </c>
      <c r="G32" s="11">
        <v>0.76700001955032349</v>
      </c>
      <c r="H32" s="11">
        <v>1170</v>
      </c>
      <c r="I32" s="11">
        <v>8997</v>
      </c>
    </row>
    <row r="33" spans="2:9" x14ac:dyDescent="0.15">
      <c r="B33" s="11">
        <v>6</v>
      </c>
      <c r="C33" s="11">
        <v>1</v>
      </c>
      <c r="D33" s="11">
        <v>1</v>
      </c>
      <c r="E33" s="11">
        <v>467</v>
      </c>
      <c r="F33" s="11">
        <v>0.86100000143051147</v>
      </c>
      <c r="G33" s="11">
        <v>0.66100001335144043</v>
      </c>
      <c r="H33" s="11">
        <v>1023</v>
      </c>
      <c r="I33" s="11">
        <v>10020</v>
      </c>
    </row>
    <row r="34" spans="2:9" x14ac:dyDescent="0.15">
      <c r="B34" s="11">
        <v>5</v>
      </c>
      <c r="C34" s="11">
        <v>1</v>
      </c>
      <c r="D34" s="11">
        <v>1</v>
      </c>
      <c r="E34" s="11">
        <v>469</v>
      </c>
      <c r="F34" s="11">
        <v>0.73100000619888306</v>
      </c>
      <c r="G34" s="11">
        <v>0.56199997663497925</v>
      </c>
      <c r="H34" s="11">
        <v>873</v>
      </c>
      <c r="I34" s="11">
        <v>10893</v>
      </c>
    </row>
    <row r="35" spans="2:9" x14ac:dyDescent="0.15">
      <c r="B35" s="11">
        <v>4</v>
      </c>
      <c r="C35" s="11">
        <v>1</v>
      </c>
      <c r="D35" s="11">
        <v>1</v>
      </c>
      <c r="E35" s="11">
        <v>471</v>
      </c>
      <c r="F35" s="11">
        <v>0.60799998044967651</v>
      </c>
      <c r="G35" s="11">
        <v>0.46700000762939453</v>
      </c>
      <c r="H35" s="11">
        <v>729</v>
      </c>
      <c r="I35" s="11">
        <v>11623</v>
      </c>
    </row>
    <row r="36" spans="2:9" x14ac:dyDescent="0.15">
      <c r="B36" s="11">
        <v>3</v>
      </c>
      <c r="C36" s="11">
        <v>1</v>
      </c>
      <c r="D36" s="11">
        <v>1</v>
      </c>
      <c r="E36" s="11">
        <v>475</v>
      </c>
      <c r="F36" s="11">
        <v>0.48899999260902405</v>
      </c>
      <c r="G36" s="11">
        <v>0.37599998712539673</v>
      </c>
      <c r="H36" s="11">
        <v>592</v>
      </c>
      <c r="I36" s="11">
        <v>12214</v>
      </c>
    </row>
    <row r="37" spans="2:9" x14ac:dyDescent="0.15">
      <c r="B37" s="11">
        <v>2</v>
      </c>
      <c r="C37" s="11">
        <v>1</v>
      </c>
      <c r="D37" s="11">
        <v>1</v>
      </c>
      <c r="E37" s="11">
        <v>477</v>
      </c>
      <c r="F37" s="11">
        <v>0.37299999594688416</v>
      </c>
      <c r="G37" s="11">
        <v>0.28600001335144043</v>
      </c>
      <c r="H37" s="11">
        <v>453</v>
      </c>
      <c r="I37" s="11">
        <v>12667</v>
      </c>
    </row>
    <row r="38" spans="2:9" x14ac:dyDescent="0.15">
      <c r="B38" s="11">
        <v>1</v>
      </c>
      <c r="C38" s="11">
        <v>1</v>
      </c>
      <c r="D38" s="11">
        <v>1</v>
      </c>
      <c r="E38" s="11">
        <v>481</v>
      </c>
      <c r="F38" s="11">
        <v>0.25799998641014099</v>
      </c>
      <c r="G38" s="11">
        <v>0.19799999892711639</v>
      </c>
      <c r="H38" s="11">
        <v>316</v>
      </c>
      <c r="I38" s="11">
        <v>12984</v>
      </c>
    </row>
  </sheetData>
  <phoneticPr fontId="2"/>
  <pageMargins left="0.25" right="0.25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9A9FD-1CBA-4D88-9F5A-F61DB97C7B40}">
  <sheetPr codeName="Sheet7"/>
  <dimension ref="A1:GR250"/>
  <sheetViews>
    <sheetView zoomScaleNormal="100" workbookViewId="0">
      <selection activeCell="I6" sqref="I6"/>
    </sheetView>
  </sheetViews>
  <sheetFormatPr defaultColWidth="17.85546875" defaultRowHeight="14.25" x14ac:dyDescent="0.15"/>
  <cols>
    <col min="1" max="1" width="5.28515625" style="65" customWidth="1"/>
    <col min="2" max="3" width="9.85546875" style="65" customWidth="1"/>
    <col min="4" max="4" width="11" style="65" customWidth="1"/>
    <col min="5" max="8" width="9.85546875" style="65" customWidth="1"/>
    <col min="9" max="17" width="8.7109375" style="65" customWidth="1"/>
    <col min="18" max="18" width="11" style="65" customWidth="1"/>
    <col min="19" max="19" width="17.42578125" style="65" customWidth="1"/>
    <col min="20" max="54" width="11" style="65" customWidth="1"/>
    <col min="55" max="256" width="17.85546875" style="65"/>
    <col min="257" max="257" width="5.28515625" style="65" customWidth="1"/>
    <col min="258" max="310" width="11" style="65" customWidth="1"/>
    <col min="311" max="512" width="17.85546875" style="65"/>
    <col min="513" max="513" width="5.28515625" style="65" customWidth="1"/>
    <col min="514" max="566" width="11" style="65" customWidth="1"/>
    <col min="567" max="768" width="17.85546875" style="65"/>
    <col min="769" max="769" width="5.28515625" style="65" customWidth="1"/>
    <col min="770" max="822" width="11" style="65" customWidth="1"/>
    <col min="823" max="1024" width="17.85546875" style="65"/>
    <col min="1025" max="1025" width="5.28515625" style="65" customWidth="1"/>
    <col min="1026" max="1078" width="11" style="65" customWidth="1"/>
    <col min="1079" max="1280" width="17.85546875" style="65"/>
    <col min="1281" max="1281" width="5.28515625" style="65" customWidth="1"/>
    <col min="1282" max="1334" width="11" style="65" customWidth="1"/>
    <col min="1335" max="1536" width="17.85546875" style="65"/>
    <col min="1537" max="1537" width="5.28515625" style="65" customWidth="1"/>
    <col min="1538" max="1590" width="11" style="65" customWidth="1"/>
    <col min="1591" max="1792" width="17.85546875" style="65"/>
    <col min="1793" max="1793" width="5.28515625" style="65" customWidth="1"/>
    <col min="1794" max="1846" width="11" style="65" customWidth="1"/>
    <col min="1847" max="2048" width="17.85546875" style="65"/>
    <col min="2049" max="2049" width="5.28515625" style="65" customWidth="1"/>
    <col min="2050" max="2102" width="11" style="65" customWidth="1"/>
    <col min="2103" max="2304" width="17.85546875" style="65"/>
    <col min="2305" max="2305" width="5.28515625" style="65" customWidth="1"/>
    <col min="2306" max="2358" width="11" style="65" customWidth="1"/>
    <col min="2359" max="2560" width="17.85546875" style="65"/>
    <col min="2561" max="2561" width="5.28515625" style="65" customWidth="1"/>
    <col min="2562" max="2614" width="11" style="65" customWidth="1"/>
    <col min="2615" max="2816" width="17.85546875" style="65"/>
    <col min="2817" max="2817" width="5.28515625" style="65" customWidth="1"/>
    <col min="2818" max="2870" width="11" style="65" customWidth="1"/>
    <col min="2871" max="3072" width="17.85546875" style="65"/>
    <col min="3073" max="3073" width="5.28515625" style="65" customWidth="1"/>
    <col min="3074" max="3126" width="11" style="65" customWidth="1"/>
    <col min="3127" max="3328" width="17.85546875" style="65"/>
    <col min="3329" max="3329" width="5.28515625" style="65" customWidth="1"/>
    <col min="3330" max="3382" width="11" style="65" customWidth="1"/>
    <col min="3383" max="3584" width="17.85546875" style="65"/>
    <col min="3585" max="3585" width="5.28515625" style="65" customWidth="1"/>
    <col min="3586" max="3638" width="11" style="65" customWidth="1"/>
    <col min="3639" max="3840" width="17.85546875" style="65"/>
    <col min="3841" max="3841" width="5.28515625" style="65" customWidth="1"/>
    <col min="3842" max="3894" width="11" style="65" customWidth="1"/>
    <col min="3895" max="4096" width="17.85546875" style="65"/>
    <col min="4097" max="4097" width="5.28515625" style="65" customWidth="1"/>
    <col min="4098" max="4150" width="11" style="65" customWidth="1"/>
    <col min="4151" max="4352" width="17.85546875" style="65"/>
    <col min="4353" max="4353" width="5.28515625" style="65" customWidth="1"/>
    <col min="4354" max="4406" width="11" style="65" customWidth="1"/>
    <col min="4407" max="4608" width="17.85546875" style="65"/>
    <col min="4609" max="4609" width="5.28515625" style="65" customWidth="1"/>
    <col min="4610" max="4662" width="11" style="65" customWidth="1"/>
    <col min="4663" max="4864" width="17.85546875" style="65"/>
    <col min="4865" max="4865" width="5.28515625" style="65" customWidth="1"/>
    <col min="4866" max="4918" width="11" style="65" customWidth="1"/>
    <col min="4919" max="5120" width="17.85546875" style="65"/>
    <col min="5121" max="5121" width="5.28515625" style="65" customWidth="1"/>
    <col min="5122" max="5174" width="11" style="65" customWidth="1"/>
    <col min="5175" max="5376" width="17.85546875" style="65"/>
    <col min="5377" max="5377" width="5.28515625" style="65" customWidth="1"/>
    <col min="5378" max="5430" width="11" style="65" customWidth="1"/>
    <col min="5431" max="5632" width="17.85546875" style="65"/>
    <col min="5633" max="5633" width="5.28515625" style="65" customWidth="1"/>
    <col min="5634" max="5686" width="11" style="65" customWidth="1"/>
    <col min="5687" max="5888" width="17.85546875" style="65"/>
    <col min="5889" max="5889" width="5.28515625" style="65" customWidth="1"/>
    <col min="5890" max="5942" width="11" style="65" customWidth="1"/>
    <col min="5943" max="6144" width="17.85546875" style="65"/>
    <col min="6145" max="6145" width="5.28515625" style="65" customWidth="1"/>
    <col min="6146" max="6198" width="11" style="65" customWidth="1"/>
    <col min="6199" max="6400" width="17.85546875" style="65"/>
    <col min="6401" max="6401" width="5.28515625" style="65" customWidth="1"/>
    <col min="6402" max="6454" width="11" style="65" customWidth="1"/>
    <col min="6455" max="6656" width="17.85546875" style="65"/>
    <col min="6657" max="6657" width="5.28515625" style="65" customWidth="1"/>
    <col min="6658" max="6710" width="11" style="65" customWidth="1"/>
    <col min="6711" max="6912" width="17.85546875" style="65"/>
    <col min="6913" max="6913" width="5.28515625" style="65" customWidth="1"/>
    <col min="6914" max="6966" width="11" style="65" customWidth="1"/>
    <col min="6967" max="7168" width="17.85546875" style="65"/>
    <col min="7169" max="7169" width="5.28515625" style="65" customWidth="1"/>
    <col min="7170" max="7222" width="11" style="65" customWidth="1"/>
    <col min="7223" max="7424" width="17.85546875" style="65"/>
    <col min="7425" max="7425" width="5.28515625" style="65" customWidth="1"/>
    <col min="7426" max="7478" width="11" style="65" customWidth="1"/>
    <col min="7479" max="7680" width="17.85546875" style="65"/>
    <col min="7681" max="7681" width="5.28515625" style="65" customWidth="1"/>
    <col min="7682" max="7734" width="11" style="65" customWidth="1"/>
    <col min="7735" max="7936" width="17.85546875" style="65"/>
    <col min="7937" max="7937" width="5.28515625" style="65" customWidth="1"/>
    <col min="7938" max="7990" width="11" style="65" customWidth="1"/>
    <col min="7991" max="8192" width="17.85546875" style="65"/>
    <col min="8193" max="8193" width="5.28515625" style="65" customWidth="1"/>
    <col min="8194" max="8246" width="11" style="65" customWidth="1"/>
    <col min="8247" max="8448" width="17.85546875" style="65"/>
    <col min="8449" max="8449" width="5.28515625" style="65" customWidth="1"/>
    <col min="8450" max="8502" width="11" style="65" customWidth="1"/>
    <col min="8503" max="8704" width="17.85546875" style="65"/>
    <col min="8705" max="8705" width="5.28515625" style="65" customWidth="1"/>
    <col min="8706" max="8758" width="11" style="65" customWidth="1"/>
    <col min="8759" max="8960" width="17.85546875" style="65"/>
    <col min="8961" max="8961" width="5.28515625" style="65" customWidth="1"/>
    <col min="8962" max="9014" width="11" style="65" customWidth="1"/>
    <col min="9015" max="9216" width="17.85546875" style="65"/>
    <col min="9217" max="9217" width="5.28515625" style="65" customWidth="1"/>
    <col min="9218" max="9270" width="11" style="65" customWidth="1"/>
    <col min="9271" max="9472" width="17.85546875" style="65"/>
    <col min="9473" max="9473" width="5.28515625" style="65" customWidth="1"/>
    <col min="9474" max="9526" width="11" style="65" customWidth="1"/>
    <col min="9527" max="9728" width="17.85546875" style="65"/>
    <col min="9729" max="9729" width="5.28515625" style="65" customWidth="1"/>
    <col min="9730" max="9782" width="11" style="65" customWidth="1"/>
    <col min="9783" max="9984" width="17.85546875" style="65"/>
    <col min="9985" max="9985" width="5.28515625" style="65" customWidth="1"/>
    <col min="9986" max="10038" width="11" style="65" customWidth="1"/>
    <col min="10039" max="10240" width="17.85546875" style="65"/>
    <col min="10241" max="10241" width="5.28515625" style="65" customWidth="1"/>
    <col min="10242" max="10294" width="11" style="65" customWidth="1"/>
    <col min="10295" max="10496" width="17.85546875" style="65"/>
    <col min="10497" max="10497" width="5.28515625" style="65" customWidth="1"/>
    <col min="10498" max="10550" width="11" style="65" customWidth="1"/>
    <col min="10551" max="10752" width="17.85546875" style="65"/>
    <col min="10753" max="10753" width="5.28515625" style="65" customWidth="1"/>
    <col min="10754" max="10806" width="11" style="65" customWidth="1"/>
    <col min="10807" max="11008" width="17.85546875" style="65"/>
    <col min="11009" max="11009" width="5.28515625" style="65" customWidth="1"/>
    <col min="11010" max="11062" width="11" style="65" customWidth="1"/>
    <col min="11063" max="11264" width="17.85546875" style="65"/>
    <col min="11265" max="11265" width="5.28515625" style="65" customWidth="1"/>
    <col min="11266" max="11318" width="11" style="65" customWidth="1"/>
    <col min="11319" max="11520" width="17.85546875" style="65"/>
    <col min="11521" max="11521" width="5.28515625" style="65" customWidth="1"/>
    <col min="11522" max="11574" width="11" style="65" customWidth="1"/>
    <col min="11575" max="11776" width="17.85546875" style="65"/>
    <col min="11777" max="11777" width="5.28515625" style="65" customWidth="1"/>
    <col min="11778" max="11830" width="11" style="65" customWidth="1"/>
    <col min="11831" max="12032" width="17.85546875" style="65"/>
    <col min="12033" max="12033" width="5.28515625" style="65" customWidth="1"/>
    <col min="12034" max="12086" width="11" style="65" customWidth="1"/>
    <col min="12087" max="12288" width="17.85546875" style="65"/>
    <col min="12289" max="12289" width="5.28515625" style="65" customWidth="1"/>
    <col min="12290" max="12342" width="11" style="65" customWidth="1"/>
    <col min="12343" max="12544" width="17.85546875" style="65"/>
    <col min="12545" max="12545" width="5.28515625" style="65" customWidth="1"/>
    <col min="12546" max="12598" width="11" style="65" customWidth="1"/>
    <col min="12599" max="12800" width="17.85546875" style="65"/>
    <col min="12801" max="12801" width="5.28515625" style="65" customWidth="1"/>
    <col min="12802" max="12854" width="11" style="65" customWidth="1"/>
    <col min="12855" max="13056" width="17.85546875" style="65"/>
    <col min="13057" max="13057" width="5.28515625" style="65" customWidth="1"/>
    <col min="13058" max="13110" width="11" style="65" customWidth="1"/>
    <col min="13111" max="13312" width="17.85546875" style="65"/>
    <col min="13313" max="13313" width="5.28515625" style="65" customWidth="1"/>
    <col min="13314" max="13366" width="11" style="65" customWidth="1"/>
    <col min="13367" max="13568" width="17.85546875" style="65"/>
    <col min="13569" max="13569" width="5.28515625" style="65" customWidth="1"/>
    <col min="13570" max="13622" width="11" style="65" customWidth="1"/>
    <col min="13623" max="13824" width="17.85546875" style="65"/>
    <col min="13825" max="13825" width="5.28515625" style="65" customWidth="1"/>
    <col min="13826" max="13878" width="11" style="65" customWidth="1"/>
    <col min="13879" max="14080" width="17.85546875" style="65"/>
    <col min="14081" max="14081" width="5.28515625" style="65" customWidth="1"/>
    <col min="14082" max="14134" width="11" style="65" customWidth="1"/>
    <col min="14135" max="14336" width="17.85546875" style="65"/>
    <col min="14337" max="14337" width="5.28515625" style="65" customWidth="1"/>
    <col min="14338" max="14390" width="11" style="65" customWidth="1"/>
    <col min="14391" max="14592" width="17.85546875" style="65"/>
    <col min="14593" max="14593" width="5.28515625" style="65" customWidth="1"/>
    <col min="14594" max="14646" width="11" style="65" customWidth="1"/>
    <col min="14647" max="14848" width="17.85546875" style="65"/>
    <col min="14849" max="14849" width="5.28515625" style="65" customWidth="1"/>
    <col min="14850" max="14902" width="11" style="65" customWidth="1"/>
    <col min="14903" max="15104" width="17.85546875" style="65"/>
    <col min="15105" max="15105" width="5.28515625" style="65" customWidth="1"/>
    <col min="15106" max="15158" width="11" style="65" customWidth="1"/>
    <col min="15159" max="15360" width="17.85546875" style="65"/>
    <col min="15361" max="15361" width="5.28515625" style="65" customWidth="1"/>
    <col min="15362" max="15414" width="11" style="65" customWidth="1"/>
    <col min="15415" max="15616" width="17.85546875" style="65"/>
    <col min="15617" max="15617" width="5.28515625" style="65" customWidth="1"/>
    <col min="15618" max="15670" width="11" style="65" customWidth="1"/>
    <col min="15671" max="15872" width="17.85546875" style="65"/>
    <col min="15873" max="15873" width="5.28515625" style="65" customWidth="1"/>
    <col min="15874" max="15926" width="11" style="65" customWidth="1"/>
    <col min="15927" max="16128" width="17.85546875" style="65"/>
    <col min="16129" max="16129" width="5.28515625" style="65" customWidth="1"/>
    <col min="16130" max="16182" width="11" style="65" customWidth="1"/>
    <col min="16183" max="16384" width="17.85546875" style="65"/>
  </cols>
  <sheetData>
    <row r="1" spans="1:200" x14ac:dyDescent="0.15">
      <c r="A1" s="65">
        <v>1</v>
      </c>
      <c r="B1" s="65">
        <v>2</v>
      </c>
      <c r="C1" s="65">
        <v>3</v>
      </c>
      <c r="D1" s="65">
        <v>4</v>
      </c>
      <c r="E1" s="65">
        <v>5</v>
      </c>
      <c r="F1" s="65">
        <v>6</v>
      </c>
      <c r="G1" s="65">
        <v>7</v>
      </c>
    </row>
    <row r="2" spans="1:200" x14ac:dyDescent="0.15">
      <c r="B2" s="65" t="s">
        <v>244</v>
      </c>
    </row>
    <row r="3" spans="1:200" x14ac:dyDescent="0.15">
      <c r="B3" s="65" t="s">
        <v>165</v>
      </c>
      <c r="C3" s="65" t="s">
        <v>172</v>
      </c>
    </row>
    <row r="4" spans="1:200" x14ac:dyDescent="0.15">
      <c r="B4" s="65">
        <f>損傷限界固有周期!H9</f>
        <v>1.2359999418258667</v>
      </c>
      <c r="C4" s="65">
        <f>損傷限界固有周期!H10</f>
        <v>1.3940000534057617</v>
      </c>
    </row>
    <row r="5" spans="1:200" x14ac:dyDescent="0.15">
      <c r="B5" s="11" t="str">
        <f>ji_zofuku!B2</f>
        <v>GS1</v>
      </c>
      <c r="C5" s="11" t="str">
        <f>ji_zofuku!C2</f>
        <v>GS2</v>
      </c>
      <c r="D5" s="11" t="str">
        <f>ji_zofuku!D2</f>
        <v>T1</v>
      </c>
      <c r="E5" s="11" t="str">
        <f>ji_zofuku!E2</f>
        <v>T2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200" x14ac:dyDescent="0.15">
      <c r="B6" s="11">
        <f>ji_zofuku!B3</f>
        <v>2.5799999237060547</v>
      </c>
      <c r="C6" s="11">
        <f>ji_zofuku!C3</f>
        <v>1.7200000286102295</v>
      </c>
      <c r="D6" s="11">
        <f>ji_zofuku!D3</f>
        <v>0.34400001168251038</v>
      </c>
      <c r="E6" s="11">
        <f>ji_zofuku!E3</f>
        <v>0.11500000208616257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</row>
    <row r="7" spans="1:200" x14ac:dyDescent="0.1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</row>
    <row r="8" spans="1:200" x14ac:dyDescent="0.15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</row>
    <row r="9" spans="1:200" x14ac:dyDescent="0.15">
      <c r="B9" s="11"/>
      <c r="C9" s="42"/>
      <c r="D9" s="4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</row>
    <row r="10" spans="1:200" x14ac:dyDescent="0.15">
      <c r="B10" s="11"/>
      <c r="C10" s="42" t="s">
        <v>237</v>
      </c>
      <c r="D10" s="43" t="s">
        <v>344</v>
      </c>
      <c r="E10" s="11"/>
      <c r="F10" s="11">
        <v>1.5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</row>
    <row r="11" spans="1:200" x14ac:dyDescent="0.15">
      <c r="B11" s="11"/>
      <c r="C11" s="42" t="s">
        <v>342</v>
      </c>
      <c r="D11" s="43" t="s">
        <v>345</v>
      </c>
      <c r="E11" s="11"/>
      <c r="F11" s="11">
        <v>1.5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</row>
    <row r="12" spans="1:200" x14ac:dyDescent="0.15">
      <c r="B12" s="11"/>
      <c r="C12" s="42" t="s">
        <v>343</v>
      </c>
      <c r="D12" s="43">
        <v>2.58</v>
      </c>
      <c r="E12" s="11"/>
      <c r="F12" s="11">
        <v>1.5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</row>
    <row r="13" spans="1:200" x14ac:dyDescent="0.15">
      <c r="C13" s="65" t="s">
        <v>240</v>
      </c>
      <c r="D13" s="65" t="s">
        <v>346</v>
      </c>
      <c r="F13" s="11">
        <v>1.35</v>
      </c>
      <c r="G13" s="11"/>
      <c r="H13" s="11"/>
      <c r="I13" s="11"/>
      <c r="J13" s="11"/>
      <c r="K13" s="11"/>
      <c r="L13" s="68"/>
      <c r="M13" s="69"/>
      <c r="N13" s="70"/>
      <c r="O13" s="71"/>
      <c r="P13" s="71"/>
      <c r="Q13" s="11"/>
      <c r="R13" s="11"/>
      <c r="S13" s="68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</row>
    <row r="14" spans="1:200" x14ac:dyDescent="0.15">
      <c r="G14" s="11"/>
      <c r="H14" s="11"/>
      <c r="I14" s="11"/>
      <c r="J14" s="11"/>
      <c r="K14" s="11"/>
      <c r="L14" s="68"/>
      <c r="M14" s="69"/>
      <c r="N14" s="70"/>
      <c r="O14" s="71"/>
      <c r="P14" s="7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</row>
    <row r="15" spans="1:200" x14ac:dyDescent="0.15">
      <c r="B15" s="88" t="s">
        <v>246</v>
      </c>
      <c r="C15" s="84" t="s">
        <v>245</v>
      </c>
      <c r="H15" s="11"/>
      <c r="I15" s="11"/>
      <c r="J15" s="11"/>
      <c r="K15" s="11"/>
      <c r="L15" s="68"/>
      <c r="M15" s="69"/>
      <c r="N15" s="70"/>
      <c r="O15" s="71"/>
      <c r="P15" s="7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</row>
    <row r="16" spans="1:200" x14ac:dyDescent="0.15">
      <c r="B16" s="88">
        <v>1.4801617860794067</v>
      </c>
      <c r="C16" s="88">
        <v>1.4178048372268677</v>
      </c>
      <c r="I16" s="11"/>
      <c r="J16" s="11"/>
      <c r="K16" s="11"/>
      <c r="L16" s="68"/>
      <c r="M16" s="69"/>
      <c r="N16" s="70"/>
      <c r="O16" s="71"/>
      <c r="P16" s="7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</row>
    <row r="17" spans="2:200" x14ac:dyDescent="0.15">
      <c r="I17" s="11"/>
      <c r="J17" s="11"/>
      <c r="K17" s="11"/>
      <c r="L17" s="68"/>
      <c r="M17" s="69"/>
      <c r="N17" s="70"/>
      <c r="O17" s="71"/>
      <c r="P17" s="7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</row>
    <row r="18" spans="2:200" x14ac:dyDescent="0.15">
      <c r="I18" s="11"/>
      <c r="J18" s="11"/>
      <c r="K18" s="11"/>
      <c r="L18" s="68"/>
      <c r="M18" s="69"/>
      <c r="N18" s="70"/>
      <c r="O18" s="71"/>
      <c r="P18" s="7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</row>
    <row r="19" spans="2:200" x14ac:dyDescent="0.15">
      <c r="I19" s="11"/>
      <c r="J19" s="11"/>
      <c r="K19" s="11"/>
      <c r="L19" s="72"/>
      <c r="M19" s="72"/>
      <c r="N19" s="73"/>
      <c r="O19" s="72"/>
      <c r="P19" s="72"/>
      <c r="Q19" s="73"/>
      <c r="R19" s="73"/>
      <c r="S19" s="74"/>
      <c r="T19" s="73"/>
      <c r="U19" s="73"/>
      <c r="V19" s="73"/>
      <c r="W19" s="73"/>
      <c r="X19" s="73"/>
      <c r="Y19" s="73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</row>
    <row r="20" spans="2:200" x14ac:dyDescent="0.15">
      <c r="I20" s="11"/>
      <c r="J20" s="11"/>
      <c r="K20" s="11"/>
      <c r="L20" s="72"/>
      <c r="M20" s="72"/>
      <c r="N20" s="73"/>
      <c r="O20" s="72"/>
      <c r="P20" s="72"/>
      <c r="Q20" s="73"/>
      <c r="R20" s="73"/>
      <c r="S20" s="74"/>
      <c r="T20" s="73"/>
      <c r="U20" s="73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</row>
    <row r="21" spans="2:200" x14ac:dyDescent="0.15">
      <c r="B21" s="65" t="s">
        <v>247</v>
      </c>
      <c r="H21" s="11"/>
      <c r="I21" s="11"/>
      <c r="J21" s="11"/>
      <c r="K21" s="11"/>
      <c r="L21" s="72"/>
      <c r="M21" s="72"/>
      <c r="N21" s="73"/>
      <c r="O21" s="72"/>
      <c r="P21" s="72"/>
      <c r="Q21" s="73"/>
      <c r="R21" s="73"/>
      <c r="S21" s="74"/>
      <c r="T21" s="73"/>
      <c r="U21" s="73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</row>
    <row r="22" spans="2:200" x14ac:dyDescent="0.15">
      <c r="B22" s="65" t="s">
        <v>248</v>
      </c>
      <c r="C22" s="65" t="s">
        <v>249</v>
      </c>
      <c r="H22" s="11"/>
      <c r="I22" s="11"/>
      <c r="J22" s="11"/>
      <c r="K22" s="11"/>
      <c r="L22" s="72"/>
      <c r="M22" s="72"/>
      <c r="N22" s="73"/>
      <c r="O22" s="72"/>
      <c r="P22" s="72"/>
      <c r="Q22" s="73"/>
      <c r="R22" s="73"/>
      <c r="S22" s="74"/>
      <c r="T22" s="73"/>
      <c r="U22" s="73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</row>
    <row r="23" spans="2:200" x14ac:dyDescent="0.15">
      <c r="B23" s="65">
        <f>安全限界固有周期!H9</f>
        <v>1.5800000429153442</v>
      </c>
      <c r="C23" s="65">
        <f>安全限界固有周期!H10</f>
        <v>2.0350000858306885</v>
      </c>
      <c r="F23" s="11"/>
      <c r="G23" s="11"/>
      <c r="H23" s="11"/>
      <c r="I23" s="11"/>
      <c r="J23" s="11"/>
      <c r="K23" s="11"/>
      <c r="L23" s="72"/>
      <c r="M23" s="72"/>
      <c r="N23" s="73"/>
      <c r="O23" s="72"/>
      <c r="P23" s="72"/>
      <c r="Q23" s="73"/>
      <c r="R23" s="73"/>
      <c r="S23" s="74"/>
      <c r="T23" s="73"/>
      <c r="U23" s="73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</row>
    <row r="24" spans="2:200" x14ac:dyDescent="0.15">
      <c r="B24" s="11" t="str">
        <f>ji_zofuku!S2</f>
        <v>GS1</v>
      </c>
      <c r="C24" s="11" t="str">
        <f>ji_zofuku!T2</f>
        <v>GS2</v>
      </c>
      <c r="D24" s="11" t="str">
        <f>ji_zofuku!U2</f>
        <v>T1</v>
      </c>
      <c r="E24" s="11" t="str">
        <f>ji_zofuku!V2</f>
        <v>T2</v>
      </c>
      <c r="F24" s="11"/>
      <c r="G24" s="11"/>
      <c r="H24" s="11"/>
      <c r="I24" s="11"/>
      <c r="J24" s="11"/>
      <c r="K24" s="11"/>
      <c r="L24" s="72"/>
      <c r="M24" s="72"/>
      <c r="N24" s="73"/>
      <c r="O24" s="72"/>
      <c r="P24" s="72"/>
      <c r="Q24" s="73"/>
      <c r="R24" s="73"/>
      <c r="S24" s="74"/>
      <c r="T24" s="73"/>
      <c r="U24" s="73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</row>
    <row r="25" spans="2:200" x14ac:dyDescent="0.15">
      <c r="B25" s="11">
        <f>ji_zofuku!S3</f>
        <v>2.1700000762939453</v>
      </c>
      <c r="C25" s="11">
        <f>ji_zofuku!T3</f>
        <v>1.0499999523162842</v>
      </c>
      <c r="D25" s="11">
        <f>ji_zofuku!U3</f>
        <v>0.45800000429153442</v>
      </c>
      <c r="E25" s="11">
        <f>ji_zofuku!V3</f>
        <v>0.15299999713897705</v>
      </c>
      <c r="F25" s="11"/>
      <c r="G25" s="11"/>
      <c r="H25" s="11"/>
      <c r="I25" s="11"/>
      <c r="J25" s="11"/>
      <c r="K25" s="11"/>
      <c r="L25" s="72"/>
      <c r="M25" s="72"/>
      <c r="N25" s="72"/>
      <c r="O25" s="72"/>
      <c r="P25" s="72"/>
      <c r="Q25" s="73"/>
      <c r="R25" s="73"/>
      <c r="S25" s="74"/>
      <c r="T25" s="73"/>
      <c r="U25" s="73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</row>
    <row r="26" spans="2:200" x14ac:dyDescent="0.15">
      <c r="H26" s="11"/>
      <c r="I26" s="11"/>
      <c r="J26" s="11"/>
      <c r="K26" s="11"/>
      <c r="L26" s="72"/>
      <c r="M26" s="72"/>
      <c r="N26" s="72"/>
      <c r="O26" s="72"/>
      <c r="P26" s="72"/>
      <c r="Q26" s="73"/>
      <c r="R26" s="73"/>
      <c r="S26" s="74"/>
      <c r="T26" s="73"/>
      <c r="U26" s="73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</row>
    <row r="27" spans="2:200" x14ac:dyDescent="0.1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72"/>
      <c r="M27" s="72"/>
      <c r="N27" s="72"/>
      <c r="O27" s="72"/>
      <c r="P27" s="72"/>
      <c r="Q27" s="73"/>
      <c r="R27" s="73"/>
      <c r="S27" s="74"/>
      <c r="T27" s="73"/>
      <c r="U27" s="73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</row>
    <row r="28" spans="2:200" x14ac:dyDescent="0.1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72"/>
      <c r="M28" s="72"/>
      <c r="N28" s="72"/>
      <c r="O28" s="72"/>
      <c r="P28" s="72"/>
      <c r="Q28" s="73"/>
      <c r="R28" s="73"/>
      <c r="S28" s="74"/>
      <c r="T28" s="73"/>
      <c r="U28" s="73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</row>
    <row r="29" spans="2:200" x14ac:dyDescent="0.15">
      <c r="B29" s="11"/>
      <c r="C29" s="11" t="s">
        <v>347</v>
      </c>
      <c r="D29" s="43" t="s">
        <v>351</v>
      </c>
      <c r="E29" s="11"/>
      <c r="F29" s="11">
        <v>1.2</v>
      </c>
      <c r="G29" s="11"/>
      <c r="H29" s="11"/>
      <c r="I29" s="11"/>
      <c r="J29" s="11"/>
      <c r="K29" s="11"/>
      <c r="L29" s="72"/>
      <c r="M29" s="72"/>
      <c r="N29" s="72"/>
      <c r="O29" s="72"/>
      <c r="P29" s="72"/>
      <c r="Q29" s="73"/>
      <c r="R29" s="73"/>
      <c r="S29" s="74"/>
      <c r="T29" s="73"/>
      <c r="U29" s="73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</row>
    <row r="30" spans="2:200" x14ac:dyDescent="0.15">
      <c r="B30" s="11"/>
      <c r="C30" s="42" t="s">
        <v>348</v>
      </c>
      <c r="D30" s="43" t="s">
        <v>352</v>
      </c>
      <c r="E30" s="11"/>
      <c r="F30" s="11">
        <v>1.2</v>
      </c>
      <c r="G30" s="11"/>
      <c r="H30" s="11"/>
      <c r="I30" s="11"/>
      <c r="J30" s="11"/>
      <c r="K30" s="11"/>
      <c r="L30" s="72"/>
      <c r="M30" s="72"/>
      <c r="N30" s="72"/>
      <c r="O30" s="72"/>
      <c r="P30" s="72"/>
      <c r="Q30" s="73"/>
      <c r="R30" s="73"/>
      <c r="S30" s="74"/>
      <c r="T30" s="73"/>
      <c r="U30" s="73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</row>
    <row r="31" spans="2:200" x14ac:dyDescent="0.15">
      <c r="B31" s="11"/>
      <c r="C31" s="42" t="s">
        <v>349</v>
      </c>
      <c r="D31" s="43">
        <v>2.17</v>
      </c>
      <c r="E31" s="11"/>
      <c r="F31" s="11">
        <v>1.2</v>
      </c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73"/>
      <c r="R31" s="73"/>
      <c r="S31" s="74"/>
      <c r="T31" s="73"/>
      <c r="U31" s="73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</row>
    <row r="32" spans="2:200" x14ac:dyDescent="0.15">
      <c r="B32" s="11"/>
      <c r="C32" s="42" t="s">
        <v>350</v>
      </c>
      <c r="D32" s="43" t="s">
        <v>346</v>
      </c>
      <c r="E32" s="11"/>
      <c r="F32" s="11">
        <v>1</v>
      </c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73"/>
      <c r="R32" s="73"/>
      <c r="S32" s="74"/>
      <c r="T32" s="73"/>
      <c r="U32" s="73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</row>
    <row r="33" spans="2:200" x14ac:dyDescent="0.15">
      <c r="B33" s="11"/>
      <c r="C33" s="42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73"/>
      <c r="R33" s="73"/>
      <c r="S33" s="74"/>
      <c r="T33" s="73"/>
      <c r="U33" s="73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</row>
    <row r="34" spans="2:200" x14ac:dyDescent="0.15">
      <c r="B34" s="11"/>
      <c r="C34" s="42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73"/>
      <c r="R34" s="73"/>
      <c r="S34" s="74"/>
      <c r="T34" s="73"/>
      <c r="U34" s="73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</row>
    <row r="35" spans="2:200" x14ac:dyDescent="0.15">
      <c r="B35" s="88" t="s">
        <v>246</v>
      </c>
      <c r="C35" s="84" t="s">
        <v>245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73"/>
      <c r="R35" s="73"/>
      <c r="S35" s="74"/>
      <c r="T35" s="73"/>
      <c r="U35" s="73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</row>
    <row r="36" spans="2:200" x14ac:dyDescent="0.15">
      <c r="B36" s="84">
        <v>1.360379695892334</v>
      </c>
      <c r="C36" s="92">
        <v>1.2641522884368896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73"/>
      <c r="R36" s="73"/>
      <c r="S36" s="74"/>
      <c r="T36" s="73"/>
      <c r="U36" s="73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</row>
    <row r="37" spans="2:200" x14ac:dyDescent="0.1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73"/>
      <c r="R37" s="73"/>
      <c r="S37" s="74"/>
      <c r="T37" s="73"/>
      <c r="U37" s="73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</row>
    <row r="38" spans="2:200" x14ac:dyDescent="0.1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73"/>
      <c r="R38" s="73"/>
      <c r="S38" s="74"/>
      <c r="T38" s="73"/>
      <c r="U38" s="73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</row>
    <row r="39" spans="2:200" x14ac:dyDescent="0.15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73"/>
      <c r="R39" s="73"/>
      <c r="S39" s="74"/>
      <c r="T39" s="73"/>
      <c r="U39" s="73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</row>
    <row r="40" spans="2:200" x14ac:dyDescent="0.1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73"/>
      <c r="R40" s="73"/>
      <c r="S40" s="74"/>
      <c r="T40" s="73"/>
      <c r="U40" s="73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</row>
    <row r="41" spans="2:200" x14ac:dyDescent="0.15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73"/>
      <c r="R41" s="73"/>
      <c r="S41" s="74"/>
      <c r="T41" s="73"/>
      <c r="U41" s="73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</row>
    <row r="42" spans="2:200" x14ac:dyDescent="0.15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73"/>
      <c r="R42" s="73"/>
      <c r="S42" s="74"/>
      <c r="T42" s="73"/>
      <c r="U42" s="73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</row>
    <row r="43" spans="2:200" x14ac:dyDescent="0.15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73"/>
      <c r="R43" s="73"/>
      <c r="S43" s="73"/>
      <c r="T43" s="73"/>
      <c r="U43" s="73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</row>
    <row r="44" spans="2:200" x14ac:dyDescent="0.1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73"/>
      <c r="R44" s="73"/>
      <c r="S44" s="73"/>
      <c r="T44" s="73"/>
      <c r="U44" s="73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</row>
    <row r="45" spans="2:200" x14ac:dyDescent="0.15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73"/>
      <c r="R45" s="73"/>
      <c r="S45" s="73"/>
      <c r="T45" s="73"/>
      <c r="U45" s="73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</row>
    <row r="46" spans="2:200" x14ac:dyDescent="0.1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73"/>
      <c r="R46" s="73"/>
      <c r="S46" s="73"/>
      <c r="T46" s="73"/>
      <c r="U46" s="73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</row>
    <row r="47" spans="2:200" x14ac:dyDescent="0.15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73"/>
      <c r="R47" s="73"/>
      <c r="S47" s="73"/>
      <c r="T47" s="73"/>
      <c r="U47" s="73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</row>
    <row r="48" spans="2:200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73"/>
      <c r="R48" s="73"/>
      <c r="S48" s="73"/>
      <c r="T48" s="73"/>
      <c r="U48" s="73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</row>
    <row r="49" spans="2:200" x14ac:dyDescent="0.15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73"/>
      <c r="R49" s="73"/>
      <c r="S49" s="73"/>
      <c r="T49" s="73"/>
      <c r="U49" s="73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</row>
    <row r="50" spans="2:200" x14ac:dyDescent="0.1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73"/>
      <c r="R50" s="73"/>
      <c r="S50" s="73"/>
      <c r="T50" s="73"/>
      <c r="U50" s="73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</row>
    <row r="51" spans="2:200" x14ac:dyDescent="0.1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73"/>
      <c r="R51" s="73"/>
      <c r="S51" s="73"/>
      <c r="T51" s="73"/>
      <c r="U51" s="73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</row>
    <row r="52" spans="2:200" x14ac:dyDescent="0.15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73"/>
      <c r="R52" s="73"/>
      <c r="S52" s="73"/>
      <c r="T52" s="73"/>
      <c r="U52" s="73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</row>
    <row r="53" spans="2:200" x14ac:dyDescent="0.15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73"/>
      <c r="R53" s="73"/>
      <c r="S53" s="73"/>
      <c r="T53" s="73"/>
      <c r="U53" s="73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</row>
    <row r="54" spans="2:200" x14ac:dyDescent="0.15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73"/>
      <c r="R54" s="73"/>
      <c r="S54" s="73"/>
      <c r="T54" s="73"/>
      <c r="U54" s="73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</row>
    <row r="55" spans="2:200" x14ac:dyDescent="0.1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73"/>
      <c r="R55" s="73"/>
      <c r="S55" s="73"/>
      <c r="T55" s="73"/>
      <c r="U55" s="73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</row>
    <row r="56" spans="2:200" x14ac:dyDescent="0.15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73"/>
      <c r="R56" s="73"/>
      <c r="S56" s="73"/>
      <c r="T56" s="73"/>
      <c r="U56" s="73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</row>
    <row r="57" spans="2:200" x14ac:dyDescent="0.15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73"/>
      <c r="R57" s="73"/>
      <c r="S57" s="73"/>
      <c r="T57" s="73"/>
      <c r="U57" s="73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</row>
    <row r="58" spans="2:200" x14ac:dyDescent="0.1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73"/>
      <c r="R58" s="73"/>
      <c r="S58" s="73"/>
      <c r="T58" s="73"/>
      <c r="U58" s="73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</row>
    <row r="59" spans="2:200" x14ac:dyDescent="0.15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73"/>
      <c r="R59" s="73"/>
      <c r="S59" s="73"/>
      <c r="T59" s="73"/>
      <c r="U59" s="73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</row>
    <row r="60" spans="2:200" x14ac:dyDescent="0.15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73"/>
      <c r="R60" s="73"/>
      <c r="S60" s="73"/>
      <c r="T60" s="73"/>
      <c r="U60" s="73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</row>
    <row r="61" spans="2:200" x14ac:dyDescent="0.15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73"/>
      <c r="R61" s="73"/>
      <c r="S61" s="73"/>
      <c r="T61" s="73"/>
      <c r="U61" s="73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  <c r="CZ61" s="11"/>
      <c r="DA61" s="11"/>
      <c r="DB61" s="11"/>
      <c r="DC61" s="11"/>
      <c r="DD61" s="11"/>
      <c r="DE61" s="11"/>
      <c r="DF61" s="11"/>
      <c r="DG61" s="11"/>
      <c r="DH61" s="11"/>
      <c r="DI61" s="11"/>
      <c r="DJ61" s="11"/>
      <c r="DK61" s="11"/>
      <c r="DL61" s="11"/>
      <c r="DM61" s="11"/>
      <c r="DN61" s="11"/>
      <c r="DO61" s="11"/>
      <c r="DP61" s="11"/>
      <c r="DQ61" s="11"/>
      <c r="DR61" s="11"/>
      <c r="DS61" s="11"/>
      <c r="DT61" s="11"/>
      <c r="DU61" s="11"/>
      <c r="DV61" s="11"/>
      <c r="DW61" s="11"/>
      <c r="DX61" s="11"/>
      <c r="DY61" s="11"/>
      <c r="DZ61" s="11"/>
      <c r="EA61" s="11"/>
      <c r="EB61" s="11"/>
      <c r="EC61" s="11"/>
      <c r="ED61" s="11"/>
      <c r="EE61" s="11"/>
      <c r="EF61" s="11"/>
      <c r="EG61" s="11"/>
      <c r="EH61" s="11"/>
      <c r="EI61" s="11"/>
      <c r="EJ61" s="11"/>
      <c r="EK61" s="11"/>
      <c r="EL61" s="11"/>
      <c r="EM61" s="11"/>
      <c r="EN61" s="11"/>
      <c r="EO61" s="11"/>
      <c r="EP61" s="11"/>
      <c r="EQ61" s="11"/>
      <c r="ER61" s="11"/>
      <c r="ES61" s="11"/>
      <c r="ET61" s="11"/>
      <c r="EU61" s="11"/>
      <c r="EV61" s="11"/>
      <c r="EW61" s="11"/>
      <c r="EX61" s="11"/>
      <c r="EY61" s="11"/>
      <c r="EZ61" s="11"/>
      <c r="FA61" s="11"/>
      <c r="FB61" s="11"/>
      <c r="FC61" s="11"/>
      <c r="FD61" s="11"/>
      <c r="FE61" s="11"/>
      <c r="FF61" s="11"/>
      <c r="FG61" s="11"/>
      <c r="FH61" s="11"/>
      <c r="FI61" s="11"/>
      <c r="FJ61" s="11"/>
      <c r="FK61" s="11"/>
      <c r="FL61" s="11"/>
      <c r="FM61" s="11"/>
      <c r="FN61" s="11"/>
      <c r="FO61" s="11"/>
      <c r="FP61" s="11"/>
      <c r="FQ61" s="11"/>
      <c r="FR61" s="11"/>
      <c r="FS61" s="11"/>
      <c r="FT61" s="11"/>
      <c r="FU61" s="11"/>
      <c r="FV61" s="11"/>
      <c r="FW61" s="11"/>
      <c r="FX61" s="11"/>
      <c r="FY61" s="11"/>
      <c r="FZ61" s="11"/>
      <c r="GA61" s="11"/>
      <c r="GB61" s="11"/>
      <c r="GC61" s="11"/>
      <c r="GD61" s="11"/>
      <c r="GE61" s="11"/>
      <c r="GF61" s="11"/>
      <c r="GG61" s="11"/>
      <c r="GH61" s="11"/>
      <c r="GI61" s="11"/>
      <c r="GJ61" s="11"/>
      <c r="GK61" s="11"/>
      <c r="GL61" s="11"/>
      <c r="GM61" s="11"/>
      <c r="GN61" s="11"/>
      <c r="GO61" s="11"/>
      <c r="GP61" s="11"/>
      <c r="GQ61" s="11"/>
      <c r="GR61" s="11"/>
    </row>
    <row r="62" spans="2:200" x14ac:dyDescent="0.15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</row>
    <row r="63" spans="2:200" x14ac:dyDescent="0.15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</row>
    <row r="64" spans="2:200" x14ac:dyDescent="0.1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</row>
    <row r="65" spans="2:200" x14ac:dyDescent="0.1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</row>
    <row r="66" spans="2:200" x14ac:dyDescent="0.15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</row>
    <row r="67" spans="2:200" x14ac:dyDescent="0.15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</row>
    <row r="68" spans="2:200" x14ac:dyDescent="0.15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</row>
    <row r="69" spans="2:200" x14ac:dyDescent="0.15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</row>
    <row r="70" spans="2:200" x14ac:dyDescent="0.15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</row>
    <row r="71" spans="2:200" x14ac:dyDescent="0.15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</row>
    <row r="72" spans="2:200" x14ac:dyDescent="0.1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</row>
    <row r="73" spans="2:200" x14ac:dyDescent="0.1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</row>
    <row r="74" spans="2:200" x14ac:dyDescent="0.1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</row>
    <row r="75" spans="2:200" x14ac:dyDescent="0.15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</row>
    <row r="76" spans="2:200" x14ac:dyDescent="0.15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</row>
    <row r="77" spans="2:200" x14ac:dyDescent="0.15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</row>
    <row r="78" spans="2:200" x14ac:dyDescent="0.15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</row>
    <row r="79" spans="2:200" x14ac:dyDescent="0.15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</row>
    <row r="80" spans="2:200" x14ac:dyDescent="0.15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</row>
    <row r="81" spans="2:200" x14ac:dyDescent="0.15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</row>
    <row r="82" spans="2:200" x14ac:dyDescent="0.1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</row>
    <row r="83" spans="2:200" x14ac:dyDescent="0.1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</row>
    <row r="84" spans="2:200" x14ac:dyDescent="0.15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</row>
    <row r="85" spans="2:200" x14ac:dyDescent="0.15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</row>
    <row r="86" spans="2:200" x14ac:dyDescent="0.15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</row>
    <row r="87" spans="2:200" x14ac:dyDescent="0.15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</row>
    <row r="88" spans="2:200" x14ac:dyDescent="0.15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</row>
    <row r="89" spans="2:200" x14ac:dyDescent="0.15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</row>
    <row r="90" spans="2:200" x14ac:dyDescent="0.15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</row>
    <row r="91" spans="2:200" x14ac:dyDescent="0.1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</row>
    <row r="92" spans="2:200" x14ac:dyDescent="0.1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</row>
    <row r="93" spans="2:200" x14ac:dyDescent="0.15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</row>
    <row r="94" spans="2:200" x14ac:dyDescent="0.15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</row>
    <row r="95" spans="2:200" x14ac:dyDescent="0.15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</row>
    <row r="96" spans="2:200" x14ac:dyDescent="0.15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</row>
    <row r="97" spans="2:200" x14ac:dyDescent="0.15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</row>
    <row r="98" spans="2:200" x14ac:dyDescent="0.15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</row>
    <row r="99" spans="2:200" x14ac:dyDescent="0.15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</row>
    <row r="100" spans="2:200" x14ac:dyDescent="0.1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</row>
    <row r="101" spans="2:200" x14ac:dyDescent="0.1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</row>
    <row r="102" spans="2:200" x14ac:dyDescent="0.15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</row>
    <row r="103" spans="2:200" x14ac:dyDescent="0.15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</row>
    <row r="104" spans="2:200" x14ac:dyDescent="0.15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</row>
    <row r="105" spans="2:200" x14ac:dyDescent="0.15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</row>
    <row r="106" spans="2:200" x14ac:dyDescent="0.15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</row>
    <row r="107" spans="2:200" x14ac:dyDescent="0.15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</row>
    <row r="108" spans="2:200" x14ac:dyDescent="0.15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  <c r="CZ108" s="11"/>
      <c r="DA108" s="11"/>
      <c r="DB108" s="11"/>
      <c r="DC108" s="11"/>
      <c r="DD108" s="11"/>
      <c r="DE108" s="11"/>
      <c r="DF108" s="11"/>
      <c r="DG108" s="11"/>
      <c r="DH108" s="11"/>
      <c r="DI108" s="11"/>
      <c r="DJ108" s="11"/>
      <c r="DK108" s="11"/>
      <c r="DL108" s="11"/>
      <c r="DM108" s="11"/>
      <c r="DN108" s="11"/>
      <c r="DO108" s="11"/>
      <c r="DP108" s="11"/>
      <c r="DQ108" s="11"/>
      <c r="DR108" s="11"/>
      <c r="DS108" s="11"/>
      <c r="DT108" s="11"/>
      <c r="DU108" s="11"/>
      <c r="DV108" s="11"/>
      <c r="DW108" s="11"/>
      <c r="DX108" s="11"/>
      <c r="DY108" s="11"/>
      <c r="DZ108" s="11"/>
      <c r="EA108" s="11"/>
      <c r="EB108" s="11"/>
      <c r="EC108" s="11"/>
      <c r="ED108" s="11"/>
      <c r="EE108" s="11"/>
      <c r="EF108" s="11"/>
      <c r="EG108" s="11"/>
      <c r="EH108" s="11"/>
      <c r="EI108" s="11"/>
      <c r="EJ108" s="11"/>
      <c r="EK108" s="11"/>
      <c r="EL108" s="11"/>
      <c r="EM108" s="11"/>
      <c r="EN108" s="11"/>
      <c r="EO108" s="11"/>
      <c r="EP108" s="11"/>
      <c r="EQ108" s="11"/>
      <c r="ER108" s="11"/>
      <c r="ES108" s="11"/>
      <c r="ET108" s="11"/>
      <c r="EU108" s="11"/>
      <c r="EV108" s="11"/>
      <c r="EW108" s="11"/>
      <c r="EX108" s="11"/>
      <c r="EY108" s="11"/>
      <c r="EZ108" s="11"/>
      <c r="FA108" s="11"/>
      <c r="FB108" s="11"/>
      <c r="FC108" s="11"/>
      <c r="FD108" s="11"/>
      <c r="FE108" s="11"/>
      <c r="FF108" s="11"/>
      <c r="FG108" s="11"/>
      <c r="FH108" s="11"/>
      <c r="FI108" s="11"/>
      <c r="FJ108" s="11"/>
      <c r="FK108" s="11"/>
      <c r="FL108" s="11"/>
      <c r="FM108" s="11"/>
      <c r="FN108" s="11"/>
      <c r="FO108" s="11"/>
      <c r="FP108" s="11"/>
      <c r="FQ108" s="11"/>
      <c r="FR108" s="11"/>
      <c r="FS108" s="11"/>
      <c r="FT108" s="11"/>
      <c r="FU108" s="11"/>
      <c r="FV108" s="11"/>
      <c r="FW108" s="11"/>
      <c r="FX108" s="11"/>
      <c r="FY108" s="11"/>
      <c r="FZ108" s="11"/>
      <c r="GA108" s="11"/>
      <c r="GB108" s="11"/>
      <c r="GC108" s="11"/>
      <c r="GD108" s="11"/>
      <c r="GE108" s="11"/>
      <c r="GF108" s="11"/>
      <c r="GG108" s="11"/>
      <c r="GH108" s="11"/>
      <c r="GI108" s="11"/>
      <c r="GJ108" s="11"/>
      <c r="GK108" s="11"/>
      <c r="GL108" s="11"/>
      <c r="GM108" s="11"/>
      <c r="GN108" s="11"/>
      <c r="GO108" s="11"/>
      <c r="GP108" s="11"/>
      <c r="GQ108" s="11"/>
      <c r="GR108" s="11"/>
    </row>
    <row r="109" spans="2:200" x14ac:dyDescent="0.1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</row>
    <row r="110" spans="2:200" x14ac:dyDescent="0.1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</row>
    <row r="111" spans="2:200" x14ac:dyDescent="0.15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</row>
    <row r="112" spans="2:200" x14ac:dyDescent="0.15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</row>
    <row r="113" spans="2:200" x14ac:dyDescent="0.15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</row>
    <row r="114" spans="2:200" x14ac:dyDescent="0.15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</row>
    <row r="115" spans="2:200" x14ac:dyDescent="0.15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</row>
    <row r="116" spans="2:200" x14ac:dyDescent="0.15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</row>
    <row r="117" spans="2:200" x14ac:dyDescent="0.15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</row>
    <row r="118" spans="2:200" x14ac:dyDescent="0.1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</row>
    <row r="119" spans="2:200" x14ac:dyDescent="0.1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</row>
    <row r="120" spans="2:200" x14ac:dyDescent="0.15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</row>
    <row r="121" spans="2:200" x14ac:dyDescent="0.15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</row>
    <row r="122" spans="2:200" x14ac:dyDescent="0.15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</row>
    <row r="123" spans="2:200" x14ac:dyDescent="0.15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</row>
    <row r="124" spans="2:200" x14ac:dyDescent="0.15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</row>
    <row r="125" spans="2:200" x14ac:dyDescent="0.15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</row>
    <row r="126" spans="2:200" x14ac:dyDescent="0.15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</row>
    <row r="127" spans="2:200" x14ac:dyDescent="0.1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</row>
    <row r="128" spans="2:200" x14ac:dyDescent="0.1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</row>
    <row r="129" spans="2:200" x14ac:dyDescent="0.15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</row>
    <row r="130" spans="2:200" x14ac:dyDescent="0.15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</row>
    <row r="131" spans="2:200" x14ac:dyDescent="0.15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</row>
    <row r="132" spans="2:200" x14ac:dyDescent="0.15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</row>
    <row r="133" spans="2:200" x14ac:dyDescent="0.15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</row>
    <row r="134" spans="2:200" x14ac:dyDescent="0.15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</row>
    <row r="135" spans="2:200" x14ac:dyDescent="0.15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</row>
    <row r="136" spans="2:200" x14ac:dyDescent="0.15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</row>
    <row r="137" spans="2:200" x14ac:dyDescent="0.15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</row>
    <row r="138" spans="2:200" x14ac:dyDescent="0.15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</row>
    <row r="139" spans="2:200" x14ac:dyDescent="0.15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</row>
    <row r="140" spans="2:200" x14ac:dyDescent="0.15"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</row>
    <row r="141" spans="2:200" x14ac:dyDescent="0.15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</row>
    <row r="142" spans="2:200" x14ac:dyDescent="0.15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</row>
    <row r="143" spans="2:200" x14ac:dyDescent="0.15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</row>
    <row r="144" spans="2:200" x14ac:dyDescent="0.15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</row>
    <row r="145" spans="2:200" x14ac:dyDescent="0.15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</row>
    <row r="146" spans="2:200" x14ac:dyDescent="0.15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</row>
    <row r="147" spans="2:200" x14ac:dyDescent="0.15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</row>
    <row r="148" spans="2:200" x14ac:dyDescent="0.15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</row>
    <row r="149" spans="2:200" x14ac:dyDescent="0.15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</row>
    <row r="150" spans="2:200" x14ac:dyDescent="0.15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</row>
    <row r="151" spans="2:200" x14ac:dyDescent="0.15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</row>
    <row r="152" spans="2:200" x14ac:dyDescent="0.15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</row>
    <row r="153" spans="2:200" x14ac:dyDescent="0.15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</row>
    <row r="154" spans="2:200" x14ac:dyDescent="0.15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</row>
    <row r="155" spans="2:200" x14ac:dyDescent="0.15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</row>
    <row r="156" spans="2:200" x14ac:dyDescent="0.15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</row>
    <row r="157" spans="2:200" x14ac:dyDescent="0.15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</row>
    <row r="158" spans="2:200" x14ac:dyDescent="0.15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</row>
    <row r="159" spans="2:200" x14ac:dyDescent="0.15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</row>
    <row r="160" spans="2:200" x14ac:dyDescent="0.15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</row>
    <row r="161" spans="2:200" x14ac:dyDescent="0.15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</row>
    <row r="162" spans="2:200" x14ac:dyDescent="0.15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</row>
    <row r="163" spans="2:200" x14ac:dyDescent="0.15"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</row>
    <row r="164" spans="2:200" x14ac:dyDescent="0.15"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</row>
    <row r="165" spans="2:200" x14ac:dyDescent="0.15"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  <c r="BU165" s="11"/>
      <c r="BV165" s="11"/>
      <c r="BW165" s="11"/>
      <c r="BX165" s="11"/>
      <c r="BY165" s="11"/>
      <c r="BZ165" s="11"/>
      <c r="CA165" s="11"/>
      <c r="CB165" s="11"/>
      <c r="CC165" s="11"/>
      <c r="CD165" s="11"/>
      <c r="CE165" s="11"/>
      <c r="CF165" s="11"/>
      <c r="CG165" s="11"/>
      <c r="CH165" s="11"/>
      <c r="CI165" s="11"/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11"/>
      <c r="CW165" s="11"/>
      <c r="CX165" s="11"/>
      <c r="CY165" s="11"/>
      <c r="CZ165" s="11"/>
      <c r="DA165" s="11"/>
      <c r="DB165" s="11"/>
      <c r="DC165" s="11"/>
      <c r="DD165" s="11"/>
      <c r="DE165" s="11"/>
      <c r="DF165" s="11"/>
      <c r="DG165" s="11"/>
      <c r="DH165" s="11"/>
      <c r="DI165" s="11"/>
      <c r="DJ165" s="11"/>
      <c r="DK165" s="11"/>
      <c r="DL165" s="11"/>
      <c r="DM165" s="11"/>
      <c r="DN165" s="11"/>
      <c r="DO165" s="11"/>
      <c r="DP165" s="11"/>
      <c r="DQ165" s="11"/>
      <c r="DR165" s="11"/>
      <c r="DS165" s="11"/>
      <c r="DT165" s="11"/>
      <c r="DU165" s="11"/>
      <c r="DV165" s="11"/>
      <c r="DW165" s="11"/>
      <c r="DX165" s="11"/>
      <c r="DY165" s="11"/>
      <c r="DZ165" s="11"/>
      <c r="EA165" s="11"/>
      <c r="EB165" s="11"/>
      <c r="EC165" s="11"/>
      <c r="ED165" s="11"/>
      <c r="EE165" s="11"/>
      <c r="EF165" s="11"/>
      <c r="EG165" s="11"/>
      <c r="EH165" s="11"/>
      <c r="EI165" s="11"/>
      <c r="EJ165" s="11"/>
      <c r="EK165" s="11"/>
      <c r="EL165" s="11"/>
      <c r="EM165" s="11"/>
      <c r="EN165" s="11"/>
      <c r="EO165" s="11"/>
      <c r="EP165" s="11"/>
      <c r="EQ165" s="11"/>
      <c r="ER165" s="11"/>
      <c r="ES165" s="11"/>
      <c r="ET165" s="11"/>
      <c r="EU165" s="11"/>
      <c r="EV165" s="11"/>
      <c r="EW165" s="11"/>
      <c r="EX165" s="11"/>
      <c r="EY165" s="11"/>
      <c r="EZ165" s="11"/>
      <c r="FA165" s="11"/>
      <c r="FB165" s="11"/>
      <c r="FC165" s="11"/>
      <c r="FD165" s="11"/>
      <c r="FE165" s="11"/>
      <c r="FF165" s="11"/>
      <c r="FG165" s="11"/>
      <c r="FH165" s="11"/>
      <c r="FI165" s="11"/>
      <c r="FJ165" s="11"/>
      <c r="FK165" s="11"/>
      <c r="FL165" s="11"/>
      <c r="FM165" s="11"/>
      <c r="FN165" s="11"/>
      <c r="FO165" s="11"/>
      <c r="FP165" s="11"/>
      <c r="FQ165" s="11"/>
      <c r="FR165" s="11"/>
      <c r="FS165" s="11"/>
      <c r="FT165" s="11"/>
      <c r="FU165" s="11"/>
      <c r="FV165" s="11"/>
      <c r="FW165" s="11"/>
      <c r="FX165" s="11"/>
      <c r="FY165" s="11"/>
      <c r="FZ165" s="11"/>
      <c r="GA165" s="11"/>
      <c r="GB165" s="11"/>
      <c r="GC165" s="11"/>
      <c r="GD165" s="11"/>
      <c r="GE165" s="11"/>
      <c r="GF165" s="11"/>
      <c r="GG165" s="11"/>
      <c r="GH165" s="11"/>
      <c r="GI165" s="11"/>
      <c r="GJ165" s="11"/>
      <c r="GK165" s="11"/>
      <c r="GL165" s="11"/>
      <c r="GM165" s="11"/>
      <c r="GN165" s="11"/>
      <c r="GO165" s="11"/>
      <c r="GP165" s="11"/>
      <c r="GQ165" s="11"/>
      <c r="GR165" s="11"/>
    </row>
    <row r="166" spans="2:200" x14ac:dyDescent="0.15"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</row>
    <row r="167" spans="2:200" x14ac:dyDescent="0.15"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</row>
    <row r="168" spans="2:200" x14ac:dyDescent="0.15"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</row>
    <row r="169" spans="2:200" x14ac:dyDescent="0.15"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</row>
    <row r="170" spans="2:200" x14ac:dyDescent="0.15"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</row>
    <row r="171" spans="2:200" x14ac:dyDescent="0.15"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</row>
    <row r="172" spans="2:200" x14ac:dyDescent="0.15"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</row>
    <row r="173" spans="2:200" x14ac:dyDescent="0.15"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</row>
    <row r="174" spans="2:200" x14ac:dyDescent="0.15"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</row>
    <row r="175" spans="2:200" x14ac:dyDescent="0.15"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</row>
    <row r="176" spans="2:200" x14ac:dyDescent="0.15"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</row>
    <row r="177" spans="2:200" x14ac:dyDescent="0.15"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</row>
    <row r="178" spans="2:200" x14ac:dyDescent="0.15"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</row>
    <row r="179" spans="2:200" x14ac:dyDescent="0.15"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</row>
    <row r="180" spans="2:200" x14ac:dyDescent="0.15"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</row>
    <row r="181" spans="2:200" x14ac:dyDescent="0.15"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</row>
    <row r="182" spans="2:200" x14ac:dyDescent="0.15"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</row>
    <row r="183" spans="2:200" x14ac:dyDescent="0.15"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</row>
    <row r="184" spans="2:200" x14ac:dyDescent="0.15"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</row>
    <row r="185" spans="2:200" x14ac:dyDescent="0.15"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</row>
    <row r="186" spans="2:200" x14ac:dyDescent="0.15"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</row>
    <row r="187" spans="2:200" x14ac:dyDescent="0.15"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</row>
    <row r="188" spans="2:200" x14ac:dyDescent="0.15"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</row>
    <row r="189" spans="2:200" x14ac:dyDescent="0.15"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</row>
    <row r="190" spans="2:200" x14ac:dyDescent="0.15"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</row>
    <row r="191" spans="2:200" x14ac:dyDescent="0.15"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</row>
    <row r="192" spans="2:200" x14ac:dyDescent="0.15"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</row>
    <row r="193" spans="2:200" x14ac:dyDescent="0.15"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</row>
    <row r="194" spans="2:200" x14ac:dyDescent="0.15"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</row>
    <row r="195" spans="2:200" x14ac:dyDescent="0.15"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</row>
    <row r="196" spans="2:200" x14ac:dyDescent="0.15"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</row>
    <row r="197" spans="2:200" x14ac:dyDescent="0.15"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</row>
    <row r="198" spans="2:200" x14ac:dyDescent="0.15"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</row>
    <row r="199" spans="2:200" x14ac:dyDescent="0.15"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</row>
    <row r="200" spans="2:200" x14ac:dyDescent="0.15"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</row>
    <row r="201" spans="2:200" x14ac:dyDescent="0.15"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</row>
    <row r="202" spans="2:200" x14ac:dyDescent="0.15"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</row>
    <row r="203" spans="2:200" x14ac:dyDescent="0.15"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</row>
    <row r="204" spans="2:200" x14ac:dyDescent="0.15"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</row>
    <row r="205" spans="2:200" x14ac:dyDescent="0.15"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</row>
    <row r="206" spans="2:200" x14ac:dyDescent="0.15"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</row>
    <row r="207" spans="2:200" x14ac:dyDescent="0.15"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</row>
    <row r="208" spans="2:200" x14ac:dyDescent="0.15"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</row>
    <row r="209" spans="2:200" x14ac:dyDescent="0.15"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</row>
    <row r="210" spans="2:200" x14ac:dyDescent="0.15"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</row>
    <row r="211" spans="2:200" x14ac:dyDescent="0.15"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</row>
    <row r="212" spans="2:200" x14ac:dyDescent="0.15"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</row>
    <row r="213" spans="2:200" x14ac:dyDescent="0.15"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</row>
    <row r="214" spans="2:200" x14ac:dyDescent="0.15"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</row>
    <row r="215" spans="2:200" x14ac:dyDescent="0.15"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</row>
    <row r="216" spans="2:200" x14ac:dyDescent="0.15"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1"/>
      <c r="BO216" s="11"/>
      <c r="BP216" s="11"/>
      <c r="BQ216" s="11"/>
      <c r="BR216" s="11"/>
      <c r="BS216" s="11"/>
      <c r="BT216" s="11"/>
      <c r="BU216" s="11"/>
      <c r="BV216" s="11"/>
      <c r="BW216" s="11"/>
      <c r="BX216" s="11"/>
      <c r="BY216" s="11"/>
      <c r="BZ216" s="11"/>
      <c r="CA216" s="11"/>
      <c r="CB216" s="11"/>
      <c r="CC216" s="11"/>
      <c r="CD216" s="11"/>
      <c r="CE216" s="11"/>
      <c r="CF216" s="11"/>
      <c r="CG216" s="11"/>
      <c r="CH216" s="11"/>
      <c r="CI216" s="11"/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11"/>
      <c r="CW216" s="11"/>
      <c r="CX216" s="11"/>
      <c r="CY216" s="11"/>
      <c r="CZ216" s="11"/>
      <c r="DA216" s="11"/>
      <c r="DB216" s="11"/>
      <c r="DC216" s="11"/>
      <c r="DD216" s="11"/>
      <c r="DE216" s="11"/>
      <c r="DF216" s="11"/>
      <c r="DG216" s="11"/>
      <c r="DH216" s="11"/>
      <c r="DI216" s="11"/>
      <c r="DJ216" s="11"/>
      <c r="DK216" s="11"/>
      <c r="DL216" s="11"/>
      <c r="DM216" s="11"/>
      <c r="DN216" s="11"/>
      <c r="DO216" s="11"/>
      <c r="DP216" s="11"/>
      <c r="DQ216" s="11"/>
      <c r="DR216" s="11"/>
      <c r="DS216" s="11"/>
      <c r="DT216" s="11"/>
      <c r="DU216" s="11"/>
      <c r="DV216" s="11"/>
      <c r="DW216" s="11"/>
      <c r="DX216" s="11"/>
      <c r="DY216" s="11"/>
      <c r="DZ216" s="11"/>
      <c r="EA216" s="11"/>
      <c r="EB216" s="11"/>
      <c r="EC216" s="11"/>
      <c r="ED216" s="11"/>
      <c r="EE216" s="11"/>
      <c r="EF216" s="11"/>
      <c r="EG216" s="11"/>
      <c r="EH216" s="11"/>
      <c r="EI216" s="11"/>
      <c r="EJ216" s="11"/>
      <c r="EK216" s="11"/>
      <c r="EL216" s="11"/>
      <c r="EM216" s="11"/>
      <c r="EN216" s="11"/>
      <c r="EO216" s="11"/>
      <c r="EP216" s="11"/>
      <c r="EQ216" s="11"/>
      <c r="ER216" s="11"/>
      <c r="ES216" s="11"/>
      <c r="ET216" s="11"/>
      <c r="EU216" s="11"/>
      <c r="EV216" s="11"/>
      <c r="EW216" s="11"/>
      <c r="EX216" s="11"/>
      <c r="EY216" s="11"/>
      <c r="EZ216" s="11"/>
      <c r="FA216" s="11"/>
      <c r="FB216" s="11"/>
      <c r="FC216" s="11"/>
      <c r="FD216" s="11"/>
      <c r="FE216" s="11"/>
      <c r="FF216" s="11"/>
      <c r="FG216" s="11"/>
      <c r="FH216" s="11"/>
      <c r="FI216" s="11"/>
      <c r="FJ216" s="11"/>
      <c r="FK216" s="11"/>
      <c r="FL216" s="11"/>
      <c r="FM216" s="11"/>
      <c r="FN216" s="11"/>
      <c r="FO216" s="11"/>
      <c r="FP216" s="11"/>
      <c r="FQ216" s="11"/>
      <c r="FR216" s="11"/>
      <c r="FS216" s="11"/>
      <c r="FT216" s="11"/>
      <c r="FU216" s="11"/>
      <c r="FV216" s="11"/>
      <c r="FW216" s="11"/>
      <c r="FX216" s="11"/>
      <c r="FY216" s="11"/>
      <c r="FZ216" s="11"/>
      <c r="GA216" s="11"/>
      <c r="GB216" s="11"/>
      <c r="GC216" s="11"/>
      <c r="GD216" s="11"/>
      <c r="GE216" s="11"/>
      <c r="GF216" s="11"/>
      <c r="GG216" s="11"/>
      <c r="GH216" s="11"/>
      <c r="GI216" s="11"/>
      <c r="GJ216" s="11"/>
      <c r="GK216" s="11"/>
      <c r="GL216" s="11"/>
      <c r="GM216" s="11"/>
      <c r="GN216" s="11"/>
      <c r="GO216" s="11"/>
      <c r="GP216" s="11"/>
      <c r="GQ216" s="11"/>
      <c r="GR216" s="11"/>
    </row>
    <row r="217" spans="2:200" x14ac:dyDescent="0.15"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1"/>
      <c r="BO217" s="11"/>
      <c r="BP217" s="11"/>
      <c r="BQ217" s="11"/>
      <c r="BR217" s="11"/>
      <c r="BS217" s="11"/>
      <c r="BT217" s="11"/>
      <c r="BU217" s="11"/>
      <c r="BV217" s="11"/>
      <c r="BW217" s="11"/>
      <c r="BX217" s="11"/>
      <c r="BY217" s="11"/>
      <c r="BZ217" s="11"/>
      <c r="CA217" s="11"/>
      <c r="CB217" s="11"/>
      <c r="CC217" s="11"/>
      <c r="CD217" s="11"/>
      <c r="CE217" s="11"/>
      <c r="CF217" s="11"/>
      <c r="CG217" s="11"/>
      <c r="CH217" s="11"/>
      <c r="CI217" s="11"/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11"/>
      <c r="CW217" s="11"/>
      <c r="CX217" s="11"/>
      <c r="CY217" s="11"/>
      <c r="CZ217" s="11"/>
      <c r="DA217" s="11"/>
      <c r="DB217" s="11"/>
      <c r="DC217" s="11"/>
      <c r="DD217" s="11"/>
      <c r="DE217" s="11"/>
      <c r="DF217" s="11"/>
      <c r="DG217" s="11"/>
      <c r="DH217" s="11"/>
      <c r="DI217" s="11"/>
      <c r="DJ217" s="11"/>
      <c r="DK217" s="11"/>
      <c r="DL217" s="11"/>
      <c r="DM217" s="11"/>
      <c r="DN217" s="11"/>
      <c r="DO217" s="11"/>
      <c r="DP217" s="11"/>
      <c r="DQ217" s="11"/>
      <c r="DR217" s="11"/>
      <c r="DS217" s="11"/>
      <c r="DT217" s="11"/>
      <c r="DU217" s="11"/>
      <c r="DV217" s="11"/>
      <c r="DW217" s="11"/>
      <c r="DX217" s="11"/>
      <c r="DY217" s="11"/>
      <c r="DZ217" s="11"/>
      <c r="EA217" s="11"/>
      <c r="EB217" s="11"/>
      <c r="EC217" s="11"/>
      <c r="ED217" s="11"/>
      <c r="EE217" s="11"/>
      <c r="EF217" s="11"/>
      <c r="EG217" s="11"/>
      <c r="EH217" s="11"/>
      <c r="EI217" s="11"/>
      <c r="EJ217" s="11"/>
      <c r="EK217" s="11"/>
      <c r="EL217" s="11"/>
      <c r="EM217" s="11"/>
      <c r="EN217" s="11"/>
      <c r="EO217" s="11"/>
      <c r="EP217" s="11"/>
      <c r="EQ217" s="11"/>
      <c r="ER217" s="11"/>
      <c r="ES217" s="11"/>
      <c r="ET217" s="11"/>
      <c r="EU217" s="11"/>
      <c r="EV217" s="11"/>
      <c r="EW217" s="11"/>
      <c r="EX217" s="11"/>
      <c r="EY217" s="11"/>
      <c r="EZ217" s="11"/>
      <c r="FA217" s="11"/>
      <c r="FB217" s="11"/>
      <c r="FC217" s="11"/>
      <c r="FD217" s="11"/>
      <c r="FE217" s="11"/>
      <c r="FF217" s="11"/>
      <c r="FG217" s="11"/>
      <c r="FH217" s="11"/>
      <c r="FI217" s="11"/>
      <c r="FJ217" s="11"/>
      <c r="FK217" s="11"/>
      <c r="FL217" s="11"/>
      <c r="FM217" s="11"/>
      <c r="FN217" s="11"/>
      <c r="FO217" s="11"/>
      <c r="FP217" s="11"/>
      <c r="FQ217" s="11"/>
      <c r="FR217" s="11"/>
      <c r="FS217" s="11"/>
      <c r="FT217" s="11"/>
      <c r="FU217" s="11"/>
      <c r="FV217" s="11"/>
      <c r="FW217" s="11"/>
      <c r="FX217" s="11"/>
      <c r="FY217" s="11"/>
      <c r="FZ217" s="11"/>
      <c r="GA217" s="11"/>
      <c r="GB217" s="11"/>
      <c r="GC217" s="11"/>
      <c r="GD217" s="11"/>
      <c r="GE217" s="11"/>
      <c r="GF217" s="11"/>
      <c r="GG217" s="11"/>
      <c r="GH217" s="11"/>
      <c r="GI217" s="11"/>
      <c r="GJ217" s="11"/>
      <c r="GK217" s="11"/>
      <c r="GL217" s="11"/>
      <c r="GM217" s="11"/>
      <c r="GN217" s="11"/>
      <c r="GO217" s="11"/>
      <c r="GP217" s="11"/>
      <c r="GQ217" s="11"/>
      <c r="GR217" s="11"/>
    </row>
    <row r="218" spans="2:200" x14ac:dyDescent="0.15"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1"/>
      <c r="BO218" s="11"/>
      <c r="BP218" s="11"/>
      <c r="BQ218" s="11"/>
      <c r="BR218" s="11"/>
      <c r="BS218" s="11"/>
      <c r="BT218" s="11"/>
      <c r="BU218" s="11"/>
      <c r="BV218" s="11"/>
      <c r="BW218" s="11"/>
      <c r="BX218" s="11"/>
      <c r="BY218" s="11"/>
      <c r="BZ218" s="11"/>
      <c r="CA218" s="11"/>
      <c r="CB218" s="11"/>
      <c r="CC218" s="11"/>
      <c r="CD218" s="11"/>
      <c r="CE218" s="11"/>
      <c r="CF218" s="11"/>
      <c r="CG218" s="11"/>
      <c r="CH218" s="11"/>
      <c r="CI218" s="11"/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11"/>
      <c r="CW218" s="11"/>
      <c r="CX218" s="11"/>
      <c r="CY218" s="11"/>
      <c r="CZ218" s="11"/>
      <c r="DA218" s="11"/>
      <c r="DB218" s="11"/>
      <c r="DC218" s="11"/>
      <c r="DD218" s="11"/>
      <c r="DE218" s="11"/>
      <c r="DF218" s="11"/>
      <c r="DG218" s="11"/>
      <c r="DH218" s="11"/>
      <c r="DI218" s="11"/>
      <c r="DJ218" s="11"/>
      <c r="DK218" s="11"/>
      <c r="DL218" s="11"/>
      <c r="DM218" s="11"/>
      <c r="DN218" s="11"/>
      <c r="DO218" s="11"/>
      <c r="DP218" s="11"/>
      <c r="DQ218" s="11"/>
      <c r="DR218" s="11"/>
      <c r="DS218" s="11"/>
      <c r="DT218" s="11"/>
      <c r="DU218" s="11"/>
      <c r="DV218" s="11"/>
      <c r="DW218" s="11"/>
      <c r="DX218" s="11"/>
      <c r="DY218" s="11"/>
      <c r="DZ218" s="11"/>
      <c r="EA218" s="11"/>
      <c r="EB218" s="11"/>
      <c r="EC218" s="11"/>
      <c r="ED218" s="11"/>
      <c r="EE218" s="11"/>
      <c r="EF218" s="11"/>
      <c r="EG218" s="11"/>
      <c r="EH218" s="11"/>
      <c r="EI218" s="11"/>
      <c r="EJ218" s="11"/>
      <c r="EK218" s="11"/>
      <c r="EL218" s="11"/>
      <c r="EM218" s="11"/>
      <c r="EN218" s="11"/>
      <c r="EO218" s="11"/>
      <c r="EP218" s="11"/>
      <c r="EQ218" s="11"/>
      <c r="ER218" s="11"/>
      <c r="ES218" s="11"/>
      <c r="ET218" s="11"/>
      <c r="EU218" s="11"/>
      <c r="EV218" s="11"/>
      <c r="EW218" s="11"/>
      <c r="EX218" s="11"/>
      <c r="EY218" s="11"/>
      <c r="EZ218" s="11"/>
      <c r="FA218" s="11"/>
      <c r="FB218" s="11"/>
      <c r="FC218" s="11"/>
      <c r="FD218" s="11"/>
      <c r="FE218" s="11"/>
      <c r="FF218" s="11"/>
      <c r="FG218" s="11"/>
      <c r="FH218" s="11"/>
      <c r="FI218" s="11"/>
      <c r="FJ218" s="11"/>
      <c r="FK218" s="11"/>
      <c r="FL218" s="11"/>
      <c r="FM218" s="11"/>
      <c r="FN218" s="11"/>
      <c r="FO218" s="11"/>
      <c r="FP218" s="11"/>
      <c r="FQ218" s="11"/>
      <c r="FR218" s="11"/>
      <c r="FS218" s="11"/>
      <c r="FT218" s="11"/>
      <c r="FU218" s="11"/>
      <c r="FV218" s="11"/>
      <c r="FW218" s="11"/>
      <c r="FX218" s="11"/>
      <c r="FY218" s="11"/>
      <c r="FZ218" s="11"/>
      <c r="GA218" s="11"/>
      <c r="GB218" s="11"/>
      <c r="GC218" s="11"/>
      <c r="GD218" s="11"/>
      <c r="GE218" s="11"/>
      <c r="GF218" s="11"/>
      <c r="GG218" s="11"/>
      <c r="GH218" s="11"/>
      <c r="GI218" s="11"/>
      <c r="GJ218" s="11"/>
      <c r="GK218" s="11"/>
      <c r="GL218" s="11"/>
      <c r="GM218" s="11"/>
      <c r="GN218" s="11"/>
      <c r="GO218" s="11"/>
      <c r="GP218" s="11"/>
      <c r="GQ218" s="11"/>
      <c r="GR218" s="11"/>
    </row>
    <row r="219" spans="2:200" x14ac:dyDescent="0.15"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1"/>
      <c r="BO219" s="11"/>
      <c r="BP219" s="11"/>
      <c r="BQ219" s="11"/>
      <c r="BR219" s="11"/>
      <c r="BS219" s="11"/>
      <c r="BT219" s="11"/>
      <c r="BU219" s="11"/>
      <c r="BV219" s="11"/>
      <c r="BW219" s="11"/>
      <c r="BX219" s="11"/>
      <c r="BY219" s="11"/>
      <c r="BZ219" s="11"/>
      <c r="CA219" s="11"/>
      <c r="CB219" s="11"/>
      <c r="CC219" s="11"/>
      <c r="CD219" s="11"/>
      <c r="CE219" s="11"/>
      <c r="CF219" s="11"/>
      <c r="CG219" s="11"/>
      <c r="CH219" s="11"/>
      <c r="CI219" s="11"/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11"/>
      <c r="CW219" s="11"/>
      <c r="CX219" s="11"/>
      <c r="CY219" s="11"/>
      <c r="CZ219" s="11"/>
      <c r="DA219" s="11"/>
      <c r="DB219" s="11"/>
      <c r="DC219" s="11"/>
      <c r="DD219" s="11"/>
      <c r="DE219" s="11"/>
      <c r="DF219" s="11"/>
      <c r="DG219" s="11"/>
      <c r="DH219" s="11"/>
      <c r="DI219" s="11"/>
      <c r="DJ219" s="11"/>
      <c r="DK219" s="11"/>
      <c r="DL219" s="11"/>
      <c r="DM219" s="11"/>
      <c r="DN219" s="11"/>
      <c r="DO219" s="11"/>
      <c r="DP219" s="11"/>
      <c r="DQ219" s="11"/>
      <c r="DR219" s="11"/>
      <c r="DS219" s="11"/>
      <c r="DT219" s="11"/>
      <c r="DU219" s="11"/>
      <c r="DV219" s="11"/>
      <c r="DW219" s="11"/>
      <c r="DX219" s="11"/>
      <c r="DY219" s="11"/>
      <c r="DZ219" s="11"/>
      <c r="EA219" s="11"/>
      <c r="EB219" s="11"/>
      <c r="EC219" s="11"/>
      <c r="ED219" s="11"/>
      <c r="EE219" s="11"/>
      <c r="EF219" s="11"/>
      <c r="EG219" s="11"/>
      <c r="EH219" s="11"/>
      <c r="EI219" s="11"/>
      <c r="EJ219" s="11"/>
      <c r="EK219" s="11"/>
      <c r="EL219" s="11"/>
      <c r="EM219" s="11"/>
      <c r="EN219" s="11"/>
      <c r="EO219" s="11"/>
      <c r="EP219" s="11"/>
      <c r="EQ219" s="11"/>
      <c r="ER219" s="11"/>
      <c r="ES219" s="11"/>
      <c r="ET219" s="11"/>
      <c r="EU219" s="11"/>
      <c r="EV219" s="11"/>
      <c r="EW219" s="11"/>
      <c r="EX219" s="11"/>
      <c r="EY219" s="11"/>
      <c r="EZ219" s="11"/>
      <c r="FA219" s="11"/>
      <c r="FB219" s="11"/>
      <c r="FC219" s="11"/>
      <c r="FD219" s="11"/>
      <c r="FE219" s="11"/>
      <c r="FF219" s="11"/>
      <c r="FG219" s="11"/>
      <c r="FH219" s="11"/>
      <c r="FI219" s="11"/>
      <c r="FJ219" s="11"/>
      <c r="FK219" s="11"/>
      <c r="FL219" s="11"/>
      <c r="FM219" s="11"/>
      <c r="FN219" s="11"/>
      <c r="FO219" s="11"/>
      <c r="FP219" s="11"/>
      <c r="FQ219" s="11"/>
      <c r="FR219" s="11"/>
      <c r="FS219" s="11"/>
      <c r="FT219" s="11"/>
      <c r="FU219" s="11"/>
      <c r="FV219" s="11"/>
      <c r="FW219" s="11"/>
      <c r="FX219" s="11"/>
      <c r="FY219" s="11"/>
      <c r="FZ219" s="11"/>
      <c r="GA219" s="11"/>
      <c r="GB219" s="11"/>
      <c r="GC219" s="11"/>
      <c r="GD219" s="11"/>
      <c r="GE219" s="11"/>
      <c r="GF219" s="11"/>
      <c r="GG219" s="11"/>
      <c r="GH219" s="11"/>
      <c r="GI219" s="11"/>
      <c r="GJ219" s="11"/>
      <c r="GK219" s="11"/>
      <c r="GL219" s="11"/>
      <c r="GM219" s="11"/>
      <c r="GN219" s="11"/>
      <c r="GO219" s="11"/>
      <c r="GP219" s="11"/>
      <c r="GQ219" s="11"/>
      <c r="GR219" s="11"/>
    </row>
    <row r="220" spans="2:200" x14ac:dyDescent="0.15"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11"/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11"/>
      <c r="CW220" s="11"/>
      <c r="CX220" s="11"/>
      <c r="CY220" s="11"/>
      <c r="CZ220" s="11"/>
      <c r="DA220" s="11"/>
      <c r="DB220" s="11"/>
      <c r="DC220" s="11"/>
      <c r="DD220" s="11"/>
      <c r="DE220" s="11"/>
      <c r="DF220" s="11"/>
      <c r="DG220" s="11"/>
      <c r="DH220" s="11"/>
      <c r="DI220" s="11"/>
      <c r="DJ220" s="11"/>
      <c r="DK220" s="11"/>
      <c r="DL220" s="11"/>
      <c r="DM220" s="11"/>
      <c r="DN220" s="11"/>
      <c r="DO220" s="11"/>
      <c r="DP220" s="11"/>
      <c r="DQ220" s="11"/>
      <c r="DR220" s="11"/>
      <c r="DS220" s="11"/>
      <c r="DT220" s="11"/>
      <c r="DU220" s="11"/>
      <c r="DV220" s="11"/>
      <c r="DW220" s="11"/>
      <c r="DX220" s="11"/>
      <c r="DY220" s="11"/>
      <c r="DZ220" s="11"/>
      <c r="EA220" s="11"/>
      <c r="EB220" s="11"/>
      <c r="EC220" s="11"/>
      <c r="ED220" s="11"/>
      <c r="EE220" s="11"/>
      <c r="EF220" s="11"/>
      <c r="EG220" s="11"/>
      <c r="EH220" s="11"/>
      <c r="EI220" s="11"/>
      <c r="EJ220" s="11"/>
      <c r="EK220" s="11"/>
      <c r="EL220" s="11"/>
      <c r="EM220" s="11"/>
      <c r="EN220" s="11"/>
      <c r="EO220" s="11"/>
      <c r="EP220" s="11"/>
      <c r="EQ220" s="11"/>
      <c r="ER220" s="11"/>
      <c r="ES220" s="11"/>
      <c r="ET220" s="11"/>
      <c r="EU220" s="11"/>
      <c r="EV220" s="11"/>
      <c r="EW220" s="11"/>
      <c r="EX220" s="11"/>
      <c r="EY220" s="11"/>
      <c r="EZ220" s="11"/>
      <c r="FA220" s="11"/>
      <c r="FB220" s="11"/>
      <c r="FC220" s="11"/>
      <c r="FD220" s="11"/>
      <c r="FE220" s="11"/>
      <c r="FF220" s="11"/>
      <c r="FG220" s="11"/>
      <c r="FH220" s="11"/>
      <c r="FI220" s="11"/>
      <c r="FJ220" s="11"/>
      <c r="FK220" s="11"/>
      <c r="FL220" s="11"/>
      <c r="FM220" s="11"/>
      <c r="FN220" s="11"/>
      <c r="FO220" s="11"/>
      <c r="FP220" s="11"/>
      <c r="FQ220" s="11"/>
      <c r="FR220" s="11"/>
      <c r="FS220" s="11"/>
      <c r="FT220" s="11"/>
      <c r="FU220" s="11"/>
      <c r="FV220" s="11"/>
      <c r="FW220" s="11"/>
      <c r="FX220" s="11"/>
      <c r="FY220" s="11"/>
      <c r="FZ220" s="11"/>
      <c r="GA220" s="11"/>
      <c r="GB220" s="11"/>
      <c r="GC220" s="11"/>
      <c r="GD220" s="11"/>
      <c r="GE220" s="11"/>
      <c r="GF220" s="11"/>
      <c r="GG220" s="11"/>
      <c r="GH220" s="11"/>
      <c r="GI220" s="11"/>
      <c r="GJ220" s="11"/>
      <c r="GK220" s="11"/>
      <c r="GL220" s="11"/>
      <c r="GM220" s="11"/>
      <c r="GN220" s="11"/>
      <c r="GO220" s="11"/>
      <c r="GP220" s="11"/>
      <c r="GQ220" s="11"/>
      <c r="GR220" s="11"/>
    </row>
    <row r="221" spans="2:200" x14ac:dyDescent="0.15"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11"/>
      <c r="CI221" s="11"/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11"/>
      <c r="CW221" s="11"/>
      <c r="CX221" s="11"/>
      <c r="CY221" s="11"/>
      <c r="CZ221" s="11"/>
      <c r="DA221" s="11"/>
      <c r="DB221" s="11"/>
      <c r="DC221" s="11"/>
      <c r="DD221" s="11"/>
      <c r="DE221" s="11"/>
      <c r="DF221" s="11"/>
      <c r="DG221" s="11"/>
      <c r="DH221" s="11"/>
      <c r="DI221" s="11"/>
      <c r="DJ221" s="11"/>
      <c r="DK221" s="11"/>
      <c r="DL221" s="11"/>
      <c r="DM221" s="11"/>
      <c r="DN221" s="11"/>
      <c r="DO221" s="11"/>
      <c r="DP221" s="11"/>
      <c r="DQ221" s="11"/>
      <c r="DR221" s="11"/>
      <c r="DS221" s="11"/>
      <c r="DT221" s="11"/>
      <c r="DU221" s="11"/>
      <c r="DV221" s="11"/>
      <c r="DW221" s="11"/>
      <c r="DX221" s="11"/>
      <c r="DY221" s="11"/>
      <c r="DZ221" s="11"/>
      <c r="EA221" s="11"/>
      <c r="EB221" s="11"/>
      <c r="EC221" s="11"/>
      <c r="ED221" s="11"/>
      <c r="EE221" s="11"/>
      <c r="EF221" s="11"/>
      <c r="EG221" s="11"/>
      <c r="EH221" s="11"/>
      <c r="EI221" s="11"/>
      <c r="EJ221" s="11"/>
      <c r="EK221" s="11"/>
      <c r="EL221" s="11"/>
      <c r="EM221" s="11"/>
      <c r="EN221" s="11"/>
      <c r="EO221" s="11"/>
      <c r="EP221" s="11"/>
      <c r="EQ221" s="11"/>
      <c r="ER221" s="11"/>
      <c r="ES221" s="11"/>
      <c r="ET221" s="11"/>
      <c r="EU221" s="11"/>
      <c r="EV221" s="11"/>
      <c r="EW221" s="11"/>
      <c r="EX221" s="11"/>
      <c r="EY221" s="11"/>
      <c r="EZ221" s="11"/>
      <c r="FA221" s="11"/>
      <c r="FB221" s="11"/>
      <c r="FC221" s="11"/>
      <c r="FD221" s="11"/>
      <c r="FE221" s="11"/>
      <c r="FF221" s="11"/>
      <c r="FG221" s="11"/>
      <c r="FH221" s="11"/>
      <c r="FI221" s="11"/>
      <c r="FJ221" s="11"/>
      <c r="FK221" s="11"/>
      <c r="FL221" s="11"/>
      <c r="FM221" s="11"/>
      <c r="FN221" s="11"/>
      <c r="FO221" s="11"/>
      <c r="FP221" s="11"/>
      <c r="FQ221" s="11"/>
      <c r="FR221" s="11"/>
      <c r="FS221" s="11"/>
      <c r="FT221" s="11"/>
      <c r="FU221" s="11"/>
      <c r="FV221" s="11"/>
      <c r="FW221" s="11"/>
      <c r="FX221" s="11"/>
      <c r="FY221" s="11"/>
      <c r="FZ221" s="11"/>
      <c r="GA221" s="11"/>
      <c r="GB221" s="11"/>
      <c r="GC221" s="11"/>
      <c r="GD221" s="11"/>
      <c r="GE221" s="11"/>
      <c r="GF221" s="11"/>
      <c r="GG221" s="11"/>
      <c r="GH221" s="11"/>
      <c r="GI221" s="11"/>
      <c r="GJ221" s="11"/>
      <c r="GK221" s="11"/>
      <c r="GL221" s="11"/>
      <c r="GM221" s="11"/>
      <c r="GN221" s="11"/>
      <c r="GO221" s="11"/>
      <c r="GP221" s="11"/>
      <c r="GQ221" s="11"/>
      <c r="GR221" s="11"/>
    </row>
    <row r="222" spans="2:200" x14ac:dyDescent="0.15"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1"/>
      <c r="BO222" s="11"/>
      <c r="BP222" s="11"/>
      <c r="BQ222" s="11"/>
      <c r="BR222" s="11"/>
      <c r="BS222" s="11"/>
      <c r="BT222" s="11"/>
      <c r="BU222" s="11"/>
      <c r="BV222" s="11"/>
      <c r="BW222" s="11"/>
      <c r="BX222" s="11"/>
      <c r="BY222" s="11"/>
      <c r="BZ222" s="11"/>
      <c r="CA222" s="11"/>
      <c r="CB222" s="11"/>
      <c r="CC222" s="11"/>
      <c r="CD222" s="11"/>
      <c r="CE222" s="11"/>
      <c r="CF222" s="11"/>
      <c r="CG222" s="11"/>
      <c r="CH222" s="11"/>
      <c r="CI222" s="11"/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11"/>
      <c r="CW222" s="11"/>
      <c r="CX222" s="11"/>
      <c r="CY222" s="11"/>
      <c r="CZ222" s="11"/>
      <c r="DA222" s="11"/>
      <c r="DB222" s="11"/>
      <c r="DC222" s="11"/>
      <c r="DD222" s="11"/>
      <c r="DE222" s="11"/>
      <c r="DF222" s="11"/>
      <c r="DG222" s="11"/>
      <c r="DH222" s="11"/>
      <c r="DI222" s="11"/>
      <c r="DJ222" s="11"/>
      <c r="DK222" s="11"/>
      <c r="DL222" s="11"/>
      <c r="DM222" s="11"/>
      <c r="DN222" s="11"/>
      <c r="DO222" s="11"/>
      <c r="DP222" s="11"/>
      <c r="DQ222" s="11"/>
      <c r="DR222" s="11"/>
      <c r="DS222" s="11"/>
      <c r="DT222" s="11"/>
      <c r="DU222" s="11"/>
      <c r="DV222" s="11"/>
      <c r="DW222" s="11"/>
      <c r="DX222" s="11"/>
      <c r="DY222" s="11"/>
      <c r="DZ222" s="11"/>
      <c r="EA222" s="11"/>
      <c r="EB222" s="11"/>
      <c r="EC222" s="11"/>
      <c r="ED222" s="11"/>
      <c r="EE222" s="11"/>
      <c r="EF222" s="11"/>
      <c r="EG222" s="11"/>
      <c r="EH222" s="11"/>
      <c r="EI222" s="11"/>
      <c r="EJ222" s="11"/>
      <c r="EK222" s="11"/>
      <c r="EL222" s="11"/>
      <c r="EM222" s="11"/>
      <c r="EN222" s="11"/>
      <c r="EO222" s="11"/>
      <c r="EP222" s="11"/>
      <c r="EQ222" s="11"/>
      <c r="ER222" s="11"/>
      <c r="ES222" s="11"/>
      <c r="ET222" s="11"/>
      <c r="EU222" s="11"/>
      <c r="EV222" s="11"/>
      <c r="EW222" s="11"/>
      <c r="EX222" s="11"/>
      <c r="EY222" s="11"/>
      <c r="EZ222" s="11"/>
      <c r="FA222" s="11"/>
      <c r="FB222" s="11"/>
      <c r="FC222" s="11"/>
      <c r="FD222" s="11"/>
      <c r="FE222" s="11"/>
      <c r="FF222" s="11"/>
      <c r="FG222" s="11"/>
      <c r="FH222" s="11"/>
      <c r="FI222" s="11"/>
      <c r="FJ222" s="11"/>
      <c r="FK222" s="11"/>
      <c r="FL222" s="11"/>
      <c r="FM222" s="11"/>
      <c r="FN222" s="11"/>
      <c r="FO222" s="11"/>
      <c r="FP222" s="11"/>
      <c r="FQ222" s="11"/>
      <c r="FR222" s="11"/>
      <c r="FS222" s="11"/>
      <c r="FT222" s="11"/>
      <c r="FU222" s="11"/>
      <c r="FV222" s="11"/>
      <c r="FW222" s="11"/>
      <c r="FX222" s="11"/>
      <c r="FY222" s="11"/>
      <c r="FZ222" s="11"/>
      <c r="GA222" s="11"/>
      <c r="GB222" s="11"/>
      <c r="GC222" s="11"/>
      <c r="GD222" s="11"/>
      <c r="GE222" s="11"/>
      <c r="GF222" s="11"/>
      <c r="GG222" s="11"/>
      <c r="GH222" s="11"/>
      <c r="GI222" s="11"/>
      <c r="GJ222" s="11"/>
      <c r="GK222" s="11"/>
      <c r="GL222" s="11"/>
      <c r="GM222" s="11"/>
      <c r="GN222" s="11"/>
      <c r="GO222" s="11"/>
      <c r="GP222" s="11"/>
      <c r="GQ222" s="11"/>
      <c r="GR222" s="11"/>
    </row>
    <row r="223" spans="2:200" x14ac:dyDescent="0.15"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1"/>
      <c r="BO223" s="11"/>
      <c r="BP223" s="11"/>
      <c r="BQ223" s="11"/>
      <c r="BR223" s="11"/>
      <c r="BS223" s="11"/>
      <c r="BT223" s="11"/>
      <c r="BU223" s="11"/>
      <c r="BV223" s="11"/>
      <c r="BW223" s="11"/>
      <c r="BX223" s="11"/>
      <c r="BY223" s="11"/>
      <c r="BZ223" s="11"/>
      <c r="CA223" s="11"/>
      <c r="CB223" s="11"/>
      <c r="CC223" s="11"/>
      <c r="CD223" s="11"/>
      <c r="CE223" s="11"/>
      <c r="CF223" s="11"/>
      <c r="CG223" s="11"/>
      <c r="CH223" s="11"/>
      <c r="CI223" s="11"/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11"/>
      <c r="CW223" s="11"/>
      <c r="CX223" s="11"/>
      <c r="CY223" s="11"/>
      <c r="CZ223" s="11"/>
      <c r="DA223" s="11"/>
      <c r="DB223" s="11"/>
      <c r="DC223" s="11"/>
      <c r="DD223" s="11"/>
      <c r="DE223" s="11"/>
      <c r="DF223" s="11"/>
      <c r="DG223" s="11"/>
      <c r="DH223" s="11"/>
      <c r="DI223" s="11"/>
      <c r="DJ223" s="11"/>
      <c r="DK223" s="11"/>
      <c r="DL223" s="11"/>
      <c r="DM223" s="11"/>
      <c r="DN223" s="11"/>
      <c r="DO223" s="11"/>
      <c r="DP223" s="11"/>
      <c r="DQ223" s="11"/>
      <c r="DR223" s="11"/>
      <c r="DS223" s="11"/>
      <c r="DT223" s="11"/>
      <c r="DU223" s="11"/>
      <c r="DV223" s="11"/>
      <c r="DW223" s="11"/>
      <c r="DX223" s="11"/>
      <c r="DY223" s="11"/>
      <c r="DZ223" s="11"/>
      <c r="EA223" s="11"/>
      <c r="EB223" s="11"/>
      <c r="EC223" s="11"/>
      <c r="ED223" s="11"/>
      <c r="EE223" s="11"/>
      <c r="EF223" s="11"/>
      <c r="EG223" s="11"/>
      <c r="EH223" s="11"/>
      <c r="EI223" s="11"/>
      <c r="EJ223" s="11"/>
      <c r="EK223" s="11"/>
      <c r="EL223" s="11"/>
      <c r="EM223" s="11"/>
      <c r="EN223" s="11"/>
      <c r="EO223" s="11"/>
      <c r="EP223" s="11"/>
      <c r="EQ223" s="11"/>
      <c r="ER223" s="11"/>
      <c r="ES223" s="11"/>
      <c r="ET223" s="11"/>
      <c r="EU223" s="11"/>
      <c r="EV223" s="11"/>
      <c r="EW223" s="11"/>
      <c r="EX223" s="11"/>
      <c r="EY223" s="11"/>
      <c r="EZ223" s="11"/>
      <c r="FA223" s="11"/>
      <c r="FB223" s="11"/>
      <c r="FC223" s="11"/>
      <c r="FD223" s="11"/>
      <c r="FE223" s="11"/>
      <c r="FF223" s="11"/>
      <c r="FG223" s="11"/>
      <c r="FH223" s="11"/>
      <c r="FI223" s="11"/>
      <c r="FJ223" s="11"/>
      <c r="FK223" s="11"/>
      <c r="FL223" s="11"/>
      <c r="FM223" s="11"/>
      <c r="FN223" s="11"/>
      <c r="FO223" s="11"/>
      <c r="FP223" s="11"/>
      <c r="FQ223" s="11"/>
      <c r="FR223" s="11"/>
      <c r="FS223" s="11"/>
      <c r="FT223" s="11"/>
      <c r="FU223" s="11"/>
      <c r="FV223" s="11"/>
      <c r="FW223" s="11"/>
      <c r="FX223" s="11"/>
      <c r="FY223" s="11"/>
      <c r="FZ223" s="11"/>
      <c r="GA223" s="11"/>
      <c r="GB223" s="11"/>
      <c r="GC223" s="11"/>
      <c r="GD223" s="11"/>
      <c r="GE223" s="11"/>
      <c r="GF223" s="11"/>
      <c r="GG223" s="11"/>
      <c r="GH223" s="11"/>
      <c r="GI223" s="11"/>
      <c r="GJ223" s="11"/>
      <c r="GK223" s="11"/>
      <c r="GL223" s="11"/>
      <c r="GM223" s="11"/>
      <c r="GN223" s="11"/>
      <c r="GO223" s="11"/>
      <c r="GP223" s="11"/>
      <c r="GQ223" s="11"/>
      <c r="GR223" s="11"/>
    </row>
    <row r="224" spans="2:200" x14ac:dyDescent="0.15"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1"/>
      <c r="BO224" s="11"/>
      <c r="BP224" s="11"/>
      <c r="BQ224" s="11"/>
      <c r="BR224" s="11"/>
      <c r="BS224" s="11"/>
      <c r="BT224" s="11"/>
      <c r="BU224" s="11"/>
      <c r="BV224" s="11"/>
      <c r="BW224" s="11"/>
      <c r="BX224" s="11"/>
      <c r="BY224" s="11"/>
      <c r="BZ224" s="11"/>
      <c r="CA224" s="11"/>
      <c r="CB224" s="11"/>
      <c r="CC224" s="11"/>
      <c r="CD224" s="11"/>
      <c r="CE224" s="11"/>
      <c r="CF224" s="11"/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11"/>
      <c r="CV224" s="11"/>
      <c r="CW224" s="11"/>
      <c r="CX224" s="11"/>
      <c r="CY224" s="11"/>
      <c r="CZ224" s="11"/>
      <c r="DA224" s="11"/>
      <c r="DB224" s="11"/>
      <c r="DC224" s="11"/>
      <c r="DD224" s="11"/>
      <c r="DE224" s="11"/>
      <c r="DF224" s="11"/>
      <c r="DG224" s="11"/>
      <c r="DH224" s="11"/>
      <c r="DI224" s="11"/>
      <c r="DJ224" s="11"/>
      <c r="DK224" s="11"/>
      <c r="DL224" s="11"/>
      <c r="DM224" s="11"/>
      <c r="DN224" s="11"/>
      <c r="DO224" s="11"/>
      <c r="DP224" s="11"/>
      <c r="DQ224" s="11"/>
      <c r="DR224" s="11"/>
      <c r="DS224" s="11"/>
      <c r="DT224" s="11"/>
      <c r="DU224" s="11"/>
      <c r="DV224" s="11"/>
      <c r="DW224" s="11"/>
      <c r="DX224" s="11"/>
      <c r="DY224" s="11"/>
      <c r="DZ224" s="11"/>
      <c r="EA224" s="11"/>
      <c r="EB224" s="11"/>
      <c r="EC224" s="11"/>
      <c r="ED224" s="11"/>
      <c r="EE224" s="11"/>
      <c r="EF224" s="11"/>
      <c r="EG224" s="11"/>
      <c r="EH224" s="11"/>
      <c r="EI224" s="11"/>
      <c r="EJ224" s="11"/>
      <c r="EK224" s="11"/>
      <c r="EL224" s="11"/>
      <c r="EM224" s="11"/>
      <c r="EN224" s="11"/>
      <c r="EO224" s="11"/>
      <c r="EP224" s="11"/>
      <c r="EQ224" s="11"/>
      <c r="ER224" s="11"/>
      <c r="ES224" s="11"/>
      <c r="ET224" s="11"/>
      <c r="EU224" s="11"/>
      <c r="EV224" s="11"/>
      <c r="EW224" s="11"/>
      <c r="EX224" s="11"/>
      <c r="EY224" s="11"/>
      <c r="EZ224" s="11"/>
      <c r="FA224" s="11"/>
      <c r="FB224" s="11"/>
      <c r="FC224" s="11"/>
      <c r="FD224" s="11"/>
      <c r="FE224" s="11"/>
      <c r="FF224" s="11"/>
      <c r="FG224" s="11"/>
      <c r="FH224" s="11"/>
      <c r="FI224" s="11"/>
      <c r="FJ224" s="11"/>
      <c r="FK224" s="11"/>
      <c r="FL224" s="11"/>
      <c r="FM224" s="11"/>
      <c r="FN224" s="11"/>
      <c r="FO224" s="11"/>
      <c r="FP224" s="11"/>
      <c r="FQ224" s="11"/>
      <c r="FR224" s="11"/>
      <c r="FS224" s="11"/>
      <c r="FT224" s="11"/>
      <c r="FU224" s="11"/>
      <c r="FV224" s="11"/>
      <c r="FW224" s="11"/>
      <c r="FX224" s="11"/>
      <c r="FY224" s="11"/>
      <c r="FZ224" s="11"/>
      <c r="GA224" s="11"/>
      <c r="GB224" s="11"/>
      <c r="GC224" s="11"/>
      <c r="GD224" s="11"/>
      <c r="GE224" s="11"/>
      <c r="GF224" s="11"/>
      <c r="GG224" s="11"/>
      <c r="GH224" s="11"/>
      <c r="GI224" s="11"/>
      <c r="GJ224" s="11"/>
      <c r="GK224" s="11"/>
      <c r="GL224" s="11"/>
      <c r="GM224" s="11"/>
      <c r="GN224" s="11"/>
      <c r="GO224" s="11"/>
      <c r="GP224" s="11"/>
      <c r="GQ224" s="11"/>
      <c r="GR224" s="11"/>
    </row>
    <row r="225" spans="2:200" x14ac:dyDescent="0.15"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1"/>
      <c r="BO225" s="11"/>
      <c r="BP225" s="11"/>
      <c r="BQ225" s="11"/>
      <c r="BR225" s="11"/>
      <c r="BS225" s="11"/>
      <c r="BT225" s="11"/>
      <c r="BU225" s="11"/>
      <c r="BV225" s="11"/>
      <c r="BW225" s="11"/>
      <c r="BX225" s="11"/>
      <c r="BY225" s="11"/>
      <c r="BZ225" s="11"/>
      <c r="CA225" s="11"/>
      <c r="CB225" s="11"/>
      <c r="CC225" s="11"/>
      <c r="CD225" s="11"/>
      <c r="CE225" s="11"/>
      <c r="CF225" s="11"/>
      <c r="CG225" s="11"/>
      <c r="CH225" s="11"/>
      <c r="CI225" s="11"/>
      <c r="CJ225" s="11"/>
      <c r="CK225" s="11"/>
      <c r="CL225" s="11"/>
      <c r="CM225" s="11"/>
      <c r="CN225" s="11"/>
      <c r="CO225" s="11"/>
      <c r="CP225" s="11"/>
      <c r="CQ225" s="11"/>
      <c r="CR225" s="11"/>
      <c r="CS225" s="11"/>
      <c r="CT225" s="11"/>
      <c r="CU225" s="11"/>
      <c r="CV225" s="11"/>
      <c r="CW225" s="11"/>
      <c r="CX225" s="11"/>
      <c r="CY225" s="11"/>
      <c r="CZ225" s="11"/>
      <c r="DA225" s="11"/>
      <c r="DB225" s="11"/>
      <c r="DC225" s="11"/>
      <c r="DD225" s="11"/>
      <c r="DE225" s="11"/>
      <c r="DF225" s="11"/>
      <c r="DG225" s="11"/>
      <c r="DH225" s="11"/>
      <c r="DI225" s="11"/>
      <c r="DJ225" s="11"/>
      <c r="DK225" s="11"/>
      <c r="DL225" s="11"/>
      <c r="DM225" s="11"/>
      <c r="DN225" s="11"/>
      <c r="DO225" s="11"/>
      <c r="DP225" s="11"/>
      <c r="DQ225" s="11"/>
      <c r="DR225" s="11"/>
      <c r="DS225" s="11"/>
      <c r="DT225" s="11"/>
      <c r="DU225" s="11"/>
      <c r="DV225" s="11"/>
      <c r="DW225" s="11"/>
      <c r="DX225" s="11"/>
      <c r="DY225" s="11"/>
      <c r="DZ225" s="11"/>
      <c r="EA225" s="11"/>
      <c r="EB225" s="11"/>
      <c r="EC225" s="11"/>
      <c r="ED225" s="11"/>
      <c r="EE225" s="11"/>
      <c r="EF225" s="11"/>
      <c r="EG225" s="11"/>
      <c r="EH225" s="11"/>
      <c r="EI225" s="11"/>
      <c r="EJ225" s="11"/>
      <c r="EK225" s="11"/>
      <c r="EL225" s="11"/>
      <c r="EM225" s="11"/>
      <c r="EN225" s="11"/>
      <c r="EO225" s="11"/>
      <c r="EP225" s="11"/>
      <c r="EQ225" s="11"/>
      <c r="ER225" s="11"/>
      <c r="ES225" s="11"/>
      <c r="ET225" s="11"/>
      <c r="EU225" s="11"/>
      <c r="EV225" s="11"/>
      <c r="EW225" s="11"/>
      <c r="EX225" s="11"/>
      <c r="EY225" s="11"/>
      <c r="EZ225" s="11"/>
      <c r="FA225" s="11"/>
      <c r="FB225" s="11"/>
      <c r="FC225" s="11"/>
      <c r="FD225" s="11"/>
      <c r="FE225" s="11"/>
      <c r="FF225" s="11"/>
      <c r="FG225" s="11"/>
      <c r="FH225" s="11"/>
      <c r="FI225" s="11"/>
      <c r="FJ225" s="11"/>
      <c r="FK225" s="11"/>
      <c r="FL225" s="11"/>
      <c r="FM225" s="11"/>
      <c r="FN225" s="11"/>
      <c r="FO225" s="11"/>
      <c r="FP225" s="11"/>
      <c r="FQ225" s="11"/>
      <c r="FR225" s="11"/>
      <c r="FS225" s="11"/>
      <c r="FT225" s="11"/>
      <c r="FU225" s="11"/>
      <c r="FV225" s="11"/>
      <c r="FW225" s="11"/>
      <c r="FX225" s="11"/>
      <c r="FY225" s="11"/>
      <c r="FZ225" s="11"/>
      <c r="GA225" s="11"/>
      <c r="GB225" s="11"/>
      <c r="GC225" s="11"/>
      <c r="GD225" s="11"/>
      <c r="GE225" s="11"/>
      <c r="GF225" s="11"/>
      <c r="GG225" s="11"/>
      <c r="GH225" s="11"/>
      <c r="GI225" s="11"/>
      <c r="GJ225" s="11"/>
      <c r="GK225" s="11"/>
      <c r="GL225" s="11"/>
      <c r="GM225" s="11"/>
      <c r="GN225" s="11"/>
      <c r="GO225" s="11"/>
      <c r="GP225" s="11"/>
      <c r="GQ225" s="11"/>
      <c r="GR225" s="11"/>
    </row>
    <row r="226" spans="2:200" x14ac:dyDescent="0.15"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1"/>
      <c r="BO226" s="11"/>
      <c r="BP226" s="11"/>
      <c r="BQ226" s="11"/>
      <c r="BR226" s="11"/>
      <c r="BS226" s="11"/>
      <c r="BT226" s="11"/>
      <c r="BU226" s="11"/>
      <c r="BV226" s="11"/>
      <c r="BW226" s="11"/>
      <c r="BX226" s="11"/>
      <c r="BY226" s="11"/>
      <c r="BZ226" s="11"/>
      <c r="CA226" s="11"/>
      <c r="CB226" s="11"/>
      <c r="CC226" s="11"/>
      <c r="CD226" s="11"/>
      <c r="CE226" s="11"/>
      <c r="CF226" s="11"/>
      <c r="CG226" s="11"/>
      <c r="CH226" s="11"/>
      <c r="CI226" s="11"/>
      <c r="CJ226" s="11"/>
      <c r="CK226" s="11"/>
      <c r="CL226" s="11"/>
      <c r="CM226" s="11"/>
      <c r="CN226" s="11"/>
      <c r="CO226" s="11"/>
      <c r="CP226" s="11"/>
      <c r="CQ226" s="11"/>
      <c r="CR226" s="11"/>
      <c r="CS226" s="11"/>
      <c r="CT226" s="11"/>
      <c r="CU226" s="11"/>
      <c r="CV226" s="11"/>
      <c r="CW226" s="11"/>
      <c r="CX226" s="11"/>
      <c r="CY226" s="11"/>
      <c r="CZ226" s="11"/>
      <c r="DA226" s="11"/>
      <c r="DB226" s="11"/>
      <c r="DC226" s="11"/>
      <c r="DD226" s="11"/>
      <c r="DE226" s="11"/>
      <c r="DF226" s="11"/>
      <c r="DG226" s="11"/>
      <c r="DH226" s="11"/>
      <c r="DI226" s="11"/>
      <c r="DJ226" s="11"/>
      <c r="DK226" s="11"/>
      <c r="DL226" s="11"/>
      <c r="DM226" s="11"/>
      <c r="DN226" s="11"/>
      <c r="DO226" s="11"/>
      <c r="DP226" s="11"/>
      <c r="DQ226" s="11"/>
      <c r="DR226" s="11"/>
      <c r="DS226" s="11"/>
      <c r="DT226" s="11"/>
      <c r="DU226" s="11"/>
      <c r="DV226" s="11"/>
      <c r="DW226" s="11"/>
      <c r="DX226" s="11"/>
      <c r="DY226" s="11"/>
      <c r="DZ226" s="11"/>
      <c r="EA226" s="11"/>
      <c r="EB226" s="11"/>
      <c r="EC226" s="11"/>
      <c r="ED226" s="11"/>
      <c r="EE226" s="11"/>
      <c r="EF226" s="11"/>
      <c r="EG226" s="11"/>
      <c r="EH226" s="11"/>
      <c r="EI226" s="11"/>
      <c r="EJ226" s="11"/>
      <c r="EK226" s="11"/>
      <c r="EL226" s="11"/>
      <c r="EM226" s="11"/>
      <c r="EN226" s="11"/>
      <c r="EO226" s="11"/>
      <c r="EP226" s="11"/>
      <c r="EQ226" s="11"/>
      <c r="ER226" s="11"/>
      <c r="ES226" s="11"/>
      <c r="ET226" s="11"/>
      <c r="EU226" s="11"/>
      <c r="EV226" s="11"/>
      <c r="EW226" s="11"/>
      <c r="EX226" s="11"/>
      <c r="EY226" s="11"/>
      <c r="EZ226" s="11"/>
      <c r="FA226" s="11"/>
      <c r="FB226" s="11"/>
      <c r="FC226" s="11"/>
      <c r="FD226" s="11"/>
      <c r="FE226" s="11"/>
      <c r="FF226" s="11"/>
      <c r="FG226" s="11"/>
      <c r="FH226" s="11"/>
      <c r="FI226" s="11"/>
      <c r="FJ226" s="11"/>
      <c r="FK226" s="11"/>
      <c r="FL226" s="11"/>
      <c r="FM226" s="11"/>
      <c r="FN226" s="11"/>
      <c r="FO226" s="11"/>
      <c r="FP226" s="11"/>
      <c r="FQ226" s="11"/>
      <c r="FR226" s="11"/>
      <c r="FS226" s="11"/>
      <c r="FT226" s="11"/>
      <c r="FU226" s="11"/>
      <c r="FV226" s="11"/>
      <c r="FW226" s="11"/>
      <c r="FX226" s="11"/>
      <c r="FY226" s="11"/>
      <c r="FZ226" s="11"/>
      <c r="GA226" s="11"/>
      <c r="GB226" s="11"/>
      <c r="GC226" s="11"/>
      <c r="GD226" s="11"/>
      <c r="GE226" s="11"/>
      <c r="GF226" s="11"/>
      <c r="GG226" s="11"/>
      <c r="GH226" s="11"/>
      <c r="GI226" s="11"/>
      <c r="GJ226" s="11"/>
      <c r="GK226" s="11"/>
      <c r="GL226" s="11"/>
      <c r="GM226" s="11"/>
      <c r="GN226" s="11"/>
      <c r="GO226" s="11"/>
      <c r="GP226" s="11"/>
      <c r="GQ226" s="11"/>
      <c r="GR226" s="11"/>
    </row>
    <row r="227" spans="2:200" x14ac:dyDescent="0.15"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1"/>
      <c r="BO227" s="11"/>
      <c r="BP227" s="11"/>
      <c r="BQ227" s="11"/>
      <c r="BR227" s="11"/>
      <c r="BS227" s="11"/>
      <c r="BT227" s="11"/>
      <c r="BU227" s="11"/>
      <c r="BV227" s="11"/>
      <c r="BW227" s="11"/>
      <c r="BX227" s="11"/>
      <c r="BY227" s="11"/>
      <c r="BZ227" s="11"/>
      <c r="CA227" s="11"/>
      <c r="CB227" s="11"/>
      <c r="CC227" s="11"/>
      <c r="CD227" s="11"/>
      <c r="CE227" s="11"/>
      <c r="CF227" s="11"/>
      <c r="CG227" s="11"/>
      <c r="CH227" s="11"/>
      <c r="CI227" s="11"/>
      <c r="CJ227" s="11"/>
      <c r="CK227" s="11"/>
      <c r="CL227" s="11"/>
      <c r="CM227" s="11"/>
      <c r="CN227" s="11"/>
      <c r="CO227" s="11"/>
      <c r="CP227" s="11"/>
      <c r="CQ227" s="11"/>
      <c r="CR227" s="11"/>
      <c r="CS227" s="11"/>
      <c r="CT227" s="11"/>
      <c r="CU227" s="11"/>
      <c r="CV227" s="11"/>
      <c r="CW227" s="11"/>
      <c r="CX227" s="11"/>
      <c r="CY227" s="11"/>
      <c r="CZ227" s="11"/>
      <c r="DA227" s="11"/>
      <c r="DB227" s="11"/>
      <c r="DC227" s="11"/>
      <c r="DD227" s="11"/>
      <c r="DE227" s="11"/>
      <c r="DF227" s="11"/>
      <c r="DG227" s="11"/>
      <c r="DH227" s="11"/>
      <c r="DI227" s="11"/>
      <c r="DJ227" s="11"/>
      <c r="DK227" s="11"/>
      <c r="DL227" s="11"/>
      <c r="DM227" s="11"/>
      <c r="DN227" s="11"/>
      <c r="DO227" s="11"/>
      <c r="DP227" s="11"/>
      <c r="DQ227" s="11"/>
      <c r="DR227" s="11"/>
      <c r="DS227" s="11"/>
      <c r="DT227" s="11"/>
      <c r="DU227" s="11"/>
      <c r="DV227" s="11"/>
      <c r="DW227" s="11"/>
      <c r="DX227" s="11"/>
      <c r="DY227" s="11"/>
      <c r="DZ227" s="11"/>
      <c r="EA227" s="11"/>
      <c r="EB227" s="11"/>
      <c r="EC227" s="11"/>
      <c r="ED227" s="11"/>
      <c r="EE227" s="11"/>
      <c r="EF227" s="11"/>
      <c r="EG227" s="11"/>
      <c r="EH227" s="11"/>
      <c r="EI227" s="11"/>
      <c r="EJ227" s="11"/>
      <c r="EK227" s="11"/>
      <c r="EL227" s="11"/>
      <c r="EM227" s="11"/>
      <c r="EN227" s="11"/>
      <c r="EO227" s="11"/>
      <c r="EP227" s="11"/>
      <c r="EQ227" s="11"/>
      <c r="ER227" s="11"/>
      <c r="ES227" s="11"/>
      <c r="ET227" s="11"/>
      <c r="EU227" s="11"/>
      <c r="EV227" s="11"/>
      <c r="EW227" s="11"/>
      <c r="EX227" s="11"/>
      <c r="EY227" s="11"/>
      <c r="EZ227" s="11"/>
      <c r="FA227" s="11"/>
      <c r="FB227" s="11"/>
      <c r="FC227" s="11"/>
      <c r="FD227" s="11"/>
      <c r="FE227" s="11"/>
      <c r="FF227" s="11"/>
      <c r="FG227" s="11"/>
      <c r="FH227" s="11"/>
      <c r="FI227" s="11"/>
      <c r="FJ227" s="11"/>
      <c r="FK227" s="11"/>
      <c r="FL227" s="11"/>
      <c r="FM227" s="11"/>
      <c r="FN227" s="11"/>
      <c r="FO227" s="11"/>
      <c r="FP227" s="11"/>
      <c r="FQ227" s="11"/>
      <c r="FR227" s="11"/>
      <c r="FS227" s="11"/>
      <c r="FT227" s="11"/>
      <c r="FU227" s="11"/>
      <c r="FV227" s="11"/>
      <c r="FW227" s="11"/>
      <c r="FX227" s="11"/>
      <c r="FY227" s="11"/>
      <c r="FZ227" s="11"/>
      <c r="GA227" s="11"/>
      <c r="GB227" s="11"/>
      <c r="GC227" s="11"/>
      <c r="GD227" s="11"/>
      <c r="GE227" s="11"/>
      <c r="GF227" s="11"/>
      <c r="GG227" s="11"/>
      <c r="GH227" s="11"/>
      <c r="GI227" s="11"/>
      <c r="GJ227" s="11"/>
      <c r="GK227" s="11"/>
      <c r="GL227" s="11"/>
      <c r="GM227" s="11"/>
      <c r="GN227" s="11"/>
      <c r="GO227" s="11"/>
      <c r="GP227" s="11"/>
      <c r="GQ227" s="11"/>
      <c r="GR227" s="11"/>
    </row>
    <row r="228" spans="2:200" x14ac:dyDescent="0.15"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1"/>
      <c r="BO228" s="11"/>
      <c r="BP228" s="11"/>
      <c r="BQ228" s="11"/>
      <c r="BR228" s="11"/>
      <c r="BS228" s="11"/>
      <c r="BT228" s="11"/>
      <c r="BU228" s="11"/>
      <c r="BV228" s="11"/>
      <c r="BW228" s="11"/>
      <c r="BX228" s="11"/>
      <c r="BY228" s="11"/>
      <c r="BZ228" s="11"/>
      <c r="CA228" s="11"/>
      <c r="CB228" s="11"/>
      <c r="CC228" s="11"/>
      <c r="CD228" s="11"/>
      <c r="CE228" s="11"/>
      <c r="CF228" s="11"/>
      <c r="CG228" s="11"/>
      <c r="CH228" s="11"/>
      <c r="CI228" s="11"/>
      <c r="CJ228" s="11"/>
      <c r="CK228" s="11"/>
      <c r="CL228" s="11"/>
      <c r="CM228" s="11"/>
      <c r="CN228" s="11"/>
      <c r="CO228" s="11"/>
      <c r="CP228" s="11"/>
      <c r="CQ228" s="11"/>
      <c r="CR228" s="11"/>
      <c r="CS228" s="11"/>
      <c r="CT228" s="11"/>
      <c r="CU228" s="11"/>
      <c r="CV228" s="11"/>
      <c r="CW228" s="11"/>
      <c r="CX228" s="11"/>
      <c r="CY228" s="11"/>
      <c r="CZ228" s="11"/>
      <c r="DA228" s="11"/>
      <c r="DB228" s="11"/>
      <c r="DC228" s="11"/>
      <c r="DD228" s="11"/>
      <c r="DE228" s="11"/>
      <c r="DF228" s="11"/>
      <c r="DG228" s="11"/>
      <c r="DH228" s="11"/>
      <c r="DI228" s="11"/>
      <c r="DJ228" s="11"/>
      <c r="DK228" s="11"/>
      <c r="DL228" s="11"/>
      <c r="DM228" s="11"/>
      <c r="DN228" s="11"/>
      <c r="DO228" s="11"/>
      <c r="DP228" s="11"/>
      <c r="DQ228" s="11"/>
      <c r="DR228" s="11"/>
      <c r="DS228" s="11"/>
      <c r="DT228" s="11"/>
      <c r="DU228" s="11"/>
      <c r="DV228" s="11"/>
      <c r="DW228" s="11"/>
      <c r="DX228" s="11"/>
      <c r="DY228" s="11"/>
      <c r="DZ228" s="11"/>
      <c r="EA228" s="11"/>
      <c r="EB228" s="11"/>
      <c r="EC228" s="11"/>
      <c r="ED228" s="11"/>
      <c r="EE228" s="11"/>
      <c r="EF228" s="11"/>
      <c r="EG228" s="11"/>
      <c r="EH228" s="11"/>
      <c r="EI228" s="11"/>
      <c r="EJ228" s="11"/>
      <c r="EK228" s="11"/>
      <c r="EL228" s="11"/>
      <c r="EM228" s="11"/>
      <c r="EN228" s="11"/>
      <c r="EO228" s="11"/>
      <c r="EP228" s="11"/>
      <c r="EQ228" s="11"/>
      <c r="ER228" s="11"/>
      <c r="ES228" s="11"/>
      <c r="ET228" s="11"/>
      <c r="EU228" s="11"/>
      <c r="EV228" s="11"/>
      <c r="EW228" s="11"/>
      <c r="EX228" s="11"/>
      <c r="EY228" s="11"/>
      <c r="EZ228" s="11"/>
      <c r="FA228" s="11"/>
      <c r="FB228" s="11"/>
      <c r="FC228" s="11"/>
      <c r="FD228" s="11"/>
      <c r="FE228" s="11"/>
      <c r="FF228" s="11"/>
      <c r="FG228" s="11"/>
      <c r="FH228" s="11"/>
      <c r="FI228" s="11"/>
      <c r="FJ228" s="11"/>
      <c r="FK228" s="11"/>
      <c r="FL228" s="11"/>
      <c r="FM228" s="11"/>
      <c r="FN228" s="11"/>
      <c r="FO228" s="11"/>
      <c r="FP228" s="11"/>
      <c r="FQ228" s="11"/>
      <c r="FR228" s="11"/>
      <c r="FS228" s="11"/>
      <c r="FT228" s="11"/>
      <c r="FU228" s="11"/>
      <c r="FV228" s="11"/>
      <c r="FW228" s="11"/>
      <c r="FX228" s="11"/>
      <c r="FY228" s="11"/>
      <c r="FZ228" s="11"/>
      <c r="GA228" s="11"/>
      <c r="GB228" s="11"/>
      <c r="GC228" s="11"/>
      <c r="GD228" s="11"/>
      <c r="GE228" s="11"/>
      <c r="GF228" s="11"/>
      <c r="GG228" s="11"/>
      <c r="GH228" s="11"/>
      <c r="GI228" s="11"/>
      <c r="GJ228" s="11"/>
      <c r="GK228" s="11"/>
      <c r="GL228" s="11"/>
      <c r="GM228" s="11"/>
      <c r="GN228" s="11"/>
      <c r="GO228" s="11"/>
      <c r="GP228" s="11"/>
      <c r="GQ228" s="11"/>
      <c r="GR228" s="11"/>
    </row>
    <row r="229" spans="2:200" x14ac:dyDescent="0.15"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1"/>
      <c r="BO229" s="11"/>
      <c r="BP229" s="11"/>
      <c r="BQ229" s="11"/>
      <c r="BR229" s="11"/>
      <c r="BS229" s="11"/>
      <c r="BT229" s="11"/>
      <c r="BU229" s="11"/>
      <c r="BV229" s="11"/>
      <c r="BW229" s="11"/>
      <c r="BX229" s="11"/>
      <c r="BY229" s="11"/>
      <c r="BZ229" s="11"/>
      <c r="CA229" s="11"/>
      <c r="CB229" s="11"/>
      <c r="CC229" s="11"/>
      <c r="CD229" s="11"/>
      <c r="CE229" s="11"/>
      <c r="CF229" s="11"/>
      <c r="CG229" s="11"/>
      <c r="CH229" s="11"/>
      <c r="CI229" s="11"/>
      <c r="CJ229" s="11"/>
      <c r="CK229" s="11"/>
      <c r="CL229" s="11"/>
      <c r="CM229" s="11"/>
      <c r="CN229" s="11"/>
      <c r="CO229" s="11"/>
      <c r="CP229" s="11"/>
      <c r="CQ229" s="11"/>
      <c r="CR229" s="11"/>
      <c r="CS229" s="11"/>
      <c r="CT229" s="11"/>
      <c r="CU229" s="11"/>
      <c r="CV229" s="11"/>
      <c r="CW229" s="11"/>
      <c r="CX229" s="11"/>
      <c r="CY229" s="11"/>
      <c r="CZ229" s="11"/>
      <c r="DA229" s="11"/>
      <c r="DB229" s="11"/>
      <c r="DC229" s="11"/>
      <c r="DD229" s="11"/>
      <c r="DE229" s="11"/>
      <c r="DF229" s="11"/>
      <c r="DG229" s="11"/>
      <c r="DH229" s="11"/>
      <c r="DI229" s="11"/>
      <c r="DJ229" s="11"/>
      <c r="DK229" s="11"/>
      <c r="DL229" s="11"/>
      <c r="DM229" s="11"/>
      <c r="DN229" s="11"/>
      <c r="DO229" s="11"/>
      <c r="DP229" s="11"/>
      <c r="DQ229" s="11"/>
      <c r="DR229" s="11"/>
      <c r="DS229" s="11"/>
      <c r="DT229" s="11"/>
      <c r="DU229" s="11"/>
      <c r="DV229" s="11"/>
      <c r="DW229" s="11"/>
      <c r="DX229" s="11"/>
      <c r="DY229" s="11"/>
      <c r="DZ229" s="11"/>
      <c r="EA229" s="11"/>
      <c r="EB229" s="11"/>
      <c r="EC229" s="11"/>
      <c r="ED229" s="11"/>
      <c r="EE229" s="11"/>
      <c r="EF229" s="11"/>
      <c r="EG229" s="11"/>
      <c r="EH229" s="11"/>
      <c r="EI229" s="11"/>
      <c r="EJ229" s="11"/>
      <c r="EK229" s="11"/>
      <c r="EL229" s="11"/>
      <c r="EM229" s="11"/>
      <c r="EN229" s="11"/>
      <c r="EO229" s="11"/>
      <c r="EP229" s="11"/>
      <c r="EQ229" s="11"/>
      <c r="ER229" s="11"/>
      <c r="ES229" s="11"/>
      <c r="ET229" s="11"/>
      <c r="EU229" s="11"/>
      <c r="EV229" s="11"/>
      <c r="EW229" s="11"/>
      <c r="EX229" s="11"/>
      <c r="EY229" s="11"/>
      <c r="EZ229" s="11"/>
      <c r="FA229" s="11"/>
      <c r="FB229" s="11"/>
      <c r="FC229" s="11"/>
      <c r="FD229" s="11"/>
      <c r="FE229" s="11"/>
      <c r="FF229" s="11"/>
      <c r="FG229" s="11"/>
      <c r="FH229" s="11"/>
      <c r="FI229" s="11"/>
      <c r="FJ229" s="11"/>
      <c r="FK229" s="11"/>
      <c r="FL229" s="11"/>
      <c r="FM229" s="11"/>
      <c r="FN229" s="11"/>
      <c r="FO229" s="11"/>
      <c r="FP229" s="11"/>
      <c r="FQ229" s="11"/>
      <c r="FR229" s="11"/>
      <c r="FS229" s="11"/>
      <c r="FT229" s="11"/>
      <c r="FU229" s="11"/>
      <c r="FV229" s="11"/>
      <c r="FW229" s="11"/>
      <c r="FX229" s="11"/>
      <c r="FY229" s="11"/>
      <c r="FZ229" s="11"/>
      <c r="GA229" s="11"/>
      <c r="GB229" s="11"/>
      <c r="GC229" s="11"/>
      <c r="GD229" s="11"/>
      <c r="GE229" s="11"/>
      <c r="GF229" s="11"/>
      <c r="GG229" s="11"/>
      <c r="GH229" s="11"/>
      <c r="GI229" s="11"/>
      <c r="GJ229" s="11"/>
      <c r="GK229" s="11"/>
      <c r="GL229" s="11"/>
      <c r="GM229" s="11"/>
      <c r="GN229" s="11"/>
      <c r="GO229" s="11"/>
      <c r="GP229" s="11"/>
      <c r="GQ229" s="11"/>
      <c r="GR229" s="11"/>
    </row>
    <row r="230" spans="2:200" x14ac:dyDescent="0.15"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1"/>
      <c r="BO230" s="11"/>
      <c r="BP230" s="11"/>
      <c r="BQ230" s="11"/>
      <c r="BR230" s="11"/>
      <c r="BS230" s="11"/>
      <c r="BT230" s="11"/>
      <c r="BU230" s="11"/>
      <c r="BV230" s="11"/>
      <c r="BW230" s="11"/>
      <c r="BX230" s="11"/>
      <c r="BY230" s="11"/>
      <c r="BZ230" s="11"/>
      <c r="CA230" s="11"/>
      <c r="CB230" s="11"/>
      <c r="CC230" s="11"/>
      <c r="CD230" s="11"/>
      <c r="CE230" s="11"/>
      <c r="CF230" s="11"/>
      <c r="CG230" s="11"/>
      <c r="CH230" s="11"/>
      <c r="CI230" s="11"/>
      <c r="CJ230" s="11"/>
      <c r="CK230" s="11"/>
      <c r="CL230" s="11"/>
      <c r="CM230" s="11"/>
      <c r="CN230" s="11"/>
      <c r="CO230" s="11"/>
      <c r="CP230" s="11"/>
      <c r="CQ230" s="11"/>
      <c r="CR230" s="11"/>
      <c r="CS230" s="11"/>
      <c r="CT230" s="11"/>
      <c r="CU230" s="11"/>
      <c r="CV230" s="11"/>
      <c r="CW230" s="11"/>
      <c r="CX230" s="11"/>
      <c r="CY230" s="11"/>
      <c r="CZ230" s="11"/>
      <c r="DA230" s="11"/>
      <c r="DB230" s="11"/>
      <c r="DC230" s="11"/>
      <c r="DD230" s="11"/>
      <c r="DE230" s="11"/>
      <c r="DF230" s="11"/>
      <c r="DG230" s="11"/>
      <c r="DH230" s="11"/>
      <c r="DI230" s="11"/>
      <c r="DJ230" s="11"/>
      <c r="DK230" s="11"/>
      <c r="DL230" s="11"/>
      <c r="DM230" s="11"/>
      <c r="DN230" s="11"/>
      <c r="DO230" s="11"/>
      <c r="DP230" s="11"/>
      <c r="DQ230" s="11"/>
      <c r="DR230" s="11"/>
      <c r="DS230" s="11"/>
      <c r="DT230" s="11"/>
      <c r="DU230" s="11"/>
      <c r="DV230" s="11"/>
      <c r="DW230" s="11"/>
      <c r="DX230" s="11"/>
      <c r="DY230" s="11"/>
      <c r="DZ230" s="11"/>
      <c r="EA230" s="11"/>
      <c r="EB230" s="11"/>
      <c r="EC230" s="11"/>
      <c r="ED230" s="11"/>
      <c r="EE230" s="11"/>
      <c r="EF230" s="11"/>
      <c r="EG230" s="11"/>
      <c r="EH230" s="11"/>
      <c r="EI230" s="11"/>
      <c r="EJ230" s="11"/>
      <c r="EK230" s="11"/>
      <c r="EL230" s="11"/>
      <c r="EM230" s="11"/>
      <c r="EN230" s="11"/>
      <c r="EO230" s="11"/>
      <c r="EP230" s="11"/>
      <c r="EQ230" s="11"/>
      <c r="ER230" s="11"/>
      <c r="ES230" s="11"/>
      <c r="ET230" s="11"/>
      <c r="EU230" s="11"/>
      <c r="EV230" s="11"/>
      <c r="EW230" s="11"/>
      <c r="EX230" s="11"/>
      <c r="EY230" s="11"/>
      <c r="EZ230" s="11"/>
      <c r="FA230" s="11"/>
      <c r="FB230" s="11"/>
      <c r="FC230" s="11"/>
      <c r="FD230" s="11"/>
      <c r="FE230" s="11"/>
      <c r="FF230" s="11"/>
      <c r="FG230" s="11"/>
      <c r="FH230" s="11"/>
      <c r="FI230" s="11"/>
      <c r="FJ230" s="11"/>
      <c r="FK230" s="11"/>
      <c r="FL230" s="11"/>
      <c r="FM230" s="11"/>
      <c r="FN230" s="11"/>
      <c r="FO230" s="11"/>
      <c r="FP230" s="11"/>
      <c r="FQ230" s="11"/>
      <c r="FR230" s="11"/>
      <c r="FS230" s="11"/>
      <c r="FT230" s="11"/>
      <c r="FU230" s="11"/>
      <c r="FV230" s="11"/>
      <c r="FW230" s="11"/>
      <c r="FX230" s="11"/>
      <c r="FY230" s="11"/>
      <c r="FZ230" s="11"/>
      <c r="GA230" s="11"/>
      <c r="GB230" s="11"/>
      <c r="GC230" s="11"/>
      <c r="GD230" s="11"/>
      <c r="GE230" s="11"/>
      <c r="GF230" s="11"/>
      <c r="GG230" s="11"/>
      <c r="GH230" s="11"/>
      <c r="GI230" s="11"/>
      <c r="GJ230" s="11"/>
      <c r="GK230" s="11"/>
      <c r="GL230" s="11"/>
      <c r="GM230" s="11"/>
      <c r="GN230" s="11"/>
      <c r="GO230" s="11"/>
      <c r="GP230" s="11"/>
      <c r="GQ230" s="11"/>
      <c r="GR230" s="11"/>
    </row>
    <row r="231" spans="2:200" x14ac:dyDescent="0.15"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1"/>
      <c r="BO231" s="11"/>
      <c r="BP231" s="11"/>
      <c r="BQ231" s="11"/>
      <c r="BR231" s="11"/>
      <c r="BS231" s="11"/>
      <c r="BT231" s="11"/>
      <c r="BU231" s="11"/>
      <c r="BV231" s="11"/>
      <c r="BW231" s="11"/>
      <c r="BX231" s="11"/>
      <c r="BY231" s="11"/>
      <c r="BZ231" s="11"/>
      <c r="CA231" s="11"/>
      <c r="CB231" s="11"/>
      <c r="CC231" s="11"/>
      <c r="CD231" s="11"/>
      <c r="CE231" s="11"/>
      <c r="CF231" s="11"/>
      <c r="CG231" s="11"/>
      <c r="CH231" s="11"/>
      <c r="CI231" s="11"/>
      <c r="CJ231" s="11"/>
      <c r="CK231" s="11"/>
      <c r="CL231" s="11"/>
      <c r="CM231" s="11"/>
      <c r="CN231" s="11"/>
      <c r="CO231" s="11"/>
      <c r="CP231" s="11"/>
      <c r="CQ231" s="11"/>
      <c r="CR231" s="11"/>
      <c r="CS231" s="11"/>
      <c r="CT231" s="11"/>
      <c r="CU231" s="11"/>
      <c r="CV231" s="11"/>
      <c r="CW231" s="11"/>
      <c r="CX231" s="11"/>
      <c r="CY231" s="11"/>
      <c r="CZ231" s="11"/>
      <c r="DA231" s="11"/>
      <c r="DB231" s="11"/>
      <c r="DC231" s="11"/>
      <c r="DD231" s="11"/>
      <c r="DE231" s="11"/>
      <c r="DF231" s="11"/>
      <c r="DG231" s="11"/>
      <c r="DH231" s="11"/>
      <c r="DI231" s="11"/>
      <c r="DJ231" s="11"/>
      <c r="DK231" s="11"/>
      <c r="DL231" s="11"/>
      <c r="DM231" s="11"/>
      <c r="DN231" s="11"/>
      <c r="DO231" s="11"/>
      <c r="DP231" s="11"/>
      <c r="DQ231" s="11"/>
      <c r="DR231" s="11"/>
      <c r="DS231" s="11"/>
      <c r="DT231" s="11"/>
      <c r="DU231" s="11"/>
      <c r="DV231" s="11"/>
      <c r="DW231" s="11"/>
      <c r="DX231" s="11"/>
      <c r="DY231" s="11"/>
      <c r="DZ231" s="11"/>
      <c r="EA231" s="11"/>
      <c r="EB231" s="11"/>
      <c r="EC231" s="11"/>
      <c r="ED231" s="11"/>
      <c r="EE231" s="11"/>
      <c r="EF231" s="11"/>
      <c r="EG231" s="11"/>
      <c r="EH231" s="11"/>
      <c r="EI231" s="11"/>
      <c r="EJ231" s="11"/>
      <c r="EK231" s="11"/>
      <c r="EL231" s="11"/>
      <c r="EM231" s="11"/>
      <c r="EN231" s="11"/>
      <c r="EO231" s="11"/>
      <c r="EP231" s="11"/>
      <c r="EQ231" s="11"/>
      <c r="ER231" s="11"/>
      <c r="ES231" s="11"/>
      <c r="ET231" s="11"/>
      <c r="EU231" s="11"/>
      <c r="EV231" s="11"/>
      <c r="EW231" s="11"/>
      <c r="EX231" s="11"/>
      <c r="EY231" s="11"/>
      <c r="EZ231" s="11"/>
      <c r="FA231" s="11"/>
      <c r="FB231" s="11"/>
      <c r="FC231" s="11"/>
      <c r="FD231" s="11"/>
      <c r="FE231" s="11"/>
      <c r="FF231" s="11"/>
      <c r="FG231" s="11"/>
      <c r="FH231" s="11"/>
      <c r="FI231" s="11"/>
      <c r="FJ231" s="11"/>
      <c r="FK231" s="11"/>
      <c r="FL231" s="11"/>
      <c r="FM231" s="11"/>
      <c r="FN231" s="11"/>
      <c r="FO231" s="11"/>
      <c r="FP231" s="11"/>
      <c r="FQ231" s="11"/>
      <c r="FR231" s="11"/>
      <c r="FS231" s="11"/>
      <c r="FT231" s="11"/>
      <c r="FU231" s="11"/>
      <c r="FV231" s="11"/>
      <c r="FW231" s="11"/>
      <c r="FX231" s="11"/>
      <c r="FY231" s="11"/>
      <c r="FZ231" s="11"/>
      <c r="GA231" s="11"/>
      <c r="GB231" s="11"/>
      <c r="GC231" s="11"/>
      <c r="GD231" s="11"/>
      <c r="GE231" s="11"/>
      <c r="GF231" s="11"/>
      <c r="GG231" s="11"/>
      <c r="GH231" s="11"/>
      <c r="GI231" s="11"/>
      <c r="GJ231" s="11"/>
      <c r="GK231" s="11"/>
      <c r="GL231" s="11"/>
      <c r="GM231" s="11"/>
      <c r="GN231" s="11"/>
      <c r="GO231" s="11"/>
      <c r="GP231" s="11"/>
      <c r="GQ231" s="11"/>
      <c r="GR231" s="11"/>
    </row>
    <row r="232" spans="2:200" x14ac:dyDescent="0.15"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1"/>
      <c r="BO232" s="11"/>
      <c r="BP232" s="11"/>
      <c r="BQ232" s="11"/>
      <c r="BR232" s="11"/>
      <c r="BS232" s="11"/>
      <c r="BT232" s="11"/>
      <c r="BU232" s="11"/>
      <c r="BV232" s="11"/>
      <c r="BW232" s="11"/>
      <c r="BX232" s="11"/>
      <c r="BY232" s="11"/>
      <c r="BZ232" s="11"/>
      <c r="CA232" s="11"/>
      <c r="CB232" s="11"/>
      <c r="CC232" s="11"/>
      <c r="CD232" s="11"/>
      <c r="CE232" s="11"/>
      <c r="CF232" s="11"/>
      <c r="CG232" s="11"/>
      <c r="CH232" s="11"/>
      <c r="CI232" s="11"/>
      <c r="CJ232" s="11"/>
      <c r="CK232" s="11"/>
      <c r="CL232" s="11"/>
      <c r="CM232" s="11"/>
      <c r="CN232" s="11"/>
      <c r="CO232" s="11"/>
      <c r="CP232" s="11"/>
      <c r="CQ232" s="11"/>
      <c r="CR232" s="11"/>
      <c r="CS232" s="11"/>
      <c r="CT232" s="11"/>
      <c r="CU232" s="11"/>
      <c r="CV232" s="11"/>
      <c r="CW232" s="11"/>
      <c r="CX232" s="11"/>
      <c r="CY232" s="11"/>
      <c r="CZ232" s="11"/>
      <c r="DA232" s="11"/>
      <c r="DB232" s="11"/>
      <c r="DC232" s="11"/>
      <c r="DD232" s="11"/>
      <c r="DE232" s="11"/>
      <c r="DF232" s="11"/>
      <c r="DG232" s="11"/>
      <c r="DH232" s="11"/>
      <c r="DI232" s="11"/>
      <c r="DJ232" s="11"/>
      <c r="DK232" s="11"/>
      <c r="DL232" s="11"/>
      <c r="DM232" s="11"/>
      <c r="DN232" s="11"/>
      <c r="DO232" s="11"/>
      <c r="DP232" s="11"/>
      <c r="DQ232" s="11"/>
      <c r="DR232" s="11"/>
      <c r="DS232" s="11"/>
      <c r="DT232" s="11"/>
      <c r="DU232" s="11"/>
      <c r="DV232" s="11"/>
      <c r="DW232" s="11"/>
      <c r="DX232" s="11"/>
      <c r="DY232" s="11"/>
      <c r="DZ232" s="11"/>
      <c r="EA232" s="11"/>
      <c r="EB232" s="11"/>
      <c r="EC232" s="11"/>
      <c r="ED232" s="11"/>
      <c r="EE232" s="11"/>
      <c r="EF232" s="11"/>
      <c r="EG232" s="11"/>
      <c r="EH232" s="11"/>
      <c r="EI232" s="11"/>
      <c r="EJ232" s="11"/>
      <c r="EK232" s="11"/>
      <c r="EL232" s="11"/>
      <c r="EM232" s="11"/>
      <c r="EN232" s="11"/>
      <c r="EO232" s="11"/>
      <c r="EP232" s="11"/>
      <c r="EQ232" s="11"/>
      <c r="ER232" s="11"/>
      <c r="ES232" s="11"/>
      <c r="ET232" s="11"/>
      <c r="EU232" s="11"/>
      <c r="EV232" s="11"/>
      <c r="EW232" s="11"/>
      <c r="EX232" s="11"/>
      <c r="EY232" s="11"/>
      <c r="EZ232" s="11"/>
      <c r="FA232" s="11"/>
      <c r="FB232" s="11"/>
      <c r="FC232" s="11"/>
      <c r="FD232" s="11"/>
      <c r="FE232" s="11"/>
      <c r="FF232" s="11"/>
      <c r="FG232" s="11"/>
      <c r="FH232" s="11"/>
      <c r="FI232" s="11"/>
      <c r="FJ232" s="11"/>
      <c r="FK232" s="11"/>
      <c r="FL232" s="11"/>
      <c r="FM232" s="11"/>
      <c r="FN232" s="11"/>
      <c r="FO232" s="11"/>
      <c r="FP232" s="11"/>
      <c r="FQ232" s="11"/>
      <c r="FR232" s="11"/>
      <c r="FS232" s="11"/>
      <c r="FT232" s="11"/>
      <c r="FU232" s="11"/>
      <c r="FV232" s="11"/>
      <c r="FW232" s="11"/>
      <c r="FX232" s="11"/>
      <c r="FY232" s="11"/>
      <c r="FZ232" s="11"/>
      <c r="GA232" s="11"/>
      <c r="GB232" s="11"/>
      <c r="GC232" s="11"/>
      <c r="GD232" s="11"/>
      <c r="GE232" s="11"/>
      <c r="GF232" s="11"/>
      <c r="GG232" s="11"/>
      <c r="GH232" s="11"/>
      <c r="GI232" s="11"/>
      <c r="GJ232" s="11"/>
      <c r="GK232" s="11"/>
      <c r="GL232" s="11"/>
      <c r="GM232" s="11"/>
      <c r="GN232" s="11"/>
      <c r="GO232" s="11"/>
      <c r="GP232" s="11"/>
      <c r="GQ232" s="11"/>
      <c r="GR232" s="11"/>
    </row>
    <row r="233" spans="2:200" x14ac:dyDescent="0.15"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1"/>
      <c r="BO233" s="11"/>
      <c r="BP233" s="11"/>
      <c r="BQ233" s="11"/>
      <c r="BR233" s="11"/>
      <c r="BS233" s="11"/>
      <c r="BT233" s="11"/>
      <c r="BU233" s="11"/>
      <c r="BV233" s="11"/>
      <c r="BW233" s="11"/>
      <c r="BX233" s="11"/>
      <c r="BY233" s="11"/>
      <c r="BZ233" s="11"/>
      <c r="CA233" s="11"/>
      <c r="CB233" s="11"/>
      <c r="CC233" s="11"/>
      <c r="CD233" s="11"/>
      <c r="CE233" s="11"/>
      <c r="CF233" s="11"/>
      <c r="CG233" s="11"/>
      <c r="CH233" s="11"/>
      <c r="CI233" s="11"/>
      <c r="CJ233" s="11"/>
      <c r="CK233" s="11"/>
      <c r="CL233" s="11"/>
      <c r="CM233" s="11"/>
      <c r="CN233" s="11"/>
      <c r="CO233" s="11"/>
      <c r="CP233" s="11"/>
      <c r="CQ233" s="11"/>
      <c r="CR233" s="11"/>
      <c r="CS233" s="11"/>
      <c r="CT233" s="11"/>
      <c r="CU233" s="11"/>
      <c r="CV233" s="11"/>
      <c r="CW233" s="11"/>
      <c r="CX233" s="11"/>
      <c r="CY233" s="11"/>
      <c r="CZ233" s="11"/>
      <c r="DA233" s="11"/>
      <c r="DB233" s="11"/>
      <c r="DC233" s="11"/>
      <c r="DD233" s="11"/>
      <c r="DE233" s="11"/>
      <c r="DF233" s="11"/>
      <c r="DG233" s="11"/>
      <c r="DH233" s="11"/>
      <c r="DI233" s="11"/>
      <c r="DJ233" s="11"/>
      <c r="DK233" s="11"/>
      <c r="DL233" s="11"/>
      <c r="DM233" s="11"/>
      <c r="DN233" s="11"/>
      <c r="DO233" s="11"/>
      <c r="DP233" s="11"/>
      <c r="DQ233" s="11"/>
      <c r="DR233" s="11"/>
      <c r="DS233" s="11"/>
      <c r="DT233" s="11"/>
      <c r="DU233" s="11"/>
      <c r="DV233" s="11"/>
      <c r="DW233" s="11"/>
      <c r="DX233" s="11"/>
      <c r="DY233" s="11"/>
      <c r="DZ233" s="11"/>
      <c r="EA233" s="11"/>
      <c r="EB233" s="11"/>
      <c r="EC233" s="11"/>
      <c r="ED233" s="11"/>
      <c r="EE233" s="11"/>
      <c r="EF233" s="11"/>
      <c r="EG233" s="11"/>
      <c r="EH233" s="11"/>
      <c r="EI233" s="11"/>
      <c r="EJ233" s="11"/>
      <c r="EK233" s="11"/>
      <c r="EL233" s="11"/>
      <c r="EM233" s="11"/>
      <c r="EN233" s="11"/>
      <c r="EO233" s="11"/>
      <c r="EP233" s="11"/>
      <c r="EQ233" s="11"/>
      <c r="ER233" s="11"/>
      <c r="ES233" s="11"/>
      <c r="ET233" s="11"/>
      <c r="EU233" s="11"/>
      <c r="EV233" s="11"/>
      <c r="EW233" s="11"/>
      <c r="EX233" s="11"/>
      <c r="EY233" s="11"/>
      <c r="EZ233" s="11"/>
      <c r="FA233" s="11"/>
      <c r="FB233" s="11"/>
      <c r="FC233" s="11"/>
      <c r="FD233" s="11"/>
      <c r="FE233" s="11"/>
      <c r="FF233" s="11"/>
      <c r="FG233" s="11"/>
      <c r="FH233" s="11"/>
      <c r="FI233" s="11"/>
      <c r="FJ233" s="11"/>
      <c r="FK233" s="11"/>
      <c r="FL233" s="11"/>
      <c r="FM233" s="11"/>
      <c r="FN233" s="11"/>
      <c r="FO233" s="11"/>
      <c r="FP233" s="11"/>
      <c r="FQ233" s="11"/>
      <c r="FR233" s="11"/>
      <c r="FS233" s="11"/>
      <c r="FT233" s="11"/>
      <c r="FU233" s="11"/>
      <c r="FV233" s="11"/>
      <c r="FW233" s="11"/>
      <c r="FX233" s="11"/>
      <c r="FY233" s="11"/>
      <c r="FZ233" s="11"/>
      <c r="GA233" s="11"/>
      <c r="GB233" s="11"/>
      <c r="GC233" s="11"/>
      <c r="GD233" s="11"/>
      <c r="GE233" s="11"/>
      <c r="GF233" s="11"/>
      <c r="GG233" s="11"/>
      <c r="GH233" s="11"/>
      <c r="GI233" s="11"/>
      <c r="GJ233" s="11"/>
      <c r="GK233" s="11"/>
      <c r="GL233" s="11"/>
      <c r="GM233" s="11"/>
      <c r="GN233" s="11"/>
      <c r="GO233" s="11"/>
      <c r="GP233" s="11"/>
      <c r="GQ233" s="11"/>
      <c r="GR233" s="11"/>
    </row>
    <row r="234" spans="2:200" x14ac:dyDescent="0.15"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1"/>
      <c r="BO234" s="11"/>
      <c r="BP234" s="11"/>
      <c r="BQ234" s="11"/>
      <c r="BR234" s="11"/>
      <c r="BS234" s="11"/>
      <c r="BT234" s="11"/>
      <c r="BU234" s="11"/>
      <c r="BV234" s="11"/>
      <c r="BW234" s="11"/>
      <c r="BX234" s="11"/>
      <c r="BY234" s="11"/>
      <c r="BZ234" s="11"/>
      <c r="CA234" s="11"/>
      <c r="CB234" s="11"/>
      <c r="CC234" s="11"/>
      <c r="CD234" s="11"/>
      <c r="CE234" s="11"/>
      <c r="CF234" s="11"/>
      <c r="CG234" s="11"/>
      <c r="CH234" s="11"/>
      <c r="CI234" s="11"/>
      <c r="CJ234" s="11"/>
      <c r="CK234" s="11"/>
      <c r="CL234" s="11"/>
      <c r="CM234" s="11"/>
      <c r="CN234" s="11"/>
      <c r="CO234" s="11"/>
      <c r="CP234" s="11"/>
      <c r="CQ234" s="11"/>
      <c r="CR234" s="11"/>
      <c r="CS234" s="11"/>
      <c r="CT234" s="11"/>
      <c r="CU234" s="11"/>
      <c r="CV234" s="11"/>
      <c r="CW234" s="11"/>
      <c r="CX234" s="11"/>
      <c r="CY234" s="11"/>
      <c r="CZ234" s="11"/>
      <c r="DA234" s="11"/>
      <c r="DB234" s="11"/>
      <c r="DC234" s="11"/>
      <c r="DD234" s="11"/>
      <c r="DE234" s="11"/>
      <c r="DF234" s="11"/>
      <c r="DG234" s="11"/>
      <c r="DH234" s="11"/>
      <c r="DI234" s="11"/>
      <c r="DJ234" s="11"/>
      <c r="DK234" s="11"/>
      <c r="DL234" s="11"/>
      <c r="DM234" s="11"/>
      <c r="DN234" s="11"/>
      <c r="DO234" s="11"/>
      <c r="DP234" s="11"/>
      <c r="DQ234" s="11"/>
      <c r="DR234" s="11"/>
      <c r="DS234" s="11"/>
      <c r="DT234" s="11"/>
      <c r="DU234" s="11"/>
      <c r="DV234" s="11"/>
      <c r="DW234" s="11"/>
      <c r="DX234" s="11"/>
      <c r="DY234" s="11"/>
      <c r="DZ234" s="11"/>
      <c r="EA234" s="11"/>
      <c r="EB234" s="11"/>
      <c r="EC234" s="11"/>
      <c r="ED234" s="11"/>
      <c r="EE234" s="11"/>
      <c r="EF234" s="11"/>
      <c r="EG234" s="11"/>
      <c r="EH234" s="11"/>
      <c r="EI234" s="11"/>
      <c r="EJ234" s="11"/>
      <c r="EK234" s="11"/>
      <c r="EL234" s="11"/>
      <c r="EM234" s="11"/>
      <c r="EN234" s="11"/>
      <c r="EO234" s="11"/>
      <c r="EP234" s="11"/>
      <c r="EQ234" s="11"/>
      <c r="ER234" s="11"/>
      <c r="ES234" s="11"/>
      <c r="ET234" s="11"/>
      <c r="EU234" s="11"/>
      <c r="EV234" s="11"/>
      <c r="EW234" s="11"/>
      <c r="EX234" s="11"/>
      <c r="EY234" s="11"/>
      <c r="EZ234" s="11"/>
      <c r="FA234" s="11"/>
      <c r="FB234" s="11"/>
      <c r="FC234" s="11"/>
      <c r="FD234" s="11"/>
      <c r="FE234" s="11"/>
      <c r="FF234" s="11"/>
      <c r="FG234" s="11"/>
      <c r="FH234" s="11"/>
      <c r="FI234" s="11"/>
      <c r="FJ234" s="11"/>
      <c r="FK234" s="11"/>
      <c r="FL234" s="11"/>
      <c r="FM234" s="11"/>
      <c r="FN234" s="11"/>
      <c r="FO234" s="11"/>
      <c r="FP234" s="11"/>
      <c r="FQ234" s="11"/>
      <c r="FR234" s="11"/>
      <c r="FS234" s="11"/>
      <c r="FT234" s="11"/>
      <c r="FU234" s="11"/>
      <c r="FV234" s="11"/>
      <c r="FW234" s="11"/>
      <c r="FX234" s="11"/>
      <c r="FY234" s="11"/>
      <c r="FZ234" s="11"/>
      <c r="GA234" s="11"/>
      <c r="GB234" s="11"/>
      <c r="GC234" s="11"/>
      <c r="GD234" s="11"/>
      <c r="GE234" s="11"/>
      <c r="GF234" s="11"/>
      <c r="GG234" s="11"/>
      <c r="GH234" s="11"/>
      <c r="GI234" s="11"/>
      <c r="GJ234" s="11"/>
      <c r="GK234" s="11"/>
      <c r="GL234" s="11"/>
      <c r="GM234" s="11"/>
      <c r="GN234" s="11"/>
      <c r="GO234" s="11"/>
      <c r="GP234" s="11"/>
      <c r="GQ234" s="11"/>
      <c r="GR234" s="11"/>
    </row>
    <row r="235" spans="2:200" x14ac:dyDescent="0.15"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1"/>
      <c r="BO235" s="11"/>
      <c r="BP235" s="11"/>
      <c r="BQ235" s="11"/>
      <c r="BR235" s="11"/>
      <c r="BS235" s="11"/>
      <c r="BT235" s="11"/>
      <c r="BU235" s="11"/>
      <c r="BV235" s="11"/>
      <c r="BW235" s="11"/>
      <c r="BX235" s="11"/>
      <c r="BY235" s="11"/>
      <c r="BZ235" s="11"/>
      <c r="CA235" s="11"/>
      <c r="CB235" s="11"/>
      <c r="CC235" s="11"/>
      <c r="CD235" s="11"/>
      <c r="CE235" s="11"/>
      <c r="CF235" s="11"/>
      <c r="CG235" s="11"/>
      <c r="CH235" s="11"/>
      <c r="CI235" s="11"/>
      <c r="CJ235" s="11"/>
      <c r="CK235" s="11"/>
      <c r="CL235" s="11"/>
      <c r="CM235" s="11"/>
      <c r="CN235" s="11"/>
      <c r="CO235" s="11"/>
      <c r="CP235" s="11"/>
      <c r="CQ235" s="11"/>
      <c r="CR235" s="11"/>
      <c r="CS235" s="11"/>
      <c r="CT235" s="11"/>
      <c r="CU235" s="11"/>
      <c r="CV235" s="11"/>
      <c r="CW235" s="11"/>
      <c r="CX235" s="11"/>
      <c r="CY235" s="11"/>
      <c r="CZ235" s="11"/>
      <c r="DA235" s="11"/>
      <c r="DB235" s="11"/>
      <c r="DC235" s="11"/>
      <c r="DD235" s="11"/>
      <c r="DE235" s="11"/>
      <c r="DF235" s="11"/>
      <c r="DG235" s="11"/>
      <c r="DH235" s="11"/>
      <c r="DI235" s="11"/>
      <c r="DJ235" s="11"/>
      <c r="DK235" s="11"/>
      <c r="DL235" s="11"/>
      <c r="DM235" s="11"/>
      <c r="DN235" s="11"/>
      <c r="DO235" s="11"/>
      <c r="DP235" s="11"/>
      <c r="DQ235" s="11"/>
      <c r="DR235" s="11"/>
      <c r="DS235" s="11"/>
      <c r="DT235" s="11"/>
      <c r="DU235" s="11"/>
      <c r="DV235" s="11"/>
      <c r="DW235" s="11"/>
      <c r="DX235" s="11"/>
      <c r="DY235" s="11"/>
      <c r="DZ235" s="11"/>
      <c r="EA235" s="11"/>
      <c r="EB235" s="11"/>
      <c r="EC235" s="11"/>
      <c r="ED235" s="11"/>
      <c r="EE235" s="11"/>
      <c r="EF235" s="11"/>
      <c r="EG235" s="11"/>
      <c r="EH235" s="11"/>
      <c r="EI235" s="11"/>
      <c r="EJ235" s="11"/>
      <c r="EK235" s="11"/>
      <c r="EL235" s="11"/>
      <c r="EM235" s="11"/>
      <c r="EN235" s="11"/>
      <c r="EO235" s="11"/>
      <c r="EP235" s="11"/>
      <c r="EQ235" s="11"/>
      <c r="ER235" s="11"/>
      <c r="ES235" s="11"/>
      <c r="ET235" s="11"/>
      <c r="EU235" s="11"/>
      <c r="EV235" s="11"/>
      <c r="EW235" s="11"/>
      <c r="EX235" s="11"/>
      <c r="EY235" s="11"/>
      <c r="EZ235" s="11"/>
      <c r="FA235" s="11"/>
      <c r="FB235" s="11"/>
      <c r="FC235" s="11"/>
      <c r="FD235" s="11"/>
      <c r="FE235" s="11"/>
      <c r="FF235" s="11"/>
      <c r="FG235" s="11"/>
      <c r="FH235" s="11"/>
      <c r="FI235" s="11"/>
      <c r="FJ235" s="11"/>
      <c r="FK235" s="11"/>
      <c r="FL235" s="11"/>
      <c r="FM235" s="11"/>
      <c r="FN235" s="11"/>
      <c r="FO235" s="11"/>
      <c r="FP235" s="11"/>
      <c r="FQ235" s="11"/>
      <c r="FR235" s="11"/>
      <c r="FS235" s="11"/>
      <c r="FT235" s="11"/>
      <c r="FU235" s="11"/>
      <c r="FV235" s="11"/>
      <c r="FW235" s="11"/>
      <c r="FX235" s="11"/>
      <c r="FY235" s="11"/>
      <c r="FZ235" s="11"/>
      <c r="GA235" s="11"/>
      <c r="GB235" s="11"/>
      <c r="GC235" s="11"/>
      <c r="GD235" s="11"/>
      <c r="GE235" s="11"/>
      <c r="GF235" s="11"/>
      <c r="GG235" s="11"/>
      <c r="GH235" s="11"/>
      <c r="GI235" s="11"/>
      <c r="GJ235" s="11"/>
      <c r="GK235" s="11"/>
      <c r="GL235" s="11"/>
      <c r="GM235" s="11"/>
      <c r="GN235" s="11"/>
      <c r="GO235" s="11"/>
      <c r="GP235" s="11"/>
      <c r="GQ235" s="11"/>
      <c r="GR235" s="11"/>
    </row>
    <row r="236" spans="2:200" x14ac:dyDescent="0.15"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P236" s="11"/>
      <c r="BQ236" s="11"/>
      <c r="BR236" s="11"/>
      <c r="BS236" s="11"/>
      <c r="BT236" s="11"/>
      <c r="BU236" s="11"/>
      <c r="BV236" s="11"/>
      <c r="BW236" s="11"/>
      <c r="BX236" s="11"/>
      <c r="BY236" s="11"/>
      <c r="BZ236" s="11"/>
      <c r="CA236" s="11"/>
      <c r="CB236" s="11"/>
      <c r="CC236" s="11"/>
      <c r="CD236" s="11"/>
      <c r="CE236" s="11"/>
      <c r="CF236" s="11"/>
      <c r="CG236" s="11"/>
      <c r="CH236" s="11"/>
      <c r="CI236" s="11"/>
      <c r="CJ236" s="11"/>
      <c r="CK236" s="11"/>
      <c r="CL236" s="11"/>
      <c r="CM236" s="11"/>
      <c r="CN236" s="11"/>
      <c r="CO236" s="11"/>
      <c r="CP236" s="11"/>
      <c r="CQ236" s="11"/>
      <c r="CR236" s="11"/>
      <c r="CS236" s="11"/>
      <c r="CT236" s="11"/>
      <c r="CU236" s="11"/>
      <c r="CV236" s="11"/>
      <c r="CW236" s="11"/>
      <c r="CX236" s="11"/>
      <c r="CY236" s="11"/>
      <c r="CZ236" s="11"/>
      <c r="DA236" s="11"/>
      <c r="DB236" s="11"/>
      <c r="DC236" s="11"/>
      <c r="DD236" s="11"/>
      <c r="DE236" s="11"/>
      <c r="DF236" s="11"/>
      <c r="DG236" s="11"/>
      <c r="DH236" s="11"/>
      <c r="DI236" s="11"/>
      <c r="DJ236" s="11"/>
      <c r="DK236" s="11"/>
      <c r="DL236" s="11"/>
      <c r="DM236" s="11"/>
      <c r="DN236" s="11"/>
      <c r="DO236" s="11"/>
      <c r="DP236" s="11"/>
      <c r="DQ236" s="11"/>
      <c r="DR236" s="11"/>
      <c r="DS236" s="11"/>
      <c r="DT236" s="11"/>
      <c r="DU236" s="11"/>
      <c r="DV236" s="11"/>
      <c r="DW236" s="11"/>
      <c r="DX236" s="11"/>
      <c r="DY236" s="11"/>
      <c r="DZ236" s="11"/>
      <c r="EA236" s="11"/>
      <c r="EB236" s="11"/>
      <c r="EC236" s="11"/>
      <c r="ED236" s="11"/>
      <c r="EE236" s="11"/>
      <c r="EF236" s="11"/>
      <c r="EG236" s="11"/>
      <c r="EH236" s="11"/>
      <c r="EI236" s="11"/>
      <c r="EJ236" s="11"/>
      <c r="EK236" s="11"/>
      <c r="EL236" s="11"/>
      <c r="EM236" s="11"/>
      <c r="EN236" s="11"/>
      <c r="EO236" s="11"/>
      <c r="EP236" s="11"/>
      <c r="EQ236" s="11"/>
      <c r="ER236" s="11"/>
      <c r="ES236" s="11"/>
      <c r="ET236" s="11"/>
      <c r="EU236" s="11"/>
      <c r="EV236" s="11"/>
      <c r="EW236" s="11"/>
      <c r="EX236" s="11"/>
      <c r="EY236" s="11"/>
      <c r="EZ236" s="11"/>
      <c r="FA236" s="11"/>
      <c r="FB236" s="11"/>
      <c r="FC236" s="11"/>
      <c r="FD236" s="11"/>
      <c r="FE236" s="11"/>
      <c r="FF236" s="11"/>
      <c r="FG236" s="11"/>
      <c r="FH236" s="11"/>
      <c r="FI236" s="11"/>
      <c r="FJ236" s="11"/>
      <c r="FK236" s="11"/>
      <c r="FL236" s="11"/>
      <c r="FM236" s="11"/>
      <c r="FN236" s="11"/>
      <c r="FO236" s="11"/>
      <c r="FP236" s="11"/>
      <c r="FQ236" s="11"/>
      <c r="FR236" s="11"/>
      <c r="FS236" s="11"/>
      <c r="FT236" s="11"/>
      <c r="FU236" s="11"/>
      <c r="FV236" s="11"/>
      <c r="FW236" s="11"/>
      <c r="FX236" s="11"/>
      <c r="FY236" s="11"/>
      <c r="FZ236" s="11"/>
      <c r="GA236" s="11"/>
      <c r="GB236" s="11"/>
      <c r="GC236" s="11"/>
      <c r="GD236" s="11"/>
      <c r="GE236" s="11"/>
      <c r="GF236" s="11"/>
      <c r="GG236" s="11"/>
      <c r="GH236" s="11"/>
      <c r="GI236" s="11"/>
      <c r="GJ236" s="11"/>
      <c r="GK236" s="11"/>
      <c r="GL236" s="11"/>
      <c r="GM236" s="11"/>
      <c r="GN236" s="11"/>
      <c r="GO236" s="11"/>
      <c r="GP236" s="11"/>
      <c r="GQ236" s="11"/>
      <c r="GR236" s="11"/>
    </row>
    <row r="237" spans="2:200" x14ac:dyDescent="0.15"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P237" s="11"/>
      <c r="BQ237" s="11"/>
      <c r="BR237" s="11"/>
      <c r="BS237" s="11"/>
      <c r="BT237" s="11"/>
      <c r="BU237" s="11"/>
      <c r="BV237" s="11"/>
      <c r="BW237" s="11"/>
      <c r="BX237" s="11"/>
      <c r="BY237" s="11"/>
      <c r="BZ237" s="11"/>
      <c r="CA237" s="11"/>
      <c r="CB237" s="11"/>
      <c r="CC237" s="11"/>
      <c r="CD237" s="11"/>
      <c r="CE237" s="11"/>
      <c r="CF237" s="11"/>
      <c r="CG237" s="11"/>
      <c r="CH237" s="11"/>
      <c r="CI237" s="11"/>
      <c r="CJ237" s="11"/>
      <c r="CK237" s="11"/>
      <c r="CL237" s="11"/>
      <c r="CM237" s="11"/>
      <c r="CN237" s="11"/>
      <c r="CO237" s="11"/>
      <c r="CP237" s="11"/>
      <c r="CQ237" s="11"/>
      <c r="CR237" s="11"/>
      <c r="CS237" s="11"/>
      <c r="CT237" s="11"/>
      <c r="CU237" s="11"/>
      <c r="CV237" s="11"/>
      <c r="CW237" s="11"/>
      <c r="CX237" s="11"/>
      <c r="CY237" s="11"/>
      <c r="CZ237" s="11"/>
      <c r="DA237" s="11"/>
      <c r="DB237" s="11"/>
      <c r="DC237" s="11"/>
      <c r="DD237" s="11"/>
      <c r="DE237" s="11"/>
      <c r="DF237" s="11"/>
      <c r="DG237" s="11"/>
      <c r="DH237" s="11"/>
      <c r="DI237" s="11"/>
      <c r="DJ237" s="11"/>
      <c r="DK237" s="11"/>
      <c r="DL237" s="11"/>
      <c r="DM237" s="11"/>
      <c r="DN237" s="11"/>
      <c r="DO237" s="11"/>
      <c r="DP237" s="11"/>
      <c r="DQ237" s="11"/>
      <c r="DR237" s="11"/>
      <c r="DS237" s="11"/>
      <c r="DT237" s="11"/>
      <c r="DU237" s="11"/>
      <c r="DV237" s="11"/>
      <c r="DW237" s="11"/>
      <c r="DX237" s="11"/>
      <c r="DY237" s="11"/>
      <c r="DZ237" s="11"/>
      <c r="EA237" s="11"/>
      <c r="EB237" s="11"/>
      <c r="EC237" s="11"/>
      <c r="ED237" s="11"/>
      <c r="EE237" s="11"/>
      <c r="EF237" s="11"/>
      <c r="EG237" s="11"/>
      <c r="EH237" s="11"/>
      <c r="EI237" s="11"/>
      <c r="EJ237" s="11"/>
      <c r="EK237" s="11"/>
      <c r="EL237" s="11"/>
      <c r="EM237" s="11"/>
      <c r="EN237" s="11"/>
      <c r="EO237" s="11"/>
      <c r="EP237" s="11"/>
      <c r="EQ237" s="11"/>
      <c r="ER237" s="11"/>
      <c r="ES237" s="11"/>
      <c r="ET237" s="11"/>
      <c r="EU237" s="11"/>
      <c r="EV237" s="11"/>
      <c r="EW237" s="11"/>
      <c r="EX237" s="11"/>
      <c r="EY237" s="11"/>
      <c r="EZ237" s="11"/>
      <c r="FA237" s="11"/>
      <c r="FB237" s="11"/>
      <c r="FC237" s="11"/>
      <c r="FD237" s="11"/>
      <c r="FE237" s="11"/>
      <c r="FF237" s="11"/>
      <c r="FG237" s="11"/>
      <c r="FH237" s="11"/>
      <c r="FI237" s="11"/>
      <c r="FJ237" s="11"/>
      <c r="FK237" s="11"/>
      <c r="FL237" s="11"/>
      <c r="FM237" s="11"/>
      <c r="FN237" s="11"/>
      <c r="FO237" s="11"/>
      <c r="FP237" s="11"/>
      <c r="FQ237" s="11"/>
      <c r="FR237" s="11"/>
      <c r="FS237" s="11"/>
      <c r="FT237" s="11"/>
      <c r="FU237" s="11"/>
      <c r="FV237" s="11"/>
      <c r="FW237" s="11"/>
      <c r="FX237" s="11"/>
      <c r="FY237" s="11"/>
      <c r="FZ237" s="11"/>
      <c r="GA237" s="11"/>
      <c r="GB237" s="11"/>
      <c r="GC237" s="11"/>
      <c r="GD237" s="11"/>
      <c r="GE237" s="11"/>
      <c r="GF237" s="11"/>
      <c r="GG237" s="11"/>
      <c r="GH237" s="11"/>
      <c r="GI237" s="11"/>
      <c r="GJ237" s="11"/>
      <c r="GK237" s="11"/>
      <c r="GL237" s="11"/>
      <c r="GM237" s="11"/>
      <c r="GN237" s="11"/>
      <c r="GO237" s="11"/>
      <c r="GP237" s="11"/>
      <c r="GQ237" s="11"/>
      <c r="GR237" s="11"/>
    </row>
    <row r="238" spans="2:200" x14ac:dyDescent="0.15"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P238" s="11"/>
      <c r="BQ238" s="11"/>
      <c r="BR238" s="11"/>
      <c r="BS238" s="11"/>
      <c r="BT238" s="11"/>
      <c r="BU238" s="11"/>
      <c r="BV238" s="11"/>
      <c r="BW238" s="11"/>
      <c r="BX238" s="11"/>
      <c r="BY238" s="11"/>
      <c r="BZ238" s="11"/>
      <c r="CA238" s="11"/>
      <c r="CB238" s="11"/>
      <c r="CC238" s="11"/>
      <c r="CD238" s="11"/>
      <c r="CE238" s="11"/>
      <c r="CF238" s="11"/>
      <c r="CG238" s="11"/>
      <c r="CH238" s="11"/>
      <c r="CI238" s="11"/>
      <c r="CJ238" s="11"/>
      <c r="CK238" s="11"/>
      <c r="CL238" s="11"/>
      <c r="CM238" s="11"/>
      <c r="CN238" s="11"/>
      <c r="CO238" s="11"/>
      <c r="CP238" s="11"/>
      <c r="CQ238" s="11"/>
      <c r="CR238" s="11"/>
      <c r="CS238" s="11"/>
      <c r="CT238" s="11"/>
      <c r="CU238" s="11"/>
      <c r="CV238" s="11"/>
      <c r="CW238" s="11"/>
      <c r="CX238" s="11"/>
      <c r="CY238" s="11"/>
      <c r="CZ238" s="11"/>
      <c r="DA238" s="11"/>
      <c r="DB238" s="11"/>
      <c r="DC238" s="11"/>
      <c r="DD238" s="11"/>
      <c r="DE238" s="11"/>
      <c r="DF238" s="11"/>
      <c r="DG238" s="11"/>
      <c r="DH238" s="11"/>
      <c r="DI238" s="11"/>
      <c r="DJ238" s="11"/>
      <c r="DK238" s="11"/>
      <c r="DL238" s="11"/>
      <c r="DM238" s="11"/>
      <c r="DN238" s="11"/>
      <c r="DO238" s="11"/>
      <c r="DP238" s="11"/>
      <c r="DQ238" s="11"/>
      <c r="DR238" s="11"/>
      <c r="DS238" s="11"/>
      <c r="DT238" s="11"/>
      <c r="DU238" s="11"/>
      <c r="DV238" s="11"/>
      <c r="DW238" s="11"/>
      <c r="DX238" s="11"/>
      <c r="DY238" s="11"/>
      <c r="DZ238" s="11"/>
      <c r="EA238" s="11"/>
      <c r="EB238" s="11"/>
      <c r="EC238" s="11"/>
      <c r="ED238" s="11"/>
      <c r="EE238" s="11"/>
      <c r="EF238" s="11"/>
      <c r="EG238" s="11"/>
      <c r="EH238" s="11"/>
      <c r="EI238" s="11"/>
      <c r="EJ238" s="11"/>
      <c r="EK238" s="11"/>
      <c r="EL238" s="11"/>
      <c r="EM238" s="11"/>
      <c r="EN238" s="11"/>
      <c r="EO238" s="11"/>
      <c r="EP238" s="11"/>
      <c r="EQ238" s="11"/>
      <c r="ER238" s="11"/>
      <c r="ES238" s="11"/>
      <c r="ET238" s="11"/>
      <c r="EU238" s="11"/>
      <c r="EV238" s="11"/>
      <c r="EW238" s="11"/>
      <c r="EX238" s="11"/>
      <c r="EY238" s="11"/>
      <c r="EZ238" s="11"/>
      <c r="FA238" s="11"/>
      <c r="FB238" s="11"/>
      <c r="FC238" s="11"/>
      <c r="FD238" s="11"/>
      <c r="FE238" s="11"/>
      <c r="FF238" s="11"/>
      <c r="FG238" s="11"/>
      <c r="FH238" s="11"/>
      <c r="FI238" s="11"/>
      <c r="FJ238" s="11"/>
      <c r="FK238" s="11"/>
      <c r="FL238" s="11"/>
      <c r="FM238" s="11"/>
      <c r="FN238" s="11"/>
      <c r="FO238" s="11"/>
      <c r="FP238" s="11"/>
      <c r="FQ238" s="11"/>
      <c r="FR238" s="11"/>
      <c r="FS238" s="11"/>
      <c r="FT238" s="11"/>
      <c r="FU238" s="11"/>
      <c r="FV238" s="11"/>
      <c r="FW238" s="11"/>
      <c r="FX238" s="11"/>
      <c r="FY238" s="11"/>
      <c r="FZ238" s="11"/>
      <c r="GA238" s="11"/>
      <c r="GB238" s="11"/>
      <c r="GC238" s="11"/>
      <c r="GD238" s="11"/>
      <c r="GE238" s="11"/>
      <c r="GF238" s="11"/>
      <c r="GG238" s="11"/>
      <c r="GH238" s="11"/>
      <c r="GI238" s="11"/>
      <c r="GJ238" s="11"/>
      <c r="GK238" s="11"/>
      <c r="GL238" s="11"/>
      <c r="GM238" s="11"/>
      <c r="GN238" s="11"/>
      <c r="GO238" s="11"/>
      <c r="GP238" s="11"/>
      <c r="GQ238" s="11"/>
      <c r="GR238" s="11"/>
    </row>
    <row r="239" spans="2:200" x14ac:dyDescent="0.15"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P239" s="11"/>
      <c r="BQ239" s="11"/>
      <c r="BR239" s="11"/>
      <c r="BS239" s="11"/>
      <c r="BT239" s="11"/>
      <c r="BU239" s="11"/>
      <c r="BV239" s="11"/>
      <c r="BW239" s="11"/>
      <c r="BX239" s="11"/>
      <c r="BY239" s="11"/>
      <c r="BZ239" s="11"/>
      <c r="CA239" s="11"/>
      <c r="CB239" s="11"/>
      <c r="CC239" s="11"/>
      <c r="CD239" s="11"/>
      <c r="CE239" s="11"/>
      <c r="CF239" s="11"/>
      <c r="CG239" s="11"/>
      <c r="CH239" s="11"/>
      <c r="CI239" s="11"/>
      <c r="CJ239" s="11"/>
      <c r="CK239" s="11"/>
      <c r="CL239" s="11"/>
      <c r="CM239" s="11"/>
      <c r="CN239" s="11"/>
      <c r="CO239" s="11"/>
      <c r="CP239" s="11"/>
      <c r="CQ239" s="11"/>
      <c r="CR239" s="11"/>
      <c r="CS239" s="11"/>
      <c r="CT239" s="11"/>
      <c r="CU239" s="11"/>
      <c r="CV239" s="11"/>
      <c r="CW239" s="11"/>
      <c r="CX239" s="11"/>
      <c r="CY239" s="11"/>
      <c r="CZ239" s="11"/>
      <c r="DA239" s="11"/>
      <c r="DB239" s="11"/>
      <c r="DC239" s="11"/>
      <c r="DD239" s="11"/>
      <c r="DE239" s="11"/>
      <c r="DF239" s="11"/>
      <c r="DG239" s="11"/>
      <c r="DH239" s="11"/>
      <c r="DI239" s="11"/>
      <c r="DJ239" s="11"/>
      <c r="DK239" s="11"/>
      <c r="DL239" s="11"/>
      <c r="DM239" s="11"/>
      <c r="DN239" s="11"/>
      <c r="DO239" s="11"/>
      <c r="DP239" s="11"/>
      <c r="DQ239" s="11"/>
      <c r="DR239" s="11"/>
      <c r="DS239" s="11"/>
      <c r="DT239" s="11"/>
      <c r="DU239" s="11"/>
      <c r="DV239" s="11"/>
      <c r="DW239" s="11"/>
      <c r="DX239" s="11"/>
      <c r="DY239" s="11"/>
      <c r="DZ239" s="11"/>
      <c r="EA239" s="11"/>
      <c r="EB239" s="11"/>
      <c r="EC239" s="11"/>
      <c r="ED239" s="11"/>
      <c r="EE239" s="11"/>
      <c r="EF239" s="11"/>
      <c r="EG239" s="11"/>
      <c r="EH239" s="11"/>
      <c r="EI239" s="11"/>
      <c r="EJ239" s="11"/>
      <c r="EK239" s="11"/>
      <c r="EL239" s="11"/>
      <c r="EM239" s="11"/>
      <c r="EN239" s="11"/>
      <c r="EO239" s="11"/>
      <c r="EP239" s="11"/>
      <c r="EQ239" s="11"/>
      <c r="ER239" s="11"/>
      <c r="ES239" s="11"/>
      <c r="ET239" s="11"/>
      <c r="EU239" s="11"/>
      <c r="EV239" s="11"/>
      <c r="EW239" s="11"/>
      <c r="EX239" s="11"/>
      <c r="EY239" s="11"/>
      <c r="EZ239" s="11"/>
      <c r="FA239" s="11"/>
      <c r="FB239" s="11"/>
      <c r="FC239" s="11"/>
      <c r="FD239" s="11"/>
      <c r="FE239" s="11"/>
      <c r="FF239" s="11"/>
      <c r="FG239" s="11"/>
      <c r="FH239" s="11"/>
      <c r="FI239" s="11"/>
      <c r="FJ239" s="11"/>
      <c r="FK239" s="11"/>
      <c r="FL239" s="11"/>
      <c r="FM239" s="11"/>
      <c r="FN239" s="11"/>
      <c r="FO239" s="11"/>
      <c r="FP239" s="11"/>
      <c r="FQ239" s="11"/>
      <c r="FR239" s="11"/>
      <c r="FS239" s="11"/>
      <c r="FT239" s="11"/>
      <c r="FU239" s="11"/>
      <c r="FV239" s="11"/>
      <c r="FW239" s="11"/>
      <c r="FX239" s="11"/>
      <c r="FY239" s="11"/>
      <c r="FZ239" s="11"/>
      <c r="GA239" s="11"/>
      <c r="GB239" s="11"/>
      <c r="GC239" s="11"/>
      <c r="GD239" s="11"/>
      <c r="GE239" s="11"/>
      <c r="GF239" s="11"/>
      <c r="GG239" s="11"/>
      <c r="GH239" s="11"/>
      <c r="GI239" s="11"/>
      <c r="GJ239" s="11"/>
      <c r="GK239" s="11"/>
      <c r="GL239" s="11"/>
      <c r="GM239" s="11"/>
      <c r="GN239" s="11"/>
      <c r="GO239" s="11"/>
      <c r="GP239" s="11"/>
      <c r="GQ239" s="11"/>
      <c r="GR239" s="11"/>
    </row>
    <row r="240" spans="2:200" x14ac:dyDescent="0.15"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P240" s="11"/>
      <c r="BQ240" s="11"/>
      <c r="BR240" s="11"/>
      <c r="BS240" s="11"/>
      <c r="BT240" s="11"/>
      <c r="BU240" s="11"/>
      <c r="BV240" s="11"/>
      <c r="BW240" s="11"/>
      <c r="BX240" s="11"/>
      <c r="BY240" s="11"/>
      <c r="BZ240" s="11"/>
      <c r="CA240" s="11"/>
      <c r="CB240" s="11"/>
      <c r="CC240" s="11"/>
      <c r="CD240" s="11"/>
      <c r="CE240" s="11"/>
      <c r="CF240" s="11"/>
      <c r="CG240" s="11"/>
      <c r="CH240" s="11"/>
      <c r="CI240" s="11"/>
      <c r="CJ240" s="11"/>
      <c r="CK240" s="11"/>
      <c r="CL240" s="11"/>
      <c r="CM240" s="11"/>
      <c r="CN240" s="11"/>
      <c r="CO240" s="11"/>
      <c r="CP240" s="11"/>
      <c r="CQ240" s="11"/>
      <c r="CR240" s="11"/>
      <c r="CS240" s="11"/>
      <c r="CT240" s="11"/>
      <c r="CU240" s="11"/>
      <c r="CV240" s="11"/>
      <c r="CW240" s="11"/>
      <c r="CX240" s="11"/>
      <c r="CY240" s="11"/>
      <c r="CZ240" s="11"/>
      <c r="DA240" s="11"/>
      <c r="DB240" s="11"/>
      <c r="DC240" s="11"/>
      <c r="DD240" s="11"/>
      <c r="DE240" s="11"/>
      <c r="DF240" s="11"/>
      <c r="DG240" s="11"/>
      <c r="DH240" s="11"/>
      <c r="DI240" s="11"/>
      <c r="DJ240" s="11"/>
      <c r="DK240" s="11"/>
      <c r="DL240" s="11"/>
      <c r="DM240" s="11"/>
      <c r="DN240" s="11"/>
      <c r="DO240" s="11"/>
      <c r="DP240" s="11"/>
      <c r="DQ240" s="11"/>
      <c r="DR240" s="11"/>
      <c r="DS240" s="11"/>
      <c r="DT240" s="11"/>
      <c r="DU240" s="11"/>
      <c r="DV240" s="11"/>
      <c r="DW240" s="11"/>
      <c r="DX240" s="11"/>
      <c r="DY240" s="11"/>
      <c r="DZ240" s="11"/>
      <c r="EA240" s="11"/>
      <c r="EB240" s="11"/>
      <c r="EC240" s="11"/>
      <c r="ED240" s="11"/>
      <c r="EE240" s="11"/>
      <c r="EF240" s="11"/>
      <c r="EG240" s="11"/>
      <c r="EH240" s="11"/>
      <c r="EI240" s="11"/>
      <c r="EJ240" s="11"/>
      <c r="EK240" s="11"/>
      <c r="EL240" s="11"/>
      <c r="EM240" s="11"/>
      <c r="EN240" s="11"/>
      <c r="EO240" s="11"/>
      <c r="EP240" s="11"/>
      <c r="EQ240" s="11"/>
      <c r="ER240" s="11"/>
      <c r="ES240" s="11"/>
      <c r="ET240" s="11"/>
      <c r="EU240" s="11"/>
      <c r="EV240" s="11"/>
      <c r="EW240" s="11"/>
      <c r="EX240" s="11"/>
      <c r="EY240" s="11"/>
      <c r="EZ240" s="11"/>
      <c r="FA240" s="11"/>
      <c r="FB240" s="11"/>
      <c r="FC240" s="11"/>
      <c r="FD240" s="11"/>
      <c r="FE240" s="11"/>
      <c r="FF240" s="11"/>
      <c r="FG240" s="11"/>
      <c r="FH240" s="11"/>
      <c r="FI240" s="11"/>
      <c r="FJ240" s="11"/>
      <c r="FK240" s="11"/>
      <c r="FL240" s="11"/>
      <c r="FM240" s="11"/>
      <c r="FN240" s="11"/>
      <c r="FO240" s="11"/>
      <c r="FP240" s="11"/>
      <c r="FQ240" s="11"/>
      <c r="FR240" s="11"/>
      <c r="FS240" s="11"/>
      <c r="FT240" s="11"/>
      <c r="FU240" s="11"/>
      <c r="FV240" s="11"/>
      <c r="FW240" s="11"/>
      <c r="FX240" s="11"/>
      <c r="FY240" s="11"/>
      <c r="FZ240" s="11"/>
      <c r="GA240" s="11"/>
      <c r="GB240" s="11"/>
      <c r="GC240" s="11"/>
      <c r="GD240" s="11"/>
      <c r="GE240" s="11"/>
      <c r="GF240" s="11"/>
      <c r="GG240" s="11"/>
      <c r="GH240" s="11"/>
      <c r="GI240" s="11"/>
      <c r="GJ240" s="11"/>
      <c r="GK240" s="11"/>
      <c r="GL240" s="11"/>
      <c r="GM240" s="11"/>
      <c r="GN240" s="11"/>
      <c r="GO240" s="11"/>
      <c r="GP240" s="11"/>
      <c r="GQ240" s="11"/>
      <c r="GR240" s="11"/>
    </row>
    <row r="241" spans="2:200" x14ac:dyDescent="0.15"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1"/>
      <c r="BO241" s="11"/>
      <c r="BP241" s="11"/>
      <c r="BQ241" s="11"/>
      <c r="BR241" s="11"/>
      <c r="BS241" s="11"/>
      <c r="BT241" s="11"/>
      <c r="BU241" s="11"/>
      <c r="BV241" s="11"/>
      <c r="BW241" s="11"/>
      <c r="BX241" s="11"/>
      <c r="BY241" s="11"/>
      <c r="BZ241" s="11"/>
      <c r="CA241" s="11"/>
      <c r="CB241" s="11"/>
      <c r="CC241" s="11"/>
      <c r="CD241" s="11"/>
      <c r="CE241" s="11"/>
      <c r="CF241" s="11"/>
      <c r="CG241" s="11"/>
      <c r="CH241" s="11"/>
      <c r="CI241" s="11"/>
      <c r="CJ241" s="11"/>
      <c r="CK241" s="11"/>
      <c r="CL241" s="11"/>
      <c r="CM241" s="11"/>
      <c r="CN241" s="11"/>
      <c r="CO241" s="11"/>
      <c r="CP241" s="11"/>
      <c r="CQ241" s="11"/>
      <c r="CR241" s="11"/>
      <c r="CS241" s="11"/>
      <c r="CT241" s="11"/>
      <c r="CU241" s="11"/>
      <c r="CV241" s="11"/>
      <c r="CW241" s="11"/>
      <c r="CX241" s="11"/>
      <c r="CY241" s="11"/>
      <c r="CZ241" s="11"/>
      <c r="DA241" s="11"/>
      <c r="DB241" s="11"/>
      <c r="DC241" s="11"/>
      <c r="DD241" s="11"/>
      <c r="DE241" s="11"/>
      <c r="DF241" s="11"/>
      <c r="DG241" s="11"/>
      <c r="DH241" s="11"/>
      <c r="DI241" s="11"/>
      <c r="DJ241" s="11"/>
      <c r="DK241" s="11"/>
      <c r="DL241" s="11"/>
      <c r="DM241" s="11"/>
      <c r="DN241" s="11"/>
      <c r="DO241" s="11"/>
      <c r="DP241" s="11"/>
      <c r="DQ241" s="11"/>
      <c r="DR241" s="11"/>
      <c r="DS241" s="11"/>
      <c r="DT241" s="11"/>
      <c r="DU241" s="11"/>
      <c r="DV241" s="11"/>
      <c r="DW241" s="11"/>
      <c r="DX241" s="11"/>
      <c r="DY241" s="11"/>
      <c r="DZ241" s="11"/>
      <c r="EA241" s="11"/>
      <c r="EB241" s="11"/>
      <c r="EC241" s="11"/>
      <c r="ED241" s="11"/>
      <c r="EE241" s="11"/>
      <c r="EF241" s="11"/>
      <c r="EG241" s="11"/>
      <c r="EH241" s="11"/>
      <c r="EI241" s="11"/>
      <c r="EJ241" s="11"/>
      <c r="EK241" s="11"/>
      <c r="EL241" s="11"/>
      <c r="EM241" s="11"/>
      <c r="EN241" s="11"/>
      <c r="EO241" s="11"/>
      <c r="EP241" s="11"/>
      <c r="EQ241" s="11"/>
      <c r="ER241" s="11"/>
      <c r="ES241" s="11"/>
      <c r="ET241" s="11"/>
      <c r="EU241" s="11"/>
      <c r="EV241" s="11"/>
      <c r="EW241" s="11"/>
      <c r="EX241" s="11"/>
      <c r="EY241" s="11"/>
      <c r="EZ241" s="11"/>
      <c r="FA241" s="11"/>
      <c r="FB241" s="11"/>
      <c r="FC241" s="11"/>
      <c r="FD241" s="11"/>
      <c r="FE241" s="11"/>
      <c r="FF241" s="11"/>
      <c r="FG241" s="11"/>
      <c r="FH241" s="11"/>
      <c r="FI241" s="11"/>
      <c r="FJ241" s="11"/>
      <c r="FK241" s="11"/>
      <c r="FL241" s="11"/>
      <c r="FM241" s="11"/>
      <c r="FN241" s="11"/>
      <c r="FO241" s="11"/>
      <c r="FP241" s="11"/>
      <c r="FQ241" s="11"/>
      <c r="FR241" s="11"/>
      <c r="FS241" s="11"/>
      <c r="FT241" s="11"/>
      <c r="FU241" s="11"/>
      <c r="FV241" s="11"/>
      <c r="FW241" s="11"/>
      <c r="FX241" s="11"/>
      <c r="FY241" s="11"/>
      <c r="FZ241" s="11"/>
      <c r="GA241" s="11"/>
      <c r="GB241" s="11"/>
      <c r="GC241" s="11"/>
      <c r="GD241" s="11"/>
      <c r="GE241" s="11"/>
      <c r="GF241" s="11"/>
      <c r="GG241" s="11"/>
      <c r="GH241" s="11"/>
      <c r="GI241" s="11"/>
      <c r="GJ241" s="11"/>
      <c r="GK241" s="11"/>
      <c r="GL241" s="11"/>
      <c r="GM241" s="11"/>
      <c r="GN241" s="11"/>
      <c r="GO241" s="11"/>
      <c r="GP241" s="11"/>
      <c r="GQ241" s="11"/>
      <c r="GR241" s="11"/>
    </row>
    <row r="242" spans="2:200" x14ac:dyDescent="0.15"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P242" s="11"/>
      <c r="BQ242" s="11"/>
      <c r="BR242" s="11"/>
      <c r="BS242" s="11"/>
      <c r="BT242" s="11"/>
      <c r="BU242" s="11"/>
      <c r="BV242" s="11"/>
      <c r="BW242" s="11"/>
      <c r="BX242" s="11"/>
      <c r="BY242" s="11"/>
      <c r="BZ242" s="11"/>
      <c r="CA242" s="11"/>
      <c r="CB242" s="11"/>
      <c r="CC242" s="11"/>
      <c r="CD242" s="11"/>
      <c r="CE242" s="11"/>
      <c r="CF242" s="11"/>
      <c r="CG242" s="11"/>
      <c r="CH242" s="11"/>
      <c r="CI242" s="11"/>
      <c r="CJ242" s="11"/>
      <c r="CK242" s="11"/>
      <c r="CL242" s="11"/>
      <c r="CM242" s="11"/>
      <c r="CN242" s="11"/>
      <c r="CO242" s="11"/>
      <c r="CP242" s="11"/>
      <c r="CQ242" s="11"/>
      <c r="CR242" s="11"/>
      <c r="CS242" s="11"/>
      <c r="CT242" s="11"/>
      <c r="CU242" s="11"/>
      <c r="CV242" s="11"/>
      <c r="CW242" s="11"/>
      <c r="CX242" s="11"/>
      <c r="CY242" s="11"/>
      <c r="CZ242" s="11"/>
      <c r="DA242" s="11"/>
      <c r="DB242" s="11"/>
      <c r="DC242" s="11"/>
      <c r="DD242" s="11"/>
      <c r="DE242" s="11"/>
      <c r="DF242" s="11"/>
      <c r="DG242" s="11"/>
      <c r="DH242" s="11"/>
      <c r="DI242" s="11"/>
      <c r="DJ242" s="11"/>
      <c r="DK242" s="11"/>
      <c r="DL242" s="11"/>
      <c r="DM242" s="11"/>
      <c r="DN242" s="11"/>
      <c r="DO242" s="11"/>
      <c r="DP242" s="11"/>
      <c r="DQ242" s="11"/>
      <c r="DR242" s="11"/>
      <c r="DS242" s="11"/>
      <c r="DT242" s="11"/>
      <c r="DU242" s="11"/>
      <c r="DV242" s="11"/>
      <c r="DW242" s="11"/>
      <c r="DX242" s="11"/>
      <c r="DY242" s="11"/>
      <c r="DZ242" s="11"/>
      <c r="EA242" s="11"/>
      <c r="EB242" s="11"/>
      <c r="EC242" s="11"/>
      <c r="ED242" s="11"/>
      <c r="EE242" s="11"/>
      <c r="EF242" s="11"/>
      <c r="EG242" s="11"/>
      <c r="EH242" s="11"/>
      <c r="EI242" s="11"/>
      <c r="EJ242" s="11"/>
      <c r="EK242" s="11"/>
      <c r="EL242" s="11"/>
      <c r="EM242" s="11"/>
      <c r="EN242" s="11"/>
      <c r="EO242" s="11"/>
      <c r="EP242" s="11"/>
      <c r="EQ242" s="11"/>
      <c r="ER242" s="11"/>
      <c r="ES242" s="11"/>
      <c r="ET242" s="11"/>
      <c r="EU242" s="11"/>
      <c r="EV242" s="11"/>
      <c r="EW242" s="11"/>
      <c r="EX242" s="11"/>
      <c r="EY242" s="11"/>
      <c r="EZ242" s="11"/>
      <c r="FA242" s="11"/>
      <c r="FB242" s="11"/>
      <c r="FC242" s="11"/>
      <c r="FD242" s="11"/>
      <c r="FE242" s="11"/>
      <c r="FF242" s="11"/>
      <c r="FG242" s="11"/>
      <c r="FH242" s="11"/>
      <c r="FI242" s="11"/>
      <c r="FJ242" s="11"/>
      <c r="FK242" s="11"/>
      <c r="FL242" s="11"/>
      <c r="FM242" s="11"/>
      <c r="FN242" s="11"/>
      <c r="FO242" s="11"/>
      <c r="FP242" s="11"/>
      <c r="FQ242" s="11"/>
      <c r="FR242" s="11"/>
      <c r="FS242" s="11"/>
      <c r="FT242" s="11"/>
      <c r="FU242" s="11"/>
      <c r="FV242" s="11"/>
      <c r="FW242" s="11"/>
      <c r="FX242" s="11"/>
      <c r="FY242" s="11"/>
      <c r="FZ242" s="11"/>
      <c r="GA242" s="11"/>
      <c r="GB242" s="11"/>
      <c r="GC242" s="11"/>
      <c r="GD242" s="11"/>
      <c r="GE242" s="11"/>
      <c r="GF242" s="11"/>
      <c r="GG242" s="11"/>
      <c r="GH242" s="11"/>
      <c r="GI242" s="11"/>
      <c r="GJ242" s="11"/>
      <c r="GK242" s="11"/>
      <c r="GL242" s="11"/>
      <c r="GM242" s="11"/>
      <c r="GN242" s="11"/>
      <c r="GO242" s="11"/>
      <c r="GP242" s="11"/>
      <c r="GQ242" s="11"/>
      <c r="GR242" s="11"/>
    </row>
    <row r="243" spans="2:200" x14ac:dyDescent="0.15"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P243" s="11"/>
      <c r="BQ243" s="11"/>
      <c r="BR243" s="11"/>
      <c r="BS243" s="11"/>
      <c r="BT243" s="11"/>
      <c r="BU243" s="11"/>
      <c r="BV243" s="11"/>
      <c r="BW243" s="11"/>
      <c r="BX243" s="11"/>
      <c r="BY243" s="11"/>
      <c r="BZ243" s="11"/>
      <c r="CA243" s="11"/>
      <c r="CB243" s="11"/>
      <c r="CC243" s="11"/>
      <c r="CD243" s="11"/>
      <c r="CE243" s="11"/>
      <c r="CF243" s="11"/>
      <c r="CG243" s="11"/>
      <c r="CH243" s="11"/>
      <c r="CI243" s="11"/>
      <c r="CJ243" s="11"/>
      <c r="CK243" s="11"/>
      <c r="CL243" s="11"/>
      <c r="CM243" s="11"/>
      <c r="CN243" s="11"/>
      <c r="CO243" s="11"/>
      <c r="CP243" s="11"/>
      <c r="CQ243" s="11"/>
      <c r="CR243" s="11"/>
      <c r="CS243" s="11"/>
      <c r="CT243" s="11"/>
      <c r="CU243" s="11"/>
      <c r="CV243" s="11"/>
      <c r="CW243" s="11"/>
      <c r="CX243" s="11"/>
      <c r="CY243" s="11"/>
      <c r="CZ243" s="11"/>
      <c r="DA243" s="11"/>
      <c r="DB243" s="11"/>
      <c r="DC243" s="11"/>
      <c r="DD243" s="11"/>
      <c r="DE243" s="11"/>
      <c r="DF243" s="11"/>
      <c r="DG243" s="11"/>
      <c r="DH243" s="11"/>
      <c r="DI243" s="11"/>
      <c r="DJ243" s="11"/>
      <c r="DK243" s="11"/>
      <c r="DL243" s="11"/>
      <c r="DM243" s="11"/>
      <c r="DN243" s="11"/>
      <c r="DO243" s="11"/>
      <c r="DP243" s="11"/>
      <c r="DQ243" s="11"/>
      <c r="DR243" s="11"/>
      <c r="DS243" s="11"/>
      <c r="DT243" s="11"/>
      <c r="DU243" s="11"/>
      <c r="DV243" s="11"/>
      <c r="DW243" s="11"/>
      <c r="DX243" s="11"/>
      <c r="DY243" s="11"/>
      <c r="DZ243" s="11"/>
      <c r="EA243" s="11"/>
      <c r="EB243" s="11"/>
      <c r="EC243" s="11"/>
      <c r="ED243" s="11"/>
      <c r="EE243" s="11"/>
      <c r="EF243" s="11"/>
      <c r="EG243" s="11"/>
      <c r="EH243" s="11"/>
      <c r="EI243" s="11"/>
      <c r="EJ243" s="11"/>
      <c r="EK243" s="11"/>
      <c r="EL243" s="11"/>
      <c r="EM243" s="11"/>
      <c r="EN243" s="11"/>
      <c r="EO243" s="11"/>
      <c r="EP243" s="11"/>
      <c r="EQ243" s="11"/>
      <c r="ER243" s="11"/>
      <c r="ES243" s="11"/>
      <c r="ET243" s="11"/>
      <c r="EU243" s="11"/>
      <c r="EV243" s="11"/>
      <c r="EW243" s="11"/>
      <c r="EX243" s="11"/>
      <c r="EY243" s="11"/>
      <c r="EZ243" s="11"/>
      <c r="FA243" s="11"/>
      <c r="FB243" s="11"/>
      <c r="FC243" s="11"/>
      <c r="FD243" s="11"/>
      <c r="FE243" s="11"/>
      <c r="FF243" s="11"/>
      <c r="FG243" s="11"/>
      <c r="FH243" s="11"/>
      <c r="FI243" s="11"/>
      <c r="FJ243" s="11"/>
      <c r="FK243" s="11"/>
      <c r="FL243" s="11"/>
      <c r="FM243" s="11"/>
      <c r="FN243" s="11"/>
      <c r="FO243" s="11"/>
      <c r="FP243" s="11"/>
      <c r="FQ243" s="11"/>
      <c r="FR243" s="11"/>
      <c r="FS243" s="11"/>
      <c r="FT243" s="11"/>
      <c r="FU243" s="11"/>
      <c r="FV243" s="11"/>
      <c r="FW243" s="11"/>
      <c r="FX243" s="11"/>
      <c r="FY243" s="11"/>
      <c r="FZ243" s="11"/>
      <c r="GA243" s="11"/>
      <c r="GB243" s="11"/>
      <c r="GC243" s="11"/>
      <c r="GD243" s="11"/>
      <c r="GE243" s="11"/>
      <c r="GF243" s="11"/>
      <c r="GG243" s="11"/>
      <c r="GH243" s="11"/>
      <c r="GI243" s="11"/>
      <c r="GJ243" s="11"/>
      <c r="GK243" s="11"/>
      <c r="GL243" s="11"/>
      <c r="GM243" s="11"/>
      <c r="GN243" s="11"/>
      <c r="GO243" s="11"/>
      <c r="GP243" s="11"/>
      <c r="GQ243" s="11"/>
      <c r="GR243" s="11"/>
    </row>
    <row r="244" spans="2:200" x14ac:dyDescent="0.15"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P244" s="11"/>
      <c r="BQ244" s="11"/>
      <c r="BR244" s="11"/>
      <c r="BS244" s="11"/>
      <c r="BT244" s="11"/>
      <c r="BU244" s="11"/>
      <c r="BV244" s="11"/>
      <c r="BW244" s="11"/>
      <c r="BX244" s="11"/>
      <c r="BY244" s="11"/>
      <c r="BZ244" s="11"/>
      <c r="CA244" s="11"/>
      <c r="CB244" s="11"/>
      <c r="CC244" s="11"/>
      <c r="CD244" s="11"/>
      <c r="CE244" s="11"/>
      <c r="CF244" s="11"/>
      <c r="CG244" s="11"/>
      <c r="CH244" s="11"/>
      <c r="CI244" s="11"/>
      <c r="CJ244" s="11"/>
      <c r="CK244" s="11"/>
      <c r="CL244" s="11"/>
      <c r="CM244" s="11"/>
      <c r="CN244" s="11"/>
      <c r="CO244" s="11"/>
      <c r="CP244" s="11"/>
      <c r="CQ244" s="11"/>
      <c r="CR244" s="11"/>
      <c r="CS244" s="11"/>
      <c r="CT244" s="11"/>
      <c r="CU244" s="11"/>
      <c r="CV244" s="11"/>
      <c r="CW244" s="11"/>
      <c r="CX244" s="11"/>
      <c r="CY244" s="11"/>
      <c r="CZ244" s="11"/>
      <c r="DA244" s="11"/>
      <c r="DB244" s="11"/>
      <c r="DC244" s="11"/>
      <c r="DD244" s="11"/>
      <c r="DE244" s="11"/>
      <c r="DF244" s="11"/>
      <c r="DG244" s="11"/>
      <c r="DH244" s="11"/>
      <c r="DI244" s="11"/>
      <c r="DJ244" s="11"/>
      <c r="DK244" s="11"/>
      <c r="DL244" s="11"/>
      <c r="DM244" s="11"/>
      <c r="DN244" s="11"/>
      <c r="DO244" s="11"/>
      <c r="DP244" s="11"/>
      <c r="DQ244" s="11"/>
      <c r="DR244" s="11"/>
      <c r="DS244" s="11"/>
      <c r="DT244" s="11"/>
      <c r="DU244" s="11"/>
      <c r="DV244" s="11"/>
      <c r="DW244" s="11"/>
      <c r="DX244" s="11"/>
      <c r="DY244" s="11"/>
      <c r="DZ244" s="11"/>
      <c r="EA244" s="11"/>
      <c r="EB244" s="11"/>
      <c r="EC244" s="11"/>
      <c r="ED244" s="11"/>
      <c r="EE244" s="11"/>
      <c r="EF244" s="11"/>
      <c r="EG244" s="11"/>
      <c r="EH244" s="11"/>
      <c r="EI244" s="11"/>
      <c r="EJ244" s="11"/>
      <c r="EK244" s="11"/>
      <c r="EL244" s="11"/>
      <c r="EM244" s="11"/>
      <c r="EN244" s="11"/>
      <c r="EO244" s="11"/>
      <c r="EP244" s="11"/>
      <c r="EQ244" s="11"/>
      <c r="ER244" s="11"/>
      <c r="ES244" s="11"/>
      <c r="ET244" s="11"/>
      <c r="EU244" s="11"/>
      <c r="EV244" s="11"/>
      <c r="EW244" s="11"/>
      <c r="EX244" s="11"/>
      <c r="EY244" s="11"/>
      <c r="EZ244" s="11"/>
      <c r="FA244" s="11"/>
      <c r="FB244" s="11"/>
      <c r="FC244" s="11"/>
      <c r="FD244" s="11"/>
      <c r="FE244" s="11"/>
      <c r="FF244" s="11"/>
      <c r="FG244" s="11"/>
      <c r="FH244" s="11"/>
      <c r="FI244" s="11"/>
      <c r="FJ244" s="11"/>
      <c r="FK244" s="11"/>
      <c r="FL244" s="11"/>
      <c r="FM244" s="11"/>
      <c r="FN244" s="11"/>
      <c r="FO244" s="11"/>
      <c r="FP244" s="11"/>
      <c r="FQ244" s="11"/>
      <c r="FR244" s="11"/>
      <c r="FS244" s="11"/>
      <c r="FT244" s="11"/>
      <c r="FU244" s="11"/>
      <c r="FV244" s="11"/>
      <c r="FW244" s="11"/>
      <c r="FX244" s="11"/>
      <c r="FY244" s="11"/>
      <c r="FZ244" s="11"/>
      <c r="GA244" s="11"/>
      <c r="GB244" s="11"/>
      <c r="GC244" s="11"/>
      <c r="GD244" s="11"/>
      <c r="GE244" s="11"/>
      <c r="GF244" s="11"/>
      <c r="GG244" s="11"/>
      <c r="GH244" s="11"/>
      <c r="GI244" s="11"/>
      <c r="GJ244" s="11"/>
      <c r="GK244" s="11"/>
      <c r="GL244" s="11"/>
      <c r="GM244" s="11"/>
      <c r="GN244" s="11"/>
      <c r="GO244" s="11"/>
      <c r="GP244" s="11"/>
      <c r="GQ244" s="11"/>
      <c r="GR244" s="11"/>
    </row>
    <row r="245" spans="2:200" x14ac:dyDescent="0.15"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P245" s="11"/>
      <c r="BQ245" s="11"/>
      <c r="BR245" s="11"/>
      <c r="BS245" s="11"/>
      <c r="BT245" s="11"/>
      <c r="BU245" s="11"/>
      <c r="BV245" s="11"/>
      <c r="BW245" s="11"/>
      <c r="BX245" s="11"/>
      <c r="BY245" s="11"/>
      <c r="BZ245" s="11"/>
      <c r="CA245" s="11"/>
      <c r="CB245" s="11"/>
      <c r="CC245" s="11"/>
      <c r="CD245" s="11"/>
      <c r="CE245" s="11"/>
      <c r="CF245" s="11"/>
      <c r="CG245" s="11"/>
      <c r="CH245" s="11"/>
      <c r="CI245" s="11"/>
      <c r="CJ245" s="11"/>
      <c r="CK245" s="11"/>
      <c r="CL245" s="11"/>
      <c r="CM245" s="11"/>
      <c r="CN245" s="11"/>
      <c r="CO245" s="11"/>
      <c r="CP245" s="11"/>
      <c r="CQ245" s="11"/>
      <c r="CR245" s="11"/>
      <c r="CS245" s="11"/>
      <c r="CT245" s="11"/>
      <c r="CU245" s="11"/>
      <c r="CV245" s="11"/>
      <c r="CW245" s="11"/>
      <c r="CX245" s="11"/>
      <c r="CY245" s="11"/>
      <c r="CZ245" s="11"/>
      <c r="DA245" s="11"/>
      <c r="DB245" s="11"/>
      <c r="DC245" s="11"/>
      <c r="DD245" s="11"/>
      <c r="DE245" s="11"/>
      <c r="DF245" s="11"/>
      <c r="DG245" s="11"/>
      <c r="DH245" s="11"/>
      <c r="DI245" s="11"/>
      <c r="DJ245" s="11"/>
      <c r="DK245" s="11"/>
      <c r="DL245" s="11"/>
      <c r="DM245" s="11"/>
      <c r="DN245" s="11"/>
      <c r="DO245" s="11"/>
      <c r="DP245" s="11"/>
      <c r="DQ245" s="11"/>
      <c r="DR245" s="11"/>
      <c r="DS245" s="11"/>
      <c r="DT245" s="11"/>
      <c r="DU245" s="11"/>
      <c r="DV245" s="11"/>
      <c r="DW245" s="11"/>
      <c r="DX245" s="11"/>
      <c r="DY245" s="11"/>
      <c r="DZ245" s="11"/>
      <c r="EA245" s="11"/>
      <c r="EB245" s="11"/>
      <c r="EC245" s="11"/>
      <c r="ED245" s="11"/>
      <c r="EE245" s="11"/>
      <c r="EF245" s="11"/>
      <c r="EG245" s="11"/>
      <c r="EH245" s="11"/>
      <c r="EI245" s="11"/>
      <c r="EJ245" s="11"/>
      <c r="EK245" s="11"/>
      <c r="EL245" s="11"/>
      <c r="EM245" s="11"/>
      <c r="EN245" s="11"/>
      <c r="EO245" s="11"/>
      <c r="EP245" s="11"/>
      <c r="EQ245" s="11"/>
      <c r="ER245" s="11"/>
      <c r="ES245" s="11"/>
      <c r="ET245" s="11"/>
      <c r="EU245" s="11"/>
      <c r="EV245" s="11"/>
      <c r="EW245" s="11"/>
      <c r="EX245" s="11"/>
      <c r="EY245" s="11"/>
      <c r="EZ245" s="11"/>
      <c r="FA245" s="11"/>
      <c r="FB245" s="11"/>
      <c r="FC245" s="11"/>
      <c r="FD245" s="11"/>
      <c r="FE245" s="11"/>
      <c r="FF245" s="11"/>
      <c r="FG245" s="11"/>
      <c r="FH245" s="11"/>
      <c r="FI245" s="11"/>
      <c r="FJ245" s="11"/>
      <c r="FK245" s="11"/>
      <c r="FL245" s="11"/>
      <c r="FM245" s="11"/>
      <c r="FN245" s="11"/>
      <c r="FO245" s="11"/>
      <c r="FP245" s="11"/>
      <c r="FQ245" s="11"/>
      <c r="FR245" s="11"/>
      <c r="FS245" s="11"/>
      <c r="FT245" s="11"/>
      <c r="FU245" s="11"/>
      <c r="FV245" s="11"/>
      <c r="FW245" s="11"/>
      <c r="FX245" s="11"/>
      <c r="FY245" s="11"/>
      <c r="FZ245" s="11"/>
      <c r="GA245" s="11"/>
      <c r="GB245" s="11"/>
      <c r="GC245" s="11"/>
      <c r="GD245" s="11"/>
      <c r="GE245" s="11"/>
      <c r="GF245" s="11"/>
      <c r="GG245" s="11"/>
      <c r="GH245" s="11"/>
      <c r="GI245" s="11"/>
      <c r="GJ245" s="11"/>
      <c r="GK245" s="11"/>
      <c r="GL245" s="11"/>
      <c r="GM245" s="11"/>
      <c r="GN245" s="11"/>
      <c r="GO245" s="11"/>
      <c r="GP245" s="11"/>
      <c r="GQ245" s="11"/>
      <c r="GR245" s="11"/>
    </row>
    <row r="246" spans="2:200" x14ac:dyDescent="0.15"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P246" s="11"/>
      <c r="BQ246" s="11"/>
      <c r="BR246" s="11"/>
      <c r="BS246" s="11"/>
      <c r="BT246" s="11"/>
      <c r="BU246" s="11"/>
      <c r="BV246" s="11"/>
      <c r="BW246" s="11"/>
      <c r="BX246" s="11"/>
      <c r="BY246" s="11"/>
      <c r="BZ246" s="11"/>
      <c r="CA246" s="11"/>
      <c r="CB246" s="11"/>
      <c r="CC246" s="11"/>
      <c r="CD246" s="11"/>
      <c r="CE246" s="11"/>
      <c r="CF246" s="11"/>
      <c r="CG246" s="11"/>
      <c r="CH246" s="11"/>
      <c r="CI246" s="11"/>
      <c r="CJ246" s="11"/>
      <c r="CK246" s="11"/>
      <c r="CL246" s="11"/>
      <c r="CM246" s="11"/>
      <c r="CN246" s="11"/>
      <c r="CO246" s="11"/>
      <c r="CP246" s="11"/>
      <c r="CQ246" s="11"/>
      <c r="CR246" s="11"/>
      <c r="CS246" s="11"/>
      <c r="CT246" s="11"/>
      <c r="CU246" s="11"/>
      <c r="CV246" s="11"/>
      <c r="CW246" s="11"/>
      <c r="CX246" s="11"/>
      <c r="CY246" s="11"/>
      <c r="CZ246" s="11"/>
      <c r="DA246" s="11"/>
      <c r="DB246" s="11"/>
      <c r="DC246" s="11"/>
      <c r="DD246" s="11"/>
      <c r="DE246" s="11"/>
      <c r="DF246" s="11"/>
      <c r="DG246" s="11"/>
      <c r="DH246" s="11"/>
      <c r="DI246" s="11"/>
      <c r="DJ246" s="11"/>
      <c r="DK246" s="11"/>
      <c r="DL246" s="11"/>
      <c r="DM246" s="11"/>
      <c r="DN246" s="11"/>
      <c r="DO246" s="11"/>
      <c r="DP246" s="11"/>
      <c r="DQ246" s="11"/>
      <c r="DR246" s="11"/>
      <c r="DS246" s="11"/>
      <c r="DT246" s="11"/>
      <c r="DU246" s="11"/>
      <c r="DV246" s="11"/>
      <c r="DW246" s="11"/>
      <c r="DX246" s="11"/>
      <c r="DY246" s="11"/>
      <c r="DZ246" s="11"/>
      <c r="EA246" s="11"/>
      <c r="EB246" s="11"/>
      <c r="EC246" s="11"/>
      <c r="ED246" s="11"/>
      <c r="EE246" s="11"/>
      <c r="EF246" s="11"/>
      <c r="EG246" s="11"/>
      <c r="EH246" s="11"/>
      <c r="EI246" s="11"/>
      <c r="EJ246" s="11"/>
      <c r="EK246" s="11"/>
      <c r="EL246" s="11"/>
      <c r="EM246" s="11"/>
      <c r="EN246" s="11"/>
      <c r="EO246" s="11"/>
      <c r="EP246" s="11"/>
      <c r="EQ246" s="11"/>
      <c r="ER246" s="11"/>
      <c r="ES246" s="11"/>
      <c r="ET246" s="11"/>
      <c r="EU246" s="11"/>
      <c r="EV246" s="11"/>
      <c r="EW246" s="11"/>
      <c r="EX246" s="11"/>
      <c r="EY246" s="11"/>
      <c r="EZ246" s="11"/>
      <c r="FA246" s="11"/>
      <c r="FB246" s="11"/>
      <c r="FC246" s="11"/>
      <c r="FD246" s="11"/>
      <c r="FE246" s="11"/>
      <c r="FF246" s="11"/>
      <c r="FG246" s="11"/>
      <c r="FH246" s="11"/>
      <c r="FI246" s="11"/>
      <c r="FJ246" s="11"/>
      <c r="FK246" s="11"/>
      <c r="FL246" s="11"/>
      <c r="FM246" s="11"/>
      <c r="FN246" s="11"/>
      <c r="FO246" s="11"/>
      <c r="FP246" s="11"/>
      <c r="FQ246" s="11"/>
      <c r="FR246" s="11"/>
      <c r="FS246" s="11"/>
      <c r="FT246" s="11"/>
      <c r="FU246" s="11"/>
      <c r="FV246" s="11"/>
      <c r="FW246" s="11"/>
      <c r="FX246" s="11"/>
      <c r="FY246" s="11"/>
      <c r="FZ246" s="11"/>
      <c r="GA246" s="11"/>
      <c r="GB246" s="11"/>
      <c r="GC246" s="11"/>
      <c r="GD246" s="11"/>
      <c r="GE246" s="11"/>
      <c r="GF246" s="11"/>
      <c r="GG246" s="11"/>
      <c r="GH246" s="11"/>
      <c r="GI246" s="11"/>
      <c r="GJ246" s="11"/>
      <c r="GK246" s="11"/>
      <c r="GL246" s="11"/>
      <c r="GM246" s="11"/>
      <c r="GN246" s="11"/>
      <c r="GO246" s="11"/>
      <c r="GP246" s="11"/>
      <c r="GQ246" s="11"/>
      <c r="GR246" s="11"/>
    </row>
    <row r="247" spans="2:200" x14ac:dyDescent="0.15"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P247" s="11"/>
      <c r="BQ247" s="11"/>
      <c r="BR247" s="11"/>
      <c r="BS247" s="11"/>
      <c r="BT247" s="11"/>
      <c r="BU247" s="11"/>
      <c r="BV247" s="11"/>
      <c r="BW247" s="11"/>
      <c r="BX247" s="11"/>
      <c r="BY247" s="11"/>
      <c r="BZ247" s="11"/>
      <c r="CA247" s="11"/>
      <c r="CB247" s="11"/>
      <c r="CC247" s="11"/>
      <c r="CD247" s="11"/>
      <c r="CE247" s="11"/>
      <c r="CF247" s="11"/>
      <c r="CG247" s="11"/>
      <c r="CH247" s="11"/>
      <c r="CI247" s="11"/>
      <c r="CJ247" s="11"/>
      <c r="CK247" s="11"/>
      <c r="CL247" s="11"/>
      <c r="CM247" s="11"/>
      <c r="CN247" s="11"/>
      <c r="CO247" s="11"/>
      <c r="CP247" s="11"/>
      <c r="CQ247" s="11"/>
      <c r="CR247" s="11"/>
      <c r="CS247" s="11"/>
      <c r="CT247" s="11"/>
      <c r="CU247" s="11"/>
      <c r="CV247" s="11"/>
      <c r="CW247" s="11"/>
      <c r="CX247" s="11"/>
      <c r="CY247" s="11"/>
      <c r="CZ247" s="11"/>
      <c r="DA247" s="11"/>
      <c r="DB247" s="11"/>
      <c r="DC247" s="11"/>
      <c r="DD247" s="11"/>
      <c r="DE247" s="11"/>
      <c r="DF247" s="11"/>
      <c r="DG247" s="11"/>
      <c r="DH247" s="11"/>
      <c r="DI247" s="11"/>
      <c r="DJ247" s="11"/>
      <c r="DK247" s="11"/>
      <c r="DL247" s="11"/>
      <c r="DM247" s="11"/>
      <c r="DN247" s="11"/>
      <c r="DO247" s="11"/>
      <c r="DP247" s="11"/>
      <c r="DQ247" s="11"/>
      <c r="DR247" s="11"/>
      <c r="DS247" s="11"/>
      <c r="DT247" s="11"/>
      <c r="DU247" s="11"/>
      <c r="DV247" s="11"/>
      <c r="DW247" s="11"/>
      <c r="DX247" s="11"/>
      <c r="DY247" s="11"/>
      <c r="DZ247" s="11"/>
      <c r="EA247" s="11"/>
      <c r="EB247" s="11"/>
      <c r="EC247" s="11"/>
      <c r="ED247" s="11"/>
      <c r="EE247" s="11"/>
      <c r="EF247" s="11"/>
      <c r="EG247" s="11"/>
      <c r="EH247" s="11"/>
      <c r="EI247" s="11"/>
      <c r="EJ247" s="11"/>
      <c r="EK247" s="11"/>
      <c r="EL247" s="11"/>
      <c r="EM247" s="11"/>
      <c r="EN247" s="11"/>
      <c r="EO247" s="11"/>
      <c r="EP247" s="11"/>
      <c r="EQ247" s="11"/>
      <c r="ER247" s="11"/>
      <c r="ES247" s="11"/>
      <c r="ET247" s="11"/>
      <c r="EU247" s="11"/>
      <c r="EV247" s="11"/>
      <c r="EW247" s="11"/>
      <c r="EX247" s="11"/>
      <c r="EY247" s="11"/>
      <c r="EZ247" s="11"/>
      <c r="FA247" s="11"/>
      <c r="FB247" s="11"/>
      <c r="FC247" s="11"/>
      <c r="FD247" s="11"/>
      <c r="FE247" s="11"/>
      <c r="FF247" s="11"/>
      <c r="FG247" s="11"/>
      <c r="FH247" s="11"/>
      <c r="FI247" s="11"/>
      <c r="FJ247" s="11"/>
      <c r="FK247" s="11"/>
      <c r="FL247" s="11"/>
      <c r="FM247" s="11"/>
      <c r="FN247" s="11"/>
      <c r="FO247" s="11"/>
      <c r="FP247" s="11"/>
      <c r="FQ247" s="11"/>
      <c r="FR247" s="11"/>
      <c r="FS247" s="11"/>
      <c r="FT247" s="11"/>
      <c r="FU247" s="11"/>
      <c r="FV247" s="11"/>
      <c r="FW247" s="11"/>
      <c r="FX247" s="11"/>
      <c r="FY247" s="11"/>
      <c r="FZ247" s="11"/>
      <c r="GA247" s="11"/>
      <c r="GB247" s="11"/>
      <c r="GC247" s="11"/>
      <c r="GD247" s="11"/>
      <c r="GE247" s="11"/>
      <c r="GF247" s="11"/>
      <c r="GG247" s="11"/>
      <c r="GH247" s="11"/>
      <c r="GI247" s="11"/>
      <c r="GJ247" s="11"/>
      <c r="GK247" s="11"/>
      <c r="GL247" s="11"/>
      <c r="GM247" s="11"/>
      <c r="GN247" s="11"/>
      <c r="GO247" s="11"/>
      <c r="GP247" s="11"/>
      <c r="GQ247" s="11"/>
      <c r="GR247" s="11"/>
    </row>
    <row r="248" spans="2:200" x14ac:dyDescent="0.15"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P248" s="11"/>
      <c r="BQ248" s="11"/>
      <c r="BR248" s="11"/>
      <c r="BS248" s="11"/>
      <c r="BT248" s="11"/>
      <c r="BU248" s="11"/>
      <c r="BV248" s="11"/>
      <c r="BW248" s="11"/>
      <c r="BX248" s="11"/>
      <c r="BY248" s="11"/>
      <c r="BZ248" s="11"/>
      <c r="CA248" s="11"/>
      <c r="CB248" s="11"/>
      <c r="CC248" s="11"/>
      <c r="CD248" s="11"/>
      <c r="CE248" s="11"/>
      <c r="CF248" s="11"/>
      <c r="CG248" s="11"/>
      <c r="CH248" s="11"/>
      <c r="CI248" s="11"/>
      <c r="CJ248" s="11"/>
      <c r="CK248" s="11"/>
      <c r="CL248" s="11"/>
      <c r="CM248" s="11"/>
      <c r="CN248" s="11"/>
      <c r="CO248" s="11"/>
      <c r="CP248" s="11"/>
      <c r="CQ248" s="11"/>
      <c r="CR248" s="11"/>
      <c r="CS248" s="11"/>
      <c r="CT248" s="11"/>
      <c r="CU248" s="11"/>
      <c r="CV248" s="11"/>
      <c r="CW248" s="11"/>
      <c r="CX248" s="11"/>
      <c r="CY248" s="11"/>
      <c r="CZ248" s="11"/>
      <c r="DA248" s="11"/>
      <c r="DB248" s="11"/>
      <c r="DC248" s="11"/>
      <c r="DD248" s="11"/>
      <c r="DE248" s="11"/>
      <c r="DF248" s="11"/>
      <c r="DG248" s="11"/>
      <c r="DH248" s="11"/>
      <c r="DI248" s="11"/>
      <c r="DJ248" s="11"/>
      <c r="DK248" s="11"/>
      <c r="DL248" s="11"/>
      <c r="DM248" s="11"/>
      <c r="DN248" s="11"/>
      <c r="DO248" s="11"/>
      <c r="DP248" s="11"/>
      <c r="DQ248" s="11"/>
      <c r="DR248" s="11"/>
      <c r="DS248" s="11"/>
      <c r="DT248" s="11"/>
      <c r="DU248" s="11"/>
      <c r="DV248" s="11"/>
      <c r="DW248" s="11"/>
      <c r="DX248" s="11"/>
      <c r="DY248" s="11"/>
      <c r="DZ248" s="11"/>
      <c r="EA248" s="11"/>
      <c r="EB248" s="11"/>
      <c r="EC248" s="11"/>
      <c r="ED248" s="11"/>
      <c r="EE248" s="11"/>
      <c r="EF248" s="11"/>
      <c r="EG248" s="11"/>
      <c r="EH248" s="11"/>
      <c r="EI248" s="11"/>
      <c r="EJ248" s="11"/>
      <c r="EK248" s="11"/>
      <c r="EL248" s="11"/>
      <c r="EM248" s="11"/>
      <c r="EN248" s="11"/>
      <c r="EO248" s="11"/>
      <c r="EP248" s="11"/>
      <c r="EQ248" s="11"/>
      <c r="ER248" s="11"/>
      <c r="ES248" s="11"/>
      <c r="ET248" s="11"/>
      <c r="EU248" s="11"/>
      <c r="EV248" s="11"/>
      <c r="EW248" s="11"/>
      <c r="EX248" s="11"/>
      <c r="EY248" s="11"/>
      <c r="EZ248" s="11"/>
      <c r="FA248" s="11"/>
      <c r="FB248" s="11"/>
      <c r="FC248" s="11"/>
      <c r="FD248" s="11"/>
      <c r="FE248" s="11"/>
      <c r="FF248" s="11"/>
      <c r="FG248" s="11"/>
      <c r="FH248" s="11"/>
      <c r="FI248" s="11"/>
      <c r="FJ248" s="11"/>
      <c r="FK248" s="11"/>
      <c r="FL248" s="11"/>
      <c r="FM248" s="11"/>
      <c r="FN248" s="11"/>
      <c r="FO248" s="11"/>
      <c r="FP248" s="11"/>
      <c r="FQ248" s="11"/>
      <c r="FR248" s="11"/>
      <c r="FS248" s="11"/>
      <c r="FT248" s="11"/>
      <c r="FU248" s="11"/>
      <c r="FV248" s="11"/>
      <c r="FW248" s="11"/>
      <c r="FX248" s="11"/>
      <c r="FY248" s="11"/>
      <c r="FZ248" s="11"/>
      <c r="GA248" s="11"/>
      <c r="GB248" s="11"/>
      <c r="GC248" s="11"/>
      <c r="GD248" s="11"/>
      <c r="GE248" s="11"/>
      <c r="GF248" s="11"/>
      <c r="GG248" s="11"/>
      <c r="GH248" s="11"/>
      <c r="GI248" s="11"/>
      <c r="GJ248" s="11"/>
      <c r="GK248" s="11"/>
      <c r="GL248" s="11"/>
      <c r="GM248" s="11"/>
      <c r="GN248" s="11"/>
      <c r="GO248" s="11"/>
      <c r="GP248" s="11"/>
      <c r="GQ248" s="11"/>
      <c r="GR248" s="11"/>
    </row>
    <row r="249" spans="2:200" x14ac:dyDescent="0.15"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P249" s="11"/>
      <c r="BQ249" s="11"/>
      <c r="BR249" s="11"/>
      <c r="BS249" s="11"/>
      <c r="BT249" s="11"/>
      <c r="BU249" s="11"/>
      <c r="BV249" s="11"/>
      <c r="BW249" s="11"/>
      <c r="BX249" s="11"/>
      <c r="BY249" s="11"/>
      <c r="BZ249" s="11"/>
      <c r="CA249" s="11"/>
      <c r="CB249" s="11"/>
      <c r="CC249" s="11"/>
      <c r="CD249" s="11"/>
      <c r="CE249" s="11"/>
      <c r="CF249" s="11"/>
      <c r="CG249" s="11"/>
      <c r="CH249" s="11"/>
      <c r="CI249" s="11"/>
      <c r="CJ249" s="11"/>
      <c r="CK249" s="11"/>
      <c r="CL249" s="11"/>
      <c r="CM249" s="11"/>
      <c r="CN249" s="11"/>
      <c r="CO249" s="11"/>
      <c r="CP249" s="11"/>
      <c r="CQ249" s="11"/>
      <c r="CR249" s="11"/>
      <c r="CS249" s="11"/>
      <c r="CT249" s="11"/>
      <c r="CU249" s="11"/>
      <c r="CV249" s="11"/>
      <c r="CW249" s="11"/>
      <c r="CX249" s="11"/>
      <c r="CY249" s="11"/>
      <c r="CZ249" s="11"/>
      <c r="DA249" s="11"/>
      <c r="DB249" s="11"/>
      <c r="DC249" s="11"/>
      <c r="DD249" s="11"/>
      <c r="DE249" s="11"/>
      <c r="DF249" s="11"/>
      <c r="DG249" s="11"/>
      <c r="DH249" s="11"/>
      <c r="DI249" s="11"/>
      <c r="DJ249" s="11"/>
      <c r="DK249" s="11"/>
      <c r="DL249" s="11"/>
      <c r="DM249" s="11"/>
      <c r="DN249" s="11"/>
      <c r="DO249" s="11"/>
      <c r="DP249" s="11"/>
      <c r="DQ249" s="11"/>
      <c r="DR249" s="11"/>
      <c r="DS249" s="11"/>
      <c r="DT249" s="11"/>
      <c r="DU249" s="11"/>
      <c r="DV249" s="11"/>
      <c r="DW249" s="11"/>
      <c r="DX249" s="11"/>
      <c r="DY249" s="11"/>
      <c r="DZ249" s="11"/>
      <c r="EA249" s="11"/>
      <c r="EB249" s="11"/>
      <c r="EC249" s="11"/>
      <c r="ED249" s="11"/>
      <c r="EE249" s="11"/>
      <c r="EF249" s="11"/>
      <c r="EG249" s="11"/>
      <c r="EH249" s="11"/>
      <c r="EI249" s="11"/>
      <c r="EJ249" s="11"/>
      <c r="EK249" s="11"/>
      <c r="EL249" s="11"/>
      <c r="EM249" s="11"/>
      <c r="EN249" s="11"/>
      <c r="EO249" s="11"/>
      <c r="EP249" s="11"/>
      <c r="EQ249" s="11"/>
      <c r="ER249" s="11"/>
      <c r="ES249" s="11"/>
      <c r="ET249" s="11"/>
      <c r="EU249" s="11"/>
      <c r="EV249" s="11"/>
      <c r="EW249" s="11"/>
      <c r="EX249" s="11"/>
      <c r="EY249" s="11"/>
      <c r="EZ249" s="11"/>
      <c r="FA249" s="11"/>
      <c r="FB249" s="11"/>
      <c r="FC249" s="11"/>
      <c r="FD249" s="11"/>
      <c r="FE249" s="11"/>
      <c r="FF249" s="11"/>
      <c r="FG249" s="11"/>
      <c r="FH249" s="11"/>
      <c r="FI249" s="11"/>
      <c r="FJ249" s="11"/>
      <c r="FK249" s="11"/>
      <c r="FL249" s="11"/>
      <c r="FM249" s="11"/>
      <c r="FN249" s="11"/>
      <c r="FO249" s="11"/>
      <c r="FP249" s="11"/>
      <c r="FQ249" s="11"/>
      <c r="FR249" s="11"/>
      <c r="FS249" s="11"/>
      <c r="FT249" s="11"/>
      <c r="FU249" s="11"/>
      <c r="FV249" s="11"/>
      <c r="FW249" s="11"/>
      <c r="FX249" s="11"/>
      <c r="FY249" s="11"/>
      <c r="FZ249" s="11"/>
      <c r="GA249" s="11"/>
      <c r="GB249" s="11"/>
      <c r="GC249" s="11"/>
      <c r="GD249" s="11"/>
      <c r="GE249" s="11"/>
      <c r="GF249" s="11"/>
      <c r="GG249" s="11"/>
      <c r="GH249" s="11"/>
      <c r="GI249" s="11"/>
      <c r="GJ249" s="11"/>
      <c r="GK249" s="11"/>
      <c r="GL249" s="11"/>
      <c r="GM249" s="11"/>
      <c r="GN249" s="11"/>
      <c r="GO249" s="11"/>
      <c r="GP249" s="11"/>
      <c r="GQ249" s="11"/>
      <c r="GR249" s="11"/>
    </row>
    <row r="250" spans="2:200" x14ac:dyDescent="0.15"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P250" s="11"/>
      <c r="BQ250" s="11"/>
      <c r="BR250" s="11"/>
      <c r="BS250" s="11"/>
      <c r="BT250" s="11"/>
      <c r="BU250" s="11"/>
      <c r="BV250" s="11"/>
      <c r="BW250" s="11"/>
      <c r="BX250" s="11"/>
      <c r="BY250" s="11"/>
      <c r="BZ250" s="11"/>
      <c r="CA250" s="11"/>
      <c r="CB250" s="11"/>
      <c r="CC250" s="11"/>
      <c r="CD250" s="11"/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11"/>
      <c r="CW250" s="11"/>
      <c r="CX250" s="11"/>
      <c r="CY250" s="11"/>
      <c r="CZ250" s="11"/>
      <c r="DA250" s="11"/>
      <c r="DB250" s="11"/>
      <c r="DC250" s="11"/>
      <c r="DD250" s="11"/>
      <c r="DE250" s="11"/>
      <c r="DF250" s="11"/>
      <c r="DG250" s="11"/>
      <c r="DH250" s="11"/>
      <c r="DI250" s="11"/>
      <c r="DJ250" s="11"/>
      <c r="DK250" s="11"/>
      <c r="DL250" s="11"/>
      <c r="DM250" s="11"/>
      <c r="DN250" s="11"/>
      <c r="DO250" s="11"/>
      <c r="DP250" s="11"/>
      <c r="DQ250" s="11"/>
      <c r="DR250" s="11"/>
      <c r="DS250" s="11"/>
      <c r="DT250" s="11"/>
      <c r="DU250" s="11"/>
      <c r="DV250" s="11"/>
      <c r="DW250" s="11"/>
      <c r="DX250" s="11"/>
      <c r="DY250" s="11"/>
      <c r="DZ250" s="11"/>
      <c r="EA250" s="11"/>
      <c r="EB250" s="11"/>
      <c r="EC250" s="11"/>
      <c r="ED250" s="11"/>
      <c r="EE250" s="11"/>
      <c r="EF250" s="11"/>
      <c r="EG250" s="11"/>
      <c r="EH250" s="11"/>
      <c r="EI250" s="11"/>
      <c r="EJ250" s="11"/>
      <c r="EK250" s="11"/>
      <c r="EL250" s="11"/>
      <c r="EM250" s="11"/>
      <c r="EN250" s="11"/>
      <c r="EO250" s="11"/>
      <c r="EP250" s="11"/>
      <c r="EQ250" s="11"/>
      <c r="ER250" s="11"/>
      <c r="ES250" s="11"/>
      <c r="ET250" s="11"/>
      <c r="EU250" s="11"/>
      <c r="EV250" s="11"/>
      <c r="EW250" s="11"/>
      <c r="EX250" s="11"/>
      <c r="EY250" s="11"/>
      <c r="EZ250" s="11"/>
      <c r="FA250" s="11"/>
      <c r="FB250" s="11"/>
      <c r="FC250" s="11"/>
      <c r="FD250" s="11"/>
      <c r="FE250" s="11"/>
      <c r="FF250" s="11"/>
      <c r="FG250" s="11"/>
      <c r="FH250" s="11"/>
      <c r="FI250" s="11"/>
      <c r="FJ250" s="11"/>
      <c r="FK250" s="11"/>
      <c r="FL250" s="11"/>
      <c r="FM250" s="11"/>
      <c r="FN250" s="11"/>
      <c r="FO250" s="11"/>
      <c r="FP250" s="11"/>
      <c r="FQ250" s="11"/>
      <c r="FR250" s="11"/>
      <c r="FS250" s="11"/>
      <c r="FT250" s="11"/>
      <c r="FU250" s="11"/>
      <c r="FV250" s="11"/>
      <c r="FW250" s="11"/>
      <c r="FX250" s="11"/>
      <c r="FY250" s="11"/>
      <c r="FZ250" s="11"/>
      <c r="GA250" s="11"/>
      <c r="GB250" s="11"/>
      <c r="GC250" s="11"/>
      <c r="GD250" s="11"/>
      <c r="GE250" s="11"/>
      <c r="GF250" s="11"/>
      <c r="GG250" s="11"/>
      <c r="GH250" s="11"/>
      <c r="GI250" s="11"/>
      <c r="GJ250" s="11"/>
      <c r="GK250" s="11"/>
      <c r="GL250" s="11"/>
      <c r="GM250" s="11"/>
      <c r="GN250" s="11"/>
      <c r="GO250" s="11"/>
      <c r="GP250" s="11"/>
      <c r="GQ250" s="11"/>
      <c r="GR250" s="11"/>
    </row>
  </sheetData>
  <phoneticPr fontId="2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Gs_spectrum.GS_spectrum">
                <anchor moveWithCells="1" sizeWithCells="1">
                  <from>
                    <xdr:col>4</xdr:col>
                    <xdr:colOff>9525</xdr:colOff>
                    <xdr:row>1</xdr:row>
                    <xdr:rowOff>161925</xdr:rowOff>
                  </from>
                  <to>
                    <xdr:col>5</xdr:col>
                    <xdr:colOff>390525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8FBE-26B0-4980-BFEB-6CFE4EDD43B9}">
  <sheetPr codeName="Sheet16"/>
  <dimension ref="A1:GR251"/>
  <sheetViews>
    <sheetView zoomScaleNormal="100" workbookViewId="0">
      <selection activeCell="B11" sqref="B11"/>
    </sheetView>
  </sheetViews>
  <sheetFormatPr defaultColWidth="17.85546875" defaultRowHeight="15.75" x14ac:dyDescent="0.15"/>
  <cols>
    <col min="1" max="1" width="5.28515625" style="45" customWidth="1"/>
    <col min="2" max="54" width="11" style="45" customWidth="1"/>
    <col min="55" max="256" width="17.85546875" style="45"/>
    <col min="257" max="257" width="5.28515625" style="45" customWidth="1"/>
    <col min="258" max="310" width="11" style="45" customWidth="1"/>
    <col min="311" max="512" width="17.85546875" style="45"/>
    <col min="513" max="513" width="5.28515625" style="45" customWidth="1"/>
    <col min="514" max="566" width="11" style="45" customWidth="1"/>
    <col min="567" max="768" width="17.85546875" style="45"/>
    <col min="769" max="769" width="5.28515625" style="45" customWidth="1"/>
    <col min="770" max="822" width="11" style="45" customWidth="1"/>
    <col min="823" max="1024" width="17.85546875" style="45"/>
    <col min="1025" max="1025" width="5.28515625" style="45" customWidth="1"/>
    <col min="1026" max="1078" width="11" style="45" customWidth="1"/>
    <col min="1079" max="1280" width="17.85546875" style="45"/>
    <col min="1281" max="1281" width="5.28515625" style="45" customWidth="1"/>
    <col min="1282" max="1334" width="11" style="45" customWidth="1"/>
    <col min="1335" max="1536" width="17.85546875" style="45"/>
    <col min="1537" max="1537" width="5.28515625" style="45" customWidth="1"/>
    <col min="1538" max="1590" width="11" style="45" customWidth="1"/>
    <col min="1591" max="1792" width="17.85546875" style="45"/>
    <col min="1793" max="1793" width="5.28515625" style="45" customWidth="1"/>
    <col min="1794" max="1846" width="11" style="45" customWidth="1"/>
    <col min="1847" max="2048" width="17.85546875" style="45"/>
    <col min="2049" max="2049" width="5.28515625" style="45" customWidth="1"/>
    <col min="2050" max="2102" width="11" style="45" customWidth="1"/>
    <col min="2103" max="2304" width="17.85546875" style="45"/>
    <col min="2305" max="2305" width="5.28515625" style="45" customWidth="1"/>
    <col min="2306" max="2358" width="11" style="45" customWidth="1"/>
    <col min="2359" max="2560" width="17.85546875" style="45"/>
    <col min="2561" max="2561" width="5.28515625" style="45" customWidth="1"/>
    <col min="2562" max="2614" width="11" style="45" customWidth="1"/>
    <col min="2615" max="2816" width="17.85546875" style="45"/>
    <col min="2817" max="2817" width="5.28515625" style="45" customWidth="1"/>
    <col min="2818" max="2870" width="11" style="45" customWidth="1"/>
    <col min="2871" max="3072" width="17.85546875" style="45"/>
    <col min="3073" max="3073" width="5.28515625" style="45" customWidth="1"/>
    <col min="3074" max="3126" width="11" style="45" customWidth="1"/>
    <col min="3127" max="3328" width="17.85546875" style="45"/>
    <col min="3329" max="3329" width="5.28515625" style="45" customWidth="1"/>
    <col min="3330" max="3382" width="11" style="45" customWidth="1"/>
    <col min="3383" max="3584" width="17.85546875" style="45"/>
    <col min="3585" max="3585" width="5.28515625" style="45" customWidth="1"/>
    <col min="3586" max="3638" width="11" style="45" customWidth="1"/>
    <col min="3639" max="3840" width="17.85546875" style="45"/>
    <col min="3841" max="3841" width="5.28515625" style="45" customWidth="1"/>
    <col min="3842" max="3894" width="11" style="45" customWidth="1"/>
    <col min="3895" max="4096" width="17.85546875" style="45"/>
    <col min="4097" max="4097" width="5.28515625" style="45" customWidth="1"/>
    <col min="4098" max="4150" width="11" style="45" customWidth="1"/>
    <col min="4151" max="4352" width="17.85546875" style="45"/>
    <col min="4353" max="4353" width="5.28515625" style="45" customWidth="1"/>
    <col min="4354" max="4406" width="11" style="45" customWidth="1"/>
    <col min="4407" max="4608" width="17.85546875" style="45"/>
    <col min="4609" max="4609" width="5.28515625" style="45" customWidth="1"/>
    <col min="4610" max="4662" width="11" style="45" customWidth="1"/>
    <col min="4663" max="4864" width="17.85546875" style="45"/>
    <col min="4865" max="4865" width="5.28515625" style="45" customWidth="1"/>
    <col min="4866" max="4918" width="11" style="45" customWidth="1"/>
    <col min="4919" max="5120" width="17.85546875" style="45"/>
    <col min="5121" max="5121" width="5.28515625" style="45" customWidth="1"/>
    <col min="5122" max="5174" width="11" style="45" customWidth="1"/>
    <col min="5175" max="5376" width="17.85546875" style="45"/>
    <col min="5377" max="5377" width="5.28515625" style="45" customWidth="1"/>
    <col min="5378" max="5430" width="11" style="45" customWidth="1"/>
    <col min="5431" max="5632" width="17.85546875" style="45"/>
    <col min="5633" max="5633" width="5.28515625" style="45" customWidth="1"/>
    <col min="5634" max="5686" width="11" style="45" customWidth="1"/>
    <col min="5687" max="5888" width="17.85546875" style="45"/>
    <col min="5889" max="5889" width="5.28515625" style="45" customWidth="1"/>
    <col min="5890" max="5942" width="11" style="45" customWidth="1"/>
    <col min="5943" max="6144" width="17.85546875" style="45"/>
    <col min="6145" max="6145" width="5.28515625" style="45" customWidth="1"/>
    <col min="6146" max="6198" width="11" style="45" customWidth="1"/>
    <col min="6199" max="6400" width="17.85546875" style="45"/>
    <col min="6401" max="6401" width="5.28515625" style="45" customWidth="1"/>
    <col min="6402" max="6454" width="11" style="45" customWidth="1"/>
    <col min="6455" max="6656" width="17.85546875" style="45"/>
    <col min="6657" max="6657" width="5.28515625" style="45" customWidth="1"/>
    <col min="6658" max="6710" width="11" style="45" customWidth="1"/>
    <col min="6711" max="6912" width="17.85546875" style="45"/>
    <col min="6913" max="6913" width="5.28515625" style="45" customWidth="1"/>
    <col min="6914" max="6966" width="11" style="45" customWidth="1"/>
    <col min="6967" max="7168" width="17.85546875" style="45"/>
    <col min="7169" max="7169" width="5.28515625" style="45" customWidth="1"/>
    <col min="7170" max="7222" width="11" style="45" customWidth="1"/>
    <col min="7223" max="7424" width="17.85546875" style="45"/>
    <col min="7425" max="7425" width="5.28515625" style="45" customWidth="1"/>
    <col min="7426" max="7478" width="11" style="45" customWidth="1"/>
    <col min="7479" max="7680" width="17.85546875" style="45"/>
    <col min="7681" max="7681" width="5.28515625" style="45" customWidth="1"/>
    <col min="7682" max="7734" width="11" style="45" customWidth="1"/>
    <col min="7735" max="7936" width="17.85546875" style="45"/>
    <col min="7937" max="7937" width="5.28515625" style="45" customWidth="1"/>
    <col min="7938" max="7990" width="11" style="45" customWidth="1"/>
    <col min="7991" max="8192" width="17.85546875" style="45"/>
    <col min="8193" max="8193" width="5.28515625" style="45" customWidth="1"/>
    <col min="8194" max="8246" width="11" style="45" customWidth="1"/>
    <col min="8247" max="8448" width="17.85546875" style="45"/>
    <col min="8449" max="8449" width="5.28515625" style="45" customWidth="1"/>
    <col min="8450" max="8502" width="11" style="45" customWidth="1"/>
    <col min="8503" max="8704" width="17.85546875" style="45"/>
    <col min="8705" max="8705" width="5.28515625" style="45" customWidth="1"/>
    <col min="8706" max="8758" width="11" style="45" customWidth="1"/>
    <col min="8759" max="8960" width="17.85546875" style="45"/>
    <col min="8961" max="8961" width="5.28515625" style="45" customWidth="1"/>
    <col min="8962" max="9014" width="11" style="45" customWidth="1"/>
    <col min="9015" max="9216" width="17.85546875" style="45"/>
    <col min="9217" max="9217" width="5.28515625" style="45" customWidth="1"/>
    <col min="9218" max="9270" width="11" style="45" customWidth="1"/>
    <col min="9271" max="9472" width="17.85546875" style="45"/>
    <col min="9473" max="9473" width="5.28515625" style="45" customWidth="1"/>
    <col min="9474" max="9526" width="11" style="45" customWidth="1"/>
    <col min="9527" max="9728" width="17.85546875" style="45"/>
    <col min="9729" max="9729" width="5.28515625" style="45" customWidth="1"/>
    <col min="9730" max="9782" width="11" style="45" customWidth="1"/>
    <col min="9783" max="9984" width="17.85546875" style="45"/>
    <col min="9985" max="9985" width="5.28515625" style="45" customWidth="1"/>
    <col min="9986" max="10038" width="11" style="45" customWidth="1"/>
    <col min="10039" max="10240" width="17.85546875" style="45"/>
    <col min="10241" max="10241" width="5.28515625" style="45" customWidth="1"/>
    <col min="10242" max="10294" width="11" style="45" customWidth="1"/>
    <col min="10295" max="10496" width="17.85546875" style="45"/>
    <col min="10497" max="10497" width="5.28515625" style="45" customWidth="1"/>
    <col min="10498" max="10550" width="11" style="45" customWidth="1"/>
    <col min="10551" max="10752" width="17.85546875" style="45"/>
    <col min="10753" max="10753" width="5.28515625" style="45" customWidth="1"/>
    <col min="10754" max="10806" width="11" style="45" customWidth="1"/>
    <col min="10807" max="11008" width="17.85546875" style="45"/>
    <col min="11009" max="11009" width="5.28515625" style="45" customWidth="1"/>
    <col min="11010" max="11062" width="11" style="45" customWidth="1"/>
    <col min="11063" max="11264" width="17.85546875" style="45"/>
    <col min="11265" max="11265" width="5.28515625" style="45" customWidth="1"/>
    <col min="11266" max="11318" width="11" style="45" customWidth="1"/>
    <col min="11319" max="11520" width="17.85546875" style="45"/>
    <col min="11521" max="11521" width="5.28515625" style="45" customWidth="1"/>
    <col min="11522" max="11574" width="11" style="45" customWidth="1"/>
    <col min="11575" max="11776" width="17.85546875" style="45"/>
    <col min="11777" max="11777" width="5.28515625" style="45" customWidth="1"/>
    <col min="11778" max="11830" width="11" style="45" customWidth="1"/>
    <col min="11831" max="12032" width="17.85546875" style="45"/>
    <col min="12033" max="12033" width="5.28515625" style="45" customWidth="1"/>
    <col min="12034" max="12086" width="11" style="45" customWidth="1"/>
    <col min="12087" max="12288" width="17.85546875" style="45"/>
    <col min="12289" max="12289" width="5.28515625" style="45" customWidth="1"/>
    <col min="12290" max="12342" width="11" style="45" customWidth="1"/>
    <col min="12343" max="12544" width="17.85546875" style="45"/>
    <col min="12545" max="12545" width="5.28515625" style="45" customWidth="1"/>
    <col min="12546" max="12598" width="11" style="45" customWidth="1"/>
    <col min="12599" max="12800" width="17.85546875" style="45"/>
    <col min="12801" max="12801" width="5.28515625" style="45" customWidth="1"/>
    <col min="12802" max="12854" width="11" style="45" customWidth="1"/>
    <col min="12855" max="13056" width="17.85546875" style="45"/>
    <col min="13057" max="13057" width="5.28515625" style="45" customWidth="1"/>
    <col min="13058" max="13110" width="11" style="45" customWidth="1"/>
    <col min="13111" max="13312" width="17.85546875" style="45"/>
    <col min="13313" max="13313" width="5.28515625" style="45" customWidth="1"/>
    <col min="13314" max="13366" width="11" style="45" customWidth="1"/>
    <col min="13367" max="13568" width="17.85546875" style="45"/>
    <col min="13569" max="13569" width="5.28515625" style="45" customWidth="1"/>
    <col min="13570" max="13622" width="11" style="45" customWidth="1"/>
    <col min="13623" max="13824" width="17.85546875" style="45"/>
    <col min="13825" max="13825" width="5.28515625" style="45" customWidth="1"/>
    <col min="13826" max="13878" width="11" style="45" customWidth="1"/>
    <col min="13879" max="14080" width="17.85546875" style="45"/>
    <col min="14081" max="14081" width="5.28515625" style="45" customWidth="1"/>
    <col min="14082" max="14134" width="11" style="45" customWidth="1"/>
    <col min="14135" max="14336" width="17.85546875" style="45"/>
    <col min="14337" max="14337" width="5.28515625" style="45" customWidth="1"/>
    <col min="14338" max="14390" width="11" style="45" customWidth="1"/>
    <col min="14391" max="14592" width="17.85546875" style="45"/>
    <col min="14593" max="14593" width="5.28515625" style="45" customWidth="1"/>
    <col min="14594" max="14646" width="11" style="45" customWidth="1"/>
    <col min="14647" max="14848" width="17.85546875" style="45"/>
    <col min="14849" max="14849" width="5.28515625" style="45" customWidth="1"/>
    <col min="14850" max="14902" width="11" style="45" customWidth="1"/>
    <col min="14903" max="15104" width="17.85546875" style="45"/>
    <col min="15105" max="15105" width="5.28515625" style="45" customWidth="1"/>
    <col min="15106" max="15158" width="11" style="45" customWidth="1"/>
    <col min="15159" max="15360" width="17.85546875" style="45"/>
    <col min="15361" max="15361" width="5.28515625" style="45" customWidth="1"/>
    <col min="15362" max="15414" width="11" style="45" customWidth="1"/>
    <col min="15415" max="15616" width="17.85546875" style="45"/>
    <col min="15617" max="15617" width="5.28515625" style="45" customWidth="1"/>
    <col min="15618" max="15670" width="11" style="45" customWidth="1"/>
    <col min="15671" max="15872" width="17.85546875" style="45"/>
    <col min="15873" max="15873" width="5.28515625" style="45" customWidth="1"/>
    <col min="15874" max="15926" width="11" style="45" customWidth="1"/>
    <col min="15927" max="16128" width="17.85546875" style="45"/>
    <col min="16129" max="16129" width="5.28515625" style="45" customWidth="1"/>
    <col min="16130" max="16182" width="11" style="45" customWidth="1"/>
    <col min="16183" max="16384" width="17.85546875" style="45"/>
  </cols>
  <sheetData>
    <row r="1" spans="1:200" x14ac:dyDescent="0.15">
      <c r="A1" s="91"/>
      <c r="B1" s="45">
        <v>2</v>
      </c>
      <c r="C1" s="45">
        <v>3</v>
      </c>
      <c r="D1" s="45">
        <v>4</v>
      </c>
      <c r="E1" s="45">
        <v>5</v>
      </c>
      <c r="F1" s="45">
        <v>6</v>
      </c>
      <c r="G1" s="45">
        <v>7</v>
      </c>
      <c r="H1" s="45">
        <v>8</v>
      </c>
      <c r="I1" s="45">
        <v>9</v>
      </c>
      <c r="J1" s="45">
        <v>10</v>
      </c>
      <c r="K1" s="45">
        <v>11</v>
      </c>
      <c r="L1" s="45">
        <v>12</v>
      </c>
      <c r="M1" s="45">
        <v>13</v>
      </c>
      <c r="N1" s="45">
        <v>14</v>
      </c>
      <c r="O1" s="45">
        <v>15</v>
      </c>
      <c r="P1" s="45">
        <v>16</v>
      </c>
      <c r="Q1" s="45">
        <v>17</v>
      </c>
    </row>
    <row r="2" spans="1:200" x14ac:dyDescent="0.15">
      <c r="B2" s="89" t="s">
        <v>182</v>
      </c>
      <c r="C2" s="45" t="s">
        <v>51</v>
      </c>
      <c r="D2" s="89" t="s">
        <v>183</v>
      </c>
      <c r="E2" s="89" t="s">
        <v>86</v>
      </c>
      <c r="F2" s="89" t="s">
        <v>184</v>
      </c>
    </row>
    <row r="3" spans="1:200" x14ac:dyDescent="0.15">
      <c r="B3" s="89">
        <v>6</v>
      </c>
    </row>
    <row r="4" spans="1:200" x14ac:dyDescent="0.15">
      <c r="B4" s="45" t="s">
        <v>55</v>
      </c>
      <c r="C4" s="45" t="s">
        <v>56</v>
      </c>
      <c r="D4" s="45" t="s">
        <v>57</v>
      </c>
      <c r="E4" s="45" t="s">
        <v>58</v>
      </c>
      <c r="F4" s="45" t="s">
        <v>59</v>
      </c>
      <c r="G4" s="45" t="s">
        <v>60</v>
      </c>
      <c r="H4" s="91" t="s">
        <v>212</v>
      </c>
      <c r="I4" s="91"/>
      <c r="J4" s="91" t="s">
        <v>216</v>
      </c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1"/>
      <c r="BN4" s="91"/>
      <c r="BO4" s="91"/>
      <c r="BP4" s="91"/>
      <c r="BQ4" s="91"/>
      <c r="BR4" s="91"/>
      <c r="BS4" s="91"/>
      <c r="BT4" s="91"/>
      <c r="BU4" s="91"/>
      <c r="BV4" s="91"/>
      <c r="BW4" s="91"/>
      <c r="BX4" s="91"/>
      <c r="BY4" s="91"/>
      <c r="BZ4" s="91"/>
      <c r="CA4" s="91"/>
      <c r="CB4" s="91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91"/>
      <c r="CN4" s="91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1"/>
      <c r="CZ4" s="91"/>
      <c r="DA4" s="91"/>
      <c r="DB4" s="91"/>
      <c r="DC4" s="91"/>
      <c r="DD4" s="91"/>
      <c r="DE4" s="91"/>
      <c r="DF4" s="91"/>
      <c r="DG4" s="91"/>
      <c r="DH4" s="91"/>
      <c r="DI4" s="91"/>
      <c r="DJ4" s="91"/>
      <c r="DK4" s="91"/>
      <c r="DL4" s="91"/>
      <c r="DM4" s="91"/>
      <c r="DN4" s="91"/>
      <c r="DO4" s="91"/>
      <c r="DP4" s="91"/>
      <c r="DQ4" s="91"/>
      <c r="DR4" s="91"/>
      <c r="DS4" s="91"/>
      <c r="DT4" s="91"/>
      <c r="DU4" s="91"/>
      <c r="DV4" s="91"/>
      <c r="DW4" s="91"/>
      <c r="DX4" s="91"/>
      <c r="DY4" s="91"/>
      <c r="DZ4" s="91"/>
      <c r="EA4" s="91"/>
      <c r="EB4" s="91"/>
      <c r="EC4" s="91"/>
      <c r="ED4" s="91"/>
      <c r="EE4" s="91"/>
      <c r="EF4" s="91"/>
      <c r="EG4" s="91"/>
      <c r="EH4" s="91"/>
      <c r="EI4" s="91"/>
      <c r="EJ4" s="91"/>
      <c r="EK4" s="91"/>
      <c r="EL4" s="91"/>
      <c r="EM4" s="91"/>
      <c r="EN4" s="91"/>
      <c r="EO4" s="91"/>
      <c r="EP4" s="91"/>
      <c r="EQ4" s="91"/>
      <c r="ER4" s="91"/>
      <c r="ES4" s="91"/>
      <c r="ET4" s="91"/>
      <c r="EU4" s="91"/>
      <c r="EV4" s="91"/>
      <c r="EW4" s="91"/>
      <c r="EX4" s="91"/>
      <c r="EY4" s="91"/>
      <c r="EZ4" s="91"/>
      <c r="FA4" s="91"/>
      <c r="FB4" s="91"/>
      <c r="FC4" s="91"/>
      <c r="FD4" s="91"/>
      <c r="FE4" s="91"/>
      <c r="FF4" s="91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91"/>
      <c r="FR4" s="91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1"/>
      <c r="GD4" s="91"/>
      <c r="GE4" s="91"/>
      <c r="GF4" s="91"/>
      <c r="GG4" s="91"/>
      <c r="GH4" s="91"/>
      <c r="GI4" s="91"/>
      <c r="GJ4" s="91"/>
      <c r="GK4" s="91"/>
      <c r="GL4" s="91"/>
      <c r="GM4" s="91"/>
      <c r="GN4" s="91"/>
      <c r="GO4" s="91"/>
      <c r="GP4" s="91"/>
      <c r="GQ4" s="91"/>
      <c r="GR4" s="91"/>
    </row>
    <row r="5" spans="1:200" x14ac:dyDescent="0.15">
      <c r="B5" s="45">
        <v>1</v>
      </c>
      <c r="C5" s="45">
        <v>5.5</v>
      </c>
      <c r="D5" s="45">
        <v>1.4</v>
      </c>
      <c r="E5" s="90">
        <v>360</v>
      </c>
      <c r="F5" s="90">
        <v>120</v>
      </c>
      <c r="G5" s="91" t="s">
        <v>214</v>
      </c>
      <c r="H5" s="45">
        <v>20160</v>
      </c>
      <c r="I5" s="91"/>
      <c r="J5" s="91">
        <v>1</v>
      </c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1"/>
      <c r="BI5" s="91"/>
      <c r="BJ5" s="91"/>
      <c r="BK5" s="91"/>
      <c r="BL5" s="91"/>
      <c r="BM5" s="91"/>
      <c r="BN5" s="91"/>
      <c r="BO5" s="91"/>
      <c r="BP5" s="91"/>
      <c r="BQ5" s="91"/>
      <c r="BR5" s="91"/>
      <c r="BS5" s="91"/>
      <c r="BT5" s="91"/>
      <c r="BU5" s="91"/>
      <c r="BV5" s="91"/>
      <c r="BW5" s="91"/>
      <c r="BX5" s="91"/>
      <c r="BY5" s="91"/>
      <c r="BZ5" s="91"/>
      <c r="CA5" s="91"/>
      <c r="CB5" s="91"/>
      <c r="CC5" s="91"/>
      <c r="CD5" s="91"/>
      <c r="CE5" s="91"/>
      <c r="CF5" s="91"/>
      <c r="CG5" s="91"/>
      <c r="CH5" s="91"/>
      <c r="CI5" s="91"/>
      <c r="CJ5" s="91"/>
      <c r="CK5" s="91"/>
      <c r="CL5" s="91"/>
      <c r="CM5" s="91"/>
      <c r="CN5" s="91"/>
      <c r="CO5" s="91"/>
      <c r="CP5" s="91"/>
      <c r="CQ5" s="91"/>
      <c r="CR5" s="91"/>
      <c r="CS5" s="91"/>
      <c r="CT5" s="91"/>
      <c r="CU5" s="91"/>
      <c r="CV5" s="91"/>
      <c r="CW5" s="91"/>
      <c r="CX5" s="91"/>
      <c r="CY5" s="91"/>
      <c r="CZ5" s="91"/>
      <c r="DA5" s="91"/>
      <c r="DB5" s="91"/>
      <c r="DC5" s="91"/>
      <c r="DD5" s="91"/>
      <c r="DE5" s="91"/>
      <c r="DF5" s="91"/>
      <c r="DG5" s="91"/>
      <c r="DH5" s="91"/>
      <c r="DI5" s="91"/>
      <c r="DJ5" s="91"/>
      <c r="DK5" s="91"/>
      <c r="DL5" s="91"/>
      <c r="DM5" s="91"/>
      <c r="DN5" s="91"/>
      <c r="DO5" s="91"/>
      <c r="DP5" s="91"/>
      <c r="DQ5" s="91"/>
      <c r="DR5" s="91"/>
      <c r="DS5" s="91"/>
      <c r="DT5" s="91"/>
      <c r="DU5" s="91"/>
      <c r="DV5" s="91"/>
      <c r="DW5" s="91"/>
      <c r="DX5" s="91"/>
      <c r="DY5" s="91"/>
      <c r="DZ5" s="91"/>
      <c r="EA5" s="91"/>
      <c r="EB5" s="91"/>
      <c r="EC5" s="91"/>
      <c r="ED5" s="91"/>
      <c r="EE5" s="91"/>
      <c r="EF5" s="91"/>
      <c r="EG5" s="91"/>
      <c r="EH5" s="91"/>
      <c r="EI5" s="91"/>
      <c r="EJ5" s="91"/>
      <c r="EK5" s="91"/>
      <c r="EL5" s="91"/>
      <c r="EM5" s="91"/>
      <c r="EN5" s="91"/>
      <c r="EO5" s="91"/>
      <c r="EP5" s="91"/>
      <c r="EQ5" s="91"/>
      <c r="ER5" s="91"/>
      <c r="ES5" s="91"/>
      <c r="ET5" s="91"/>
      <c r="EU5" s="91"/>
      <c r="EV5" s="91"/>
      <c r="EW5" s="91"/>
      <c r="EX5" s="91"/>
      <c r="EY5" s="91"/>
      <c r="EZ5" s="91"/>
      <c r="FA5" s="91"/>
      <c r="FB5" s="91"/>
      <c r="FC5" s="91"/>
      <c r="FD5" s="91"/>
      <c r="FE5" s="91"/>
      <c r="FF5" s="91"/>
      <c r="FG5" s="91"/>
      <c r="FH5" s="91"/>
      <c r="FI5" s="91"/>
      <c r="FJ5" s="91"/>
      <c r="FK5" s="91"/>
      <c r="FL5" s="91"/>
      <c r="FM5" s="91"/>
      <c r="FN5" s="91"/>
      <c r="FO5" s="91"/>
      <c r="FP5" s="91"/>
      <c r="FQ5" s="91"/>
      <c r="FR5" s="91"/>
      <c r="FS5" s="91"/>
      <c r="FT5" s="91"/>
      <c r="FU5" s="91"/>
      <c r="FV5" s="91"/>
      <c r="FW5" s="91"/>
      <c r="FX5" s="91"/>
      <c r="FY5" s="91"/>
      <c r="FZ5" s="91"/>
      <c r="GA5" s="91"/>
      <c r="GB5" s="91"/>
      <c r="GC5" s="91"/>
      <c r="GD5" s="91"/>
      <c r="GE5" s="91"/>
      <c r="GF5" s="91"/>
      <c r="GG5" s="91"/>
      <c r="GH5" s="91"/>
      <c r="GI5" s="91"/>
      <c r="GJ5" s="91"/>
      <c r="GK5" s="91"/>
      <c r="GL5" s="91"/>
      <c r="GM5" s="91"/>
      <c r="GN5" s="91"/>
      <c r="GO5" s="91"/>
      <c r="GP5" s="91"/>
      <c r="GQ5" s="91"/>
      <c r="GR5" s="91"/>
    </row>
    <row r="6" spans="1:200" x14ac:dyDescent="0.15">
      <c r="B6" s="45">
        <v>2</v>
      </c>
      <c r="C6" s="45">
        <v>3.9</v>
      </c>
      <c r="D6" s="45">
        <v>1.5</v>
      </c>
      <c r="E6" s="90">
        <v>680</v>
      </c>
      <c r="F6" s="90">
        <v>210</v>
      </c>
      <c r="G6" s="91" t="s">
        <v>214</v>
      </c>
      <c r="H6" s="45">
        <v>66150</v>
      </c>
      <c r="I6" s="91"/>
      <c r="J6" s="91">
        <v>0.53001600503921509</v>
      </c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1"/>
      <c r="BA6" s="91"/>
      <c r="BB6" s="91"/>
      <c r="BC6" s="91"/>
      <c r="BD6" s="91"/>
      <c r="BE6" s="91"/>
      <c r="BF6" s="91"/>
      <c r="BG6" s="91"/>
      <c r="BH6" s="91"/>
      <c r="BI6" s="91"/>
      <c r="BJ6" s="91"/>
      <c r="BK6" s="91"/>
      <c r="BL6" s="91"/>
      <c r="BM6" s="91"/>
      <c r="BN6" s="91"/>
      <c r="BO6" s="91"/>
      <c r="BP6" s="91"/>
      <c r="BQ6" s="91"/>
      <c r="BR6" s="91"/>
      <c r="BS6" s="91"/>
      <c r="BT6" s="91"/>
      <c r="BU6" s="91"/>
      <c r="BV6" s="91"/>
      <c r="BW6" s="91"/>
      <c r="BX6" s="91"/>
      <c r="BY6" s="91"/>
      <c r="BZ6" s="91"/>
      <c r="CA6" s="91"/>
      <c r="CB6" s="91"/>
      <c r="CC6" s="91"/>
      <c r="CD6" s="91"/>
      <c r="CE6" s="91"/>
      <c r="CF6" s="91"/>
      <c r="CG6" s="91"/>
      <c r="CH6" s="91"/>
      <c r="CI6" s="91"/>
      <c r="CJ6" s="91"/>
      <c r="CK6" s="91"/>
      <c r="CL6" s="91"/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  <c r="DK6" s="91"/>
      <c r="DL6" s="91"/>
      <c r="DM6" s="91"/>
      <c r="DN6" s="91"/>
      <c r="DO6" s="91"/>
      <c r="DP6" s="91"/>
      <c r="DQ6" s="91"/>
      <c r="DR6" s="91"/>
      <c r="DS6" s="91"/>
      <c r="DT6" s="91"/>
      <c r="DU6" s="91"/>
      <c r="DV6" s="91"/>
      <c r="DW6" s="91"/>
      <c r="DX6" s="91"/>
      <c r="DY6" s="91"/>
      <c r="DZ6" s="91"/>
      <c r="EA6" s="91"/>
      <c r="EB6" s="91"/>
      <c r="EC6" s="91"/>
      <c r="ED6" s="91"/>
      <c r="EE6" s="91"/>
      <c r="EF6" s="91"/>
      <c r="EG6" s="91"/>
      <c r="EH6" s="91"/>
      <c r="EI6" s="91"/>
      <c r="EJ6" s="91"/>
      <c r="EK6" s="91"/>
      <c r="EL6" s="91"/>
      <c r="EM6" s="91"/>
      <c r="EN6" s="91"/>
      <c r="EO6" s="91"/>
      <c r="EP6" s="91"/>
      <c r="EQ6" s="91"/>
      <c r="ER6" s="91"/>
      <c r="ES6" s="91"/>
      <c r="ET6" s="91"/>
      <c r="EU6" s="91"/>
      <c r="EV6" s="91"/>
      <c r="EW6" s="91"/>
      <c r="EX6" s="91"/>
      <c r="EY6" s="91"/>
      <c r="EZ6" s="91"/>
      <c r="FA6" s="91"/>
      <c r="FB6" s="91"/>
      <c r="FC6" s="91"/>
      <c r="FD6" s="91"/>
      <c r="FE6" s="91"/>
      <c r="FF6" s="91"/>
      <c r="FG6" s="91"/>
      <c r="FH6" s="91"/>
      <c r="FI6" s="91"/>
      <c r="FJ6" s="91"/>
      <c r="FK6" s="91"/>
      <c r="FL6" s="91"/>
      <c r="FM6" s="91"/>
      <c r="FN6" s="91"/>
      <c r="FO6" s="91"/>
      <c r="FP6" s="91"/>
      <c r="FQ6" s="91"/>
      <c r="FR6" s="91"/>
      <c r="FS6" s="91"/>
      <c r="FT6" s="91"/>
      <c r="FU6" s="91"/>
      <c r="FV6" s="91"/>
      <c r="FW6" s="91"/>
      <c r="FX6" s="91"/>
      <c r="FY6" s="91"/>
      <c r="FZ6" s="91"/>
      <c r="GA6" s="91"/>
      <c r="GB6" s="91"/>
      <c r="GC6" s="91"/>
      <c r="GD6" s="91"/>
      <c r="GE6" s="91"/>
      <c r="GF6" s="91"/>
      <c r="GG6" s="91"/>
      <c r="GH6" s="91"/>
      <c r="GI6" s="91"/>
      <c r="GJ6" s="91"/>
      <c r="GK6" s="91"/>
      <c r="GL6" s="91"/>
      <c r="GM6" s="91"/>
      <c r="GN6" s="91"/>
      <c r="GO6" s="91"/>
      <c r="GP6" s="91"/>
      <c r="GQ6" s="91"/>
      <c r="GR6" s="91"/>
    </row>
    <row r="7" spans="1:200" x14ac:dyDescent="0.15">
      <c r="B7" s="45">
        <v>3</v>
      </c>
      <c r="C7" s="45">
        <v>4.7</v>
      </c>
      <c r="D7" s="45">
        <v>1.5</v>
      </c>
      <c r="E7" s="90">
        <v>680</v>
      </c>
      <c r="F7" s="90">
        <v>230</v>
      </c>
      <c r="G7" s="91" t="s">
        <v>214</v>
      </c>
      <c r="H7" s="45">
        <v>79350</v>
      </c>
      <c r="I7" s="91"/>
      <c r="J7" s="91">
        <v>0.33364999294281006</v>
      </c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91"/>
      <c r="BK7" s="91"/>
      <c r="BL7" s="91"/>
      <c r="BM7" s="91"/>
      <c r="BN7" s="91"/>
      <c r="BO7" s="91"/>
      <c r="BP7" s="91"/>
      <c r="BQ7" s="91"/>
      <c r="BR7" s="91"/>
      <c r="BS7" s="91"/>
      <c r="BT7" s="91"/>
      <c r="BU7" s="91"/>
      <c r="BV7" s="91"/>
      <c r="BW7" s="91"/>
      <c r="BX7" s="91"/>
      <c r="BY7" s="91"/>
      <c r="BZ7" s="91"/>
      <c r="CA7" s="91"/>
      <c r="CB7" s="91"/>
      <c r="CC7" s="91"/>
      <c r="CD7" s="91"/>
      <c r="CE7" s="91"/>
      <c r="CF7" s="91"/>
      <c r="CG7" s="91"/>
      <c r="CH7" s="91"/>
      <c r="CI7" s="91"/>
      <c r="CJ7" s="91"/>
      <c r="CK7" s="91"/>
      <c r="CL7" s="91"/>
      <c r="CM7" s="91"/>
      <c r="CN7" s="91"/>
      <c r="CO7" s="91"/>
      <c r="CP7" s="91"/>
      <c r="CQ7" s="91"/>
      <c r="CR7" s="91"/>
      <c r="CS7" s="91"/>
      <c r="CT7" s="91"/>
      <c r="CU7" s="91"/>
      <c r="CV7" s="91"/>
      <c r="CW7" s="91"/>
      <c r="CX7" s="91"/>
      <c r="CY7" s="91"/>
      <c r="CZ7" s="91"/>
      <c r="DA7" s="91"/>
      <c r="DB7" s="91"/>
      <c r="DC7" s="91"/>
      <c r="DD7" s="91"/>
      <c r="DE7" s="91"/>
      <c r="DF7" s="91"/>
      <c r="DG7" s="91"/>
      <c r="DH7" s="91"/>
      <c r="DI7" s="91"/>
      <c r="DJ7" s="91"/>
      <c r="DK7" s="91"/>
      <c r="DL7" s="91"/>
      <c r="DM7" s="91"/>
      <c r="DN7" s="91"/>
      <c r="DO7" s="91"/>
      <c r="DP7" s="91"/>
      <c r="DQ7" s="91"/>
      <c r="DR7" s="91"/>
      <c r="DS7" s="91"/>
      <c r="DT7" s="91"/>
      <c r="DU7" s="91"/>
      <c r="DV7" s="91"/>
      <c r="DW7" s="91"/>
      <c r="DX7" s="91"/>
      <c r="DY7" s="91"/>
      <c r="DZ7" s="91"/>
      <c r="EA7" s="91"/>
      <c r="EB7" s="91"/>
      <c r="EC7" s="91"/>
      <c r="ED7" s="91"/>
      <c r="EE7" s="91"/>
      <c r="EF7" s="91"/>
      <c r="EG7" s="91"/>
      <c r="EH7" s="91"/>
      <c r="EI7" s="91"/>
      <c r="EJ7" s="91"/>
      <c r="EK7" s="91"/>
      <c r="EL7" s="91"/>
      <c r="EM7" s="91"/>
      <c r="EN7" s="91"/>
      <c r="EO7" s="91"/>
      <c r="EP7" s="91"/>
      <c r="EQ7" s="91"/>
      <c r="ER7" s="91"/>
      <c r="ES7" s="91"/>
      <c r="ET7" s="91"/>
      <c r="EU7" s="91"/>
      <c r="EV7" s="91"/>
      <c r="EW7" s="91"/>
      <c r="EX7" s="91"/>
      <c r="EY7" s="91"/>
      <c r="EZ7" s="91"/>
      <c r="FA7" s="91"/>
      <c r="FB7" s="91"/>
      <c r="FC7" s="91"/>
      <c r="FD7" s="91"/>
      <c r="FE7" s="91"/>
      <c r="FF7" s="91"/>
      <c r="FG7" s="91"/>
      <c r="FH7" s="91"/>
      <c r="FI7" s="91"/>
      <c r="FJ7" s="91"/>
      <c r="FK7" s="91"/>
      <c r="FL7" s="91"/>
      <c r="FM7" s="91"/>
      <c r="FN7" s="91"/>
      <c r="FO7" s="91"/>
      <c r="FP7" s="91"/>
      <c r="FQ7" s="91"/>
      <c r="FR7" s="91"/>
      <c r="FS7" s="91"/>
      <c r="FT7" s="91"/>
      <c r="FU7" s="91"/>
      <c r="FV7" s="91"/>
      <c r="FW7" s="91"/>
      <c r="FX7" s="91"/>
      <c r="FY7" s="91"/>
      <c r="FZ7" s="91"/>
      <c r="GA7" s="91"/>
      <c r="GB7" s="91"/>
      <c r="GC7" s="91"/>
      <c r="GD7" s="91"/>
      <c r="GE7" s="91"/>
      <c r="GF7" s="91"/>
      <c r="GG7" s="91"/>
      <c r="GH7" s="91"/>
      <c r="GI7" s="91"/>
      <c r="GJ7" s="91"/>
      <c r="GK7" s="91"/>
      <c r="GL7" s="91"/>
      <c r="GM7" s="91"/>
      <c r="GN7" s="91"/>
      <c r="GO7" s="91"/>
      <c r="GP7" s="91"/>
      <c r="GQ7" s="91"/>
      <c r="GR7" s="91"/>
    </row>
    <row r="8" spans="1:200" x14ac:dyDescent="0.15">
      <c r="B8" s="45">
        <v>4</v>
      </c>
      <c r="C8" s="45">
        <v>3.1</v>
      </c>
      <c r="D8" s="45">
        <v>2</v>
      </c>
      <c r="E8" s="90">
        <v>1220</v>
      </c>
      <c r="F8" s="90">
        <v>470</v>
      </c>
      <c r="G8" s="91" t="s">
        <v>215</v>
      </c>
      <c r="H8" s="45">
        <v>441800</v>
      </c>
      <c r="I8" s="91"/>
      <c r="J8" s="91">
        <v>7.9312525689601898E-2</v>
      </c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1"/>
      <c r="BA8" s="91"/>
      <c r="BB8" s="91"/>
      <c r="BC8" s="91"/>
      <c r="BD8" s="91"/>
      <c r="BE8" s="91"/>
      <c r="BF8" s="91"/>
      <c r="BG8" s="91"/>
      <c r="BH8" s="91"/>
      <c r="BI8" s="91"/>
      <c r="BJ8" s="91"/>
      <c r="BK8" s="91"/>
      <c r="BL8" s="91"/>
      <c r="BM8" s="91"/>
      <c r="BN8" s="91"/>
      <c r="BO8" s="91"/>
      <c r="BP8" s="91"/>
      <c r="BQ8" s="91"/>
      <c r="BR8" s="91"/>
      <c r="BS8" s="91"/>
      <c r="BT8" s="91"/>
      <c r="BU8" s="91"/>
      <c r="BV8" s="91"/>
      <c r="BW8" s="91"/>
      <c r="BX8" s="91"/>
      <c r="BY8" s="91"/>
      <c r="BZ8" s="91"/>
      <c r="CA8" s="91"/>
      <c r="CB8" s="91"/>
      <c r="CC8" s="91"/>
      <c r="CD8" s="91"/>
      <c r="CE8" s="91"/>
      <c r="CF8" s="91"/>
      <c r="CG8" s="91"/>
      <c r="CH8" s="91"/>
      <c r="CI8" s="91"/>
      <c r="CJ8" s="91"/>
      <c r="CK8" s="91"/>
      <c r="CL8" s="91"/>
      <c r="CM8" s="91"/>
      <c r="CN8" s="91"/>
      <c r="CO8" s="91"/>
      <c r="CP8" s="91"/>
      <c r="CQ8" s="91"/>
      <c r="CR8" s="91"/>
      <c r="CS8" s="91"/>
      <c r="CT8" s="91"/>
      <c r="CU8" s="91"/>
      <c r="CV8" s="91"/>
      <c r="CW8" s="91"/>
      <c r="CX8" s="91"/>
      <c r="CY8" s="91"/>
      <c r="CZ8" s="91"/>
      <c r="DA8" s="91"/>
      <c r="DB8" s="91"/>
      <c r="DC8" s="91"/>
      <c r="DD8" s="91"/>
      <c r="DE8" s="91"/>
      <c r="DF8" s="91"/>
      <c r="DG8" s="91"/>
      <c r="DH8" s="91"/>
      <c r="DI8" s="91"/>
      <c r="DJ8" s="91"/>
      <c r="DK8" s="91"/>
      <c r="DL8" s="91"/>
      <c r="DM8" s="91"/>
      <c r="DN8" s="91"/>
      <c r="DO8" s="91"/>
      <c r="DP8" s="91"/>
      <c r="DQ8" s="91"/>
      <c r="DR8" s="91"/>
      <c r="DS8" s="91"/>
      <c r="DT8" s="91"/>
      <c r="DU8" s="91"/>
      <c r="DV8" s="91"/>
      <c r="DW8" s="91"/>
      <c r="DX8" s="91"/>
      <c r="DY8" s="91"/>
      <c r="DZ8" s="91"/>
      <c r="EA8" s="91"/>
      <c r="EB8" s="91"/>
      <c r="EC8" s="91"/>
      <c r="ED8" s="91"/>
      <c r="EE8" s="91"/>
      <c r="EF8" s="91"/>
      <c r="EG8" s="91"/>
      <c r="EH8" s="91"/>
      <c r="EI8" s="91"/>
      <c r="EJ8" s="91"/>
      <c r="EK8" s="91"/>
      <c r="EL8" s="91"/>
      <c r="EM8" s="91"/>
      <c r="EN8" s="91"/>
      <c r="EO8" s="91"/>
      <c r="EP8" s="91"/>
      <c r="EQ8" s="91"/>
      <c r="ER8" s="91"/>
      <c r="ES8" s="91"/>
      <c r="ET8" s="91"/>
      <c r="EU8" s="91"/>
      <c r="EV8" s="91"/>
      <c r="EW8" s="91"/>
      <c r="EX8" s="91"/>
      <c r="EY8" s="91"/>
      <c r="EZ8" s="91"/>
      <c r="FA8" s="91"/>
      <c r="FB8" s="91"/>
      <c r="FC8" s="91"/>
      <c r="FD8" s="91"/>
      <c r="FE8" s="91"/>
      <c r="FF8" s="91"/>
      <c r="FG8" s="91"/>
      <c r="FH8" s="91"/>
      <c r="FI8" s="91"/>
      <c r="FJ8" s="91"/>
      <c r="FK8" s="91"/>
      <c r="FL8" s="91"/>
      <c r="FM8" s="91"/>
      <c r="FN8" s="91"/>
      <c r="FO8" s="91"/>
      <c r="FP8" s="91"/>
      <c r="FQ8" s="91"/>
      <c r="FR8" s="91"/>
      <c r="FS8" s="91"/>
      <c r="FT8" s="91"/>
      <c r="FU8" s="91"/>
      <c r="FV8" s="91"/>
      <c r="FW8" s="91"/>
      <c r="FX8" s="91"/>
      <c r="FY8" s="91"/>
      <c r="FZ8" s="91"/>
      <c r="GA8" s="91"/>
      <c r="GB8" s="91"/>
      <c r="GC8" s="91"/>
      <c r="GD8" s="91"/>
      <c r="GE8" s="91"/>
      <c r="GF8" s="91"/>
      <c r="GG8" s="91"/>
      <c r="GH8" s="91"/>
      <c r="GI8" s="91"/>
      <c r="GJ8" s="91"/>
      <c r="GK8" s="91"/>
      <c r="GL8" s="91"/>
      <c r="GM8" s="91"/>
      <c r="GN8" s="91"/>
      <c r="GO8" s="91"/>
      <c r="GP8" s="91"/>
      <c r="GQ8" s="91"/>
      <c r="GR8" s="91"/>
    </row>
    <row r="9" spans="1:200" x14ac:dyDescent="0.15">
      <c r="B9" s="45">
        <v>5</v>
      </c>
      <c r="C9" s="45">
        <v>2.4</v>
      </c>
      <c r="D9" s="45">
        <v>1.7</v>
      </c>
      <c r="E9" s="90">
        <v>1220</v>
      </c>
      <c r="F9" s="90">
        <v>380</v>
      </c>
      <c r="G9" s="91" t="s">
        <v>214</v>
      </c>
      <c r="H9" s="45">
        <v>245480</v>
      </c>
      <c r="I9" s="91"/>
      <c r="J9" s="91">
        <v>4.7531194984912872E-2</v>
      </c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1"/>
      <c r="BA9" s="91"/>
      <c r="BB9" s="91"/>
      <c r="BC9" s="91"/>
      <c r="BD9" s="91"/>
      <c r="BE9" s="91"/>
      <c r="BF9" s="91"/>
      <c r="BG9" s="91"/>
      <c r="BH9" s="91"/>
      <c r="BI9" s="91"/>
      <c r="BJ9" s="91"/>
      <c r="BK9" s="91"/>
      <c r="BL9" s="91"/>
      <c r="BM9" s="91"/>
      <c r="BN9" s="91"/>
      <c r="BO9" s="91"/>
      <c r="BP9" s="91"/>
      <c r="BQ9" s="91"/>
      <c r="BR9" s="91"/>
      <c r="BS9" s="91"/>
      <c r="BT9" s="91"/>
      <c r="BU9" s="91"/>
      <c r="BV9" s="91"/>
      <c r="BW9" s="91"/>
      <c r="BX9" s="91"/>
      <c r="BY9" s="91"/>
      <c r="BZ9" s="91"/>
      <c r="CA9" s="91"/>
      <c r="CB9" s="91"/>
      <c r="CC9" s="91"/>
      <c r="CD9" s="91"/>
      <c r="CE9" s="91"/>
      <c r="CF9" s="91"/>
      <c r="CG9" s="91"/>
      <c r="CH9" s="91"/>
      <c r="CI9" s="91"/>
      <c r="CJ9" s="91"/>
      <c r="CK9" s="91"/>
      <c r="CL9" s="91"/>
      <c r="CM9" s="91"/>
      <c r="CN9" s="91"/>
      <c r="CO9" s="91"/>
      <c r="CP9" s="91"/>
      <c r="CQ9" s="91"/>
      <c r="CR9" s="91"/>
      <c r="CS9" s="91"/>
      <c r="CT9" s="91"/>
      <c r="CU9" s="91"/>
      <c r="CV9" s="91"/>
      <c r="CW9" s="91"/>
      <c r="CX9" s="91"/>
      <c r="CY9" s="91"/>
      <c r="CZ9" s="91"/>
      <c r="DA9" s="91"/>
      <c r="DB9" s="91"/>
      <c r="DC9" s="91"/>
      <c r="DD9" s="91"/>
      <c r="DE9" s="91"/>
      <c r="DF9" s="91"/>
      <c r="DG9" s="91"/>
      <c r="DH9" s="91"/>
      <c r="DI9" s="91"/>
      <c r="DJ9" s="91"/>
      <c r="DK9" s="91"/>
      <c r="DL9" s="91"/>
      <c r="DM9" s="91"/>
      <c r="DN9" s="91"/>
      <c r="DO9" s="91"/>
      <c r="DP9" s="91"/>
      <c r="DQ9" s="91"/>
      <c r="DR9" s="91"/>
      <c r="DS9" s="91"/>
      <c r="DT9" s="91"/>
      <c r="DU9" s="91"/>
      <c r="DV9" s="91"/>
      <c r="DW9" s="91"/>
      <c r="DX9" s="91"/>
      <c r="DY9" s="91"/>
      <c r="DZ9" s="91"/>
      <c r="EA9" s="91"/>
      <c r="EB9" s="91"/>
      <c r="EC9" s="91"/>
      <c r="ED9" s="91"/>
      <c r="EE9" s="91"/>
      <c r="EF9" s="91"/>
      <c r="EG9" s="91"/>
      <c r="EH9" s="91"/>
      <c r="EI9" s="91"/>
      <c r="EJ9" s="91"/>
      <c r="EK9" s="91"/>
      <c r="EL9" s="91"/>
      <c r="EM9" s="91"/>
      <c r="EN9" s="91"/>
      <c r="EO9" s="91"/>
      <c r="EP9" s="91"/>
      <c r="EQ9" s="91"/>
      <c r="ER9" s="91"/>
      <c r="ES9" s="91"/>
      <c r="ET9" s="91"/>
      <c r="EU9" s="91"/>
      <c r="EV9" s="91"/>
      <c r="EW9" s="91"/>
      <c r="EX9" s="91"/>
      <c r="EY9" s="91"/>
      <c r="EZ9" s="91"/>
      <c r="FA9" s="91"/>
      <c r="FB9" s="91"/>
      <c r="FC9" s="91"/>
      <c r="FD9" s="91"/>
      <c r="FE9" s="91"/>
      <c r="FF9" s="91"/>
      <c r="FG9" s="91"/>
      <c r="FH9" s="91"/>
      <c r="FI9" s="91"/>
      <c r="FJ9" s="91"/>
      <c r="FK9" s="91"/>
      <c r="FL9" s="91"/>
      <c r="FM9" s="91"/>
      <c r="FN9" s="91"/>
      <c r="FO9" s="91"/>
      <c r="FP9" s="91"/>
      <c r="FQ9" s="91"/>
      <c r="FR9" s="91"/>
      <c r="FS9" s="91"/>
      <c r="FT9" s="91"/>
      <c r="FU9" s="91"/>
      <c r="FV9" s="91"/>
      <c r="FW9" s="91"/>
      <c r="FX9" s="91"/>
      <c r="FY9" s="91"/>
      <c r="FZ9" s="91"/>
      <c r="GA9" s="91"/>
      <c r="GB9" s="91"/>
      <c r="GC9" s="91"/>
      <c r="GD9" s="91"/>
      <c r="GE9" s="91"/>
      <c r="GF9" s="91"/>
      <c r="GG9" s="91"/>
      <c r="GH9" s="91"/>
      <c r="GI9" s="91"/>
      <c r="GJ9" s="91"/>
      <c r="GK9" s="91"/>
      <c r="GL9" s="91"/>
      <c r="GM9" s="91"/>
      <c r="GN9" s="91"/>
      <c r="GO9" s="91"/>
      <c r="GP9" s="91"/>
      <c r="GQ9" s="91"/>
      <c r="GR9" s="91"/>
    </row>
    <row r="10" spans="1:200" x14ac:dyDescent="0.15">
      <c r="B10" s="45">
        <v>6</v>
      </c>
      <c r="C10" s="45">
        <v>5.7</v>
      </c>
      <c r="D10" s="45">
        <v>2.1</v>
      </c>
      <c r="E10" s="90">
        <v>2000</v>
      </c>
      <c r="F10" s="90">
        <v>590</v>
      </c>
      <c r="G10" s="91" t="s">
        <v>214</v>
      </c>
      <c r="H10" s="45">
        <v>731010</v>
      </c>
      <c r="I10" s="91"/>
      <c r="J10" s="91">
        <v>2.1795444190502167E-3</v>
      </c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1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1"/>
      <c r="BL10" s="91"/>
      <c r="BM10" s="91"/>
      <c r="BN10" s="91"/>
      <c r="BO10" s="91"/>
      <c r="BP10" s="91"/>
      <c r="BQ10" s="91"/>
      <c r="BR10" s="91"/>
      <c r="BS10" s="91"/>
      <c r="BT10" s="91"/>
      <c r="BU10" s="91"/>
      <c r="BV10" s="91"/>
      <c r="BW10" s="91"/>
      <c r="BX10" s="91"/>
      <c r="BY10" s="91"/>
      <c r="BZ10" s="91"/>
      <c r="CA10" s="91"/>
      <c r="CB10" s="91"/>
      <c r="CC10" s="91"/>
      <c r="CD10" s="91"/>
      <c r="CE10" s="91"/>
      <c r="CF10" s="91"/>
      <c r="CG10" s="91"/>
      <c r="CH10" s="91"/>
      <c r="CI10" s="91"/>
      <c r="CJ10" s="91"/>
      <c r="CK10" s="91"/>
      <c r="CL10" s="91"/>
      <c r="CM10" s="91"/>
      <c r="CN10" s="91"/>
      <c r="CO10" s="91"/>
      <c r="CP10" s="91"/>
      <c r="CQ10" s="91"/>
      <c r="CR10" s="91"/>
      <c r="CS10" s="91"/>
      <c r="CT10" s="91"/>
      <c r="CU10" s="91"/>
      <c r="CV10" s="91"/>
      <c r="CW10" s="91"/>
      <c r="CX10" s="91"/>
      <c r="CY10" s="91"/>
      <c r="CZ10" s="91"/>
      <c r="DA10" s="91"/>
      <c r="DB10" s="91"/>
      <c r="DC10" s="91"/>
      <c r="DD10" s="91"/>
      <c r="DE10" s="91"/>
      <c r="DF10" s="91"/>
      <c r="DG10" s="91"/>
      <c r="DH10" s="91"/>
      <c r="DI10" s="91"/>
      <c r="DJ10" s="91"/>
      <c r="DK10" s="91"/>
      <c r="DL10" s="91"/>
      <c r="DM10" s="91"/>
      <c r="DN10" s="91"/>
      <c r="DO10" s="91"/>
      <c r="DP10" s="91"/>
      <c r="DQ10" s="91"/>
      <c r="DR10" s="91"/>
      <c r="DS10" s="91"/>
      <c r="DT10" s="91"/>
      <c r="DU10" s="91"/>
      <c r="DV10" s="91"/>
      <c r="DW10" s="91"/>
      <c r="DX10" s="91"/>
      <c r="DY10" s="91"/>
      <c r="DZ10" s="91"/>
      <c r="EA10" s="91"/>
      <c r="EB10" s="91"/>
      <c r="EC10" s="91"/>
      <c r="ED10" s="91"/>
      <c r="EE10" s="91"/>
      <c r="EF10" s="91"/>
      <c r="EG10" s="91"/>
      <c r="EH10" s="91"/>
      <c r="EI10" s="91"/>
      <c r="EJ10" s="91"/>
      <c r="EK10" s="91"/>
      <c r="EL10" s="91"/>
      <c r="EM10" s="91"/>
      <c r="EN10" s="91"/>
      <c r="EO10" s="91"/>
      <c r="EP10" s="91"/>
      <c r="EQ10" s="91"/>
      <c r="ER10" s="91"/>
      <c r="ES10" s="91"/>
      <c r="ET10" s="91"/>
      <c r="EU10" s="91"/>
      <c r="EV10" s="91"/>
      <c r="EW10" s="91"/>
      <c r="EX10" s="91"/>
      <c r="EY10" s="91"/>
      <c r="EZ10" s="91"/>
      <c r="FA10" s="91"/>
      <c r="FB10" s="91"/>
      <c r="FC10" s="91"/>
      <c r="FD10" s="91"/>
      <c r="FE10" s="91"/>
      <c r="FF10" s="91"/>
      <c r="FG10" s="91"/>
      <c r="FH10" s="91"/>
      <c r="FI10" s="91"/>
      <c r="FJ10" s="91"/>
      <c r="FK10" s="91"/>
      <c r="FL10" s="91"/>
      <c r="FM10" s="91"/>
      <c r="FN10" s="91"/>
      <c r="FO10" s="91"/>
      <c r="FP10" s="91"/>
      <c r="FQ10" s="91"/>
      <c r="FR10" s="91"/>
      <c r="FS10" s="91"/>
      <c r="FT10" s="91"/>
      <c r="FU10" s="91"/>
      <c r="FV10" s="91"/>
      <c r="FW10" s="91"/>
      <c r="FX10" s="91"/>
      <c r="FY10" s="91"/>
      <c r="FZ10" s="91"/>
      <c r="GA10" s="91"/>
      <c r="GB10" s="91"/>
      <c r="GC10" s="91"/>
      <c r="GD10" s="91"/>
      <c r="GE10" s="91"/>
      <c r="GF10" s="91"/>
      <c r="GG10" s="91"/>
      <c r="GH10" s="91"/>
      <c r="GI10" s="91"/>
      <c r="GJ10" s="91"/>
      <c r="GK10" s="91"/>
      <c r="GL10" s="91"/>
      <c r="GM10" s="91"/>
      <c r="GN10" s="91"/>
      <c r="GO10" s="91"/>
      <c r="GP10" s="91"/>
      <c r="GQ10" s="91"/>
      <c r="GR10" s="91"/>
    </row>
    <row r="11" spans="1:200" x14ac:dyDescent="0.15"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91"/>
      <c r="CY11" s="91"/>
      <c r="CZ11" s="91"/>
      <c r="DA11" s="91"/>
      <c r="DB11" s="91"/>
      <c r="DC11" s="91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  <c r="DV11" s="91"/>
      <c r="DW11" s="91"/>
      <c r="DX11" s="91"/>
      <c r="DY11" s="91"/>
      <c r="DZ11" s="91"/>
      <c r="EA11" s="91"/>
      <c r="EB11" s="91"/>
      <c r="EC11" s="91"/>
      <c r="ED11" s="91"/>
      <c r="EE11" s="91"/>
      <c r="EF11" s="91"/>
      <c r="EG11" s="91"/>
      <c r="EH11" s="91"/>
      <c r="EI11" s="91"/>
      <c r="EJ11" s="91"/>
      <c r="EK11" s="91"/>
      <c r="EL11" s="91"/>
      <c r="EM11" s="91"/>
      <c r="EN11" s="91"/>
      <c r="EO11" s="91"/>
      <c r="EP11" s="91"/>
      <c r="EQ11" s="91"/>
      <c r="ER11" s="91"/>
      <c r="ES11" s="91"/>
      <c r="ET11" s="91"/>
      <c r="EU11" s="91"/>
      <c r="EV11" s="91"/>
      <c r="EW11" s="91"/>
      <c r="EX11" s="91"/>
      <c r="EY11" s="91"/>
      <c r="EZ11" s="91"/>
      <c r="FA11" s="91"/>
      <c r="FB11" s="91"/>
      <c r="FC11" s="91"/>
      <c r="FD11" s="91"/>
      <c r="FE11" s="91"/>
      <c r="FF11" s="91"/>
      <c r="FG11" s="91"/>
      <c r="FH11" s="91"/>
      <c r="FI11" s="91"/>
      <c r="FJ11" s="91"/>
      <c r="FK11" s="91"/>
      <c r="FL11" s="91"/>
      <c r="FM11" s="91"/>
      <c r="FN11" s="91"/>
      <c r="FO11" s="91"/>
      <c r="FP11" s="91"/>
      <c r="FQ11" s="91"/>
      <c r="FR11" s="91"/>
      <c r="FS11" s="91"/>
      <c r="FT11" s="91"/>
      <c r="FU11" s="91"/>
      <c r="FV11" s="91"/>
      <c r="FW11" s="91"/>
      <c r="FX11" s="91"/>
      <c r="FY11" s="91"/>
      <c r="FZ11" s="91"/>
      <c r="GA11" s="91"/>
      <c r="GB11" s="91"/>
      <c r="GC11" s="91"/>
      <c r="GD11" s="91"/>
      <c r="GE11" s="91"/>
      <c r="GF11" s="91"/>
      <c r="GG11" s="91"/>
      <c r="GH11" s="91"/>
      <c r="GI11" s="91"/>
      <c r="GJ11" s="91"/>
      <c r="GK11" s="91"/>
      <c r="GL11" s="91"/>
      <c r="GM11" s="91"/>
      <c r="GN11" s="91"/>
      <c r="GO11" s="91"/>
      <c r="GP11" s="91"/>
      <c r="GQ11" s="91"/>
      <c r="GR11" s="91"/>
    </row>
    <row r="12" spans="1:200" x14ac:dyDescent="0.15">
      <c r="B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91"/>
      <c r="BS12" s="91"/>
      <c r="BT12" s="91"/>
      <c r="BU12" s="91"/>
      <c r="BV12" s="91"/>
      <c r="BW12" s="91"/>
      <c r="BX12" s="91"/>
      <c r="BY12" s="91"/>
      <c r="BZ12" s="91"/>
      <c r="CA12" s="91"/>
      <c r="CB12" s="91"/>
      <c r="CC12" s="91"/>
      <c r="CD12" s="91"/>
      <c r="CE12" s="91"/>
      <c r="CF12" s="91"/>
      <c r="CG12" s="91"/>
      <c r="CH12" s="91"/>
      <c r="CI12" s="91"/>
      <c r="CJ12" s="91"/>
      <c r="CK12" s="91"/>
      <c r="CL12" s="91"/>
      <c r="CM12" s="91"/>
      <c r="CN12" s="91"/>
      <c r="CO12" s="91"/>
      <c r="CP12" s="91"/>
      <c r="CQ12" s="91"/>
      <c r="CR12" s="91"/>
      <c r="CS12" s="91"/>
      <c r="CT12" s="91"/>
      <c r="CU12" s="91"/>
      <c r="CV12" s="91"/>
      <c r="CW12" s="91"/>
      <c r="CX12" s="91"/>
      <c r="CY12" s="91"/>
      <c r="CZ12" s="91"/>
      <c r="DA12" s="91"/>
      <c r="DB12" s="91"/>
      <c r="DC12" s="91"/>
      <c r="DD12" s="91"/>
      <c r="DE12" s="91"/>
      <c r="DF12" s="91"/>
      <c r="DG12" s="91"/>
      <c r="DH12" s="91"/>
      <c r="DI12" s="91"/>
      <c r="DJ12" s="91"/>
      <c r="DK12" s="91"/>
      <c r="DL12" s="91"/>
      <c r="DM12" s="91"/>
      <c r="DN12" s="91"/>
      <c r="DO12" s="91"/>
      <c r="DP12" s="91"/>
      <c r="DQ12" s="91"/>
      <c r="DR12" s="91"/>
      <c r="DS12" s="91"/>
      <c r="DT12" s="91"/>
      <c r="DU12" s="91"/>
      <c r="DV12" s="91"/>
      <c r="DW12" s="91"/>
      <c r="DX12" s="91"/>
      <c r="DY12" s="91"/>
      <c r="DZ12" s="91"/>
      <c r="EA12" s="91"/>
      <c r="EB12" s="91"/>
      <c r="EC12" s="91"/>
      <c r="ED12" s="91"/>
      <c r="EE12" s="91"/>
      <c r="EF12" s="91"/>
      <c r="EG12" s="91"/>
      <c r="EH12" s="91"/>
      <c r="EI12" s="91"/>
      <c r="EJ12" s="91"/>
      <c r="EK12" s="91"/>
      <c r="EL12" s="91"/>
      <c r="EM12" s="91"/>
      <c r="EN12" s="91"/>
      <c r="EO12" s="91"/>
      <c r="EP12" s="91"/>
      <c r="EQ12" s="91"/>
      <c r="ER12" s="91"/>
      <c r="ES12" s="91"/>
      <c r="ET12" s="91"/>
      <c r="EU12" s="91"/>
      <c r="EV12" s="91"/>
      <c r="EW12" s="91"/>
      <c r="EX12" s="91"/>
      <c r="EY12" s="91"/>
      <c r="EZ12" s="91"/>
      <c r="FA12" s="91"/>
      <c r="FB12" s="91"/>
      <c r="FC12" s="91"/>
      <c r="FD12" s="91"/>
      <c r="FE12" s="91"/>
      <c r="FF12" s="91"/>
      <c r="FG12" s="91"/>
      <c r="FH12" s="91"/>
      <c r="FI12" s="91"/>
      <c r="FJ12" s="91"/>
      <c r="FK12" s="91"/>
      <c r="FL12" s="91"/>
      <c r="FM12" s="91"/>
      <c r="FN12" s="91"/>
      <c r="FO12" s="91"/>
      <c r="FP12" s="91"/>
      <c r="FQ12" s="91"/>
      <c r="FR12" s="91"/>
      <c r="FS12" s="91"/>
      <c r="FT12" s="91"/>
      <c r="FU12" s="91"/>
      <c r="FV12" s="91"/>
      <c r="FW12" s="91"/>
      <c r="FX12" s="91"/>
      <c r="FY12" s="91"/>
      <c r="FZ12" s="91"/>
      <c r="GA12" s="91"/>
      <c r="GB12" s="91"/>
      <c r="GC12" s="91"/>
      <c r="GD12" s="91"/>
      <c r="GE12" s="91"/>
      <c r="GF12" s="91"/>
      <c r="GG12" s="91"/>
      <c r="GH12" s="91"/>
      <c r="GI12" s="91"/>
      <c r="GJ12" s="91"/>
      <c r="GK12" s="91"/>
      <c r="GL12" s="91"/>
      <c r="GM12" s="91"/>
      <c r="GN12" s="91"/>
      <c r="GO12" s="91"/>
      <c r="GP12" s="91"/>
      <c r="GQ12" s="91"/>
      <c r="GR12" s="91"/>
    </row>
    <row r="13" spans="1:200" x14ac:dyDescent="0.15">
      <c r="B13" s="91" t="s">
        <v>209</v>
      </c>
      <c r="C13" s="45" t="s">
        <v>210</v>
      </c>
      <c r="D13" s="91" t="s">
        <v>211</v>
      </c>
      <c r="E13" s="91" t="s">
        <v>212</v>
      </c>
      <c r="F13" s="91" t="s">
        <v>21</v>
      </c>
      <c r="G13" s="91" t="s">
        <v>5</v>
      </c>
      <c r="H13" s="91" t="s">
        <v>183</v>
      </c>
      <c r="I13" s="91" t="s">
        <v>213</v>
      </c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1"/>
      <c r="CJ13" s="91"/>
      <c r="CK13" s="91"/>
      <c r="CL13" s="91"/>
      <c r="CM13" s="91"/>
      <c r="CN13" s="91"/>
      <c r="CO13" s="91"/>
      <c r="CP13" s="91"/>
      <c r="CQ13" s="91"/>
      <c r="CR13" s="91"/>
      <c r="CS13" s="91"/>
      <c r="CT13" s="91"/>
      <c r="CU13" s="91"/>
      <c r="CV13" s="91"/>
      <c r="CW13" s="91"/>
      <c r="CX13" s="91"/>
      <c r="CY13" s="91"/>
      <c r="CZ13" s="91"/>
      <c r="DA13" s="91"/>
      <c r="DB13" s="91"/>
      <c r="DC13" s="91"/>
      <c r="DD13" s="91"/>
      <c r="DE13" s="91"/>
      <c r="DF13" s="91"/>
      <c r="DG13" s="91"/>
      <c r="DH13" s="91"/>
      <c r="DI13" s="91"/>
      <c r="DJ13" s="91"/>
      <c r="DK13" s="91"/>
      <c r="DL13" s="91"/>
      <c r="DM13" s="91"/>
      <c r="DN13" s="91"/>
      <c r="DO13" s="91"/>
      <c r="DP13" s="91"/>
      <c r="DQ13" s="91"/>
      <c r="DR13" s="91"/>
      <c r="DS13" s="91"/>
      <c r="DT13" s="91"/>
      <c r="DU13" s="91"/>
      <c r="DV13" s="91"/>
      <c r="DW13" s="91"/>
      <c r="DX13" s="91"/>
      <c r="DY13" s="91"/>
      <c r="DZ13" s="91"/>
      <c r="EA13" s="91"/>
      <c r="EB13" s="91"/>
      <c r="EC13" s="91"/>
      <c r="ED13" s="91"/>
      <c r="EE13" s="91"/>
      <c r="EF13" s="91"/>
      <c r="EG13" s="91"/>
      <c r="EH13" s="91"/>
      <c r="EI13" s="91"/>
      <c r="EJ13" s="91"/>
      <c r="EK13" s="91"/>
      <c r="EL13" s="91"/>
      <c r="EM13" s="91"/>
      <c r="EN13" s="91"/>
      <c r="EO13" s="91"/>
      <c r="EP13" s="91"/>
      <c r="EQ13" s="91"/>
      <c r="ER13" s="91"/>
      <c r="ES13" s="91"/>
      <c r="ET13" s="91"/>
      <c r="EU13" s="91"/>
      <c r="EV13" s="91"/>
      <c r="EW13" s="91"/>
      <c r="EX13" s="91"/>
      <c r="EY13" s="91"/>
      <c r="EZ13" s="91"/>
      <c r="FA13" s="91"/>
      <c r="FB13" s="91"/>
      <c r="FC13" s="91"/>
      <c r="FD13" s="91"/>
      <c r="FE13" s="91"/>
      <c r="FF13" s="91"/>
      <c r="FG13" s="91"/>
      <c r="FH13" s="91"/>
      <c r="FI13" s="91"/>
      <c r="FJ13" s="91"/>
      <c r="FK13" s="91"/>
      <c r="FL13" s="91"/>
      <c r="FM13" s="91"/>
      <c r="FN13" s="91"/>
      <c r="FO13" s="91"/>
      <c r="FP13" s="91"/>
      <c r="FQ13" s="91"/>
      <c r="FR13" s="91"/>
      <c r="FS13" s="91"/>
      <c r="FT13" s="91"/>
      <c r="FU13" s="91"/>
      <c r="FV13" s="91"/>
      <c r="FW13" s="91"/>
      <c r="FX13" s="91"/>
      <c r="FY13" s="91"/>
      <c r="FZ13" s="91"/>
      <c r="GA13" s="91"/>
      <c r="GB13" s="91"/>
      <c r="GC13" s="91"/>
      <c r="GD13" s="91"/>
      <c r="GE13" s="91"/>
      <c r="GF13" s="91"/>
      <c r="GG13" s="91"/>
      <c r="GH13" s="91"/>
      <c r="GI13" s="91"/>
      <c r="GJ13" s="91"/>
      <c r="GK13" s="91"/>
      <c r="GL13" s="91"/>
      <c r="GM13" s="91"/>
      <c r="GN13" s="91"/>
      <c r="GO13" s="91"/>
      <c r="GP13" s="91"/>
      <c r="GQ13" s="91"/>
      <c r="GR13" s="91"/>
    </row>
    <row r="14" spans="1:200" x14ac:dyDescent="0.15">
      <c r="B14" s="91">
        <v>6</v>
      </c>
      <c r="C14" s="45">
        <v>20160</v>
      </c>
      <c r="D14" s="91">
        <v>1</v>
      </c>
      <c r="E14" s="91">
        <v>20160</v>
      </c>
      <c r="F14" s="91">
        <v>3665</v>
      </c>
      <c r="G14" s="91">
        <v>3.85</v>
      </c>
      <c r="H14" s="91">
        <v>0.312</v>
      </c>
      <c r="I14" s="91">
        <v>0.104</v>
      </c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1"/>
      <c r="BA14" s="91"/>
      <c r="BB14" s="91"/>
      <c r="BC14" s="91"/>
      <c r="BD14" s="91"/>
      <c r="BE14" s="91"/>
      <c r="BF14" s="91"/>
      <c r="BG14" s="91"/>
      <c r="BH14" s="91"/>
      <c r="BI14" s="91"/>
      <c r="BJ14" s="91"/>
      <c r="BK14" s="91"/>
      <c r="BL14" s="91"/>
      <c r="BM14" s="91"/>
      <c r="BN14" s="91"/>
      <c r="BO14" s="91"/>
      <c r="BP14" s="91"/>
      <c r="BQ14" s="91"/>
      <c r="BR14" s="91"/>
      <c r="BS14" s="91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  <c r="DC14" s="91"/>
      <c r="DD14" s="91"/>
      <c r="DE14" s="91"/>
      <c r="DF14" s="91"/>
      <c r="DG14" s="91"/>
      <c r="DH14" s="91"/>
      <c r="DI14" s="91"/>
      <c r="DJ14" s="91"/>
      <c r="DK14" s="91"/>
      <c r="DL14" s="91"/>
      <c r="DM14" s="91"/>
      <c r="DN14" s="91"/>
      <c r="DO14" s="91"/>
      <c r="DP14" s="91"/>
      <c r="DQ14" s="91"/>
      <c r="DR14" s="91"/>
      <c r="DS14" s="91"/>
      <c r="DT14" s="91"/>
      <c r="DU14" s="91"/>
      <c r="DV14" s="91"/>
      <c r="DW14" s="91"/>
      <c r="DX14" s="91"/>
      <c r="DY14" s="91"/>
      <c r="DZ14" s="91"/>
      <c r="EA14" s="91"/>
      <c r="EB14" s="91"/>
      <c r="EC14" s="91"/>
      <c r="ED14" s="91"/>
      <c r="EE14" s="91"/>
      <c r="EF14" s="91"/>
      <c r="EG14" s="91"/>
      <c r="EH14" s="91"/>
      <c r="EI14" s="91"/>
      <c r="EJ14" s="91"/>
      <c r="EK14" s="91"/>
      <c r="EL14" s="91"/>
      <c r="EM14" s="91"/>
      <c r="EN14" s="91"/>
      <c r="EO14" s="91"/>
      <c r="EP14" s="91"/>
      <c r="EQ14" s="91"/>
      <c r="ER14" s="91"/>
      <c r="ES14" s="91"/>
      <c r="ET14" s="91"/>
      <c r="EU14" s="91"/>
      <c r="EV14" s="91"/>
      <c r="EW14" s="91"/>
      <c r="EX14" s="91"/>
      <c r="EY14" s="91"/>
      <c r="EZ14" s="91"/>
      <c r="FA14" s="91"/>
      <c r="FB14" s="91"/>
      <c r="FC14" s="91"/>
      <c r="FD14" s="91"/>
      <c r="FE14" s="91"/>
      <c r="FF14" s="91"/>
      <c r="FG14" s="91"/>
      <c r="FH14" s="91"/>
      <c r="FI14" s="91"/>
      <c r="FJ14" s="91"/>
      <c r="FK14" s="91"/>
      <c r="FL14" s="91"/>
      <c r="FM14" s="91"/>
      <c r="FN14" s="91"/>
      <c r="FO14" s="91"/>
      <c r="FP14" s="91"/>
      <c r="FQ14" s="91"/>
      <c r="FR14" s="91"/>
      <c r="FS14" s="91"/>
      <c r="FT14" s="91"/>
      <c r="FU14" s="91"/>
      <c r="FV14" s="91"/>
      <c r="FW14" s="91"/>
      <c r="FX14" s="91"/>
      <c r="FY14" s="91"/>
      <c r="FZ14" s="91"/>
      <c r="GA14" s="91"/>
      <c r="GB14" s="91"/>
      <c r="GC14" s="91"/>
      <c r="GD14" s="91"/>
      <c r="GE14" s="91"/>
      <c r="GF14" s="91"/>
      <c r="GG14" s="91"/>
      <c r="GH14" s="91"/>
      <c r="GI14" s="91"/>
      <c r="GJ14" s="91"/>
      <c r="GK14" s="91"/>
      <c r="GL14" s="91"/>
      <c r="GM14" s="91"/>
      <c r="GN14" s="91"/>
      <c r="GO14" s="91"/>
      <c r="GP14" s="91"/>
      <c r="GQ14" s="91"/>
      <c r="GR14" s="91"/>
    </row>
    <row r="15" spans="1:200" x14ac:dyDescent="0.15">
      <c r="B15" s="91">
        <v>5</v>
      </c>
      <c r="C15" s="45">
        <v>66150</v>
      </c>
      <c r="D15" s="91">
        <v>1</v>
      </c>
      <c r="E15" s="91">
        <v>66150</v>
      </c>
      <c r="F15" s="91">
        <v>16962</v>
      </c>
      <c r="G15" s="91">
        <v>6.78</v>
      </c>
      <c r="H15" s="91"/>
      <c r="I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1"/>
      <c r="BA15" s="91"/>
      <c r="BB15" s="91"/>
      <c r="BC15" s="91"/>
      <c r="BD15" s="91"/>
      <c r="BE15" s="91"/>
      <c r="BF15" s="91"/>
      <c r="BG15" s="91"/>
      <c r="BH15" s="91"/>
      <c r="BI15" s="91"/>
      <c r="BJ15" s="91"/>
      <c r="BK15" s="91"/>
      <c r="BL15" s="91"/>
      <c r="BM15" s="91"/>
      <c r="BN15" s="91"/>
      <c r="BO15" s="91"/>
      <c r="BP15" s="91"/>
      <c r="BQ15" s="91"/>
      <c r="BR15" s="91"/>
      <c r="BS15" s="91"/>
      <c r="BT15" s="91"/>
      <c r="BU15" s="91"/>
      <c r="BV15" s="91"/>
      <c r="BW15" s="91"/>
      <c r="BX15" s="91"/>
      <c r="BY15" s="91"/>
      <c r="BZ15" s="91"/>
      <c r="CA15" s="91"/>
      <c r="CB15" s="91"/>
      <c r="CC15" s="91"/>
      <c r="CD15" s="91"/>
      <c r="CE15" s="91"/>
      <c r="CF15" s="91"/>
      <c r="CG15" s="91"/>
      <c r="CH15" s="91"/>
      <c r="CI15" s="91"/>
      <c r="CJ15" s="91"/>
      <c r="CK15" s="91"/>
      <c r="CL15" s="91"/>
      <c r="CM15" s="91"/>
      <c r="CN15" s="91"/>
      <c r="CO15" s="91"/>
      <c r="CP15" s="91"/>
      <c r="CQ15" s="91"/>
      <c r="CR15" s="91"/>
      <c r="CS15" s="91"/>
      <c r="CT15" s="91"/>
      <c r="CU15" s="91"/>
      <c r="CV15" s="91"/>
      <c r="CW15" s="91"/>
      <c r="CX15" s="91"/>
      <c r="CY15" s="91"/>
      <c r="CZ15" s="91"/>
      <c r="DA15" s="91"/>
      <c r="DB15" s="91"/>
      <c r="DC15" s="91"/>
      <c r="DD15" s="91"/>
      <c r="DE15" s="91"/>
      <c r="DF15" s="91"/>
      <c r="DG15" s="91"/>
      <c r="DH15" s="91"/>
      <c r="DI15" s="91"/>
      <c r="DJ15" s="91"/>
      <c r="DK15" s="91"/>
      <c r="DL15" s="91"/>
      <c r="DM15" s="91"/>
      <c r="DN15" s="91"/>
      <c r="DO15" s="91"/>
      <c r="DP15" s="91"/>
      <c r="DQ15" s="91"/>
      <c r="DR15" s="91"/>
      <c r="DS15" s="91"/>
      <c r="DT15" s="91"/>
      <c r="DU15" s="91"/>
      <c r="DV15" s="91"/>
      <c r="DW15" s="91"/>
      <c r="DX15" s="91"/>
      <c r="DY15" s="91"/>
      <c r="DZ15" s="91"/>
      <c r="EA15" s="91"/>
      <c r="EB15" s="91"/>
      <c r="EC15" s="91"/>
      <c r="ED15" s="91"/>
      <c r="EE15" s="91"/>
      <c r="EF15" s="91"/>
      <c r="EG15" s="91"/>
      <c r="EH15" s="91"/>
      <c r="EI15" s="91"/>
      <c r="EJ15" s="91"/>
      <c r="EK15" s="91"/>
      <c r="EL15" s="91"/>
      <c r="EM15" s="91"/>
      <c r="EN15" s="91"/>
      <c r="EO15" s="91"/>
      <c r="EP15" s="91"/>
      <c r="EQ15" s="91"/>
      <c r="ER15" s="91"/>
      <c r="ES15" s="91"/>
      <c r="ET15" s="91"/>
      <c r="EU15" s="91"/>
      <c r="EV15" s="91"/>
      <c r="EW15" s="91"/>
      <c r="EX15" s="91"/>
      <c r="EY15" s="91"/>
      <c r="EZ15" s="91"/>
      <c r="FA15" s="91"/>
      <c r="FB15" s="91"/>
      <c r="FC15" s="91"/>
      <c r="FD15" s="91"/>
      <c r="FE15" s="91"/>
      <c r="FF15" s="91"/>
      <c r="FG15" s="91"/>
      <c r="FH15" s="91"/>
      <c r="FI15" s="91"/>
      <c r="FJ15" s="91"/>
      <c r="FK15" s="91"/>
      <c r="FL15" s="91"/>
      <c r="FM15" s="91"/>
      <c r="FN15" s="91"/>
      <c r="FO15" s="91"/>
      <c r="FP15" s="91"/>
      <c r="FQ15" s="91"/>
      <c r="FR15" s="91"/>
      <c r="FS15" s="91"/>
      <c r="FT15" s="91"/>
      <c r="FU15" s="91"/>
      <c r="FV15" s="91"/>
      <c r="FW15" s="91"/>
      <c r="FX15" s="91"/>
      <c r="FY15" s="91"/>
      <c r="FZ15" s="91"/>
      <c r="GA15" s="91"/>
      <c r="GB15" s="91"/>
      <c r="GC15" s="91"/>
      <c r="GD15" s="91"/>
      <c r="GE15" s="91"/>
      <c r="GF15" s="91"/>
      <c r="GG15" s="91"/>
      <c r="GH15" s="91"/>
      <c r="GI15" s="91"/>
      <c r="GJ15" s="91"/>
      <c r="GK15" s="91"/>
      <c r="GL15" s="91"/>
      <c r="GM15" s="91"/>
      <c r="GN15" s="91"/>
      <c r="GO15" s="91"/>
      <c r="GP15" s="91"/>
      <c r="GQ15" s="91"/>
      <c r="GR15" s="91"/>
    </row>
    <row r="16" spans="1:200" x14ac:dyDescent="0.15">
      <c r="B16" s="91">
        <v>4</v>
      </c>
      <c r="C16" s="45">
        <v>79350</v>
      </c>
      <c r="D16" s="91">
        <v>1</v>
      </c>
      <c r="E16" s="91">
        <v>79350</v>
      </c>
      <c r="F16" s="91">
        <v>16883</v>
      </c>
      <c r="G16" s="91">
        <v>6.45</v>
      </c>
      <c r="H16" s="91"/>
      <c r="I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1"/>
      <c r="BA16" s="91"/>
      <c r="BB16" s="91"/>
      <c r="BC16" s="91"/>
      <c r="BD16" s="91"/>
      <c r="BE16" s="91"/>
      <c r="BF16" s="91"/>
      <c r="BG16" s="91"/>
      <c r="BH16" s="91"/>
      <c r="BI16" s="91"/>
      <c r="BJ16" s="91"/>
      <c r="BK16" s="91"/>
      <c r="BL16" s="91"/>
      <c r="BM16" s="91"/>
      <c r="BN16" s="91"/>
      <c r="BO16" s="91"/>
      <c r="BP16" s="91"/>
      <c r="BQ16" s="91"/>
      <c r="BR16" s="91"/>
      <c r="BS16" s="91"/>
      <c r="BT16" s="91"/>
      <c r="BU16" s="91"/>
      <c r="BV16" s="91"/>
      <c r="BW16" s="91"/>
      <c r="BX16" s="91"/>
      <c r="BY16" s="91"/>
      <c r="BZ16" s="91"/>
      <c r="CA16" s="91"/>
      <c r="CB16" s="91"/>
      <c r="CC16" s="91"/>
      <c r="CD16" s="91"/>
      <c r="CE16" s="91"/>
      <c r="CF16" s="91"/>
      <c r="CG16" s="91"/>
      <c r="CH16" s="91"/>
      <c r="CI16" s="91"/>
      <c r="CJ16" s="91"/>
      <c r="CK16" s="91"/>
      <c r="CL16" s="91"/>
      <c r="CM16" s="91"/>
      <c r="CN16" s="91"/>
      <c r="CO16" s="91"/>
      <c r="CP16" s="91"/>
      <c r="CQ16" s="91"/>
      <c r="CR16" s="91"/>
      <c r="CS16" s="91"/>
      <c r="CT16" s="91"/>
      <c r="CU16" s="91"/>
      <c r="CV16" s="91"/>
      <c r="CW16" s="91"/>
      <c r="CX16" s="91"/>
      <c r="CY16" s="91"/>
      <c r="CZ16" s="91"/>
      <c r="DA16" s="91"/>
      <c r="DB16" s="91"/>
      <c r="DC16" s="91"/>
      <c r="DD16" s="91"/>
      <c r="DE16" s="91"/>
      <c r="DF16" s="91"/>
      <c r="DG16" s="91"/>
      <c r="DH16" s="91"/>
      <c r="DI16" s="91"/>
      <c r="DJ16" s="91"/>
      <c r="DK16" s="91"/>
      <c r="DL16" s="91"/>
      <c r="DM16" s="91"/>
      <c r="DN16" s="91"/>
      <c r="DO16" s="91"/>
      <c r="DP16" s="91"/>
      <c r="DQ16" s="91"/>
      <c r="DR16" s="91"/>
      <c r="DS16" s="91"/>
      <c r="DT16" s="91"/>
      <c r="DU16" s="91"/>
      <c r="DV16" s="91"/>
      <c r="DW16" s="91"/>
      <c r="DX16" s="91"/>
      <c r="DY16" s="91"/>
      <c r="DZ16" s="91"/>
      <c r="EA16" s="91"/>
      <c r="EB16" s="91"/>
      <c r="EC16" s="91"/>
      <c r="ED16" s="91"/>
      <c r="EE16" s="91"/>
      <c r="EF16" s="91"/>
      <c r="EG16" s="91"/>
      <c r="EH16" s="91"/>
      <c r="EI16" s="91"/>
      <c r="EJ16" s="91"/>
      <c r="EK16" s="91"/>
      <c r="EL16" s="91"/>
      <c r="EM16" s="91"/>
      <c r="EN16" s="91"/>
      <c r="EO16" s="91"/>
      <c r="EP16" s="91"/>
      <c r="EQ16" s="91"/>
      <c r="ER16" s="91"/>
      <c r="ES16" s="91"/>
      <c r="ET16" s="91"/>
      <c r="EU16" s="91"/>
      <c r="EV16" s="91"/>
      <c r="EW16" s="91"/>
      <c r="EX16" s="91"/>
      <c r="EY16" s="91"/>
      <c r="EZ16" s="91"/>
      <c r="FA16" s="91"/>
      <c r="FB16" s="91"/>
      <c r="FC16" s="91"/>
      <c r="FD16" s="91"/>
      <c r="FE16" s="91"/>
      <c r="FF16" s="91"/>
      <c r="FG16" s="91"/>
      <c r="FH16" s="91"/>
      <c r="FI16" s="91"/>
      <c r="FJ16" s="91"/>
      <c r="FK16" s="91"/>
      <c r="FL16" s="91"/>
      <c r="FM16" s="91"/>
      <c r="FN16" s="91"/>
      <c r="FO16" s="91"/>
      <c r="FP16" s="91"/>
      <c r="FQ16" s="91"/>
      <c r="FR16" s="91"/>
      <c r="FS16" s="91"/>
      <c r="FT16" s="91"/>
      <c r="FU16" s="91"/>
      <c r="FV16" s="91"/>
      <c r="FW16" s="91"/>
      <c r="FX16" s="91"/>
      <c r="FY16" s="91"/>
      <c r="FZ16" s="91"/>
      <c r="GA16" s="91"/>
      <c r="GB16" s="91"/>
      <c r="GC16" s="91"/>
      <c r="GD16" s="91"/>
      <c r="GE16" s="91"/>
      <c r="GF16" s="91"/>
      <c r="GG16" s="91"/>
      <c r="GH16" s="91"/>
      <c r="GI16" s="91"/>
      <c r="GJ16" s="91"/>
      <c r="GK16" s="91"/>
      <c r="GL16" s="91"/>
      <c r="GM16" s="91"/>
      <c r="GN16" s="91"/>
      <c r="GO16" s="91"/>
      <c r="GP16" s="91"/>
      <c r="GQ16" s="91"/>
      <c r="GR16" s="91"/>
    </row>
    <row r="17" spans="2:200" x14ac:dyDescent="0.15">
      <c r="B17" s="91">
        <v>3</v>
      </c>
      <c r="C17" s="45">
        <v>441800</v>
      </c>
      <c r="D17" s="91">
        <v>1</v>
      </c>
      <c r="E17" s="91">
        <v>441800</v>
      </c>
      <c r="F17" s="91">
        <v>142516</v>
      </c>
      <c r="G17" s="91">
        <v>6.63</v>
      </c>
      <c r="H17" s="91"/>
      <c r="I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1"/>
      <c r="BA17" s="91"/>
      <c r="BB17" s="91"/>
      <c r="BC17" s="91"/>
      <c r="BD17" s="91"/>
      <c r="BE17" s="91"/>
      <c r="BF17" s="91"/>
      <c r="BG17" s="91"/>
      <c r="BH17" s="91"/>
      <c r="BI17" s="91"/>
      <c r="BJ17" s="91"/>
      <c r="BK17" s="91"/>
      <c r="BL17" s="91"/>
      <c r="BM17" s="91"/>
      <c r="BN17" s="91"/>
      <c r="BO17" s="91"/>
      <c r="BP17" s="91"/>
      <c r="BQ17" s="91"/>
      <c r="BR17" s="91"/>
      <c r="BS17" s="91"/>
      <c r="BT17" s="91"/>
      <c r="BU17" s="91"/>
      <c r="BV17" s="91"/>
      <c r="BW17" s="91"/>
      <c r="BX17" s="91"/>
      <c r="BY17" s="91"/>
      <c r="BZ17" s="91"/>
      <c r="CA17" s="91"/>
      <c r="CB17" s="91"/>
      <c r="CC17" s="91"/>
      <c r="CD17" s="91"/>
      <c r="CE17" s="91"/>
      <c r="CF17" s="91"/>
      <c r="CG17" s="91"/>
      <c r="CH17" s="91"/>
      <c r="CI17" s="91"/>
      <c r="CJ17" s="91"/>
      <c r="CK17" s="91"/>
      <c r="CL17" s="91"/>
      <c r="CM17" s="91"/>
      <c r="CN17" s="91"/>
      <c r="CO17" s="91"/>
      <c r="CP17" s="91"/>
      <c r="CQ17" s="91"/>
      <c r="CR17" s="91"/>
      <c r="CS17" s="91"/>
      <c r="CT17" s="91"/>
      <c r="CU17" s="91"/>
      <c r="CV17" s="91"/>
      <c r="CW17" s="91"/>
      <c r="CX17" s="91"/>
      <c r="CY17" s="91"/>
      <c r="CZ17" s="91"/>
      <c r="DA17" s="91"/>
      <c r="DB17" s="91"/>
      <c r="DC17" s="91"/>
      <c r="DD17" s="91"/>
      <c r="DE17" s="91"/>
      <c r="DF17" s="91"/>
      <c r="DG17" s="91"/>
      <c r="DH17" s="91"/>
      <c r="DI17" s="91"/>
      <c r="DJ17" s="91"/>
      <c r="DK17" s="91"/>
      <c r="DL17" s="91"/>
      <c r="DM17" s="91"/>
      <c r="DN17" s="91"/>
      <c r="DO17" s="91"/>
      <c r="DP17" s="91"/>
      <c r="DQ17" s="91"/>
      <c r="DR17" s="91"/>
      <c r="DS17" s="91"/>
      <c r="DT17" s="91"/>
      <c r="DU17" s="91"/>
      <c r="DV17" s="91"/>
      <c r="DW17" s="91"/>
      <c r="DX17" s="91"/>
      <c r="DY17" s="91"/>
      <c r="DZ17" s="91"/>
      <c r="EA17" s="91"/>
      <c r="EB17" s="91"/>
      <c r="EC17" s="91"/>
      <c r="ED17" s="91"/>
      <c r="EE17" s="91"/>
      <c r="EF17" s="91"/>
      <c r="EG17" s="91"/>
      <c r="EH17" s="91"/>
      <c r="EI17" s="91"/>
      <c r="EJ17" s="91"/>
      <c r="EK17" s="91"/>
      <c r="EL17" s="91"/>
      <c r="EM17" s="91"/>
      <c r="EN17" s="91"/>
      <c r="EO17" s="91"/>
      <c r="EP17" s="91"/>
      <c r="EQ17" s="91"/>
      <c r="ER17" s="91"/>
      <c r="ES17" s="91"/>
      <c r="ET17" s="91"/>
      <c r="EU17" s="91"/>
      <c r="EV17" s="91"/>
      <c r="EW17" s="91"/>
      <c r="EX17" s="91"/>
      <c r="EY17" s="91"/>
      <c r="EZ17" s="91"/>
      <c r="FA17" s="91"/>
      <c r="FB17" s="91"/>
      <c r="FC17" s="91"/>
      <c r="FD17" s="91"/>
      <c r="FE17" s="91"/>
      <c r="FF17" s="91"/>
      <c r="FG17" s="91"/>
      <c r="FH17" s="91"/>
      <c r="FI17" s="91"/>
      <c r="FJ17" s="91"/>
      <c r="FK17" s="91"/>
      <c r="FL17" s="91"/>
      <c r="FM17" s="91"/>
      <c r="FN17" s="91"/>
      <c r="FO17" s="91"/>
      <c r="FP17" s="91"/>
      <c r="FQ17" s="91"/>
      <c r="FR17" s="91"/>
      <c r="FS17" s="91"/>
      <c r="FT17" s="91"/>
      <c r="FU17" s="91"/>
      <c r="FV17" s="91"/>
      <c r="FW17" s="91"/>
      <c r="FX17" s="91"/>
      <c r="FY17" s="91"/>
      <c r="FZ17" s="91"/>
      <c r="GA17" s="91"/>
      <c r="GB17" s="91"/>
      <c r="GC17" s="91"/>
      <c r="GD17" s="91"/>
      <c r="GE17" s="91"/>
      <c r="GF17" s="91"/>
      <c r="GG17" s="91"/>
      <c r="GH17" s="91"/>
      <c r="GI17" s="91"/>
      <c r="GJ17" s="91"/>
      <c r="GK17" s="91"/>
      <c r="GL17" s="91"/>
      <c r="GM17" s="91"/>
      <c r="GN17" s="91"/>
      <c r="GO17" s="91"/>
      <c r="GP17" s="91"/>
      <c r="GQ17" s="91"/>
      <c r="GR17" s="91"/>
    </row>
    <row r="18" spans="2:200" x14ac:dyDescent="0.15">
      <c r="B18" s="91">
        <v>2</v>
      </c>
      <c r="C18" s="90">
        <v>245480</v>
      </c>
      <c r="D18" s="91">
        <v>1</v>
      </c>
      <c r="E18" s="91">
        <v>245480</v>
      </c>
      <c r="F18" s="91">
        <v>102283</v>
      </c>
      <c r="G18" s="91">
        <v>5.14</v>
      </c>
      <c r="H18" s="91"/>
      <c r="I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1"/>
      <c r="BA18" s="91"/>
      <c r="BB18" s="91"/>
      <c r="BC18" s="91"/>
      <c r="BD18" s="91"/>
      <c r="BE18" s="91"/>
      <c r="BF18" s="91"/>
      <c r="BG18" s="91"/>
      <c r="BH18" s="91"/>
      <c r="BI18" s="91"/>
      <c r="BJ18" s="91"/>
      <c r="BK18" s="91"/>
      <c r="BL18" s="91"/>
      <c r="BM18" s="91"/>
      <c r="BN18" s="91"/>
      <c r="BO18" s="91"/>
      <c r="BP18" s="91"/>
      <c r="BQ18" s="91"/>
      <c r="BR18" s="91"/>
      <c r="BS18" s="91"/>
      <c r="BT18" s="91"/>
      <c r="BU18" s="91"/>
      <c r="BV18" s="91"/>
      <c r="BW18" s="91"/>
      <c r="BX18" s="91"/>
      <c r="BY18" s="91"/>
      <c r="BZ18" s="91"/>
      <c r="CA18" s="91"/>
      <c r="CB18" s="91"/>
      <c r="CC18" s="91"/>
      <c r="CD18" s="91"/>
      <c r="CE18" s="91"/>
      <c r="CF18" s="91"/>
      <c r="CG18" s="91"/>
      <c r="CH18" s="91"/>
      <c r="CI18" s="91"/>
      <c r="CJ18" s="91"/>
      <c r="CK18" s="91"/>
      <c r="CL18" s="91"/>
      <c r="CM18" s="91"/>
      <c r="CN18" s="91"/>
      <c r="CO18" s="91"/>
      <c r="CP18" s="91"/>
      <c r="CQ18" s="91"/>
      <c r="CR18" s="91"/>
      <c r="CS18" s="91"/>
      <c r="CT18" s="91"/>
      <c r="CU18" s="91"/>
      <c r="CV18" s="91"/>
      <c r="CW18" s="91"/>
      <c r="CX18" s="91"/>
      <c r="CY18" s="91"/>
      <c r="CZ18" s="91"/>
      <c r="DA18" s="91"/>
      <c r="DB18" s="91"/>
      <c r="DC18" s="91"/>
      <c r="DD18" s="91"/>
      <c r="DE18" s="91"/>
      <c r="DF18" s="91"/>
      <c r="DG18" s="91"/>
      <c r="DH18" s="91"/>
      <c r="DI18" s="91"/>
      <c r="DJ18" s="91"/>
      <c r="DK18" s="91"/>
      <c r="DL18" s="91"/>
      <c r="DM18" s="91"/>
      <c r="DN18" s="91"/>
      <c r="DO18" s="91"/>
      <c r="DP18" s="91"/>
      <c r="DQ18" s="91"/>
      <c r="DR18" s="91"/>
      <c r="DS18" s="91"/>
      <c r="DT18" s="91"/>
      <c r="DU18" s="91"/>
      <c r="DV18" s="91"/>
      <c r="DW18" s="91"/>
      <c r="DX18" s="91"/>
      <c r="DY18" s="91"/>
      <c r="DZ18" s="91"/>
      <c r="EA18" s="91"/>
      <c r="EB18" s="91"/>
      <c r="EC18" s="91"/>
      <c r="ED18" s="91"/>
      <c r="EE18" s="91"/>
      <c r="EF18" s="91"/>
      <c r="EG18" s="91"/>
      <c r="EH18" s="91"/>
      <c r="EI18" s="91"/>
      <c r="EJ18" s="91"/>
      <c r="EK18" s="91"/>
      <c r="EL18" s="91"/>
      <c r="EM18" s="91"/>
      <c r="EN18" s="91"/>
      <c r="EO18" s="91"/>
      <c r="EP18" s="91"/>
      <c r="EQ18" s="91"/>
      <c r="ER18" s="91"/>
      <c r="ES18" s="91"/>
      <c r="ET18" s="91"/>
      <c r="EU18" s="91"/>
      <c r="EV18" s="91"/>
      <c r="EW18" s="91"/>
      <c r="EX18" s="91"/>
      <c r="EY18" s="91"/>
      <c r="EZ18" s="91"/>
      <c r="FA18" s="91"/>
      <c r="FB18" s="91"/>
      <c r="FC18" s="91"/>
      <c r="FD18" s="91"/>
      <c r="FE18" s="91"/>
      <c r="FF18" s="91"/>
      <c r="FG18" s="91"/>
      <c r="FH18" s="91"/>
      <c r="FI18" s="91"/>
      <c r="FJ18" s="91"/>
      <c r="FK18" s="91"/>
      <c r="FL18" s="91"/>
      <c r="FM18" s="91"/>
      <c r="FN18" s="91"/>
      <c r="FO18" s="91"/>
      <c r="FP18" s="91"/>
      <c r="FQ18" s="91"/>
      <c r="FR18" s="91"/>
      <c r="FS18" s="91"/>
      <c r="FT18" s="91"/>
      <c r="FU18" s="91"/>
      <c r="FV18" s="91"/>
      <c r="FW18" s="91"/>
      <c r="FX18" s="91"/>
      <c r="FY18" s="91"/>
      <c r="FZ18" s="91"/>
      <c r="GA18" s="91"/>
      <c r="GB18" s="91"/>
      <c r="GC18" s="91"/>
      <c r="GD18" s="91"/>
      <c r="GE18" s="91"/>
      <c r="GF18" s="91"/>
      <c r="GG18" s="91"/>
      <c r="GH18" s="91"/>
      <c r="GI18" s="91"/>
      <c r="GJ18" s="91"/>
      <c r="GK18" s="91"/>
      <c r="GL18" s="91"/>
      <c r="GM18" s="91"/>
      <c r="GN18" s="91"/>
      <c r="GO18" s="91"/>
      <c r="GP18" s="91"/>
      <c r="GQ18" s="91"/>
      <c r="GR18" s="91"/>
    </row>
    <row r="19" spans="2:200" x14ac:dyDescent="0.15">
      <c r="B19" s="91">
        <v>1</v>
      </c>
      <c r="C19" s="91">
        <v>731010</v>
      </c>
      <c r="D19" s="91">
        <v>1</v>
      </c>
      <c r="E19" s="91">
        <v>731010</v>
      </c>
      <c r="F19" s="91">
        <v>2131880</v>
      </c>
      <c r="G19" s="91">
        <v>8.02</v>
      </c>
      <c r="H19" s="91"/>
      <c r="I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1"/>
      <c r="BA19" s="91"/>
      <c r="BB19" s="91"/>
      <c r="BC19" s="91"/>
      <c r="BD19" s="91"/>
      <c r="BE19" s="91"/>
      <c r="BF19" s="91"/>
      <c r="BG19" s="91"/>
      <c r="BH19" s="91"/>
      <c r="BI19" s="91"/>
      <c r="BJ19" s="91"/>
      <c r="BK19" s="91"/>
      <c r="BL19" s="91"/>
      <c r="BM19" s="91"/>
      <c r="BN19" s="91"/>
      <c r="BO19" s="91"/>
      <c r="BP19" s="91"/>
      <c r="BQ19" s="91"/>
      <c r="BR19" s="91"/>
      <c r="BS19" s="91"/>
      <c r="BT19" s="91"/>
      <c r="BU19" s="91"/>
      <c r="BV19" s="91"/>
      <c r="BW19" s="91"/>
      <c r="BX19" s="91"/>
      <c r="BY19" s="91"/>
      <c r="BZ19" s="91"/>
      <c r="CA19" s="91"/>
      <c r="CB19" s="91"/>
      <c r="CC19" s="91"/>
      <c r="CD19" s="91"/>
      <c r="CE19" s="91"/>
      <c r="CF19" s="91"/>
      <c r="CG19" s="91"/>
      <c r="CH19" s="91"/>
      <c r="CI19" s="91"/>
      <c r="CJ19" s="91"/>
      <c r="CK19" s="91"/>
      <c r="CL19" s="91"/>
      <c r="CM19" s="91"/>
      <c r="CN19" s="91"/>
      <c r="CO19" s="91"/>
      <c r="CP19" s="91"/>
      <c r="CQ19" s="91"/>
      <c r="CR19" s="91"/>
      <c r="CS19" s="91"/>
      <c r="CT19" s="91"/>
      <c r="CU19" s="91"/>
      <c r="CV19" s="91"/>
      <c r="CW19" s="91"/>
      <c r="CX19" s="91"/>
      <c r="CY19" s="91"/>
      <c r="CZ19" s="91"/>
      <c r="DA19" s="91"/>
      <c r="DB19" s="91"/>
      <c r="DC19" s="91"/>
      <c r="DD19" s="91"/>
      <c r="DE19" s="91"/>
      <c r="DF19" s="91"/>
      <c r="DG19" s="91"/>
      <c r="DH19" s="91"/>
      <c r="DI19" s="91"/>
      <c r="DJ19" s="91"/>
      <c r="DK19" s="91"/>
      <c r="DL19" s="91"/>
      <c r="DM19" s="91"/>
      <c r="DN19" s="91"/>
      <c r="DO19" s="91"/>
      <c r="DP19" s="91"/>
      <c r="DQ19" s="91"/>
      <c r="DR19" s="91"/>
      <c r="DS19" s="91"/>
      <c r="DT19" s="91"/>
      <c r="DU19" s="91"/>
      <c r="DV19" s="91"/>
      <c r="DW19" s="91"/>
      <c r="DX19" s="91"/>
      <c r="DY19" s="91"/>
      <c r="DZ19" s="91"/>
      <c r="EA19" s="91"/>
      <c r="EB19" s="91"/>
      <c r="EC19" s="91"/>
      <c r="ED19" s="91"/>
      <c r="EE19" s="91"/>
      <c r="EF19" s="91"/>
      <c r="EG19" s="91"/>
      <c r="EH19" s="91"/>
      <c r="EI19" s="91"/>
      <c r="EJ19" s="91"/>
      <c r="EK19" s="91"/>
      <c r="EL19" s="91"/>
      <c r="EM19" s="91"/>
      <c r="EN19" s="91"/>
      <c r="EO19" s="91"/>
      <c r="EP19" s="91"/>
      <c r="EQ19" s="91"/>
      <c r="ER19" s="91"/>
      <c r="ES19" s="91"/>
      <c r="ET19" s="91"/>
      <c r="EU19" s="91"/>
      <c r="EV19" s="91"/>
      <c r="EW19" s="91"/>
      <c r="EX19" s="91"/>
      <c r="EY19" s="91"/>
      <c r="EZ19" s="91"/>
      <c r="FA19" s="91"/>
      <c r="FB19" s="91"/>
      <c r="FC19" s="91"/>
      <c r="FD19" s="91"/>
      <c r="FE19" s="91"/>
      <c r="FF19" s="91"/>
      <c r="FG19" s="91"/>
      <c r="FH19" s="91"/>
      <c r="FI19" s="91"/>
      <c r="FJ19" s="91"/>
      <c r="FK19" s="91"/>
      <c r="FL19" s="91"/>
      <c r="FM19" s="91"/>
      <c r="FN19" s="91"/>
      <c r="FO19" s="91"/>
      <c r="FP19" s="91"/>
      <c r="FQ19" s="91"/>
      <c r="FR19" s="91"/>
      <c r="FS19" s="91"/>
      <c r="FT19" s="91"/>
      <c r="FU19" s="91"/>
      <c r="FV19" s="91"/>
      <c r="FW19" s="91"/>
      <c r="FX19" s="91"/>
      <c r="FY19" s="91"/>
      <c r="FZ19" s="91"/>
      <c r="GA19" s="91"/>
      <c r="GB19" s="91"/>
      <c r="GC19" s="91"/>
      <c r="GD19" s="91"/>
      <c r="GE19" s="91"/>
      <c r="GF19" s="91"/>
      <c r="GG19" s="91"/>
      <c r="GH19" s="91"/>
      <c r="GI19" s="91"/>
      <c r="GJ19" s="91"/>
      <c r="GK19" s="91"/>
      <c r="GL19" s="91"/>
      <c r="GM19" s="91"/>
      <c r="GN19" s="91"/>
      <c r="GO19" s="91"/>
      <c r="GP19" s="91"/>
      <c r="GQ19" s="91"/>
      <c r="GR19" s="91"/>
    </row>
    <row r="20" spans="2:200" x14ac:dyDescent="0.15"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  <c r="AG20" s="91"/>
      <c r="AH20" s="91"/>
      <c r="AI20" s="91"/>
      <c r="AJ20" s="91"/>
      <c r="AK20" s="91"/>
      <c r="AL20" s="91"/>
      <c r="AM20" s="91"/>
      <c r="AN20" s="91"/>
      <c r="AO20" s="91"/>
      <c r="AP20" s="91"/>
      <c r="AQ20" s="91"/>
      <c r="AR20" s="91"/>
      <c r="AS20" s="91"/>
      <c r="AT20" s="91"/>
      <c r="AU20" s="91"/>
      <c r="AV20" s="91"/>
      <c r="AW20" s="91"/>
      <c r="AX20" s="91"/>
      <c r="AY20" s="91"/>
      <c r="AZ20" s="91"/>
      <c r="BA20" s="91"/>
      <c r="BB20" s="91"/>
      <c r="BC20" s="91"/>
      <c r="BD20" s="91"/>
      <c r="BE20" s="91"/>
      <c r="BF20" s="91"/>
      <c r="BG20" s="91"/>
      <c r="BH20" s="91"/>
      <c r="BI20" s="91"/>
      <c r="BJ20" s="91"/>
      <c r="BK20" s="91"/>
      <c r="BL20" s="91"/>
      <c r="BM20" s="91"/>
      <c r="BN20" s="91"/>
      <c r="BO20" s="91"/>
      <c r="BP20" s="91"/>
      <c r="BQ20" s="91"/>
      <c r="BR20" s="91"/>
      <c r="BS20" s="91"/>
      <c r="BT20" s="91"/>
      <c r="BU20" s="91"/>
      <c r="BV20" s="91"/>
      <c r="BW20" s="91"/>
      <c r="BX20" s="91"/>
      <c r="BY20" s="91"/>
      <c r="BZ20" s="91"/>
      <c r="CA20" s="91"/>
      <c r="CB20" s="91"/>
      <c r="CC20" s="91"/>
      <c r="CD20" s="91"/>
      <c r="CE20" s="91"/>
      <c r="CF20" s="91"/>
      <c r="CG20" s="91"/>
      <c r="CH20" s="91"/>
      <c r="CI20" s="91"/>
      <c r="CJ20" s="91"/>
      <c r="CK20" s="91"/>
      <c r="CL20" s="91"/>
      <c r="CM20" s="91"/>
      <c r="CN20" s="91"/>
      <c r="CO20" s="91"/>
      <c r="CP20" s="91"/>
      <c r="CQ20" s="91"/>
      <c r="CR20" s="91"/>
      <c r="CS20" s="91"/>
      <c r="CT20" s="91"/>
      <c r="CU20" s="91"/>
      <c r="CV20" s="91"/>
      <c r="CW20" s="91"/>
      <c r="CX20" s="91"/>
      <c r="CY20" s="91"/>
      <c r="CZ20" s="91"/>
      <c r="DA20" s="91"/>
      <c r="DB20" s="91"/>
      <c r="DC20" s="91"/>
      <c r="DD20" s="91"/>
      <c r="DE20" s="91"/>
      <c r="DF20" s="91"/>
      <c r="DG20" s="91"/>
      <c r="DH20" s="91"/>
      <c r="DI20" s="91"/>
      <c r="DJ20" s="91"/>
      <c r="DK20" s="91"/>
      <c r="DL20" s="91"/>
      <c r="DM20" s="91"/>
      <c r="DN20" s="91"/>
      <c r="DO20" s="91"/>
      <c r="DP20" s="91"/>
      <c r="DQ20" s="91"/>
      <c r="DR20" s="91"/>
      <c r="DS20" s="91"/>
      <c r="DT20" s="91"/>
      <c r="DU20" s="91"/>
      <c r="DV20" s="91"/>
      <c r="DW20" s="91"/>
      <c r="DX20" s="91"/>
      <c r="DY20" s="91"/>
      <c r="DZ20" s="91"/>
      <c r="EA20" s="91"/>
      <c r="EB20" s="91"/>
      <c r="EC20" s="91"/>
      <c r="ED20" s="91"/>
      <c r="EE20" s="91"/>
      <c r="EF20" s="91"/>
      <c r="EG20" s="91"/>
      <c r="EH20" s="91"/>
      <c r="EI20" s="91"/>
      <c r="EJ20" s="91"/>
      <c r="EK20" s="91"/>
      <c r="EL20" s="91"/>
      <c r="EM20" s="91"/>
      <c r="EN20" s="91"/>
      <c r="EO20" s="91"/>
      <c r="EP20" s="91"/>
      <c r="EQ20" s="91"/>
      <c r="ER20" s="91"/>
      <c r="ES20" s="91"/>
      <c r="ET20" s="91"/>
      <c r="EU20" s="91"/>
      <c r="EV20" s="91"/>
      <c r="EW20" s="91"/>
      <c r="EX20" s="91"/>
      <c r="EY20" s="91"/>
      <c r="EZ20" s="91"/>
      <c r="FA20" s="91"/>
      <c r="FB20" s="91"/>
      <c r="FC20" s="91"/>
      <c r="FD20" s="91"/>
      <c r="FE20" s="91"/>
      <c r="FF20" s="91"/>
      <c r="FG20" s="91"/>
      <c r="FH20" s="91"/>
      <c r="FI20" s="91"/>
      <c r="FJ20" s="91"/>
      <c r="FK20" s="91"/>
      <c r="FL20" s="91"/>
      <c r="FM20" s="91"/>
      <c r="FN20" s="91"/>
      <c r="FO20" s="91"/>
      <c r="FP20" s="91"/>
      <c r="FQ20" s="91"/>
      <c r="FR20" s="91"/>
      <c r="FS20" s="91"/>
      <c r="FT20" s="91"/>
      <c r="FU20" s="91"/>
      <c r="FV20" s="91"/>
      <c r="FW20" s="91"/>
      <c r="FX20" s="91"/>
      <c r="FY20" s="91"/>
      <c r="FZ20" s="91"/>
      <c r="GA20" s="91"/>
      <c r="GB20" s="91"/>
      <c r="GC20" s="91"/>
      <c r="GD20" s="91"/>
      <c r="GE20" s="91"/>
      <c r="GF20" s="91"/>
      <c r="GG20" s="91"/>
      <c r="GH20" s="91"/>
      <c r="GI20" s="91"/>
      <c r="GJ20" s="91"/>
      <c r="GK20" s="91"/>
      <c r="GL20" s="91"/>
      <c r="GM20" s="91"/>
      <c r="GN20" s="91"/>
      <c r="GO20" s="91"/>
      <c r="GP20" s="91"/>
      <c r="GQ20" s="91"/>
      <c r="GR20" s="91"/>
    </row>
    <row r="21" spans="2:200" x14ac:dyDescent="0.15"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91"/>
      <c r="AH21" s="91"/>
      <c r="AI21" s="91"/>
      <c r="AJ21" s="91"/>
      <c r="AK21" s="91"/>
      <c r="AL21" s="91"/>
      <c r="AM21" s="91"/>
      <c r="AN21" s="91"/>
      <c r="AO21" s="91"/>
      <c r="AP21" s="91"/>
      <c r="AQ21" s="91"/>
      <c r="AR21" s="91"/>
      <c r="AS21" s="91"/>
      <c r="AT21" s="91"/>
      <c r="AU21" s="91"/>
      <c r="AV21" s="91"/>
      <c r="AW21" s="91"/>
      <c r="AX21" s="91"/>
      <c r="AY21" s="91"/>
      <c r="AZ21" s="91"/>
      <c r="BA21" s="91"/>
      <c r="BB21" s="91"/>
      <c r="BC21" s="91"/>
      <c r="BD21" s="91"/>
      <c r="BE21" s="91"/>
      <c r="BF21" s="91"/>
      <c r="BG21" s="91"/>
      <c r="BH21" s="91"/>
      <c r="BI21" s="91"/>
      <c r="BJ21" s="91"/>
      <c r="BK21" s="91"/>
      <c r="BL21" s="91"/>
      <c r="BM21" s="91"/>
      <c r="BN21" s="91"/>
      <c r="BO21" s="91"/>
      <c r="BP21" s="91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91"/>
      <c r="CF21" s="91"/>
      <c r="CG21" s="91"/>
      <c r="CH21" s="91"/>
      <c r="CI21" s="91"/>
      <c r="CJ21" s="91"/>
      <c r="CK21" s="91"/>
      <c r="CL21" s="91"/>
      <c r="CM21" s="91"/>
      <c r="CN21" s="91"/>
      <c r="CO21" s="91"/>
      <c r="CP21" s="91"/>
      <c r="CQ21" s="91"/>
      <c r="CR21" s="91"/>
      <c r="CS21" s="91"/>
      <c r="CT21" s="91"/>
      <c r="CU21" s="91"/>
      <c r="CV21" s="91"/>
      <c r="CW21" s="91"/>
      <c r="CX21" s="91"/>
      <c r="CY21" s="91"/>
      <c r="CZ21" s="91"/>
      <c r="DA21" s="91"/>
      <c r="DB21" s="91"/>
      <c r="DC21" s="91"/>
      <c r="DD21" s="91"/>
      <c r="DE21" s="91"/>
      <c r="DF21" s="91"/>
      <c r="DG21" s="91"/>
      <c r="DH21" s="91"/>
      <c r="DI21" s="91"/>
      <c r="DJ21" s="91"/>
      <c r="DK21" s="91"/>
      <c r="DL21" s="91"/>
      <c r="DM21" s="91"/>
      <c r="DN21" s="91"/>
      <c r="DO21" s="91"/>
      <c r="DP21" s="91"/>
      <c r="DQ21" s="91"/>
      <c r="DR21" s="91"/>
      <c r="DS21" s="91"/>
      <c r="DT21" s="91"/>
      <c r="DU21" s="91"/>
      <c r="DV21" s="91"/>
      <c r="DW21" s="91"/>
      <c r="DX21" s="91"/>
      <c r="DY21" s="91"/>
      <c r="DZ21" s="91"/>
      <c r="EA21" s="91"/>
      <c r="EB21" s="91"/>
      <c r="EC21" s="91"/>
      <c r="ED21" s="91"/>
      <c r="EE21" s="91"/>
      <c r="EF21" s="91"/>
      <c r="EG21" s="91"/>
      <c r="EH21" s="91"/>
      <c r="EI21" s="91"/>
      <c r="EJ21" s="91"/>
      <c r="EK21" s="91"/>
      <c r="EL21" s="91"/>
      <c r="EM21" s="91"/>
      <c r="EN21" s="91"/>
      <c r="EO21" s="91"/>
      <c r="EP21" s="91"/>
      <c r="EQ21" s="91"/>
      <c r="ER21" s="91"/>
      <c r="ES21" s="91"/>
      <c r="ET21" s="91"/>
      <c r="EU21" s="91"/>
      <c r="EV21" s="91"/>
      <c r="EW21" s="91"/>
      <c r="EX21" s="91"/>
      <c r="EY21" s="91"/>
      <c r="EZ21" s="91"/>
      <c r="FA21" s="91"/>
      <c r="FB21" s="91"/>
      <c r="FC21" s="91"/>
      <c r="FD21" s="91"/>
      <c r="FE21" s="91"/>
      <c r="FF21" s="91"/>
      <c r="FG21" s="91"/>
      <c r="FH21" s="91"/>
      <c r="FI21" s="91"/>
      <c r="FJ21" s="91"/>
      <c r="FK21" s="91"/>
      <c r="FL21" s="91"/>
      <c r="FM21" s="91"/>
      <c r="FN21" s="91"/>
      <c r="FO21" s="91"/>
      <c r="FP21" s="91"/>
      <c r="FQ21" s="91"/>
      <c r="FR21" s="91"/>
      <c r="FS21" s="91"/>
      <c r="FT21" s="91"/>
      <c r="FU21" s="91"/>
      <c r="FV21" s="91"/>
      <c r="FW21" s="91"/>
      <c r="FX21" s="91"/>
      <c r="FY21" s="91"/>
      <c r="FZ21" s="91"/>
      <c r="GA21" s="91"/>
      <c r="GB21" s="91"/>
      <c r="GC21" s="91"/>
      <c r="GD21" s="91"/>
      <c r="GE21" s="91"/>
      <c r="GF21" s="91"/>
      <c r="GG21" s="91"/>
      <c r="GH21" s="91"/>
      <c r="GI21" s="91"/>
      <c r="GJ21" s="91"/>
      <c r="GK21" s="91"/>
      <c r="GL21" s="91"/>
      <c r="GM21" s="91"/>
      <c r="GN21" s="91"/>
      <c r="GO21" s="91"/>
      <c r="GP21" s="91"/>
      <c r="GQ21" s="91"/>
      <c r="GR21" s="91"/>
    </row>
    <row r="22" spans="2:200" x14ac:dyDescent="0.15"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91"/>
      <c r="CF22" s="91"/>
      <c r="CG22" s="91"/>
      <c r="CH22" s="91"/>
      <c r="CI22" s="91"/>
      <c r="CJ22" s="91"/>
      <c r="CK22" s="91"/>
      <c r="CL22" s="91"/>
      <c r="CM22" s="91"/>
      <c r="CN22" s="91"/>
      <c r="CO22" s="91"/>
      <c r="CP22" s="91"/>
      <c r="CQ22" s="91"/>
      <c r="CR22" s="91"/>
      <c r="CS22" s="91"/>
      <c r="CT22" s="91"/>
      <c r="CU22" s="91"/>
      <c r="CV22" s="91"/>
      <c r="CW22" s="91"/>
      <c r="CX22" s="91"/>
      <c r="CY22" s="91"/>
      <c r="CZ22" s="91"/>
      <c r="DA22" s="91"/>
      <c r="DB22" s="91"/>
      <c r="DC22" s="91"/>
      <c r="DD22" s="91"/>
      <c r="DE22" s="91"/>
      <c r="DF22" s="91"/>
      <c r="DG22" s="91"/>
      <c r="DH22" s="91"/>
      <c r="DI22" s="91"/>
      <c r="DJ22" s="91"/>
      <c r="DK22" s="91"/>
      <c r="DL22" s="91"/>
      <c r="DM22" s="91"/>
      <c r="DN22" s="91"/>
      <c r="DO22" s="91"/>
      <c r="DP22" s="91"/>
      <c r="DQ22" s="91"/>
      <c r="DR22" s="91"/>
      <c r="DS22" s="91"/>
      <c r="DT22" s="91"/>
      <c r="DU22" s="91"/>
      <c r="DV22" s="91"/>
      <c r="DW22" s="91"/>
      <c r="DX22" s="91"/>
      <c r="DY22" s="91"/>
      <c r="DZ22" s="91"/>
      <c r="EA22" s="91"/>
      <c r="EB22" s="91"/>
      <c r="EC22" s="91"/>
      <c r="ED22" s="91"/>
      <c r="EE22" s="91"/>
      <c r="EF22" s="91"/>
      <c r="EG22" s="91"/>
      <c r="EH22" s="91"/>
      <c r="EI22" s="91"/>
      <c r="EJ22" s="91"/>
      <c r="EK22" s="91"/>
      <c r="EL22" s="91"/>
      <c r="EM22" s="91"/>
      <c r="EN22" s="91"/>
      <c r="EO22" s="91"/>
      <c r="EP22" s="91"/>
      <c r="EQ22" s="91"/>
      <c r="ER22" s="91"/>
      <c r="ES22" s="91"/>
      <c r="ET22" s="91"/>
      <c r="EU22" s="91"/>
      <c r="EV22" s="91"/>
      <c r="EW22" s="91"/>
      <c r="EX22" s="91"/>
      <c r="EY22" s="91"/>
      <c r="EZ22" s="91"/>
      <c r="FA22" s="91"/>
      <c r="FB22" s="91"/>
      <c r="FC22" s="91"/>
      <c r="FD22" s="91"/>
      <c r="FE22" s="91"/>
      <c r="FF22" s="91"/>
      <c r="FG22" s="91"/>
      <c r="FH22" s="91"/>
      <c r="FI22" s="91"/>
      <c r="FJ22" s="91"/>
      <c r="FK22" s="91"/>
      <c r="FL22" s="91"/>
      <c r="FM22" s="91"/>
      <c r="FN22" s="91"/>
      <c r="FO22" s="91"/>
      <c r="FP22" s="91"/>
      <c r="FQ22" s="91"/>
      <c r="FR22" s="91"/>
      <c r="FS22" s="91"/>
      <c r="FT22" s="91"/>
      <c r="FU22" s="91"/>
      <c r="FV22" s="91"/>
      <c r="FW22" s="91"/>
      <c r="FX22" s="91"/>
      <c r="FY22" s="91"/>
      <c r="FZ22" s="91"/>
      <c r="GA22" s="91"/>
      <c r="GB22" s="91"/>
      <c r="GC22" s="91"/>
      <c r="GD22" s="91"/>
      <c r="GE22" s="91"/>
      <c r="GF22" s="91"/>
      <c r="GG22" s="91"/>
      <c r="GH22" s="91"/>
      <c r="GI22" s="91"/>
      <c r="GJ22" s="91"/>
      <c r="GK22" s="91"/>
      <c r="GL22" s="91"/>
      <c r="GM22" s="91"/>
      <c r="GN22" s="91"/>
      <c r="GO22" s="91"/>
      <c r="GP22" s="91"/>
      <c r="GQ22" s="91"/>
      <c r="GR22" s="91"/>
    </row>
    <row r="23" spans="2:200" x14ac:dyDescent="0.15"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1"/>
      <c r="AT23" s="91"/>
      <c r="AU23" s="91"/>
      <c r="AV23" s="91"/>
      <c r="AW23" s="91"/>
      <c r="AX23" s="91"/>
      <c r="AY23" s="91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91"/>
      <c r="CF23" s="91"/>
      <c r="CG23" s="91"/>
      <c r="CH23" s="91"/>
      <c r="CI23" s="91"/>
      <c r="CJ23" s="91"/>
      <c r="CK23" s="91"/>
      <c r="CL23" s="91"/>
      <c r="CM23" s="91"/>
      <c r="CN23" s="91"/>
      <c r="CO23" s="91"/>
      <c r="CP23" s="91"/>
      <c r="CQ23" s="91"/>
      <c r="CR23" s="91"/>
      <c r="CS23" s="91"/>
      <c r="CT23" s="91"/>
      <c r="CU23" s="91"/>
      <c r="CV23" s="91"/>
      <c r="CW23" s="91"/>
      <c r="CX23" s="91"/>
      <c r="CY23" s="91"/>
      <c r="CZ23" s="91"/>
      <c r="DA23" s="91"/>
      <c r="DB23" s="91"/>
      <c r="DC23" s="91"/>
      <c r="DD23" s="91"/>
      <c r="DE23" s="91"/>
      <c r="DF23" s="91"/>
      <c r="DG23" s="91"/>
      <c r="DH23" s="91"/>
      <c r="DI23" s="91"/>
      <c r="DJ23" s="91"/>
      <c r="DK23" s="91"/>
      <c r="DL23" s="91"/>
      <c r="DM23" s="91"/>
      <c r="DN23" s="91"/>
      <c r="DO23" s="91"/>
      <c r="DP23" s="91"/>
      <c r="DQ23" s="91"/>
      <c r="DR23" s="91"/>
      <c r="DS23" s="91"/>
      <c r="DT23" s="91"/>
      <c r="DU23" s="91"/>
      <c r="DV23" s="91"/>
      <c r="DW23" s="91"/>
      <c r="DX23" s="91"/>
      <c r="DY23" s="91"/>
      <c r="DZ23" s="91"/>
      <c r="EA23" s="91"/>
      <c r="EB23" s="91"/>
      <c r="EC23" s="91"/>
      <c r="ED23" s="91"/>
      <c r="EE23" s="91"/>
      <c r="EF23" s="91"/>
      <c r="EG23" s="91"/>
      <c r="EH23" s="91"/>
      <c r="EI23" s="91"/>
      <c r="EJ23" s="91"/>
      <c r="EK23" s="91"/>
      <c r="EL23" s="91"/>
      <c r="EM23" s="91"/>
      <c r="EN23" s="91"/>
      <c r="EO23" s="91"/>
      <c r="EP23" s="91"/>
      <c r="EQ23" s="91"/>
      <c r="ER23" s="91"/>
      <c r="ES23" s="91"/>
      <c r="ET23" s="91"/>
      <c r="EU23" s="91"/>
      <c r="EV23" s="91"/>
      <c r="EW23" s="91"/>
      <c r="EX23" s="91"/>
      <c r="EY23" s="91"/>
      <c r="EZ23" s="91"/>
      <c r="FA23" s="91"/>
      <c r="FB23" s="91"/>
      <c r="FC23" s="91"/>
      <c r="FD23" s="91"/>
      <c r="FE23" s="91"/>
      <c r="FF23" s="91"/>
      <c r="FG23" s="91"/>
      <c r="FH23" s="91"/>
      <c r="FI23" s="91"/>
      <c r="FJ23" s="91"/>
      <c r="FK23" s="91"/>
      <c r="FL23" s="91"/>
      <c r="FM23" s="91"/>
      <c r="FN23" s="91"/>
      <c r="FO23" s="91"/>
      <c r="FP23" s="91"/>
      <c r="FQ23" s="91"/>
      <c r="FR23" s="91"/>
      <c r="FS23" s="91"/>
      <c r="FT23" s="91"/>
      <c r="FU23" s="91"/>
      <c r="FV23" s="91"/>
      <c r="FW23" s="91"/>
      <c r="FX23" s="91"/>
      <c r="FY23" s="91"/>
      <c r="FZ23" s="91"/>
      <c r="GA23" s="91"/>
      <c r="GB23" s="91"/>
      <c r="GC23" s="91"/>
      <c r="GD23" s="91"/>
      <c r="GE23" s="91"/>
      <c r="GF23" s="91"/>
      <c r="GG23" s="91"/>
      <c r="GH23" s="91"/>
      <c r="GI23" s="91"/>
      <c r="GJ23" s="91"/>
      <c r="GK23" s="91"/>
      <c r="GL23" s="91"/>
      <c r="GM23" s="91"/>
      <c r="GN23" s="91"/>
      <c r="GO23" s="91"/>
      <c r="GP23" s="91"/>
      <c r="GQ23" s="91"/>
      <c r="GR23" s="91"/>
    </row>
    <row r="24" spans="2:200" x14ac:dyDescent="0.15">
      <c r="B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  <c r="AK24" s="91"/>
      <c r="AL24" s="91"/>
      <c r="AM24" s="91"/>
      <c r="AN24" s="91"/>
      <c r="AO24" s="91"/>
      <c r="AP24" s="91"/>
      <c r="AQ24" s="91"/>
      <c r="AR24" s="91"/>
      <c r="AS24" s="91"/>
      <c r="AT24" s="91"/>
      <c r="AU24" s="91"/>
      <c r="AV24" s="91"/>
      <c r="AW24" s="91"/>
      <c r="AX24" s="91"/>
      <c r="AY24" s="91"/>
      <c r="AZ24" s="91"/>
      <c r="BA24" s="91"/>
      <c r="BB24" s="91"/>
      <c r="BC24" s="91"/>
      <c r="BD24" s="91"/>
      <c r="BE24" s="91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  <c r="CO24" s="91"/>
      <c r="CP24" s="91"/>
      <c r="CQ24" s="91"/>
      <c r="CR24" s="91"/>
      <c r="CS24" s="91"/>
      <c r="CT24" s="91"/>
      <c r="CU24" s="91"/>
      <c r="CV24" s="91"/>
      <c r="CW24" s="91"/>
      <c r="CX24" s="91"/>
      <c r="CY24" s="91"/>
      <c r="CZ24" s="91"/>
      <c r="DA24" s="91"/>
      <c r="DB24" s="91"/>
      <c r="DC24" s="91"/>
      <c r="DD24" s="91"/>
      <c r="DE24" s="91"/>
      <c r="DF24" s="91"/>
      <c r="DG24" s="91"/>
      <c r="DH24" s="91"/>
      <c r="DI24" s="91"/>
      <c r="DJ24" s="91"/>
      <c r="DK24" s="91"/>
      <c r="DL24" s="91"/>
      <c r="DM24" s="91"/>
      <c r="DN24" s="91"/>
      <c r="DO24" s="91"/>
      <c r="DP24" s="91"/>
      <c r="DQ24" s="91"/>
      <c r="DR24" s="91"/>
      <c r="DS24" s="91"/>
      <c r="DT24" s="91"/>
      <c r="DU24" s="91"/>
      <c r="DV24" s="91"/>
      <c r="DW24" s="91"/>
      <c r="DX24" s="91"/>
      <c r="DY24" s="91"/>
      <c r="DZ24" s="91"/>
      <c r="EA24" s="91"/>
      <c r="EB24" s="91"/>
      <c r="EC24" s="91"/>
      <c r="ED24" s="91"/>
      <c r="EE24" s="91"/>
      <c r="EF24" s="91"/>
      <c r="EG24" s="91"/>
      <c r="EH24" s="91"/>
      <c r="EI24" s="91"/>
      <c r="EJ24" s="91"/>
      <c r="EK24" s="91"/>
      <c r="EL24" s="91"/>
      <c r="EM24" s="91"/>
      <c r="EN24" s="91"/>
      <c r="EO24" s="91"/>
      <c r="EP24" s="91"/>
      <c r="EQ24" s="91"/>
      <c r="ER24" s="91"/>
      <c r="ES24" s="91"/>
      <c r="ET24" s="91"/>
      <c r="EU24" s="91"/>
      <c r="EV24" s="91"/>
      <c r="EW24" s="91"/>
      <c r="EX24" s="91"/>
      <c r="EY24" s="91"/>
      <c r="EZ24" s="91"/>
      <c r="FA24" s="91"/>
      <c r="FB24" s="91"/>
      <c r="FC24" s="91"/>
      <c r="FD24" s="91"/>
      <c r="FE24" s="91"/>
      <c r="FF24" s="91"/>
      <c r="FG24" s="91"/>
      <c r="FH24" s="91"/>
      <c r="FI24" s="91"/>
      <c r="FJ24" s="91"/>
      <c r="FK24" s="91"/>
      <c r="FL24" s="91"/>
      <c r="FM24" s="91"/>
      <c r="FN24" s="91"/>
      <c r="FO24" s="91"/>
      <c r="FP24" s="91"/>
      <c r="FQ24" s="91"/>
      <c r="FR24" s="91"/>
      <c r="FS24" s="91"/>
      <c r="FT24" s="91"/>
      <c r="FU24" s="91"/>
      <c r="FV24" s="91"/>
      <c r="FW24" s="91"/>
      <c r="FX24" s="91"/>
      <c r="FY24" s="91"/>
      <c r="FZ24" s="91"/>
      <c r="GA24" s="91"/>
      <c r="GB24" s="91"/>
      <c r="GC24" s="91"/>
      <c r="GD24" s="91"/>
      <c r="GE24" s="91"/>
      <c r="GF24" s="91"/>
      <c r="GG24" s="91"/>
      <c r="GH24" s="91"/>
      <c r="GI24" s="91"/>
      <c r="GJ24" s="91"/>
      <c r="GK24" s="91"/>
      <c r="GL24" s="91"/>
      <c r="GM24" s="91"/>
      <c r="GN24" s="91"/>
      <c r="GO24" s="91"/>
      <c r="GP24" s="91"/>
      <c r="GQ24" s="91"/>
      <c r="GR24" s="91"/>
    </row>
    <row r="25" spans="2:200" x14ac:dyDescent="0.15">
      <c r="B25" s="91"/>
      <c r="C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91"/>
      <c r="DE25" s="91"/>
      <c r="DF25" s="91"/>
      <c r="DG25" s="91"/>
      <c r="DH25" s="91"/>
      <c r="DI25" s="91"/>
      <c r="DJ25" s="91"/>
      <c r="DK25" s="91"/>
      <c r="DL25" s="91"/>
      <c r="DM25" s="91"/>
      <c r="DN25" s="91"/>
      <c r="DO25" s="91"/>
      <c r="DP25" s="91"/>
      <c r="DQ25" s="91"/>
      <c r="DR25" s="91"/>
      <c r="DS25" s="91"/>
      <c r="DT25" s="91"/>
      <c r="DU25" s="91"/>
      <c r="DV25" s="91"/>
      <c r="DW25" s="91"/>
      <c r="DX25" s="91"/>
      <c r="DY25" s="91"/>
      <c r="DZ25" s="91"/>
      <c r="EA25" s="91"/>
      <c r="EB25" s="91"/>
      <c r="EC25" s="91"/>
      <c r="ED25" s="91"/>
      <c r="EE25" s="91"/>
      <c r="EF25" s="91"/>
      <c r="EG25" s="91"/>
      <c r="EH25" s="91"/>
      <c r="EI25" s="91"/>
      <c r="EJ25" s="91"/>
      <c r="EK25" s="91"/>
      <c r="EL25" s="91"/>
      <c r="EM25" s="91"/>
      <c r="EN25" s="91"/>
      <c r="EO25" s="91"/>
      <c r="EP25" s="91"/>
      <c r="EQ25" s="91"/>
      <c r="ER25" s="91"/>
      <c r="ES25" s="91"/>
      <c r="ET25" s="91"/>
      <c r="EU25" s="91"/>
      <c r="EV25" s="91"/>
      <c r="EW25" s="91"/>
      <c r="EX25" s="91"/>
      <c r="EY25" s="91"/>
      <c r="EZ25" s="91"/>
      <c r="FA25" s="91"/>
      <c r="FB25" s="91"/>
      <c r="FC25" s="91"/>
      <c r="FD25" s="91"/>
      <c r="FE25" s="91"/>
      <c r="FF25" s="91"/>
      <c r="FG25" s="91"/>
      <c r="FH25" s="91"/>
      <c r="FI25" s="91"/>
      <c r="FJ25" s="91"/>
      <c r="FK25" s="91"/>
      <c r="FL25" s="91"/>
      <c r="FM25" s="91"/>
      <c r="FN25" s="91"/>
      <c r="FO25" s="91"/>
      <c r="FP25" s="91"/>
      <c r="FQ25" s="91"/>
      <c r="FR25" s="91"/>
      <c r="FS25" s="91"/>
      <c r="FT25" s="91"/>
      <c r="FU25" s="91"/>
      <c r="FV25" s="91"/>
      <c r="FW25" s="91"/>
      <c r="FX25" s="91"/>
      <c r="FY25" s="91"/>
      <c r="FZ25" s="91"/>
      <c r="GA25" s="91"/>
      <c r="GB25" s="91"/>
      <c r="GC25" s="91"/>
      <c r="GD25" s="91"/>
      <c r="GE25" s="91"/>
      <c r="GF25" s="91"/>
      <c r="GG25" s="91"/>
      <c r="GH25" s="91"/>
      <c r="GI25" s="91"/>
      <c r="GJ25" s="91"/>
      <c r="GK25" s="91"/>
      <c r="GL25" s="91"/>
      <c r="GM25" s="91"/>
      <c r="GN25" s="91"/>
      <c r="GO25" s="91"/>
      <c r="GP25" s="91"/>
      <c r="GQ25" s="91"/>
      <c r="GR25" s="91"/>
    </row>
    <row r="26" spans="2:200" x14ac:dyDescent="0.15"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91"/>
      <c r="DE26" s="91"/>
      <c r="DF26" s="91"/>
      <c r="DG26" s="91"/>
      <c r="DH26" s="91"/>
      <c r="DI26" s="91"/>
      <c r="DJ26" s="91"/>
      <c r="DK26" s="91"/>
      <c r="DL26" s="91"/>
      <c r="DM26" s="91"/>
      <c r="DN26" s="91"/>
      <c r="DO26" s="91"/>
      <c r="DP26" s="91"/>
      <c r="DQ26" s="91"/>
      <c r="DR26" s="91"/>
      <c r="DS26" s="91"/>
      <c r="DT26" s="91"/>
      <c r="DU26" s="91"/>
      <c r="DV26" s="91"/>
      <c r="DW26" s="91"/>
      <c r="DX26" s="91"/>
      <c r="DY26" s="91"/>
      <c r="DZ26" s="91"/>
      <c r="EA26" s="91"/>
      <c r="EB26" s="91"/>
      <c r="EC26" s="91"/>
      <c r="ED26" s="91"/>
      <c r="EE26" s="91"/>
      <c r="EF26" s="91"/>
      <c r="EG26" s="91"/>
      <c r="EH26" s="91"/>
      <c r="EI26" s="91"/>
      <c r="EJ26" s="91"/>
      <c r="EK26" s="91"/>
      <c r="EL26" s="91"/>
      <c r="EM26" s="91"/>
      <c r="EN26" s="91"/>
      <c r="EO26" s="91"/>
      <c r="EP26" s="91"/>
      <c r="EQ26" s="91"/>
      <c r="ER26" s="91"/>
      <c r="ES26" s="91"/>
      <c r="ET26" s="91"/>
      <c r="EU26" s="91"/>
      <c r="EV26" s="91"/>
      <c r="EW26" s="91"/>
      <c r="EX26" s="91"/>
      <c r="EY26" s="91"/>
      <c r="EZ26" s="91"/>
      <c r="FA26" s="91"/>
      <c r="FB26" s="91"/>
      <c r="FC26" s="91"/>
      <c r="FD26" s="91"/>
      <c r="FE26" s="91"/>
      <c r="FF26" s="91"/>
      <c r="FG26" s="91"/>
      <c r="FH26" s="91"/>
      <c r="FI26" s="91"/>
      <c r="FJ26" s="91"/>
      <c r="FK26" s="91"/>
      <c r="FL26" s="91"/>
      <c r="FM26" s="91"/>
      <c r="FN26" s="91"/>
      <c r="FO26" s="91"/>
      <c r="FP26" s="91"/>
      <c r="FQ26" s="91"/>
      <c r="FR26" s="91"/>
      <c r="FS26" s="91"/>
      <c r="FT26" s="91"/>
      <c r="FU26" s="91"/>
      <c r="FV26" s="91"/>
      <c r="FW26" s="91"/>
      <c r="FX26" s="91"/>
      <c r="FY26" s="91"/>
      <c r="FZ26" s="91"/>
      <c r="GA26" s="91"/>
      <c r="GB26" s="91"/>
      <c r="GC26" s="91"/>
      <c r="GD26" s="91"/>
      <c r="GE26" s="91"/>
      <c r="GF26" s="91"/>
      <c r="GG26" s="91"/>
      <c r="GH26" s="91"/>
      <c r="GI26" s="91"/>
      <c r="GJ26" s="91"/>
      <c r="GK26" s="91"/>
      <c r="GL26" s="91"/>
      <c r="GM26" s="91"/>
      <c r="GN26" s="91"/>
      <c r="GO26" s="91"/>
      <c r="GP26" s="91"/>
      <c r="GQ26" s="91"/>
      <c r="GR26" s="91"/>
    </row>
    <row r="27" spans="2:200" x14ac:dyDescent="0.15"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91"/>
      <c r="CF27" s="91"/>
      <c r="CG27" s="91"/>
      <c r="CH27" s="91"/>
      <c r="CI27" s="91"/>
      <c r="CJ27" s="91"/>
      <c r="CK27" s="91"/>
      <c r="CL27" s="91"/>
      <c r="CM27" s="91"/>
      <c r="CN27" s="91"/>
      <c r="CO27" s="91"/>
      <c r="CP27" s="91"/>
      <c r="CQ27" s="91"/>
      <c r="CR27" s="91"/>
      <c r="CS27" s="91"/>
      <c r="CT27" s="91"/>
      <c r="CU27" s="91"/>
      <c r="CV27" s="91"/>
      <c r="CW27" s="91"/>
      <c r="CX27" s="91"/>
      <c r="CY27" s="91"/>
      <c r="CZ27" s="91"/>
      <c r="DA27" s="91"/>
      <c r="DB27" s="91"/>
      <c r="DC27" s="91"/>
      <c r="DD27" s="91"/>
      <c r="DE27" s="91"/>
      <c r="DF27" s="91"/>
      <c r="DG27" s="91"/>
      <c r="DH27" s="91"/>
      <c r="DI27" s="91"/>
      <c r="DJ27" s="91"/>
      <c r="DK27" s="91"/>
      <c r="DL27" s="91"/>
      <c r="DM27" s="91"/>
      <c r="DN27" s="91"/>
      <c r="DO27" s="91"/>
      <c r="DP27" s="91"/>
      <c r="DQ27" s="91"/>
      <c r="DR27" s="91"/>
      <c r="DS27" s="91"/>
      <c r="DT27" s="91"/>
      <c r="DU27" s="91"/>
      <c r="DV27" s="91"/>
      <c r="DW27" s="91"/>
      <c r="DX27" s="91"/>
      <c r="DY27" s="91"/>
      <c r="DZ27" s="91"/>
      <c r="EA27" s="91"/>
      <c r="EB27" s="91"/>
      <c r="EC27" s="91"/>
      <c r="ED27" s="91"/>
      <c r="EE27" s="91"/>
      <c r="EF27" s="91"/>
      <c r="EG27" s="91"/>
      <c r="EH27" s="91"/>
      <c r="EI27" s="91"/>
      <c r="EJ27" s="91"/>
      <c r="EK27" s="91"/>
      <c r="EL27" s="91"/>
      <c r="EM27" s="91"/>
      <c r="EN27" s="91"/>
      <c r="EO27" s="91"/>
      <c r="EP27" s="91"/>
      <c r="EQ27" s="91"/>
      <c r="ER27" s="91"/>
      <c r="ES27" s="91"/>
      <c r="ET27" s="91"/>
      <c r="EU27" s="91"/>
      <c r="EV27" s="91"/>
      <c r="EW27" s="91"/>
      <c r="EX27" s="91"/>
      <c r="EY27" s="91"/>
      <c r="EZ27" s="91"/>
      <c r="FA27" s="91"/>
      <c r="FB27" s="91"/>
      <c r="FC27" s="91"/>
      <c r="FD27" s="91"/>
      <c r="FE27" s="91"/>
      <c r="FF27" s="91"/>
      <c r="FG27" s="91"/>
      <c r="FH27" s="91"/>
      <c r="FI27" s="91"/>
      <c r="FJ27" s="91"/>
      <c r="FK27" s="91"/>
      <c r="FL27" s="91"/>
      <c r="FM27" s="91"/>
      <c r="FN27" s="91"/>
      <c r="FO27" s="91"/>
      <c r="FP27" s="91"/>
      <c r="FQ27" s="91"/>
      <c r="FR27" s="91"/>
      <c r="FS27" s="91"/>
      <c r="FT27" s="91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</row>
    <row r="28" spans="2:200" x14ac:dyDescent="0.15"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1"/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91"/>
      <c r="CF28" s="91"/>
      <c r="CG28" s="91"/>
      <c r="CH28" s="91"/>
      <c r="CI28" s="91"/>
      <c r="CJ28" s="91"/>
      <c r="CK28" s="91"/>
      <c r="CL28" s="91"/>
      <c r="CM28" s="91"/>
      <c r="CN28" s="91"/>
      <c r="CO28" s="91"/>
      <c r="CP28" s="91"/>
      <c r="CQ28" s="91"/>
      <c r="CR28" s="91"/>
      <c r="CS28" s="91"/>
      <c r="CT28" s="91"/>
      <c r="CU28" s="91"/>
      <c r="CV28" s="91"/>
      <c r="CW28" s="91"/>
      <c r="CX28" s="91"/>
      <c r="CY28" s="91"/>
      <c r="CZ28" s="91"/>
      <c r="DA28" s="91"/>
      <c r="DB28" s="91"/>
      <c r="DC28" s="91"/>
      <c r="DD28" s="91"/>
      <c r="DE28" s="91"/>
      <c r="DF28" s="91"/>
      <c r="DG28" s="91"/>
      <c r="DH28" s="91"/>
      <c r="DI28" s="91"/>
      <c r="DJ28" s="91"/>
      <c r="DK28" s="91"/>
      <c r="DL28" s="91"/>
      <c r="DM28" s="91"/>
      <c r="DN28" s="91"/>
      <c r="DO28" s="91"/>
      <c r="DP28" s="91"/>
      <c r="DQ28" s="91"/>
      <c r="DR28" s="91"/>
      <c r="DS28" s="91"/>
      <c r="DT28" s="91"/>
      <c r="DU28" s="91"/>
      <c r="DV28" s="91"/>
      <c r="DW28" s="91"/>
      <c r="DX28" s="91"/>
      <c r="DY28" s="91"/>
      <c r="DZ28" s="91"/>
      <c r="EA28" s="91"/>
      <c r="EB28" s="91"/>
      <c r="EC28" s="91"/>
      <c r="ED28" s="91"/>
      <c r="EE28" s="91"/>
      <c r="EF28" s="91"/>
      <c r="EG28" s="91"/>
      <c r="EH28" s="91"/>
      <c r="EI28" s="91"/>
      <c r="EJ28" s="91"/>
      <c r="EK28" s="91"/>
      <c r="EL28" s="91"/>
      <c r="EM28" s="91"/>
      <c r="EN28" s="91"/>
      <c r="EO28" s="91"/>
      <c r="EP28" s="91"/>
      <c r="EQ28" s="91"/>
      <c r="ER28" s="91"/>
      <c r="ES28" s="91"/>
      <c r="ET28" s="91"/>
      <c r="EU28" s="91"/>
      <c r="EV28" s="91"/>
      <c r="EW28" s="91"/>
      <c r="EX28" s="91"/>
      <c r="EY28" s="91"/>
      <c r="EZ28" s="91"/>
      <c r="FA28" s="91"/>
      <c r="FB28" s="91"/>
      <c r="FC28" s="91"/>
      <c r="FD28" s="91"/>
      <c r="FE28" s="91"/>
      <c r="FF28" s="91"/>
      <c r="FG28" s="91"/>
      <c r="FH28" s="91"/>
      <c r="FI28" s="91"/>
      <c r="FJ28" s="91"/>
      <c r="FK28" s="91"/>
      <c r="FL28" s="91"/>
      <c r="FM28" s="91"/>
      <c r="FN28" s="91"/>
      <c r="FO28" s="91"/>
      <c r="FP28" s="91"/>
      <c r="FQ28" s="91"/>
      <c r="FR28" s="91"/>
      <c r="FS28" s="91"/>
      <c r="FT28" s="91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</row>
    <row r="29" spans="2:200" x14ac:dyDescent="0.15"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/>
      <c r="AJ29" s="91"/>
      <c r="AK29" s="91"/>
      <c r="AL29" s="91"/>
      <c r="AM29" s="91"/>
      <c r="AN29" s="91"/>
      <c r="AO29" s="91"/>
      <c r="AP29" s="91"/>
      <c r="AQ29" s="91"/>
      <c r="AR29" s="91"/>
      <c r="AS29" s="91"/>
      <c r="AT29" s="91"/>
      <c r="AU29" s="91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91"/>
      <c r="CF29" s="91"/>
      <c r="CG29" s="91"/>
      <c r="CH29" s="91"/>
      <c r="CI29" s="91"/>
      <c r="CJ29" s="91"/>
      <c r="CK29" s="91"/>
      <c r="CL29" s="91"/>
      <c r="CM29" s="91"/>
      <c r="CN29" s="91"/>
      <c r="CO29" s="91"/>
      <c r="CP29" s="91"/>
      <c r="CQ29" s="91"/>
      <c r="CR29" s="91"/>
      <c r="CS29" s="91"/>
      <c r="CT29" s="91"/>
      <c r="CU29" s="91"/>
      <c r="CV29" s="91"/>
      <c r="CW29" s="91"/>
      <c r="CX29" s="91"/>
      <c r="CY29" s="91"/>
      <c r="CZ29" s="91"/>
      <c r="DA29" s="91"/>
      <c r="DB29" s="91"/>
      <c r="DC29" s="91"/>
      <c r="DD29" s="91"/>
      <c r="DE29" s="91"/>
      <c r="DF29" s="91"/>
      <c r="DG29" s="91"/>
      <c r="DH29" s="91"/>
      <c r="DI29" s="91"/>
      <c r="DJ29" s="91"/>
      <c r="DK29" s="91"/>
      <c r="DL29" s="91"/>
      <c r="DM29" s="91"/>
      <c r="DN29" s="91"/>
      <c r="DO29" s="91"/>
      <c r="DP29" s="91"/>
      <c r="DQ29" s="91"/>
      <c r="DR29" s="91"/>
      <c r="DS29" s="91"/>
      <c r="DT29" s="91"/>
      <c r="DU29" s="91"/>
      <c r="DV29" s="91"/>
      <c r="DW29" s="91"/>
      <c r="DX29" s="91"/>
      <c r="DY29" s="91"/>
      <c r="DZ29" s="91"/>
      <c r="EA29" s="91"/>
      <c r="EB29" s="91"/>
      <c r="EC29" s="91"/>
      <c r="ED29" s="91"/>
      <c r="EE29" s="91"/>
      <c r="EF29" s="91"/>
      <c r="EG29" s="91"/>
      <c r="EH29" s="91"/>
      <c r="EI29" s="91"/>
      <c r="EJ29" s="91"/>
      <c r="EK29" s="91"/>
      <c r="EL29" s="91"/>
      <c r="EM29" s="91"/>
      <c r="EN29" s="91"/>
      <c r="EO29" s="91"/>
      <c r="EP29" s="91"/>
      <c r="EQ29" s="91"/>
      <c r="ER29" s="91"/>
      <c r="ES29" s="91"/>
      <c r="ET29" s="91"/>
      <c r="EU29" s="91"/>
      <c r="EV29" s="91"/>
      <c r="EW29" s="91"/>
      <c r="EX29" s="91"/>
      <c r="EY29" s="91"/>
      <c r="EZ29" s="91"/>
      <c r="FA29" s="91"/>
      <c r="FB29" s="91"/>
      <c r="FC29" s="91"/>
      <c r="FD29" s="91"/>
      <c r="FE29" s="91"/>
      <c r="FF29" s="91"/>
      <c r="FG29" s="91"/>
      <c r="FH29" s="91"/>
      <c r="FI29" s="91"/>
      <c r="FJ29" s="91"/>
      <c r="FK29" s="91"/>
      <c r="FL29" s="91"/>
      <c r="FM29" s="91"/>
      <c r="FN29" s="91"/>
      <c r="FO29" s="91"/>
      <c r="FP29" s="91"/>
      <c r="FQ29" s="91"/>
      <c r="FR29" s="91"/>
      <c r="FS29" s="91"/>
      <c r="FT29" s="91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</row>
    <row r="30" spans="2:200" x14ac:dyDescent="0.15"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  <c r="AG30" s="91"/>
      <c r="AH30" s="91"/>
      <c r="AI30" s="91"/>
      <c r="AJ30" s="91"/>
      <c r="AK30" s="91"/>
      <c r="AL30" s="91"/>
      <c r="AM30" s="91"/>
      <c r="AN30" s="91"/>
      <c r="AO30" s="91"/>
      <c r="AP30" s="91"/>
      <c r="AQ30" s="91"/>
      <c r="AR30" s="91"/>
      <c r="AS30" s="91"/>
      <c r="AT30" s="91"/>
      <c r="AU30" s="91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91"/>
      <c r="CF30" s="91"/>
      <c r="CG30" s="91"/>
      <c r="CH30" s="91"/>
      <c r="CI30" s="91"/>
      <c r="CJ30" s="91"/>
      <c r="CK30" s="91"/>
      <c r="CL30" s="91"/>
      <c r="CM30" s="91"/>
      <c r="CN30" s="91"/>
      <c r="CO30" s="91"/>
      <c r="CP30" s="91"/>
      <c r="CQ30" s="91"/>
      <c r="CR30" s="91"/>
      <c r="CS30" s="91"/>
      <c r="CT30" s="91"/>
      <c r="CU30" s="91"/>
      <c r="CV30" s="91"/>
      <c r="CW30" s="91"/>
      <c r="CX30" s="91"/>
      <c r="CY30" s="91"/>
      <c r="CZ30" s="91"/>
      <c r="DA30" s="91"/>
      <c r="DB30" s="91"/>
      <c r="DC30" s="91"/>
      <c r="DD30" s="91"/>
      <c r="DE30" s="91"/>
      <c r="DF30" s="91"/>
      <c r="DG30" s="91"/>
      <c r="DH30" s="91"/>
      <c r="DI30" s="91"/>
      <c r="DJ30" s="91"/>
      <c r="DK30" s="91"/>
      <c r="DL30" s="91"/>
      <c r="DM30" s="91"/>
      <c r="DN30" s="91"/>
      <c r="DO30" s="91"/>
      <c r="DP30" s="91"/>
      <c r="DQ30" s="91"/>
      <c r="DR30" s="91"/>
      <c r="DS30" s="91"/>
      <c r="DT30" s="91"/>
      <c r="DU30" s="91"/>
      <c r="DV30" s="91"/>
      <c r="DW30" s="91"/>
      <c r="DX30" s="91"/>
      <c r="DY30" s="91"/>
      <c r="DZ30" s="91"/>
      <c r="EA30" s="91"/>
      <c r="EB30" s="91"/>
      <c r="EC30" s="91"/>
      <c r="ED30" s="91"/>
      <c r="EE30" s="91"/>
      <c r="EF30" s="91"/>
      <c r="EG30" s="91"/>
      <c r="EH30" s="91"/>
      <c r="EI30" s="91"/>
      <c r="EJ30" s="91"/>
      <c r="EK30" s="91"/>
      <c r="EL30" s="91"/>
      <c r="EM30" s="91"/>
      <c r="EN30" s="91"/>
      <c r="EO30" s="91"/>
      <c r="EP30" s="91"/>
      <c r="EQ30" s="91"/>
      <c r="ER30" s="91"/>
      <c r="ES30" s="91"/>
      <c r="ET30" s="91"/>
      <c r="EU30" s="91"/>
      <c r="EV30" s="91"/>
      <c r="EW30" s="91"/>
      <c r="EX30" s="91"/>
      <c r="EY30" s="91"/>
      <c r="EZ30" s="91"/>
      <c r="FA30" s="91"/>
      <c r="FB30" s="91"/>
      <c r="FC30" s="91"/>
      <c r="FD30" s="91"/>
      <c r="FE30" s="91"/>
      <c r="FF30" s="91"/>
      <c r="FG30" s="91"/>
      <c r="FH30" s="91"/>
      <c r="FI30" s="91"/>
      <c r="FJ30" s="91"/>
      <c r="FK30" s="91"/>
      <c r="FL30" s="91"/>
      <c r="FM30" s="91"/>
      <c r="FN30" s="91"/>
      <c r="FO30" s="91"/>
      <c r="FP30" s="91"/>
      <c r="FQ30" s="91"/>
      <c r="FR30" s="91"/>
      <c r="FS30" s="91"/>
      <c r="FT30" s="91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</row>
    <row r="31" spans="2:200" x14ac:dyDescent="0.15"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H31" s="91"/>
      <c r="AI31" s="91"/>
      <c r="AJ31" s="91"/>
      <c r="AK31" s="91"/>
      <c r="AL31" s="91"/>
      <c r="AM31" s="91"/>
      <c r="AN31" s="91"/>
      <c r="AO31" s="91"/>
      <c r="AP31" s="91"/>
      <c r="AQ31" s="91"/>
      <c r="AR31" s="91"/>
      <c r="AS31" s="91"/>
      <c r="AT31" s="91"/>
      <c r="AU31" s="91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91"/>
      <c r="CF31" s="91"/>
      <c r="CG31" s="91"/>
      <c r="CH31" s="91"/>
      <c r="CI31" s="91"/>
      <c r="CJ31" s="91"/>
      <c r="CK31" s="91"/>
      <c r="CL31" s="91"/>
      <c r="CM31" s="91"/>
      <c r="CN31" s="91"/>
      <c r="CO31" s="91"/>
      <c r="CP31" s="91"/>
      <c r="CQ31" s="91"/>
      <c r="CR31" s="91"/>
      <c r="CS31" s="91"/>
      <c r="CT31" s="91"/>
      <c r="CU31" s="91"/>
      <c r="CV31" s="91"/>
      <c r="CW31" s="91"/>
      <c r="CX31" s="91"/>
      <c r="CY31" s="91"/>
      <c r="CZ31" s="91"/>
      <c r="DA31" s="91"/>
      <c r="DB31" s="91"/>
      <c r="DC31" s="91"/>
      <c r="DD31" s="91"/>
      <c r="DE31" s="91"/>
      <c r="DF31" s="91"/>
      <c r="DG31" s="91"/>
      <c r="DH31" s="91"/>
      <c r="DI31" s="91"/>
      <c r="DJ31" s="91"/>
      <c r="DK31" s="91"/>
      <c r="DL31" s="91"/>
      <c r="DM31" s="91"/>
      <c r="DN31" s="91"/>
      <c r="DO31" s="91"/>
      <c r="DP31" s="91"/>
      <c r="DQ31" s="91"/>
      <c r="DR31" s="91"/>
      <c r="DS31" s="91"/>
      <c r="DT31" s="91"/>
      <c r="DU31" s="91"/>
      <c r="DV31" s="91"/>
      <c r="DW31" s="91"/>
      <c r="DX31" s="91"/>
      <c r="DY31" s="91"/>
      <c r="DZ31" s="91"/>
      <c r="EA31" s="91"/>
      <c r="EB31" s="91"/>
      <c r="EC31" s="91"/>
      <c r="ED31" s="91"/>
      <c r="EE31" s="91"/>
      <c r="EF31" s="91"/>
      <c r="EG31" s="91"/>
      <c r="EH31" s="91"/>
      <c r="EI31" s="91"/>
      <c r="EJ31" s="91"/>
      <c r="EK31" s="91"/>
      <c r="EL31" s="91"/>
      <c r="EM31" s="91"/>
      <c r="EN31" s="91"/>
      <c r="EO31" s="91"/>
      <c r="EP31" s="91"/>
      <c r="EQ31" s="91"/>
      <c r="ER31" s="91"/>
      <c r="ES31" s="91"/>
      <c r="ET31" s="91"/>
      <c r="EU31" s="91"/>
      <c r="EV31" s="91"/>
      <c r="EW31" s="91"/>
      <c r="EX31" s="91"/>
      <c r="EY31" s="91"/>
      <c r="EZ31" s="91"/>
      <c r="FA31" s="91"/>
      <c r="FB31" s="91"/>
      <c r="FC31" s="91"/>
      <c r="FD31" s="91"/>
      <c r="FE31" s="91"/>
      <c r="FF31" s="91"/>
      <c r="FG31" s="91"/>
      <c r="FH31" s="91"/>
      <c r="FI31" s="91"/>
      <c r="FJ31" s="91"/>
      <c r="FK31" s="91"/>
      <c r="FL31" s="91"/>
      <c r="FM31" s="91"/>
      <c r="FN31" s="91"/>
      <c r="FO31" s="91"/>
      <c r="FP31" s="91"/>
      <c r="FQ31" s="91"/>
      <c r="FR31" s="91"/>
      <c r="FS31" s="91"/>
      <c r="FT31" s="91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</row>
    <row r="32" spans="2:200" x14ac:dyDescent="0.15"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  <c r="AJ32" s="91"/>
      <c r="AK32" s="91"/>
      <c r="AL32" s="91"/>
      <c r="AM32" s="91"/>
      <c r="AN32" s="91"/>
      <c r="AO32" s="91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91"/>
      <c r="BI32" s="91"/>
      <c r="BJ32" s="91"/>
      <c r="BK32" s="91"/>
      <c r="BL32" s="91"/>
      <c r="BM32" s="91"/>
      <c r="BN32" s="91"/>
      <c r="BO32" s="91"/>
      <c r="BP32" s="91"/>
      <c r="BQ32" s="91"/>
      <c r="BR32" s="91"/>
      <c r="BS32" s="91"/>
      <c r="BT32" s="91"/>
      <c r="BU32" s="91"/>
      <c r="BV32" s="91"/>
      <c r="BW32" s="91"/>
      <c r="BX32" s="91"/>
      <c r="BY32" s="91"/>
      <c r="BZ32" s="91"/>
      <c r="CA32" s="91"/>
      <c r="CB32" s="91"/>
      <c r="CC32" s="91"/>
      <c r="CD32" s="91"/>
      <c r="CE32" s="91"/>
      <c r="CF32" s="91"/>
      <c r="CG32" s="91"/>
      <c r="CH32" s="91"/>
      <c r="CI32" s="91"/>
      <c r="CJ32" s="91"/>
      <c r="CK32" s="91"/>
      <c r="CL32" s="91"/>
      <c r="CM32" s="91"/>
      <c r="CN32" s="91"/>
      <c r="CO32" s="91"/>
      <c r="CP32" s="91"/>
      <c r="CQ32" s="91"/>
      <c r="CR32" s="91"/>
      <c r="CS32" s="91"/>
      <c r="CT32" s="91"/>
      <c r="CU32" s="91"/>
      <c r="CV32" s="91"/>
      <c r="CW32" s="91"/>
      <c r="CX32" s="91"/>
      <c r="CY32" s="91"/>
      <c r="CZ32" s="91"/>
      <c r="DA32" s="91"/>
      <c r="DB32" s="91"/>
      <c r="DC32" s="91"/>
      <c r="DD32" s="91"/>
      <c r="DE32" s="91"/>
      <c r="DF32" s="91"/>
      <c r="DG32" s="91"/>
      <c r="DH32" s="91"/>
      <c r="DI32" s="91"/>
      <c r="DJ32" s="91"/>
      <c r="DK32" s="91"/>
      <c r="DL32" s="91"/>
      <c r="DM32" s="91"/>
      <c r="DN32" s="91"/>
      <c r="DO32" s="91"/>
      <c r="DP32" s="91"/>
      <c r="DQ32" s="91"/>
      <c r="DR32" s="91"/>
      <c r="DS32" s="91"/>
      <c r="DT32" s="91"/>
      <c r="DU32" s="91"/>
      <c r="DV32" s="91"/>
      <c r="DW32" s="91"/>
      <c r="DX32" s="91"/>
      <c r="DY32" s="91"/>
      <c r="DZ32" s="91"/>
      <c r="EA32" s="91"/>
      <c r="EB32" s="91"/>
      <c r="EC32" s="91"/>
      <c r="ED32" s="91"/>
      <c r="EE32" s="91"/>
      <c r="EF32" s="91"/>
      <c r="EG32" s="91"/>
      <c r="EH32" s="91"/>
      <c r="EI32" s="91"/>
      <c r="EJ32" s="91"/>
      <c r="EK32" s="91"/>
      <c r="EL32" s="91"/>
      <c r="EM32" s="91"/>
      <c r="EN32" s="91"/>
      <c r="EO32" s="91"/>
      <c r="EP32" s="91"/>
      <c r="EQ32" s="91"/>
      <c r="ER32" s="91"/>
      <c r="ES32" s="91"/>
      <c r="ET32" s="91"/>
      <c r="EU32" s="91"/>
      <c r="EV32" s="91"/>
      <c r="EW32" s="91"/>
      <c r="EX32" s="91"/>
      <c r="EY32" s="91"/>
      <c r="EZ32" s="91"/>
      <c r="FA32" s="91"/>
      <c r="FB32" s="91"/>
      <c r="FC32" s="91"/>
      <c r="FD32" s="91"/>
      <c r="FE32" s="91"/>
      <c r="FF32" s="91"/>
      <c r="FG32" s="91"/>
      <c r="FH32" s="91"/>
      <c r="FI32" s="91"/>
      <c r="FJ32" s="91"/>
      <c r="FK32" s="91"/>
      <c r="FL32" s="91"/>
      <c r="FM32" s="91"/>
      <c r="FN32" s="91"/>
      <c r="FO32" s="91"/>
      <c r="FP32" s="91"/>
      <c r="FQ32" s="91"/>
      <c r="FR32" s="91"/>
      <c r="FS32" s="91"/>
      <c r="FT32" s="91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</row>
    <row r="33" spans="2:200" x14ac:dyDescent="0.15"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91"/>
      <c r="AL33" s="91"/>
      <c r="AM33" s="91"/>
      <c r="AN33" s="91"/>
      <c r="AO33" s="91"/>
      <c r="AP33" s="91"/>
      <c r="AQ33" s="91"/>
      <c r="AR33" s="91"/>
      <c r="AS33" s="91"/>
      <c r="AT33" s="91"/>
      <c r="AU33" s="91"/>
      <c r="AV33" s="91"/>
      <c r="AW33" s="91"/>
      <c r="AX33" s="91"/>
      <c r="AY33" s="91"/>
      <c r="AZ33" s="91"/>
      <c r="BA33" s="91"/>
      <c r="BB33" s="91"/>
      <c r="BC33" s="91"/>
      <c r="BD33" s="91"/>
      <c r="BE33" s="91"/>
      <c r="BF33" s="91"/>
      <c r="BG33" s="91"/>
      <c r="BH33" s="91"/>
      <c r="BI33" s="91"/>
      <c r="BJ33" s="91"/>
      <c r="BK33" s="91"/>
      <c r="BL33" s="91"/>
      <c r="BM33" s="91"/>
      <c r="BN33" s="91"/>
      <c r="BO33" s="91"/>
      <c r="BP33" s="91"/>
      <c r="BQ33" s="91"/>
      <c r="BR33" s="91"/>
      <c r="BS33" s="91"/>
      <c r="BT33" s="91"/>
      <c r="BU33" s="91"/>
      <c r="BV33" s="91"/>
      <c r="BW33" s="91"/>
      <c r="BX33" s="91"/>
      <c r="BY33" s="91"/>
      <c r="BZ33" s="91"/>
      <c r="CA33" s="91"/>
      <c r="CB33" s="91"/>
      <c r="CC33" s="91"/>
      <c r="CD33" s="91"/>
      <c r="CE33" s="91"/>
      <c r="CF33" s="91"/>
      <c r="CG33" s="91"/>
      <c r="CH33" s="91"/>
      <c r="CI33" s="91"/>
      <c r="CJ33" s="91"/>
      <c r="CK33" s="91"/>
      <c r="CL33" s="91"/>
      <c r="CM33" s="91"/>
      <c r="CN33" s="91"/>
      <c r="CO33" s="91"/>
      <c r="CP33" s="91"/>
      <c r="CQ33" s="91"/>
      <c r="CR33" s="91"/>
      <c r="CS33" s="91"/>
      <c r="CT33" s="91"/>
      <c r="CU33" s="91"/>
      <c r="CV33" s="91"/>
      <c r="CW33" s="91"/>
      <c r="CX33" s="91"/>
      <c r="CY33" s="91"/>
      <c r="CZ33" s="91"/>
      <c r="DA33" s="91"/>
      <c r="DB33" s="91"/>
      <c r="DC33" s="91"/>
      <c r="DD33" s="91"/>
      <c r="DE33" s="91"/>
      <c r="DF33" s="91"/>
      <c r="DG33" s="91"/>
      <c r="DH33" s="91"/>
      <c r="DI33" s="91"/>
      <c r="DJ33" s="91"/>
      <c r="DK33" s="91"/>
      <c r="DL33" s="91"/>
      <c r="DM33" s="91"/>
      <c r="DN33" s="91"/>
      <c r="DO33" s="91"/>
      <c r="DP33" s="91"/>
      <c r="DQ33" s="91"/>
      <c r="DR33" s="91"/>
      <c r="DS33" s="91"/>
      <c r="DT33" s="91"/>
      <c r="DU33" s="91"/>
      <c r="DV33" s="91"/>
      <c r="DW33" s="91"/>
      <c r="DX33" s="91"/>
      <c r="DY33" s="91"/>
      <c r="DZ33" s="91"/>
      <c r="EA33" s="91"/>
      <c r="EB33" s="91"/>
      <c r="EC33" s="91"/>
      <c r="ED33" s="91"/>
      <c r="EE33" s="91"/>
      <c r="EF33" s="91"/>
      <c r="EG33" s="91"/>
      <c r="EH33" s="91"/>
      <c r="EI33" s="91"/>
      <c r="EJ33" s="91"/>
      <c r="EK33" s="91"/>
      <c r="EL33" s="91"/>
      <c r="EM33" s="91"/>
      <c r="EN33" s="91"/>
      <c r="EO33" s="91"/>
      <c r="EP33" s="91"/>
      <c r="EQ33" s="91"/>
      <c r="ER33" s="91"/>
      <c r="ES33" s="91"/>
      <c r="ET33" s="91"/>
      <c r="EU33" s="91"/>
      <c r="EV33" s="91"/>
      <c r="EW33" s="91"/>
      <c r="EX33" s="91"/>
      <c r="EY33" s="91"/>
      <c r="EZ33" s="91"/>
      <c r="FA33" s="91"/>
      <c r="FB33" s="91"/>
      <c r="FC33" s="91"/>
      <c r="FD33" s="91"/>
      <c r="FE33" s="91"/>
      <c r="FF33" s="91"/>
      <c r="FG33" s="91"/>
      <c r="FH33" s="91"/>
      <c r="FI33" s="91"/>
      <c r="FJ33" s="91"/>
      <c r="FK33" s="91"/>
      <c r="FL33" s="91"/>
      <c r="FM33" s="91"/>
      <c r="FN33" s="91"/>
      <c r="FO33" s="91"/>
      <c r="FP33" s="91"/>
      <c r="FQ33" s="91"/>
      <c r="FR33" s="91"/>
      <c r="FS33" s="91"/>
      <c r="FT33" s="91"/>
      <c r="FU33" s="91"/>
      <c r="FV33" s="91"/>
      <c r="FW33" s="91"/>
      <c r="FX33" s="91"/>
      <c r="FY33" s="91"/>
      <c r="FZ33" s="91"/>
      <c r="GA33" s="91"/>
      <c r="GB33" s="91"/>
      <c r="GC33" s="91"/>
      <c r="GD33" s="91"/>
      <c r="GE33" s="91"/>
      <c r="GF33" s="91"/>
      <c r="GG33" s="91"/>
      <c r="GH33" s="91"/>
      <c r="GI33" s="91"/>
      <c r="GJ33" s="91"/>
      <c r="GK33" s="91"/>
      <c r="GL33" s="91"/>
      <c r="GM33" s="91"/>
      <c r="GN33" s="91"/>
      <c r="GO33" s="91"/>
      <c r="GP33" s="91"/>
      <c r="GQ33" s="91"/>
      <c r="GR33" s="91"/>
    </row>
    <row r="34" spans="2:200" x14ac:dyDescent="0.15">
      <c r="B34" s="91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91"/>
      <c r="AN34" s="91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1"/>
      <c r="AZ34" s="91"/>
      <c r="BA34" s="91"/>
      <c r="BB34" s="91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91"/>
      <c r="BN34" s="91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1"/>
      <c r="BZ34" s="91"/>
      <c r="CA34" s="91"/>
      <c r="CB34" s="91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91"/>
      <c r="CN34" s="91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1"/>
      <c r="CZ34" s="91"/>
      <c r="DA34" s="91"/>
      <c r="DB34" s="91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91"/>
      <c r="EN34" s="91"/>
      <c r="EO34" s="91"/>
      <c r="EP34" s="91"/>
      <c r="EQ34" s="91"/>
      <c r="ER34" s="91"/>
      <c r="ES34" s="91"/>
      <c r="ET34" s="91"/>
      <c r="EU34" s="91"/>
      <c r="EV34" s="91"/>
      <c r="EW34" s="91"/>
      <c r="EX34" s="91"/>
      <c r="EY34" s="91"/>
      <c r="EZ34" s="91"/>
      <c r="FA34" s="91"/>
      <c r="FB34" s="91"/>
      <c r="FC34" s="91"/>
      <c r="FD34" s="91"/>
      <c r="FE34" s="91"/>
      <c r="FF34" s="91"/>
      <c r="FG34" s="91"/>
      <c r="FH34" s="91"/>
      <c r="FI34" s="91"/>
      <c r="FJ34" s="91"/>
      <c r="FK34" s="91"/>
      <c r="FL34" s="91"/>
      <c r="FM34" s="91"/>
      <c r="FN34" s="91"/>
      <c r="FO34" s="91"/>
      <c r="FP34" s="91"/>
      <c r="FQ34" s="91"/>
      <c r="FR34" s="91"/>
      <c r="FS34" s="91"/>
      <c r="FT34" s="91"/>
      <c r="FU34" s="91"/>
      <c r="FV34" s="91"/>
      <c r="FW34" s="91"/>
      <c r="FX34" s="91"/>
      <c r="FY34" s="91"/>
      <c r="FZ34" s="91"/>
      <c r="GA34" s="91"/>
      <c r="GB34" s="91"/>
      <c r="GC34" s="91"/>
      <c r="GD34" s="91"/>
      <c r="GE34" s="91"/>
      <c r="GF34" s="91"/>
      <c r="GG34" s="91"/>
      <c r="GH34" s="91"/>
      <c r="GI34" s="91"/>
      <c r="GJ34" s="91"/>
      <c r="GK34" s="91"/>
      <c r="GL34" s="91"/>
      <c r="GM34" s="91"/>
      <c r="GN34" s="91"/>
      <c r="GO34" s="91"/>
      <c r="GP34" s="91"/>
      <c r="GQ34" s="91"/>
      <c r="GR34" s="91"/>
    </row>
    <row r="35" spans="2:200" x14ac:dyDescent="0.15"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1"/>
      <c r="AO35" s="91"/>
      <c r="AP35" s="91"/>
      <c r="AQ35" s="91"/>
      <c r="AR35" s="91"/>
      <c r="AS35" s="91"/>
      <c r="AT35" s="91"/>
      <c r="AU35" s="91"/>
      <c r="AV35" s="91"/>
      <c r="AW35" s="91"/>
      <c r="AX35" s="91"/>
      <c r="AY35" s="91"/>
      <c r="AZ35" s="91"/>
      <c r="BA35" s="91"/>
      <c r="BB35" s="91"/>
      <c r="BC35" s="91"/>
      <c r="BD35" s="91"/>
      <c r="BE35" s="91"/>
      <c r="BF35" s="91"/>
      <c r="BG35" s="91"/>
      <c r="BH35" s="91"/>
      <c r="BI35" s="91"/>
      <c r="BJ35" s="91"/>
      <c r="BK35" s="91"/>
      <c r="BL35" s="91"/>
      <c r="BM35" s="91"/>
      <c r="BN35" s="91"/>
      <c r="BO35" s="91"/>
      <c r="BP35" s="91"/>
      <c r="BQ35" s="91"/>
      <c r="BR35" s="91"/>
      <c r="BS35" s="91"/>
      <c r="BT35" s="91"/>
      <c r="BU35" s="91"/>
      <c r="BV35" s="91"/>
      <c r="BW35" s="91"/>
      <c r="BX35" s="91"/>
      <c r="BY35" s="91"/>
      <c r="BZ35" s="91"/>
      <c r="CA35" s="91"/>
      <c r="CB35" s="91"/>
      <c r="CC35" s="91"/>
      <c r="CD35" s="91"/>
      <c r="CE35" s="91"/>
      <c r="CF35" s="91"/>
      <c r="CG35" s="91"/>
      <c r="CH35" s="91"/>
      <c r="CI35" s="91"/>
      <c r="CJ35" s="91"/>
      <c r="CK35" s="91"/>
      <c r="CL35" s="91"/>
      <c r="CM35" s="91"/>
      <c r="CN35" s="91"/>
      <c r="CO35" s="91"/>
      <c r="CP35" s="91"/>
      <c r="CQ35" s="91"/>
      <c r="CR35" s="91"/>
      <c r="CS35" s="91"/>
      <c r="CT35" s="91"/>
      <c r="CU35" s="91"/>
      <c r="CV35" s="91"/>
      <c r="CW35" s="91"/>
      <c r="CX35" s="91"/>
      <c r="CY35" s="91"/>
      <c r="CZ35" s="91"/>
      <c r="DA35" s="91"/>
      <c r="DB35" s="91"/>
      <c r="DC35" s="91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  <c r="EH35" s="91"/>
      <c r="EI35" s="91"/>
      <c r="EJ35" s="91"/>
      <c r="EK35" s="91"/>
      <c r="EL35" s="91"/>
      <c r="EM35" s="91"/>
      <c r="EN35" s="91"/>
      <c r="EO35" s="91"/>
      <c r="EP35" s="91"/>
      <c r="EQ35" s="91"/>
      <c r="ER35" s="91"/>
      <c r="ES35" s="91"/>
      <c r="ET35" s="91"/>
      <c r="EU35" s="91"/>
      <c r="EV35" s="91"/>
      <c r="EW35" s="91"/>
      <c r="EX35" s="91"/>
      <c r="EY35" s="91"/>
      <c r="EZ35" s="91"/>
      <c r="FA35" s="91"/>
      <c r="FB35" s="91"/>
      <c r="FC35" s="91"/>
      <c r="FD35" s="91"/>
      <c r="FE35" s="91"/>
      <c r="FF35" s="91"/>
      <c r="FG35" s="91"/>
      <c r="FH35" s="91"/>
      <c r="FI35" s="91"/>
      <c r="FJ35" s="91"/>
      <c r="FK35" s="91"/>
      <c r="FL35" s="91"/>
      <c r="FM35" s="91"/>
      <c r="FN35" s="91"/>
      <c r="FO35" s="91"/>
      <c r="FP35" s="91"/>
      <c r="FQ35" s="91"/>
      <c r="FR35" s="91"/>
      <c r="FS35" s="91"/>
      <c r="FT35" s="91"/>
      <c r="FU35" s="91"/>
      <c r="FV35" s="91"/>
      <c r="FW35" s="91"/>
      <c r="FX35" s="91"/>
      <c r="FY35" s="91"/>
      <c r="FZ35" s="91"/>
      <c r="GA35" s="91"/>
      <c r="GB35" s="91"/>
      <c r="GC35" s="91"/>
      <c r="GD35" s="91"/>
      <c r="GE35" s="91"/>
      <c r="GF35" s="91"/>
      <c r="GG35" s="91"/>
      <c r="GH35" s="91"/>
      <c r="GI35" s="91"/>
      <c r="GJ35" s="91"/>
      <c r="GK35" s="91"/>
      <c r="GL35" s="91"/>
      <c r="GM35" s="91"/>
      <c r="GN35" s="91"/>
      <c r="GO35" s="91"/>
      <c r="GP35" s="91"/>
      <c r="GQ35" s="91"/>
      <c r="GR35" s="91"/>
    </row>
    <row r="36" spans="2:200" x14ac:dyDescent="0.15">
      <c r="B36" s="91"/>
      <c r="C36" s="91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91"/>
      <c r="AJ36" s="91"/>
      <c r="AK36" s="91"/>
      <c r="AL36" s="91"/>
      <c r="AM36" s="91"/>
      <c r="AN36" s="91"/>
      <c r="AO36" s="91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91"/>
      <c r="BI36" s="91"/>
      <c r="BJ36" s="91"/>
      <c r="BK36" s="91"/>
      <c r="BL36" s="91"/>
      <c r="BM36" s="91"/>
      <c r="BN36" s="91"/>
      <c r="BO36" s="91"/>
      <c r="BP36" s="91"/>
      <c r="BQ36" s="91"/>
      <c r="BR36" s="91"/>
      <c r="BS36" s="91"/>
      <c r="BT36" s="91"/>
      <c r="BU36" s="91"/>
      <c r="BV36" s="91"/>
      <c r="BW36" s="91"/>
      <c r="BX36" s="91"/>
      <c r="BY36" s="91"/>
      <c r="BZ36" s="91"/>
      <c r="CA36" s="91"/>
      <c r="CB36" s="91"/>
      <c r="CC36" s="91"/>
      <c r="CD36" s="91"/>
      <c r="CE36" s="91"/>
      <c r="CF36" s="91"/>
      <c r="CG36" s="91"/>
      <c r="CH36" s="91"/>
      <c r="CI36" s="91"/>
      <c r="CJ36" s="91"/>
      <c r="CK36" s="91"/>
      <c r="CL36" s="91"/>
      <c r="CM36" s="91"/>
      <c r="CN36" s="91"/>
      <c r="CO36" s="91"/>
      <c r="CP36" s="91"/>
      <c r="CQ36" s="91"/>
      <c r="CR36" s="91"/>
      <c r="CS36" s="91"/>
      <c r="CT36" s="91"/>
      <c r="CU36" s="91"/>
      <c r="CV36" s="91"/>
      <c r="CW36" s="91"/>
      <c r="CX36" s="91"/>
      <c r="CY36" s="91"/>
      <c r="CZ36" s="91"/>
      <c r="DA36" s="91"/>
      <c r="DB36" s="91"/>
      <c r="DC36" s="91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  <c r="EH36" s="91"/>
      <c r="EI36" s="91"/>
      <c r="EJ36" s="91"/>
      <c r="EK36" s="91"/>
      <c r="EL36" s="91"/>
      <c r="EM36" s="91"/>
      <c r="EN36" s="91"/>
      <c r="EO36" s="91"/>
      <c r="EP36" s="91"/>
      <c r="EQ36" s="91"/>
      <c r="ER36" s="91"/>
      <c r="ES36" s="91"/>
      <c r="ET36" s="91"/>
      <c r="EU36" s="91"/>
      <c r="EV36" s="91"/>
      <c r="EW36" s="91"/>
      <c r="EX36" s="91"/>
      <c r="EY36" s="91"/>
      <c r="EZ36" s="91"/>
      <c r="FA36" s="91"/>
      <c r="FB36" s="91"/>
      <c r="FC36" s="91"/>
      <c r="FD36" s="91"/>
      <c r="FE36" s="91"/>
      <c r="FF36" s="91"/>
      <c r="FG36" s="91"/>
      <c r="FH36" s="91"/>
      <c r="FI36" s="91"/>
      <c r="FJ36" s="91"/>
      <c r="FK36" s="91"/>
      <c r="FL36" s="91"/>
      <c r="FM36" s="91"/>
      <c r="FN36" s="91"/>
      <c r="FO36" s="91"/>
      <c r="FP36" s="91"/>
      <c r="FQ36" s="91"/>
      <c r="FR36" s="91"/>
      <c r="FS36" s="91"/>
      <c r="FT36" s="91"/>
      <c r="FU36" s="91"/>
      <c r="FV36" s="91"/>
      <c r="FW36" s="91"/>
      <c r="FX36" s="91"/>
      <c r="FY36" s="91"/>
      <c r="FZ36" s="91"/>
      <c r="GA36" s="91"/>
      <c r="GB36" s="91"/>
      <c r="GC36" s="91"/>
      <c r="GD36" s="91"/>
      <c r="GE36" s="91"/>
      <c r="GF36" s="91"/>
      <c r="GG36" s="91"/>
      <c r="GH36" s="91"/>
      <c r="GI36" s="91"/>
      <c r="GJ36" s="91"/>
      <c r="GK36" s="91"/>
      <c r="GL36" s="91"/>
      <c r="GM36" s="91"/>
      <c r="GN36" s="91"/>
      <c r="GO36" s="91"/>
      <c r="GP36" s="91"/>
      <c r="GQ36" s="91"/>
      <c r="GR36" s="91"/>
    </row>
    <row r="37" spans="2:200" x14ac:dyDescent="0.15"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1"/>
      <c r="AO37" s="91"/>
      <c r="AP37" s="91"/>
      <c r="AQ37" s="91"/>
      <c r="AR37" s="91"/>
      <c r="AS37" s="91"/>
      <c r="AT37" s="91"/>
      <c r="AU37" s="91"/>
      <c r="AV37" s="91"/>
      <c r="AW37" s="91"/>
      <c r="AX37" s="91"/>
      <c r="AY37" s="91"/>
      <c r="AZ37" s="91"/>
      <c r="BA37" s="91"/>
      <c r="BB37" s="91"/>
      <c r="BC37" s="91"/>
      <c r="BD37" s="91"/>
      <c r="BE37" s="91"/>
      <c r="BF37" s="91"/>
      <c r="BG37" s="91"/>
      <c r="BH37" s="91"/>
      <c r="BI37" s="91"/>
      <c r="BJ37" s="91"/>
      <c r="BK37" s="91"/>
      <c r="BL37" s="91"/>
      <c r="BM37" s="91"/>
      <c r="BN37" s="91"/>
      <c r="BO37" s="91"/>
      <c r="BP37" s="91"/>
      <c r="BQ37" s="91"/>
      <c r="BR37" s="91"/>
      <c r="BS37" s="91"/>
      <c r="BT37" s="91"/>
      <c r="BU37" s="91"/>
      <c r="BV37" s="91"/>
      <c r="BW37" s="91"/>
      <c r="BX37" s="91"/>
      <c r="BY37" s="91"/>
      <c r="BZ37" s="91"/>
      <c r="CA37" s="91"/>
      <c r="CB37" s="91"/>
      <c r="CC37" s="91"/>
      <c r="CD37" s="91"/>
      <c r="CE37" s="91"/>
      <c r="CF37" s="91"/>
      <c r="CG37" s="91"/>
      <c r="CH37" s="91"/>
      <c r="CI37" s="91"/>
      <c r="CJ37" s="91"/>
      <c r="CK37" s="91"/>
      <c r="CL37" s="91"/>
      <c r="CM37" s="91"/>
      <c r="CN37" s="91"/>
      <c r="CO37" s="91"/>
      <c r="CP37" s="91"/>
      <c r="CQ37" s="91"/>
      <c r="CR37" s="91"/>
      <c r="CS37" s="91"/>
      <c r="CT37" s="91"/>
      <c r="CU37" s="91"/>
      <c r="CV37" s="91"/>
      <c r="CW37" s="91"/>
      <c r="CX37" s="91"/>
      <c r="CY37" s="91"/>
      <c r="CZ37" s="91"/>
      <c r="DA37" s="91"/>
      <c r="DB37" s="91"/>
      <c r="DC37" s="91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  <c r="EH37" s="91"/>
      <c r="EI37" s="91"/>
      <c r="EJ37" s="91"/>
      <c r="EK37" s="91"/>
      <c r="EL37" s="91"/>
      <c r="EM37" s="91"/>
      <c r="EN37" s="91"/>
      <c r="EO37" s="91"/>
      <c r="EP37" s="91"/>
      <c r="EQ37" s="91"/>
      <c r="ER37" s="91"/>
      <c r="ES37" s="91"/>
      <c r="ET37" s="91"/>
      <c r="EU37" s="91"/>
      <c r="EV37" s="91"/>
      <c r="EW37" s="91"/>
      <c r="EX37" s="91"/>
      <c r="EY37" s="91"/>
      <c r="EZ37" s="91"/>
      <c r="FA37" s="91"/>
      <c r="FB37" s="91"/>
      <c r="FC37" s="91"/>
      <c r="FD37" s="91"/>
      <c r="FE37" s="91"/>
      <c r="FF37" s="91"/>
      <c r="FG37" s="91"/>
      <c r="FH37" s="91"/>
      <c r="FI37" s="91"/>
      <c r="FJ37" s="91"/>
      <c r="FK37" s="91"/>
      <c r="FL37" s="91"/>
      <c r="FM37" s="91"/>
      <c r="FN37" s="91"/>
      <c r="FO37" s="91"/>
      <c r="FP37" s="91"/>
      <c r="FQ37" s="91"/>
      <c r="FR37" s="91"/>
      <c r="FS37" s="91"/>
      <c r="FT37" s="91"/>
      <c r="FU37" s="91"/>
      <c r="FV37" s="91"/>
      <c r="FW37" s="91"/>
      <c r="FX37" s="91"/>
      <c r="FY37" s="91"/>
      <c r="FZ37" s="91"/>
      <c r="GA37" s="91"/>
      <c r="GB37" s="91"/>
      <c r="GC37" s="91"/>
      <c r="GD37" s="91"/>
      <c r="GE37" s="91"/>
      <c r="GF37" s="91"/>
      <c r="GG37" s="91"/>
      <c r="GH37" s="91"/>
      <c r="GI37" s="91"/>
      <c r="GJ37" s="91"/>
      <c r="GK37" s="91"/>
      <c r="GL37" s="91"/>
      <c r="GM37" s="91"/>
      <c r="GN37" s="91"/>
      <c r="GO37" s="91"/>
      <c r="GP37" s="91"/>
      <c r="GQ37" s="91"/>
      <c r="GR37" s="91"/>
    </row>
    <row r="38" spans="2:200" x14ac:dyDescent="0.15">
      <c r="B38" s="91"/>
      <c r="C38" s="91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  <c r="AD38" s="91"/>
      <c r="AE38" s="91"/>
      <c r="AF38" s="91"/>
      <c r="AG38" s="91"/>
      <c r="AH38" s="91"/>
      <c r="AI38" s="91"/>
      <c r="AJ38" s="91"/>
      <c r="AK38" s="91"/>
      <c r="AL38" s="91"/>
      <c r="AM38" s="91"/>
      <c r="AN38" s="91"/>
      <c r="AO38" s="91"/>
      <c r="AP38" s="91"/>
      <c r="AQ38" s="91"/>
      <c r="AR38" s="91"/>
      <c r="AS38" s="91"/>
      <c r="AT38" s="91"/>
      <c r="AU38" s="91"/>
      <c r="AV38" s="91"/>
      <c r="AW38" s="91"/>
      <c r="AX38" s="91"/>
      <c r="AY38" s="91"/>
      <c r="AZ38" s="91"/>
      <c r="BA38" s="91"/>
      <c r="BB38" s="91"/>
      <c r="BC38" s="91"/>
      <c r="BD38" s="91"/>
      <c r="BE38" s="91"/>
      <c r="BF38" s="91"/>
      <c r="BG38" s="91"/>
      <c r="BH38" s="91"/>
      <c r="BI38" s="91"/>
      <c r="BJ38" s="91"/>
      <c r="BK38" s="91"/>
      <c r="BL38" s="91"/>
      <c r="BM38" s="91"/>
      <c r="BN38" s="91"/>
      <c r="BO38" s="91"/>
      <c r="BP38" s="91"/>
      <c r="BQ38" s="91"/>
      <c r="BR38" s="91"/>
      <c r="BS38" s="91"/>
      <c r="BT38" s="91"/>
      <c r="BU38" s="91"/>
      <c r="BV38" s="91"/>
      <c r="BW38" s="91"/>
      <c r="BX38" s="91"/>
      <c r="BY38" s="91"/>
      <c r="BZ38" s="91"/>
      <c r="CA38" s="91"/>
      <c r="CB38" s="91"/>
      <c r="CC38" s="91"/>
      <c r="CD38" s="91"/>
      <c r="CE38" s="91"/>
      <c r="CF38" s="91"/>
      <c r="CG38" s="91"/>
      <c r="CH38" s="91"/>
      <c r="CI38" s="91"/>
      <c r="CJ38" s="91"/>
      <c r="CK38" s="91"/>
      <c r="CL38" s="91"/>
      <c r="CM38" s="91"/>
      <c r="CN38" s="91"/>
      <c r="CO38" s="91"/>
      <c r="CP38" s="91"/>
      <c r="CQ38" s="91"/>
      <c r="CR38" s="91"/>
      <c r="CS38" s="91"/>
      <c r="CT38" s="91"/>
      <c r="CU38" s="91"/>
      <c r="CV38" s="91"/>
      <c r="CW38" s="91"/>
      <c r="CX38" s="91"/>
      <c r="CY38" s="91"/>
      <c r="CZ38" s="91"/>
      <c r="DA38" s="91"/>
      <c r="DB38" s="91"/>
      <c r="DC38" s="91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  <c r="EH38" s="91"/>
      <c r="EI38" s="91"/>
      <c r="EJ38" s="91"/>
      <c r="EK38" s="91"/>
      <c r="EL38" s="91"/>
      <c r="EM38" s="91"/>
      <c r="EN38" s="91"/>
      <c r="EO38" s="91"/>
      <c r="EP38" s="91"/>
      <c r="EQ38" s="91"/>
      <c r="ER38" s="91"/>
      <c r="ES38" s="91"/>
      <c r="ET38" s="91"/>
      <c r="EU38" s="91"/>
      <c r="EV38" s="91"/>
      <c r="EW38" s="91"/>
      <c r="EX38" s="91"/>
      <c r="EY38" s="91"/>
      <c r="EZ38" s="91"/>
      <c r="FA38" s="91"/>
      <c r="FB38" s="91"/>
      <c r="FC38" s="91"/>
      <c r="FD38" s="91"/>
      <c r="FE38" s="91"/>
      <c r="FF38" s="91"/>
      <c r="FG38" s="91"/>
      <c r="FH38" s="91"/>
      <c r="FI38" s="91"/>
      <c r="FJ38" s="91"/>
      <c r="FK38" s="91"/>
      <c r="FL38" s="91"/>
      <c r="FM38" s="91"/>
      <c r="FN38" s="91"/>
      <c r="FO38" s="91"/>
      <c r="FP38" s="91"/>
      <c r="FQ38" s="91"/>
      <c r="FR38" s="91"/>
      <c r="FS38" s="91"/>
      <c r="FT38" s="91"/>
      <c r="FU38" s="91"/>
      <c r="FV38" s="91"/>
      <c r="FW38" s="91"/>
      <c r="FX38" s="91"/>
      <c r="FY38" s="91"/>
      <c r="FZ38" s="91"/>
      <c r="GA38" s="91"/>
      <c r="GB38" s="91"/>
      <c r="GC38" s="91"/>
      <c r="GD38" s="91"/>
      <c r="GE38" s="91"/>
      <c r="GF38" s="91"/>
      <c r="GG38" s="91"/>
      <c r="GH38" s="91"/>
      <c r="GI38" s="91"/>
      <c r="GJ38" s="91"/>
      <c r="GK38" s="91"/>
      <c r="GL38" s="91"/>
      <c r="GM38" s="91"/>
      <c r="GN38" s="91"/>
      <c r="GO38" s="91"/>
      <c r="GP38" s="91"/>
      <c r="GQ38" s="91"/>
      <c r="GR38" s="91"/>
    </row>
    <row r="39" spans="2:200" x14ac:dyDescent="0.15"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1"/>
      <c r="AO39" s="91"/>
      <c r="AP39" s="91"/>
      <c r="AQ39" s="91"/>
      <c r="AR39" s="91"/>
      <c r="AS39" s="91"/>
      <c r="AT39" s="91"/>
      <c r="AU39" s="91"/>
      <c r="AV39" s="91"/>
      <c r="AW39" s="91"/>
      <c r="AX39" s="91"/>
      <c r="AY39" s="91"/>
      <c r="AZ39" s="91"/>
      <c r="BA39" s="91"/>
      <c r="BB39" s="91"/>
      <c r="BC39" s="91"/>
      <c r="BD39" s="91"/>
      <c r="BE39" s="91"/>
      <c r="BF39" s="91"/>
      <c r="BG39" s="91"/>
      <c r="BH39" s="91"/>
      <c r="BI39" s="91"/>
      <c r="BJ39" s="91"/>
      <c r="BK39" s="91"/>
      <c r="BL39" s="91"/>
      <c r="BM39" s="91"/>
      <c r="BN39" s="91"/>
      <c r="BO39" s="91"/>
      <c r="BP39" s="91"/>
      <c r="BQ39" s="91"/>
      <c r="BR39" s="91"/>
      <c r="BS39" s="91"/>
      <c r="BT39" s="91"/>
      <c r="BU39" s="91"/>
      <c r="BV39" s="91"/>
      <c r="BW39" s="91"/>
      <c r="BX39" s="91"/>
      <c r="BY39" s="91"/>
      <c r="BZ39" s="91"/>
      <c r="CA39" s="91"/>
      <c r="CB39" s="91"/>
      <c r="CC39" s="91"/>
      <c r="CD39" s="91"/>
      <c r="CE39" s="91"/>
      <c r="CF39" s="91"/>
      <c r="CG39" s="91"/>
      <c r="CH39" s="91"/>
      <c r="CI39" s="91"/>
      <c r="CJ39" s="91"/>
      <c r="CK39" s="91"/>
      <c r="CL39" s="91"/>
      <c r="CM39" s="91"/>
      <c r="CN39" s="91"/>
      <c r="CO39" s="91"/>
      <c r="CP39" s="91"/>
      <c r="CQ39" s="91"/>
      <c r="CR39" s="91"/>
      <c r="CS39" s="91"/>
      <c r="CT39" s="91"/>
      <c r="CU39" s="91"/>
      <c r="CV39" s="91"/>
      <c r="CW39" s="91"/>
      <c r="CX39" s="91"/>
      <c r="CY39" s="91"/>
      <c r="CZ39" s="91"/>
      <c r="DA39" s="91"/>
      <c r="DB39" s="91"/>
      <c r="DC39" s="91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  <c r="EH39" s="91"/>
      <c r="EI39" s="91"/>
      <c r="EJ39" s="91"/>
      <c r="EK39" s="91"/>
      <c r="EL39" s="91"/>
      <c r="EM39" s="91"/>
      <c r="EN39" s="91"/>
      <c r="EO39" s="91"/>
      <c r="EP39" s="91"/>
      <c r="EQ39" s="91"/>
      <c r="ER39" s="91"/>
      <c r="ES39" s="91"/>
      <c r="ET39" s="91"/>
      <c r="EU39" s="91"/>
      <c r="EV39" s="91"/>
      <c r="EW39" s="91"/>
      <c r="EX39" s="91"/>
      <c r="EY39" s="91"/>
      <c r="EZ39" s="91"/>
      <c r="FA39" s="91"/>
      <c r="FB39" s="91"/>
      <c r="FC39" s="91"/>
      <c r="FD39" s="91"/>
      <c r="FE39" s="91"/>
      <c r="FF39" s="91"/>
      <c r="FG39" s="91"/>
      <c r="FH39" s="91"/>
      <c r="FI39" s="91"/>
      <c r="FJ39" s="91"/>
      <c r="FK39" s="91"/>
      <c r="FL39" s="91"/>
      <c r="FM39" s="91"/>
      <c r="FN39" s="91"/>
      <c r="FO39" s="91"/>
      <c r="FP39" s="91"/>
      <c r="FQ39" s="91"/>
      <c r="FR39" s="91"/>
      <c r="FS39" s="91"/>
      <c r="FT39" s="91"/>
      <c r="FU39" s="91"/>
      <c r="FV39" s="91"/>
      <c r="FW39" s="91"/>
      <c r="FX39" s="91"/>
      <c r="FY39" s="91"/>
      <c r="FZ39" s="91"/>
      <c r="GA39" s="91"/>
      <c r="GB39" s="91"/>
      <c r="GC39" s="91"/>
      <c r="GD39" s="91"/>
      <c r="GE39" s="91"/>
      <c r="GF39" s="91"/>
      <c r="GG39" s="91"/>
      <c r="GH39" s="91"/>
      <c r="GI39" s="91"/>
      <c r="GJ39" s="91"/>
      <c r="GK39" s="91"/>
      <c r="GL39" s="91"/>
      <c r="GM39" s="91"/>
      <c r="GN39" s="91"/>
      <c r="GO39" s="91"/>
      <c r="GP39" s="91"/>
      <c r="GQ39" s="91"/>
      <c r="GR39" s="91"/>
    </row>
    <row r="40" spans="2:200" x14ac:dyDescent="0.15">
      <c r="B40" s="91"/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1"/>
      <c r="AL40" s="91"/>
      <c r="AM40" s="91"/>
      <c r="AN40" s="91"/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91"/>
      <c r="BZ40" s="91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1"/>
      <c r="CL40" s="91"/>
      <c r="CM40" s="91"/>
      <c r="CN40" s="91"/>
      <c r="CO40" s="91"/>
      <c r="CP40" s="91"/>
      <c r="CQ40" s="91"/>
      <c r="CR40" s="91"/>
      <c r="CS40" s="91"/>
      <c r="CT40" s="91"/>
      <c r="CU40" s="91"/>
      <c r="CV40" s="91"/>
      <c r="CW40" s="91"/>
      <c r="CX40" s="91"/>
      <c r="CY40" s="91"/>
      <c r="CZ40" s="91"/>
      <c r="DA40" s="91"/>
      <c r="DB40" s="91"/>
      <c r="DC40" s="91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  <c r="EH40" s="91"/>
      <c r="EI40" s="91"/>
      <c r="EJ40" s="91"/>
      <c r="EK40" s="91"/>
      <c r="EL40" s="91"/>
      <c r="EM40" s="91"/>
      <c r="EN40" s="91"/>
      <c r="EO40" s="91"/>
      <c r="EP40" s="91"/>
      <c r="EQ40" s="91"/>
      <c r="ER40" s="91"/>
      <c r="ES40" s="91"/>
      <c r="ET40" s="91"/>
      <c r="EU40" s="91"/>
      <c r="EV40" s="91"/>
      <c r="EW40" s="91"/>
      <c r="EX40" s="91"/>
      <c r="EY40" s="91"/>
      <c r="EZ40" s="91"/>
      <c r="FA40" s="91"/>
      <c r="FB40" s="91"/>
      <c r="FC40" s="91"/>
      <c r="FD40" s="91"/>
      <c r="FE40" s="91"/>
      <c r="FF40" s="91"/>
      <c r="FG40" s="91"/>
      <c r="FH40" s="91"/>
      <c r="FI40" s="91"/>
      <c r="FJ40" s="91"/>
      <c r="FK40" s="91"/>
      <c r="FL40" s="91"/>
      <c r="FM40" s="91"/>
      <c r="FN40" s="91"/>
      <c r="FO40" s="91"/>
      <c r="FP40" s="91"/>
      <c r="FQ40" s="91"/>
      <c r="FR40" s="91"/>
      <c r="FS40" s="91"/>
      <c r="FT40" s="91"/>
      <c r="FU40" s="91"/>
      <c r="FV40" s="91"/>
      <c r="FW40" s="91"/>
      <c r="FX40" s="91"/>
      <c r="FY40" s="91"/>
      <c r="FZ40" s="91"/>
      <c r="GA40" s="91"/>
      <c r="GB40" s="91"/>
      <c r="GC40" s="91"/>
      <c r="GD40" s="91"/>
      <c r="GE40" s="91"/>
      <c r="GF40" s="91"/>
      <c r="GG40" s="91"/>
      <c r="GH40" s="91"/>
      <c r="GI40" s="91"/>
      <c r="GJ40" s="91"/>
      <c r="GK40" s="91"/>
      <c r="GL40" s="91"/>
      <c r="GM40" s="91"/>
      <c r="GN40" s="91"/>
      <c r="GO40" s="91"/>
      <c r="GP40" s="91"/>
      <c r="GQ40" s="91"/>
      <c r="GR40" s="91"/>
    </row>
    <row r="41" spans="2:200" x14ac:dyDescent="0.15"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  <c r="AD41" s="91"/>
      <c r="AE41" s="91"/>
      <c r="AF41" s="91"/>
      <c r="AG41" s="91"/>
      <c r="AH41" s="91"/>
      <c r="AI41" s="91"/>
      <c r="AJ41" s="91"/>
      <c r="AK41" s="91"/>
      <c r="AL41" s="91"/>
      <c r="AM41" s="91"/>
      <c r="AN41" s="91"/>
      <c r="AO41" s="91"/>
      <c r="AP41" s="91"/>
      <c r="AQ41" s="91"/>
      <c r="AR41" s="91"/>
      <c r="AS41" s="91"/>
      <c r="AT41" s="91"/>
      <c r="AU41" s="91"/>
      <c r="AV41" s="91"/>
      <c r="AW41" s="91"/>
      <c r="AX41" s="91"/>
      <c r="AY41" s="91"/>
      <c r="AZ41" s="91"/>
      <c r="BA41" s="91"/>
      <c r="BB41" s="91"/>
      <c r="BC41" s="91"/>
      <c r="BD41" s="91"/>
      <c r="BE41" s="91"/>
      <c r="BF41" s="91"/>
      <c r="BG41" s="91"/>
      <c r="BH41" s="91"/>
      <c r="BI41" s="91"/>
      <c r="BJ41" s="91"/>
      <c r="BK41" s="91"/>
      <c r="BL41" s="91"/>
      <c r="BM41" s="91"/>
      <c r="BN41" s="91"/>
      <c r="BO41" s="91"/>
      <c r="BP41" s="91"/>
      <c r="BQ41" s="91"/>
      <c r="BR41" s="91"/>
      <c r="BS41" s="91"/>
      <c r="BT41" s="91"/>
      <c r="BU41" s="91"/>
      <c r="BV41" s="91"/>
      <c r="BW41" s="91"/>
      <c r="BX41" s="91"/>
      <c r="BY41" s="91"/>
      <c r="BZ41" s="91"/>
      <c r="CA41" s="91"/>
      <c r="CB41" s="91"/>
      <c r="CC41" s="91"/>
      <c r="CD41" s="91"/>
      <c r="CE41" s="91"/>
      <c r="CF41" s="91"/>
      <c r="CG41" s="91"/>
      <c r="CH41" s="91"/>
      <c r="CI41" s="91"/>
      <c r="CJ41" s="91"/>
      <c r="CK41" s="91"/>
      <c r="CL41" s="91"/>
      <c r="CM41" s="91"/>
      <c r="CN41" s="91"/>
      <c r="CO41" s="91"/>
      <c r="CP41" s="91"/>
      <c r="CQ41" s="91"/>
      <c r="CR41" s="91"/>
      <c r="CS41" s="91"/>
      <c r="CT41" s="91"/>
      <c r="CU41" s="91"/>
      <c r="CV41" s="91"/>
      <c r="CW41" s="91"/>
      <c r="CX41" s="91"/>
      <c r="CY41" s="91"/>
      <c r="CZ41" s="91"/>
      <c r="DA41" s="91"/>
      <c r="DB41" s="91"/>
      <c r="DC41" s="91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  <c r="EH41" s="91"/>
      <c r="EI41" s="91"/>
      <c r="EJ41" s="91"/>
      <c r="EK41" s="91"/>
      <c r="EL41" s="91"/>
      <c r="EM41" s="91"/>
      <c r="EN41" s="91"/>
      <c r="EO41" s="91"/>
      <c r="EP41" s="91"/>
      <c r="EQ41" s="91"/>
      <c r="ER41" s="91"/>
      <c r="ES41" s="91"/>
      <c r="ET41" s="91"/>
      <c r="EU41" s="91"/>
      <c r="EV41" s="91"/>
      <c r="EW41" s="91"/>
      <c r="EX41" s="91"/>
      <c r="EY41" s="91"/>
      <c r="EZ41" s="91"/>
      <c r="FA41" s="91"/>
      <c r="FB41" s="91"/>
      <c r="FC41" s="91"/>
      <c r="FD41" s="91"/>
      <c r="FE41" s="91"/>
      <c r="FF41" s="91"/>
      <c r="FG41" s="91"/>
      <c r="FH41" s="91"/>
      <c r="FI41" s="91"/>
      <c r="FJ41" s="91"/>
      <c r="FK41" s="91"/>
      <c r="FL41" s="91"/>
      <c r="FM41" s="91"/>
      <c r="FN41" s="91"/>
      <c r="FO41" s="91"/>
      <c r="FP41" s="91"/>
      <c r="FQ41" s="91"/>
      <c r="FR41" s="91"/>
      <c r="FS41" s="91"/>
      <c r="FT41" s="91"/>
      <c r="FU41" s="91"/>
      <c r="FV41" s="91"/>
      <c r="FW41" s="91"/>
      <c r="FX41" s="91"/>
      <c r="FY41" s="91"/>
      <c r="FZ41" s="91"/>
      <c r="GA41" s="91"/>
      <c r="GB41" s="91"/>
      <c r="GC41" s="91"/>
      <c r="GD41" s="91"/>
      <c r="GE41" s="91"/>
      <c r="GF41" s="91"/>
      <c r="GG41" s="91"/>
      <c r="GH41" s="91"/>
      <c r="GI41" s="91"/>
      <c r="GJ41" s="91"/>
      <c r="GK41" s="91"/>
      <c r="GL41" s="91"/>
      <c r="GM41" s="91"/>
      <c r="GN41" s="91"/>
      <c r="GO41" s="91"/>
      <c r="GP41" s="91"/>
      <c r="GQ41" s="91"/>
      <c r="GR41" s="91"/>
    </row>
    <row r="42" spans="2:200" x14ac:dyDescent="0.15"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  <c r="AH42" s="91"/>
      <c r="AI42" s="91"/>
      <c r="AJ42" s="91"/>
      <c r="AK42" s="91"/>
      <c r="AL42" s="91"/>
      <c r="AM42" s="91"/>
      <c r="AN42" s="91"/>
      <c r="AO42" s="91"/>
      <c r="AP42" s="91"/>
      <c r="AQ42" s="91"/>
      <c r="AR42" s="91"/>
      <c r="AS42" s="91"/>
      <c r="AT42" s="91"/>
      <c r="AU42" s="91"/>
      <c r="AV42" s="91"/>
      <c r="AW42" s="91"/>
      <c r="AX42" s="91"/>
      <c r="AY42" s="91"/>
      <c r="AZ42" s="91"/>
      <c r="BA42" s="91"/>
      <c r="BB42" s="91"/>
      <c r="BC42" s="91"/>
      <c r="BD42" s="91"/>
      <c r="BE42" s="91"/>
      <c r="BF42" s="91"/>
      <c r="BG42" s="91"/>
      <c r="BH42" s="91"/>
      <c r="BI42" s="91"/>
      <c r="BJ42" s="91"/>
      <c r="BK42" s="91"/>
      <c r="BL42" s="91"/>
      <c r="BM42" s="91"/>
      <c r="BN42" s="91"/>
      <c r="BO42" s="91"/>
      <c r="BP42" s="91"/>
      <c r="BQ42" s="91"/>
      <c r="BR42" s="91"/>
      <c r="BS42" s="91"/>
      <c r="BT42" s="91"/>
      <c r="BU42" s="91"/>
      <c r="BV42" s="91"/>
      <c r="BW42" s="91"/>
      <c r="BX42" s="91"/>
      <c r="BY42" s="91"/>
      <c r="BZ42" s="91"/>
      <c r="CA42" s="91"/>
      <c r="CB42" s="91"/>
      <c r="CC42" s="91"/>
      <c r="CD42" s="91"/>
      <c r="CE42" s="91"/>
      <c r="CF42" s="91"/>
      <c r="CG42" s="91"/>
      <c r="CH42" s="91"/>
      <c r="CI42" s="91"/>
      <c r="CJ42" s="91"/>
      <c r="CK42" s="91"/>
      <c r="CL42" s="91"/>
      <c r="CM42" s="91"/>
      <c r="CN42" s="91"/>
      <c r="CO42" s="91"/>
      <c r="CP42" s="91"/>
      <c r="CQ42" s="91"/>
      <c r="CR42" s="91"/>
      <c r="CS42" s="91"/>
      <c r="CT42" s="91"/>
      <c r="CU42" s="91"/>
      <c r="CV42" s="91"/>
      <c r="CW42" s="91"/>
      <c r="CX42" s="91"/>
      <c r="CY42" s="91"/>
      <c r="CZ42" s="91"/>
      <c r="DA42" s="91"/>
      <c r="DB42" s="91"/>
      <c r="DC42" s="91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91"/>
      <c r="EP42" s="91"/>
      <c r="EQ42" s="91"/>
      <c r="ER42" s="91"/>
      <c r="ES42" s="91"/>
      <c r="ET42" s="91"/>
      <c r="EU42" s="91"/>
      <c r="EV42" s="91"/>
      <c r="EW42" s="91"/>
      <c r="EX42" s="91"/>
      <c r="EY42" s="91"/>
      <c r="EZ42" s="91"/>
      <c r="FA42" s="91"/>
      <c r="FB42" s="91"/>
      <c r="FC42" s="91"/>
      <c r="FD42" s="91"/>
      <c r="FE42" s="91"/>
      <c r="FF42" s="91"/>
      <c r="FG42" s="91"/>
      <c r="FH42" s="91"/>
      <c r="FI42" s="91"/>
      <c r="FJ42" s="91"/>
      <c r="FK42" s="91"/>
      <c r="FL42" s="91"/>
      <c r="FM42" s="91"/>
      <c r="FN42" s="91"/>
      <c r="FO42" s="91"/>
      <c r="FP42" s="91"/>
      <c r="FQ42" s="91"/>
      <c r="FR42" s="91"/>
      <c r="FS42" s="91"/>
      <c r="FT42" s="91"/>
      <c r="FU42" s="91"/>
      <c r="FV42" s="91"/>
      <c r="FW42" s="91"/>
      <c r="FX42" s="91"/>
      <c r="FY42" s="91"/>
      <c r="FZ42" s="91"/>
      <c r="GA42" s="91"/>
      <c r="GB42" s="91"/>
      <c r="GC42" s="91"/>
      <c r="GD42" s="91"/>
      <c r="GE42" s="91"/>
      <c r="GF42" s="91"/>
      <c r="GG42" s="91"/>
      <c r="GH42" s="91"/>
      <c r="GI42" s="91"/>
      <c r="GJ42" s="91"/>
      <c r="GK42" s="91"/>
      <c r="GL42" s="91"/>
      <c r="GM42" s="91"/>
      <c r="GN42" s="91"/>
      <c r="GO42" s="91"/>
      <c r="GP42" s="91"/>
      <c r="GQ42" s="91"/>
      <c r="GR42" s="91"/>
    </row>
    <row r="43" spans="2:200" x14ac:dyDescent="0.15"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/>
      <c r="AF43" s="91"/>
      <c r="AG43" s="91"/>
      <c r="AH43" s="91"/>
      <c r="AI43" s="91"/>
      <c r="AJ43" s="91"/>
      <c r="AK43" s="91"/>
      <c r="AL43" s="91"/>
      <c r="AM43" s="91"/>
      <c r="AN43" s="91"/>
      <c r="AO43" s="91"/>
      <c r="AP43" s="91"/>
      <c r="AQ43" s="91"/>
      <c r="AR43" s="91"/>
      <c r="AS43" s="91"/>
      <c r="AT43" s="91"/>
      <c r="AU43" s="91"/>
      <c r="AV43" s="91"/>
      <c r="AW43" s="91"/>
      <c r="AX43" s="91"/>
      <c r="AY43" s="91"/>
      <c r="AZ43" s="91"/>
      <c r="BA43" s="91"/>
      <c r="BB43" s="91"/>
      <c r="BC43" s="91"/>
      <c r="BD43" s="91"/>
      <c r="BE43" s="91"/>
      <c r="BF43" s="91"/>
      <c r="BG43" s="91"/>
      <c r="BH43" s="91"/>
      <c r="BI43" s="91"/>
      <c r="BJ43" s="91"/>
      <c r="BK43" s="91"/>
      <c r="BL43" s="91"/>
      <c r="BM43" s="91"/>
      <c r="BN43" s="91"/>
      <c r="BO43" s="91"/>
      <c r="BP43" s="91"/>
      <c r="BQ43" s="91"/>
      <c r="BR43" s="91"/>
      <c r="BS43" s="91"/>
      <c r="BT43" s="91"/>
      <c r="BU43" s="91"/>
      <c r="BV43" s="91"/>
      <c r="BW43" s="91"/>
      <c r="BX43" s="91"/>
      <c r="BY43" s="91"/>
      <c r="BZ43" s="91"/>
      <c r="CA43" s="91"/>
      <c r="CB43" s="91"/>
      <c r="CC43" s="91"/>
      <c r="CD43" s="91"/>
      <c r="CE43" s="91"/>
      <c r="CF43" s="91"/>
      <c r="CG43" s="91"/>
      <c r="CH43" s="91"/>
      <c r="CI43" s="91"/>
      <c r="CJ43" s="91"/>
      <c r="CK43" s="91"/>
      <c r="CL43" s="91"/>
      <c r="CM43" s="91"/>
      <c r="CN43" s="91"/>
      <c r="CO43" s="91"/>
      <c r="CP43" s="91"/>
      <c r="CQ43" s="91"/>
      <c r="CR43" s="91"/>
      <c r="CS43" s="91"/>
      <c r="CT43" s="91"/>
      <c r="CU43" s="91"/>
      <c r="CV43" s="91"/>
      <c r="CW43" s="91"/>
      <c r="CX43" s="91"/>
      <c r="CY43" s="91"/>
      <c r="CZ43" s="91"/>
      <c r="DA43" s="91"/>
      <c r="DB43" s="91"/>
      <c r="DC43" s="91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  <c r="EH43" s="91"/>
      <c r="EI43" s="91"/>
      <c r="EJ43" s="91"/>
      <c r="EK43" s="91"/>
      <c r="EL43" s="91"/>
      <c r="EM43" s="91"/>
      <c r="EN43" s="91"/>
      <c r="EO43" s="91"/>
      <c r="EP43" s="91"/>
      <c r="EQ43" s="91"/>
      <c r="ER43" s="91"/>
      <c r="ES43" s="91"/>
      <c r="ET43" s="91"/>
      <c r="EU43" s="91"/>
      <c r="EV43" s="91"/>
      <c r="EW43" s="91"/>
      <c r="EX43" s="91"/>
      <c r="EY43" s="91"/>
      <c r="EZ43" s="91"/>
      <c r="FA43" s="91"/>
      <c r="FB43" s="91"/>
      <c r="FC43" s="91"/>
      <c r="FD43" s="91"/>
      <c r="FE43" s="91"/>
      <c r="FF43" s="91"/>
      <c r="FG43" s="91"/>
      <c r="FH43" s="91"/>
      <c r="FI43" s="91"/>
      <c r="FJ43" s="91"/>
      <c r="FK43" s="91"/>
      <c r="FL43" s="91"/>
      <c r="FM43" s="91"/>
      <c r="FN43" s="91"/>
      <c r="FO43" s="91"/>
      <c r="FP43" s="91"/>
      <c r="FQ43" s="91"/>
      <c r="FR43" s="91"/>
      <c r="FS43" s="91"/>
      <c r="FT43" s="91"/>
      <c r="FU43" s="91"/>
      <c r="FV43" s="91"/>
      <c r="FW43" s="91"/>
      <c r="FX43" s="91"/>
      <c r="FY43" s="91"/>
      <c r="FZ43" s="91"/>
      <c r="GA43" s="91"/>
      <c r="GB43" s="91"/>
      <c r="GC43" s="91"/>
      <c r="GD43" s="91"/>
      <c r="GE43" s="91"/>
      <c r="GF43" s="91"/>
      <c r="GG43" s="91"/>
      <c r="GH43" s="91"/>
      <c r="GI43" s="91"/>
      <c r="GJ43" s="91"/>
      <c r="GK43" s="91"/>
      <c r="GL43" s="91"/>
      <c r="GM43" s="91"/>
      <c r="GN43" s="91"/>
      <c r="GO43" s="91"/>
      <c r="GP43" s="91"/>
      <c r="GQ43" s="91"/>
      <c r="GR43" s="91"/>
    </row>
    <row r="44" spans="2:200" x14ac:dyDescent="0.15">
      <c r="B44" s="91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91"/>
      <c r="BI44" s="91"/>
      <c r="BJ44" s="91"/>
      <c r="BK44" s="91"/>
      <c r="BL44" s="91"/>
      <c r="BM44" s="91"/>
      <c r="BN44" s="91"/>
      <c r="BO44" s="91"/>
      <c r="BP44" s="91"/>
      <c r="BQ44" s="91"/>
      <c r="BR44" s="91"/>
      <c r="BS44" s="91"/>
      <c r="BT44" s="91"/>
      <c r="BU44" s="91"/>
      <c r="BV44" s="91"/>
      <c r="BW44" s="91"/>
      <c r="BX44" s="91"/>
      <c r="BY44" s="91"/>
      <c r="BZ44" s="91"/>
      <c r="CA44" s="91"/>
      <c r="CB44" s="91"/>
      <c r="CC44" s="91"/>
      <c r="CD44" s="91"/>
      <c r="CE44" s="91"/>
      <c r="CF44" s="91"/>
      <c r="CG44" s="91"/>
      <c r="CH44" s="91"/>
      <c r="CI44" s="91"/>
      <c r="CJ44" s="91"/>
      <c r="CK44" s="91"/>
      <c r="CL44" s="91"/>
      <c r="CM44" s="91"/>
      <c r="CN44" s="91"/>
      <c r="CO44" s="91"/>
      <c r="CP44" s="91"/>
      <c r="CQ44" s="91"/>
      <c r="CR44" s="91"/>
      <c r="CS44" s="91"/>
      <c r="CT44" s="91"/>
      <c r="CU44" s="91"/>
      <c r="CV44" s="91"/>
      <c r="CW44" s="91"/>
      <c r="CX44" s="91"/>
      <c r="CY44" s="91"/>
      <c r="CZ44" s="91"/>
      <c r="DA44" s="91"/>
      <c r="DB44" s="91"/>
      <c r="DC44" s="91"/>
      <c r="DD44" s="91"/>
      <c r="DE44" s="91"/>
      <c r="DF44" s="91"/>
      <c r="DG44" s="91"/>
      <c r="DH44" s="91"/>
      <c r="DI44" s="91"/>
      <c r="DJ44" s="91"/>
      <c r="DK44" s="91"/>
      <c r="DL44" s="91"/>
      <c r="DM44" s="91"/>
      <c r="DN44" s="91"/>
      <c r="DO44" s="91"/>
      <c r="DP44" s="91"/>
      <c r="DQ44" s="91"/>
      <c r="DR44" s="91"/>
      <c r="DS44" s="91"/>
      <c r="DT44" s="91"/>
      <c r="DU44" s="91"/>
      <c r="DV44" s="91"/>
      <c r="DW44" s="91"/>
      <c r="DX44" s="91"/>
      <c r="DY44" s="91"/>
      <c r="DZ44" s="91"/>
      <c r="EA44" s="91"/>
      <c r="EB44" s="91"/>
      <c r="EC44" s="91"/>
      <c r="ED44" s="91"/>
      <c r="EE44" s="91"/>
      <c r="EF44" s="91"/>
      <c r="EG44" s="91"/>
      <c r="EH44" s="91"/>
      <c r="EI44" s="91"/>
      <c r="EJ44" s="91"/>
      <c r="EK44" s="91"/>
      <c r="EL44" s="91"/>
      <c r="EM44" s="91"/>
      <c r="EN44" s="91"/>
      <c r="EO44" s="91"/>
      <c r="EP44" s="91"/>
      <c r="EQ44" s="91"/>
      <c r="ER44" s="91"/>
      <c r="ES44" s="91"/>
      <c r="ET44" s="91"/>
      <c r="EU44" s="91"/>
      <c r="EV44" s="91"/>
      <c r="EW44" s="91"/>
      <c r="EX44" s="91"/>
      <c r="EY44" s="91"/>
      <c r="EZ44" s="91"/>
      <c r="FA44" s="91"/>
      <c r="FB44" s="91"/>
      <c r="FC44" s="91"/>
      <c r="FD44" s="91"/>
      <c r="FE44" s="91"/>
      <c r="FF44" s="91"/>
      <c r="FG44" s="91"/>
      <c r="FH44" s="91"/>
      <c r="FI44" s="91"/>
      <c r="FJ44" s="91"/>
      <c r="FK44" s="91"/>
      <c r="FL44" s="91"/>
      <c r="FM44" s="91"/>
      <c r="FN44" s="91"/>
      <c r="FO44" s="91"/>
      <c r="FP44" s="91"/>
      <c r="FQ44" s="91"/>
      <c r="FR44" s="91"/>
      <c r="FS44" s="91"/>
      <c r="FT44" s="91"/>
      <c r="FU44" s="91"/>
      <c r="FV44" s="91"/>
      <c r="FW44" s="91"/>
      <c r="FX44" s="91"/>
      <c r="FY44" s="91"/>
      <c r="FZ44" s="91"/>
      <c r="GA44" s="91"/>
      <c r="GB44" s="91"/>
      <c r="GC44" s="91"/>
      <c r="GD44" s="91"/>
      <c r="GE44" s="91"/>
      <c r="GF44" s="91"/>
      <c r="GG44" s="91"/>
      <c r="GH44" s="91"/>
      <c r="GI44" s="91"/>
      <c r="GJ44" s="91"/>
      <c r="GK44" s="91"/>
      <c r="GL44" s="91"/>
      <c r="GM44" s="91"/>
      <c r="GN44" s="91"/>
      <c r="GO44" s="91"/>
      <c r="GP44" s="91"/>
      <c r="GQ44" s="91"/>
      <c r="GR44" s="91"/>
    </row>
    <row r="45" spans="2:200" x14ac:dyDescent="0.15"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K45" s="91"/>
      <c r="AL45" s="91"/>
      <c r="AM45" s="91"/>
      <c r="AN45" s="91"/>
      <c r="AO45" s="91"/>
      <c r="AP45" s="91"/>
      <c r="AQ45" s="91"/>
      <c r="AR45" s="91"/>
      <c r="AS45" s="91"/>
      <c r="AT45" s="91"/>
      <c r="AU45" s="91"/>
      <c r="AV45" s="91"/>
      <c r="AW45" s="91"/>
      <c r="AX45" s="91"/>
      <c r="AY45" s="91"/>
      <c r="AZ45" s="91"/>
      <c r="BA45" s="91"/>
      <c r="BB45" s="91"/>
      <c r="BC45" s="91"/>
      <c r="BD45" s="91"/>
      <c r="BE45" s="91"/>
      <c r="BF45" s="91"/>
      <c r="BG45" s="91"/>
      <c r="BH45" s="91"/>
      <c r="BI45" s="91"/>
      <c r="BJ45" s="91"/>
      <c r="BK45" s="91"/>
      <c r="BL45" s="91"/>
      <c r="BM45" s="91"/>
      <c r="BN45" s="91"/>
      <c r="BO45" s="91"/>
      <c r="BP45" s="91"/>
      <c r="BQ45" s="91"/>
      <c r="BR45" s="91"/>
      <c r="BS45" s="91"/>
      <c r="BT45" s="91"/>
      <c r="BU45" s="91"/>
      <c r="BV45" s="91"/>
      <c r="BW45" s="91"/>
      <c r="BX45" s="91"/>
      <c r="BY45" s="91"/>
      <c r="BZ45" s="91"/>
      <c r="CA45" s="91"/>
      <c r="CB45" s="91"/>
      <c r="CC45" s="91"/>
      <c r="CD45" s="91"/>
      <c r="CE45" s="91"/>
      <c r="CF45" s="91"/>
      <c r="CG45" s="91"/>
      <c r="CH45" s="91"/>
      <c r="CI45" s="91"/>
      <c r="CJ45" s="91"/>
      <c r="CK45" s="91"/>
      <c r="CL45" s="91"/>
      <c r="CM45" s="91"/>
      <c r="CN45" s="91"/>
      <c r="CO45" s="91"/>
      <c r="CP45" s="91"/>
      <c r="CQ45" s="91"/>
      <c r="CR45" s="91"/>
      <c r="CS45" s="91"/>
      <c r="CT45" s="91"/>
      <c r="CU45" s="91"/>
      <c r="CV45" s="91"/>
      <c r="CW45" s="91"/>
      <c r="CX45" s="91"/>
      <c r="CY45" s="91"/>
      <c r="CZ45" s="91"/>
      <c r="DA45" s="91"/>
      <c r="DB45" s="91"/>
      <c r="DC45" s="91"/>
      <c r="DD45" s="91"/>
      <c r="DE45" s="91"/>
      <c r="DF45" s="91"/>
      <c r="DG45" s="91"/>
      <c r="DH45" s="91"/>
      <c r="DI45" s="91"/>
      <c r="DJ45" s="91"/>
      <c r="DK45" s="91"/>
      <c r="DL45" s="91"/>
      <c r="DM45" s="91"/>
      <c r="DN45" s="91"/>
      <c r="DO45" s="91"/>
      <c r="DP45" s="91"/>
      <c r="DQ45" s="91"/>
      <c r="DR45" s="91"/>
      <c r="DS45" s="91"/>
      <c r="DT45" s="91"/>
      <c r="DU45" s="91"/>
      <c r="DV45" s="91"/>
      <c r="DW45" s="91"/>
      <c r="DX45" s="91"/>
      <c r="DY45" s="91"/>
      <c r="DZ45" s="91"/>
      <c r="EA45" s="91"/>
      <c r="EB45" s="91"/>
      <c r="EC45" s="91"/>
      <c r="ED45" s="91"/>
      <c r="EE45" s="91"/>
      <c r="EF45" s="91"/>
      <c r="EG45" s="91"/>
      <c r="EH45" s="91"/>
      <c r="EI45" s="91"/>
      <c r="EJ45" s="91"/>
      <c r="EK45" s="91"/>
      <c r="EL45" s="91"/>
      <c r="EM45" s="91"/>
      <c r="EN45" s="91"/>
      <c r="EO45" s="91"/>
      <c r="EP45" s="91"/>
      <c r="EQ45" s="91"/>
      <c r="ER45" s="91"/>
      <c r="ES45" s="91"/>
      <c r="ET45" s="91"/>
      <c r="EU45" s="91"/>
      <c r="EV45" s="91"/>
      <c r="EW45" s="91"/>
      <c r="EX45" s="91"/>
      <c r="EY45" s="91"/>
      <c r="EZ45" s="91"/>
      <c r="FA45" s="91"/>
      <c r="FB45" s="91"/>
      <c r="FC45" s="91"/>
      <c r="FD45" s="91"/>
      <c r="FE45" s="91"/>
      <c r="FF45" s="91"/>
      <c r="FG45" s="91"/>
      <c r="FH45" s="91"/>
      <c r="FI45" s="91"/>
      <c r="FJ45" s="91"/>
      <c r="FK45" s="91"/>
      <c r="FL45" s="91"/>
      <c r="FM45" s="91"/>
      <c r="FN45" s="91"/>
      <c r="FO45" s="91"/>
      <c r="FP45" s="91"/>
      <c r="FQ45" s="91"/>
      <c r="FR45" s="91"/>
      <c r="FS45" s="91"/>
      <c r="FT45" s="91"/>
      <c r="FU45" s="91"/>
      <c r="FV45" s="91"/>
      <c r="FW45" s="91"/>
      <c r="FX45" s="91"/>
      <c r="FY45" s="91"/>
      <c r="FZ45" s="91"/>
      <c r="GA45" s="91"/>
      <c r="GB45" s="91"/>
      <c r="GC45" s="91"/>
      <c r="GD45" s="91"/>
      <c r="GE45" s="91"/>
      <c r="GF45" s="91"/>
      <c r="GG45" s="91"/>
      <c r="GH45" s="91"/>
      <c r="GI45" s="91"/>
      <c r="GJ45" s="91"/>
      <c r="GK45" s="91"/>
      <c r="GL45" s="91"/>
      <c r="GM45" s="91"/>
      <c r="GN45" s="91"/>
      <c r="GO45" s="91"/>
      <c r="GP45" s="91"/>
      <c r="GQ45" s="91"/>
      <c r="GR45" s="91"/>
    </row>
    <row r="46" spans="2:200" x14ac:dyDescent="0.15">
      <c r="B46" s="91"/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  <c r="AD46" s="91"/>
      <c r="AE46" s="91"/>
      <c r="AF46" s="91"/>
      <c r="AG46" s="91"/>
      <c r="AH46" s="91"/>
      <c r="AI46" s="91"/>
      <c r="AJ46" s="91"/>
      <c r="AK46" s="91"/>
      <c r="AL46" s="91"/>
      <c r="AM46" s="91"/>
      <c r="AN46" s="91"/>
      <c r="AO46" s="91"/>
      <c r="AP46" s="91"/>
      <c r="AQ46" s="91"/>
      <c r="AR46" s="91"/>
      <c r="AS46" s="91"/>
      <c r="AT46" s="91"/>
      <c r="AU46" s="91"/>
      <c r="AV46" s="91"/>
      <c r="AW46" s="91"/>
      <c r="AX46" s="91"/>
      <c r="AY46" s="91"/>
      <c r="AZ46" s="91"/>
      <c r="BA46" s="91"/>
      <c r="BB46" s="91"/>
      <c r="BC46" s="91"/>
      <c r="BD46" s="91"/>
      <c r="BE46" s="91"/>
      <c r="BF46" s="91"/>
      <c r="BG46" s="91"/>
      <c r="BH46" s="91"/>
      <c r="BI46" s="91"/>
      <c r="BJ46" s="91"/>
      <c r="BK46" s="91"/>
      <c r="BL46" s="91"/>
      <c r="BM46" s="91"/>
      <c r="BN46" s="91"/>
      <c r="BO46" s="91"/>
      <c r="BP46" s="91"/>
      <c r="BQ46" s="91"/>
      <c r="BR46" s="91"/>
      <c r="BS46" s="91"/>
      <c r="BT46" s="91"/>
      <c r="BU46" s="91"/>
      <c r="BV46" s="91"/>
      <c r="BW46" s="91"/>
      <c r="BX46" s="91"/>
      <c r="BY46" s="91"/>
      <c r="BZ46" s="91"/>
      <c r="CA46" s="91"/>
      <c r="CB46" s="91"/>
      <c r="CC46" s="91"/>
      <c r="CD46" s="91"/>
      <c r="CE46" s="91"/>
      <c r="CF46" s="91"/>
      <c r="CG46" s="91"/>
      <c r="CH46" s="91"/>
      <c r="CI46" s="91"/>
      <c r="CJ46" s="91"/>
      <c r="CK46" s="91"/>
      <c r="CL46" s="91"/>
      <c r="CM46" s="91"/>
      <c r="CN46" s="91"/>
      <c r="CO46" s="91"/>
      <c r="CP46" s="91"/>
      <c r="CQ46" s="91"/>
      <c r="CR46" s="91"/>
      <c r="CS46" s="91"/>
      <c r="CT46" s="91"/>
      <c r="CU46" s="91"/>
      <c r="CV46" s="91"/>
      <c r="CW46" s="91"/>
      <c r="CX46" s="91"/>
      <c r="CY46" s="91"/>
      <c r="CZ46" s="91"/>
      <c r="DA46" s="91"/>
      <c r="DB46" s="91"/>
      <c r="DC46" s="91"/>
      <c r="DD46" s="91"/>
      <c r="DE46" s="91"/>
      <c r="DF46" s="91"/>
      <c r="DG46" s="91"/>
      <c r="DH46" s="91"/>
      <c r="DI46" s="91"/>
      <c r="DJ46" s="91"/>
      <c r="DK46" s="91"/>
      <c r="DL46" s="91"/>
      <c r="DM46" s="91"/>
      <c r="DN46" s="91"/>
      <c r="DO46" s="91"/>
      <c r="DP46" s="91"/>
      <c r="DQ46" s="91"/>
      <c r="DR46" s="91"/>
      <c r="DS46" s="91"/>
      <c r="DT46" s="91"/>
      <c r="DU46" s="91"/>
      <c r="DV46" s="91"/>
      <c r="DW46" s="91"/>
      <c r="DX46" s="91"/>
      <c r="DY46" s="91"/>
      <c r="DZ46" s="91"/>
      <c r="EA46" s="91"/>
      <c r="EB46" s="91"/>
      <c r="EC46" s="91"/>
      <c r="ED46" s="91"/>
      <c r="EE46" s="91"/>
      <c r="EF46" s="91"/>
      <c r="EG46" s="91"/>
      <c r="EH46" s="91"/>
      <c r="EI46" s="91"/>
      <c r="EJ46" s="91"/>
      <c r="EK46" s="91"/>
      <c r="EL46" s="91"/>
      <c r="EM46" s="91"/>
      <c r="EN46" s="91"/>
      <c r="EO46" s="91"/>
      <c r="EP46" s="91"/>
      <c r="EQ46" s="91"/>
      <c r="ER46" s="91"/>
      <c r="ES46" s="91"/>
      <c r="ET46" s="91"/>
      <c r="EU46" s="91"/>
      <c r="EV46" s="91"/>
      <c r="EW46" s="91"/>
      <c r="EX46" s="91"/>
      <c r="EY46" s="91"/>
      <c r="EZ46" s="91"/>
      <c r="FA46" s="91"/>
      <c r="FB46" s="91"/>
      <c r="FC46" s="91"/>
      <c r="FD46" s="91"/>
      <c r="FE46" s="91"/>
      <c r="FF46" s="91"/>
      <c r="FG46" s="91"/>
      <c r="FH46" s="91"/>
      <c r="FI46" s="91"/>
      <c r="FJ46" s="91"/>
      <c r="FK46" s="91"/>
      <c r="FL46" s="91"/>
      <c r="FM46" s="91"/>
      <c r="FN46" s="91"/>
      <c r="FO46" s="91"/>
      <c r="FP46" s="91"/>
      <c r="FQ46" s="91"/>
      <c r="FR46" s="91"/>
      <c r="FS46" s="91"/>
      <c r="FT46" s="91"/>
      <c r="FU46" s="91"/>
      <c r="FV46" s="91"/>
      <c r="FW46" s="91"/>
      <c r="FX46" s="91"/>
      <c r="FY46" s="91"/>
      <c r="FZ46" s="91"/>
      <c r="GA46" s="91"/>
      <c r="GB46" s="91"/>
      <c r="GC46" s="91"/>
      <c r="GD46" s="91"/>
      <c r="GE46" s="91"/>
      <c r="GF46" s="91"/>
      <c r="GG46" s="91"/>
      <c r="GH46" s="91"/>
      <c r="GI46" s="91"/>
      <c r="GJ46" s="91"/>
      <c r="GK46" s="91"/>
      <c r="GL46" s="91"/>
      <c r="GM46" s="91"/>
      <c r="GN46" s="91"/>
      <c r="GO46" s="91"/>
      <c r="GP46" s="91"/>
      <c r="GQ46" s="91"/>
      <c r="GR46" s="91"/>
    </row>
    <row r="47" spans="2:200" x14ac:dyDescent="0.15"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/>
      <c r="AF47" s="91"/>
      <c r="AG47" s="91"/>
      <c r="AH47" s="91"/>
      <c r="AI47" s="91"/>
      <c r="AJ47" s="91"/>
      <c r="AK47" s="91"/>
      <c r="AL47" s="91"/>
      <c r="AM47" s="91"/>
      <c r="AN47" s="91"/>
      <c r="AO47" s="91"/>
      <c r="AP47" s="91"/>
      <c r="AQ47" s="91"/>
      <c r="AR47" s="91"/>
      <c r="AS47" s="91"/>
      <c r="AT47" s="91"/>
      <c r="AU47" s="91"/>
      <c r="AV47" s="91"/>
      <c r="AW47" s="91"/>
      <c r="AX47" s="91"/>
      <c r="AY47" s="91"/>
      <c r="AZ47" s="91"/>
      <c r="BA47" s="91"/>
      <c r="BB47" s="91"/>
      <c r="BC47" s="91"/>
      <c r="BD47" s="91"/>
      <c r="BE47" s="91"/>
      <c r="BF47" s="91"/>
      <c r="BG47" s="91"/>
      <c r="BH47" s="91"/>
      <c r="BI47" s="91"/>
      <c r="BJ47" s="91"/>
      <c r="BK47" s="91"/>
      <c r="BL47" s="91"/>
      <c r="BM47" s="91"/>
      <c r="BN47" s="91"/>
      <c r="BO47" s="91"/>
      <c r="BP47" s="91"/>
      <c r="BQ47" s="91"/>
      <c r="BR47" s="91"/>
      <c r="BS47" s="91"/>
      <c r="BT47" s="91"/>
      <c r="BU47" s="91"/>
      <c r="BV47" s="91"/>
      <c r="BW47" s="91"/>
      <c r="BX47" s="91"/>
      <c r="BY47" s="91"/>
      <c r="BZ47" s="91"/>
      <c r="CA47" s="91"/>
      <c r="CB47" s="91"/>
      <c r="CC47" s="91"/>
      <c r="CD47" s="91"/>
      <c r="CE47" s="91"/>
      <c r="CF47" s="91"/>
      <c r="CG47" s="91"/>
      <c r="CH47" s="91"/>
      <c r="CI47" s="91"/>
      <c r="CJ47" s="91"/>
      <c r="CK47" s="91"/>
      <c r="CL47" s="91"/>
      <c r="CM47" s="91"/>
      <c r="CN47" s="91"/>
      <c r="CO47" s="91"/>
      <c r="CP47" s="91"/>
      <c r="CQ47" s="91"/>
      <c r="CR47" s="91"/>
      <c r="CS47" s="91"/>
      <c r="CT47" s="91"/>
      <c r="CU47" s="91"/>
      <c r="CV47" s="91"/>
      <c r="CW47" s="91"/>
      <c r="CX47" s="91"/>
      <c r="CY47" s="91"/>
      <c r="CZ47" s="91"/>
      <c r="DA47" s="91"/>
      <c r="DB47" s="91"/>
      <c r="DC47" s="91"/>
      <c r="DD47" s="91"/>
      <c r="DE47" s="91"/>
      <c r="DF47" s="91"/>
      <c r="DG47" s="91"/>
      <c r="DH47" s="91"/>
      <c r="DI47" s="91"/>
      <c r="DJ47" s="91"/>
      <c r="DK47" s="91"/>
      <c r="DL47" s="91"/>
      <c r="DM47" s="91"/>
      <c r="DN47" s="91"/>
      <c r="DO47" s="91"/>
      <c r="DP47" s="91"/>
      <c r="DQ47" s="91"/>
      <c r="DR47" s="91"/>
      <c r="DS47" s="91"/>
      <c r="DT47" s="91"/>
      <c r="DU47" s="91"/>
      <c r="DV47" s="91"/>
      <c r="DW47" s="91"/>
      <c r="DX47" s="91"/>
      <c r="DY47" s="91"/>
      <c r="DZ47" s="91"/>
      <c r="EA47" s="91"/>
      <c r="EB47" s="91"/>
      <c r="EC47" s="91"/>
      <c r="ED47" s="91"/>
      <c r="EE47" s="91"/>
      <c r="EF47" s="91"/>
      <c r="EG47" s="91"/>
      <c r="EH47" s="91"/>
      <c r="EI47" s="91"/>
      <c r="EJ47" s="91"/>
      <c r="EK47" s="91"/>
      <c r="EL47" s="91"/>
      <c r="EM47" s="91"/>
      <c r="EN47" s="91"/>
      <c r="EO47" s="91"/>
      <c r="EP47" s="91"/>
      <c r="EQ47" s="91"/>
      <c r="ER47" s="91"/>
      <c r="ES47" s="91"/>
      <c r="ET47" s="91"/>
      <c r="EU47" s="91"/>
      <c r="EV47" s="91"/>
      <c r="EW47" s="91"/>
      <c r="EX47" s="91"/>
      <c r="EY47" s="91"/>
      <c r="EZ47" s="91"/>
      <c r="FA47" s="91"/>
      <c r="FB47" s="91"/>
      <c r="FC47" s="91"/>
      <c r="FD47" s="91"/>
      <c r="FE47" s="91"/>
      <c r="FF47" s="91"/>
      <c r="FG47" s="91"/>
      <c r="FH47" s="91"/>
      <c r="FI47" s="91"/>
      <c r="FJ47" s="91"/>
      <c r="FK47" s="91"/>
      <c r="FL47" s="91"/>
      <c r="FM47" s="91"/>
      <c r="FN47" s="91"/>
      <c r="FO47" s="91"/>
      <c r="FP47" s="91"/>
      <c r="FQ47" s="91"/>
      <c r="FR47" s="91"/>
      <c r="FS47" s="91"/>
      <c r="FT47" s="91"/>
      <c r="FU47" s="91"/>
      <c r="FV47" s="91"/>
      <c r="FW47" s="91"/>
      <c r="FX47" s="91"/>
      <c r="FY47" s="91"/>
      <c r="FZ47" s="91"/>
      <c r="GA47" s="91"/>
      <c r="GB47" s="91"/>
      <c r="GC47" s="91"/>
      <c r="GD47" s="91"/>
      <c r="GE47" s="91"/>
      <c r="GF47" s="91"/>
      <c r="GG47" s="91"/>
      <c r="GH47" s="91"/>
      <c r="GI47" s="91"/>
      <c r="GJ47" s="91"/>
      <c r="GK47" s="91"/>
      <c r="GL47" s="91"/>
      <c r="GM47" s="91"/>
      <c r="GN47" s="91"/>
      <c r="GO47" s="91"/>
      <c r="GP47" s="91"/>
      <c r="GQ47" s="91"/>
      <c r="GR47" s="91"/>
    </row>
    <row r="48" spans="2:200" x14ac:dyDescent="0.15">
      <c r="B48" s="91"/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91"/>
      <c r="AO48" s="91"/>
      <c r="AP48" s="91"/>
      <c r="AQ48" s="91"/>
      <c r="AR48" s="91"/>
      <c r="AS48" s="91"/>
      <c r="AT48" s="91"/>
      <c r="AU48" s="91"/>
      <c r="AV48" s="91"/>
      <c r="AW48" s="91"/>
      <c r="AX48" s="91"/>
      <c r="AY48" s="91"/>
      <c r="AZ48" s="91"/>
      <c r="BA48" s="91"/>
      <c r="BB48" s="91"/>
      <c r="BC48" s="91"/>
      <c r="BD48" s="91"/>
      <c r="BE48" s="91"/>
      <c r="BF48" s="91"/>
      <c r="BG48" s="91"/>
      <c r="BH48" s="91"/>
      <c r="BI48" s="91"/>
      <c r="BJ48" s="91"/>
      <c r="BK48" s="91"/>
      <c r="BL48" s="91"/>
      <c r="BM48" s="91"/>
      <c r="BN48" s="91"/>
      <c r="BO48" s="91"/>
      <c r="BP48" s="91"/>
      <c r="BQ48" s="91"/>
      <c r="BR48" s="91"/>
      <c r="BS48" s="91"/>
      <c r="BT48" s="91"/>
      <c r="BU48" s="91"/>
      <c r="BV48" s="91"/>
      <c r="BW48" s="91"/>
      <c r="BX48" s="91"/>
      <c r="BY48" s="91"/>
      <c r="BZ48" s="91"/>
      <c r="CA48" s="91"/>
      <c r="CB48" s="91"/>
      <c r="CC48" s="91"/>
      <c r="CD48" s="91"/>
      <c r="CE48" s="91"/>
      <c r="CF48" s="91"/>
      <c r="CG48" s="91"/>
      <c r="CH48" s="91"/>
      <c r="CI48" s="91"/>
      <c r="CJ48" s="91"/>
      <c r="CK48" s="91"/>
      <c r="CL48" s="91"/>
      <c r="CM48" s="91"/>
      <c r="CN48" s="91"/>
      <c r="CO48" s="91"/>
      <c r="CP48" s="91"/>
      <c r="CQ48" s="91"/>
      <c r="CR48" s="91"/>
      <c r="CS48" s="91"/>
      <c r="CT48" s="91"/>
      <c r="CU48" s="91"/>
      <c r="CV48" s="91"/>
      <c r="CW48" s="91"/>
      <c r="CX48" s="91"/>
      <c r="CY48" s="91"/>
      <c r="CZ48" s="91"/>
      <c r="DA48" s="91"/>
      <c r="DB48" s="91"/>
      <c r="DC48" s="91"/>
      <c r="DD48" s="91"/>
      <c r="DE48" s="91"/>
      <c r="DF48" s="91"/>
      <c r="DG48" s="91"/>
      <c r="DH48" s="91"/>
      <c r="DI48" s="91"/>
      <c r="DJ48" s="91"/>
      <c r="DK48" s="91"/>
      <c r="DL48" s="91"/>
      <c r="DM48" s="91"/>
      <c r="DN48" s="91"/>
      <c r="DO48" s="91"/>
      <c r="DP48" s="91"/>
      <c r="DQ48" s="91"/>
      <c r="DR48" s="91"/>
      <c r="DS48" s="91"/>
      <c r="DT48" s="91"/>
      <c r="DU48" s="91"/>
      <c r="DV48" s="91"/>
      <c r="DW48" s="91"/>
      <c r="DX48" s="91"/>
      <c r="DY48" s="91"/>
      <c r="DZ48" s="91"/>
      <c r="EA48" s="91"/>
      <c r="EB48" s="91"/>
      <c r="EC48" s="91"/>
      <c r="ED48" s="91"/>
      <c r="EE48" s="91"/>
      <c r="EF48" s="91"/>
      <c r="EG48" s="91"/>
      <c r="EH48" s="91"/>
      <c r="EI48" s="91"/>
      <c r="EJ48" s="91"/>
      <c r="EK48" s="91"/>
      <c r="EL48" s="91"/>
      <c r="EM48" s="91"/>
      <c r="EN48" s="91"/>
      <c r="EO48" s="91"/>
      <c r="EP48" s="91"/>
      <c r="EQ48" s="91"/>
      <c r="ER48" s="91"/>
      <c r="ES48" s="91"/>
      <c r="ET48" s="91"/>
      <c r="EU48" s="91"/>
      <c r="EV48" s="91"/>
      <c r="EW48" s="91"/>
      <c r="EX48" s="91"/>
      <c r="EY48" s="91"/>
      <c r="EZ48" s="91"/>
      <c r="FA48" s="91"/>
      <c r="FB48" s="91"/>
      <c r="FC48" s="91"/>
      <c r="FD48" s="91"/>
      <c r="FE48" s="91"/>
      <c r="FF48" s="91"/>
      <c r="FG48" s="91"/>
      <c r="FH48" s="91"/>
      <c r="FI48" s="91"/>
      <c r="FJ48" s="91"/>
      <c r="FK48" s="91"/>
      <c r="FL48" s="91"/>
      <c r="FM48" s="91"/>
      <c r="FN48" s="91"/>
      <c r="FO48" s="91"/>
      <c r="FP48" s="91"/>
      <c r="FQ48" s="91"/>
      <c r="FR48" s="91"/>
      <c r="FS48" s="91"/>
      <c r="FT48" s="91"/>
      <c r="FU48" s="91"/>
      <c r="FV48" s="91"/>
      <c r="FW48" s="91"/>
      <c r="FX48" s="91"/>
      <c r="FY48" s="91"/>
      <c r="FZ48" s="91"/>
      <c r="GA48" s="91"/>
      <c r="GB48" s="91"/>
      <c r="GC48" s="91"/>
      <c r="GD48" s="91"/>
      <c r="GE48" s="91"/>
      <c r="GF48" s="91"/>
      <c r="GG48" s="91"/>
      <c r="GH48" s="91"/>
      <c r="GI48" s="91"/>
      <c r="GJ48" s="91"/>
      <c r="GK48" s="91"/>
      <c r="GL48" s="91"/>
      <c r="GM48" s="91"/>
      <c r="GN48" s="91"/>
      <c r="GO48" s="91"/>
      <c r="GP48" s="91"/>
      <c r="GQ48" s="91"/>
      <c r="GR48" s="91"/>
    </row>
    <row r="49" spans="2:200" x14ac:dyDescent="0.15"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/>
      <c r="AF49" s="91"/>
      <c r="AG49" s="91"/>
      <c r="AH49" s="91"/>
      <c r="AI49" s="91"/>
      <c r="AJ49" s="91"/>
      <c r="AK49" s="91"/>
      <c r="AL49" s="91"/>
      <c r="AM49" s="91"/>
      <c r="AN49" s="91"/>
      <c r="AO49" s="91"/>
      <c r="AP49" s="91"/>
      <c r="AQ49" s="91"/>
      <c r="AR49" s="91"/>
      <c r="AS49" s="91"/>
      <c r="AT49" s="91"/>
      <c r="AU49" s="91"/>
      <c r="AV49" s="91"/>
      <c r="AW49" s="91"/>
      <c r="AX49" s="91"/>
      <c r="AY49" s="91"/>
      <c r="AZ49" s="91"/>
      <c r="BA49" s="91"/>
      <c r="BB49" s="91"/>
      <c r="BC49" s="91"/>
      <c r="BD49" s="91"/>
      <c r="BE49" s="91"/>
      <c r="BF49" s="91"/>
      <c r="BG49" s="91"/>
      <c r="BH49" s="91"/>
      <c r="BI49" s="91"/>
      <c r="BJ49" s="91"/>
      <c r="BK49" s="91"/>
      <c r="BL49" s="91"/>
      <c r="BM49" s="91"/>
      <c r="BN49" s="91"/>
      <c r="BO49" s="91"/>
      <c r="BP49" s="91"/>
      <c r="BQ49" s="91"/>
      <c r="BR49" s="91"/>
      <c r="BS49" s="91"/>
      <c r="BT49" s="91"/>
      <c r="BU49" s="91"/>
      <c r="BV49" s="91"/>
      <c r="BW49" s="91"/>
      <c r="BX49" s="91"/>
      <c r="BY49" s="91"/>
      <c r="BZ49" s="91"/>
      <c r="CA49" s="91"/>
      <c r="CB49" s="91"/>
      <c r="CC49" s="91"/>
      <c r="CD49" s="91"/>
      <c r="CE49" s="91"/>
      <c r="CF49" s="91"/>
      <c r="CG49" s="91"/>
      <c r="CH49" s="91"/>
      <c r="CI49" s="91"/>
      <c r="CJ49" s="91"/>
      <c r="CK49" s="91"/>
      <c r="CL49" s="91"/>
      <c r="CM49" s="91"/>
      <c r="CN49" s="91"/>
      <c r="CO49" s="91"/>
      <c r="CP49" s="91"/>
      <c r="CQ49" s="91"/>
      <c r="CR49" s="91"/>
      <c r="CS49" s="91"/>
      <c r="CT49" s="91"/>
      <c r="CU49" s="91"/>
      <c r="CV49" s="91"/>
      <c r="CW49" s="91"/>
      <c r="CX49" s="91"/>
      <c r="CY49" s="91"/>
      <c r="CZ49" s="91"/>
      <c r="DA49" s="91"/>
      <c r="DB49" s="91"/>
      <c r="DC49" s="91"/>
      <c r="DD49" s="91"/>
      <c r="DE49" s="91"/>
      <c r="DF49" s="91"/>
      <c r="DG49" s="91"/>
      <c r="DH49" s="91"/>
      <c r="DI49" s="91"/>
      <c r="DJ49" s="91"/>
      <c r="DK49" s="91"/>
      <c r="DL49" s="91"/>
      <c r="DM49" s="91"/>
      <c r="DN49" s="91"/>
      <c r="DO49" s="91"/>
      <c r="DP49" s="91"/>
      <c r="DQ49" s="91"/>
      <c r="DR49" s="91"/>
      <c r="DS49" s="91"/>
      <c r="DT49" s="91"/>
      <c r="DU49" s="91"/>
      <c r="DV49" s="91"/>
      <c r="DW49" s="91"/>
      <c r="DX49" s="91"/>
      <c r="DY49" s="91"/>
      <c r="DZ49" s="91"/>
      <c r="EA49" s="91"/>
      <c r="EB49" s="91"/>
      <c r="EC49" s="91"/>
      <c r="ED49" s="91"/>
      <c r="EE49" s="91"/>
      <c r="EF49" s="91"/>
      <c r="EG49" s="91"/>
      <c r="EH49" s="91"/>
      <c r="EI49" s="91"/>
      <c r="EJ49" s="91"/>
      <c r="EK49" s="91"/>
      <c r="EL49" s="91"/>
      <c r="EM49" s="91"/>
      <c r="EN49" s="91"/>
      <c r="EO49" s="91"/>
      <c r="EP49" s="91"/>
      <c r="EQ49" s="91"/>
      <c r="ER49" s="91"/>
      <c r="ES49" s="91"/>
      <c r="ET49" s="91"/>
      <c r="EU49" s="91"/>
      <c r="EV49" s="91"/>
      <c r="EW49" s="91"/>
      <c r="EX49" s="91"/>
      <c r="EY49" s="91"/>
      <c r="EZ49" s="91"/>
      <c r="FA49" s="91"/>
      <c r="FB49" s="91"/>
      <c r="FC49" s="91"/>
      <c r="FD49" s="91"/>
      <c r="FE49" s="91"/>
      <c r="FF49" s="91"/>
      <c r="FG49" s="91"/>
      <c r="FH49" s="91"/>
      <c r="FI49" s="91"/>
      <c r="FJ49" s="91"/>
      <c r="FK49" s="91"/>
      <c r="FL49" s="91"/>
      <c r="FM49" s="91"/>
      <c r="FN49" s="91"/>
      <c r="FO49" s="91"/>
      <c r="FP49" s="91"/>
      <c r="FQ49" s="91"/>
      <c r="FR49" s="91"/>
      <c r="FS49" s="91"/>
      <c r="FT49" s="91"/>
      <c r="FU49" s="91"/>
      <c r="FV49" s="91"/>
      <c r="FW49" s="91"/>
      <c r="FX49" s="91"/>
      <c r="FY49" s="91"/>
      <c r="FZ49" s="91"/>
      <c r="GA49" s="91"/>
      <c r="GB49" s="91"/>
      <c r="GC49" s="91"/>
      <c r="GD49" s="91"/>
      <c r="GE49" s="91"/>
      <c r="GF49" s="91"/>
      <c r="GG49" s="91"/>
      <c r="GH49" s="91"/>
      <c r="GI49" s="91"/>
      <c r="GJ49" s="91"/>
      <c r="GK49" s="91"/>
      <c r="GL49" s="91"/>
      <c r="GM49" s="91"/>
      <c r="GN49" s="91"/>
      <c r="GO49" s="91"/>
      <c r="GP49" s="91"/>
      <c r="GQ49" s="91"/>
      <c r="GR49" s="91"/>
    </row>
    <row r="50" spans="2:200" x14ac:dyDescent="0.15">
      <c r="B50" s="91"/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  <c r="AD50" s="91"/>
      <c r="AE50" s="91"/>
      <c r="AF50" s="91"/>
      <c r="AG50" s="91"/>
      <c r="AH50" s="91"/>
      <c r="AI50" s="91"/>
      <c r="AJ50" s="91"/>
      <c r="AK50" s="91"/>
      <c r="AL50" s="91"/>
      <c r="AM50" s="91"/>
      <c r="AN50" s="91"/>
      <c r="AO50" s="91"/>
      <c r="AP50" s="91"/>
      <c r="AQ50" s="91"/>
      <c r="AR50" s="91"/>
      <c r="AS50" s="91"/>
      <c r="AT50" s="91"/>
      <c r="AU50" s="91"/>
      <c r="AV50" s="91"/>
      <c r="AW50" s="91"/>
      <c r="AX50" s="91"/>
      <c r="AY50" s="91"/>
      <c r="AZ50" s="91"/>
      <c r="BA50" s="91"/>
      <c r="BB50" s="91"/>
      <c r="BC50" s="91"/>
      <c r="BD50" s="91"/>
      <c r="BE50" s="91"/>
      <c r="BF50" s="91"/>
      <c r="BG50" s="91"/>
      <c r="BH50" s="91"/>
      <c r="BI50" s="91"/>
      <c r="BJ50" s="91"/>
      <c r="BK50" s="91"/>
      <c r="BL50" s="91"/>
      <c r="BM50" s="91"/>
      <c r="BN50" s="91"/>
      <c r="BO50" s="91"/>
      <c r="BP50" s="91"/>
      <c r="BQ50" s="91"/>
      <c r="BR50" s="91"/>
      <c r="BS50" s="91"/>
      <c r="BT50" s="91"/>
      <c r="BU50" s="91"/>
      <c r="BV50" s="91"/>
      <c r="BW50" s="91"/>
      <c r="BX50" s="91"/>
      <c r="BY50" s="91"/>
      <c r="BZ50" s="91"/>
      <c r="CA50" s="91"/>
      <c r="CB50" s="91"/>
      <c r="CC50" s="91"/>
      <c r="CD50" s="91"/>
      <c r="CE50" s="91"/>
      <c r="CF50" s="91"/>
      <c r="CG50" s="91"/>
      <c r="CH50" s="91"/>
      <c r="CI50" s="91"/>
      <c r="CJ50" s="91"/>
      <c r="CK50" s="91"/>
      <c r="CL50" s="91"/>
      <c r="CM50" s="91"/>
      <c r="CN50" s="91"/>
      <c r="CO50" s="91"/>
      <c r="CP50" s="91"/>
      <c r="CQ50" s="91"/>
      <c r="CR50" s="91"/>
      <c r="CS50" s="91"/>
      <c r="CT50" s="91"/>
      <c r="CU50" s="91"/>
      <c r="CV50" s="91"/>
      <c r="CW50" s="91"/>
      <c r="CX50" s="91"/>
      <c r="CY50" s="91"/>
      <c r="CZ50" s="91"/>
      <c r="DA50" s="91"/>
      <c r="DB50" s="91"/>
      <c r="DC50" s="91"/>
      <c r="DD50" s="91"/>
      <c r="DE50" s="91"/>
      <c r="DF50" s="91"/>
      <c r="DG50" s="91"/>
      <c r="DH50" s="91"/>
      <c r="DI50" s="91"/>
      <c r="DJ50" s="91"/>
      <c r="DK50" s="91"/>
      <c r="DL50" s="91"/>
      <c r="DM50" s="91"/>
      <c r="DN50" s="91"/>
      <c r="DO50" s="91"/>
      <c r="DP50" s="91"/>
      <c r="DQ50" s="91"/>
      <c r="DR50" s="91"/>
      <c r="DS50" s="91"/>
      <c r="DT50" s="91"/>
      <c r="DU50" s="91"/>
      <c r="DV50" s="91"/>
      <c r="DW50" s="91"/>
      <c r="DX50" s="91"/>
      <c r="DY50" s="91"/>
      <c r="DZ50" s="91"/>
      <c r="EA50" s="91"/>
      <c r="EB50" s="91"/>
      <c r="EC50" s="91"/>
      <c r="ED50" s="91"/>
      <c r="EE50" s="91"/>
      <c r="EF50" s="91"/>
      <c r="EG50" s="91"/>
      <c r="EH50" s="91"/>
      <c r="EI50" s="91"/>
      <c r="EJ50" s="91"/>
      <c r="EK50" s="91"/>
      <c r="EL50" s="91"/>
      <c r="EM50" s="91"/>
      <c r="EN50" s="91"/>
      <c r="EO50" s="91"/>
      <c r="EP50" s="91"/>
      <c r="EQ50" s="91"/>
      <c r="ER50" s="91"/>
      <c r="ES50" s="91"/>
      <c r="ET50" s="91"/>
      <c r="EU50" s="91"/>
      <c r="EV50" s="91"/>
      <c r="EW50" s="91"/>
      <c r="EX50" s="91"/>
      <c r="EY50" s="91"/>
      <c r="EZ50" s="91"/>
      <c r="FA50" s="91"/>
      <c r="FB50" s="91"/>
      <c r="FC50" s="91"/>
      <c r="FD50" s="91"/>
      <c r="FE50" s="91"/>
      <c r="FF50" s="91"/>
      <c r="FG50" s="91"/>
      <c r="FH50" s="91"/>
      <c r="FI50" s="91"/>
      <c r="FJ50" s="91"/>
      <c r="FK50" s="91"/>
      <c r="FL50" s="91"/>
      <c r="FM50" s="91"/>
      <c r="FN50" s="91"/>
      <c r="FO50" s="91"/>
      <c r="FP50" s="91"/>
      <c r="FQ50" s="91"/>
      <c r="FR50" s="91"/>
      <c r="FS50" s="91"/>
      <c r="FT50" s="91"/>
      <c r="FU50" s="91"/>
      <c r="FV50" s="91"/>
      <c r="FW50" s="91"/>
      <c r="FX50" s="91"/>
      <c r="FY50" s="91"/>
      <c r="FZ50" s="91"/>
      <c r="GA50" s="91"/>
      <c r="GB50" s="91"/>
      <c r="GC50" s="91"/>
      <c r="GD50" s="91"/>
      <c r="GE50" s="91"/>
      <c r="GF50" s="91"/>
      <c r="GG50" s="91"/>
      <c r="GH50" s="91"/>
      <c r="GI50" s="91"/>
      <c r="GJ50" s="91"/>
      <c r="GK50" s="91"/>
      <c r="GL50" s="91"/>
      <c r="GM50" s="91"/>
      <c r="GN50" s="91"/>
      <c r="GO50" s="91"/>
      <c r="GP50" s="91"/>
      <c r="GQ50" s="91"/>
      <c r="GR50" s="91"/>
    </row>
    <row r="51" spans="2:200" x14ac:dyDescent="0.15"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  <c r="AD51" s="91"/>
      <c r="AE51" s="91"/>
      <c r="AF51" s="91"/>
      <c r="AG51" s="91"/>
      <c r="AH51" s="91"/>
      <c r="AI51" s="91"/>
      <c r="AJ51" s="91"/>
      <c r="AK51" s="91"/>
      <c r="AL51" s="91"/>
      <c r="AM51" s="91"/>
      <c r="AN51" s="91"/>
      <c r="AO51" s="91"/>
      <c r="AP51" s="91"/>
      <c r="AQ51" s="91"/>
      <c r="AR51" s="91"/>
      <c r="AS51" s="91"/>
      <c r="AT51" s="91"/>
      <c r="AU51" s="91"/>
      <c r="AV51" s="91"/>
      <c r="AW51" s="91"/>
      <c r="AX51" s="91"/>
      <c r="AY51" s="91"/>
      <c r="AZ51" s="91"/>
      <c r="BA51" s="91"/>
      <c r="BB51" s="91"/>
      <c r="BC51" s="91"/>
      <c r="BD51" s="91"/>
      <c r="BE51" s="91"/>
      <c r="BF51" s="91"/>
      <c r="BG51" s="91"/>
      <c r="BH51" s="91"/>
      <c r="BI51" s="91"/>
      <c r="BJ51" s="91"/>
      <c r="BK51" s="91"/>
      <c r="BL51" s="91"/>
      <c r="BM51" s="91"/>
      <c r="BN51" s="91"/>
      <c r="BO51" s="91"/>
      <c r="BP51" s="91"/>
      <c r="BQ51" s="91"/>
      <c r="BR51" s="91"/>
      <c r="BS51" s="91"/>
      <c r="BT51" s="91"/>
      <c r="BU51" s="91"/>
      <c r="BV51" s="91"/>
      <c r="BW51" s="91"/>
      <c r="BX51" s="91"/>
      <c r="BY51" s="91"/>
      <c r="BZ51" s="91"/>
      <c r="CA51" s="91"/>
      <c r="CB51" s="91"/>
      <c r="CC51" s="91"/>
      <c r="CD51" s="91"/>
      <c r="CE51" s="91"/>
      <c r="CF51" s="91"/>
      <c r="CG51" s="91"/>
      <c r="CH51" s="91"/>
      <c r="CI51" s="91"/>
      <c r="CJ51" s="91"/>
      <c r="CK51" s="91"/>
      <c r="CL51" s="91"/>
      <c r="CM51" s="91"/>
      <c r="CN51" s="91"/>
      <c r="CO51" s="91"/>
      <c r="CP51" s="91"/>
      <c r="CQ51" s="91"/>
      <c r="CR51" s="91"/>
      <c r="CS51" s="91"/>
      <c r="CT51" s="91"/>
      <c r="CU51" s="91"/>
      <c r="CV51" s="91"/>
      <c r="CW51" s="91"/>
      <c r="CX51" s="91"/>
      <c r="CY51" s="91"/>
      <c r="CZ51" s="91"/>
      <c r="DA51" s="91"/>
      <c r="DB51" s="91"/>
      <c r="DC51" s="91"/>
      <c r="DD51" s="91"/>
      <c r="DE51" s="91"/>
      <c r="DF51" s="91"/>
      <c r="DG51" s="91"/>
      <c r="DH51" s="91"/>
      <c r="DI51" s="91"/>
      <c r="DJ51" s="91"/>
      <c r="DK51" s="91"/>
      <c r="DL51" s="91"/>
      <c r="DM51" s="91"/>
      <c r="DN51" s="91"/>
      <c r="DO51" s="91"/>
      <c r="DP51" s="91"/>
      <c r="DQ51" s="91"/>
      <c r="DR51" s="91"/>
      <c r="DS51" s="91"/>
      <c r="DT51" s="91"/>
      <c r="DU51" s="91"/>
      <c r="DV51" s="91"/>
      <c r="DW51" s="91"/>
      <c r="DX51" s="91"/>
      <c r="DY51" s="91"/>
      <c r="DZ51" s="91"/>
      <c r="EA51" s="91"/>
      <c r="EB51" s="91"/>
      <c r="EC51" s="91"/>
      <c r="ED51" s="91"/>
      <c r="EE51" s="91"/>
      <c r="EF51" s="91"/>
      <c r="EG51" s="91"/>
      <c r="EH51" s="91"/>
      <c r="EI51" s="91"/>
      <c r="EJ51" s="91"/>
      <c r="EK51" s="91"/>
      <c r="EL51" s="91"/>
      <c r="EM51" s="91"/>
      <c r="EN51" s="91"/>
      <c r="EO51" s="91"/>
      <c r="EP51" s="91"/>
      <c r="EQ51" s="91"/>
      <c r="ER51" s="91"/>
      <c r="ES51" s="91"/>
      <c r="ET51" s="91"/>
      <c r="EU51" s="91"/>
      <c r="EV51" s="91"/>
      <c r="EW51" s="91"/>
      <c r="EX51" s="91"/>
      <c r="EY51" s="91"/>
      <c r="EZ51" s="91"/>
      <c r="FA51" s="91"/>
      <c r="FB51" s="91"/>
      <c r="FC51" s="91"/>
      <c r="FD51" s="91"/>
      <c r="FE51" s="91"/>
      <c r="FF51" s="91"/>
      <c r="FG51" s="91"/>
      <c r="FH51" s="91"/>
      <c r="FI51" s="91"/>
      <c r="FJ51" s="91"/>
      <c r="FK51" s="91"/>
      <c r="FL51" s="91"/>
      <c r="FM51" s="91"/>
      <c r="FN51" s="91"/>
      <c r="FO51" s="91"/>
      <c r="FP51" s="91"/>
      <c r="FQ51" s="91"/>
      <c r="FR51" s="91"/>
      <c r="FS51" s="91"/>
      <c r="FT51" s="91"/>
      <c r="FU51" s="91"/>
      <c r="FV51" s="91"/>
      <c r="FW51" s="91"/>
      <c r="FX51" s="91"/>
      <c r="FY51" s="91"/>
      <c r="FZ51" s="91"/>
      <c r="GA51" s="91"/>
      <c r="GB51" s="91"/>
      <c r="GC51" s="91"/>
      <c r="GD51" s="91"/>
      <c r="GE51" s="91"/>
      <c r="GF51" s="91"/>
      <c r="GG51" s="91"/>
      <c r="GH51" s="91"/>
      <c r="GI51" s="91"/>
      <c r="GJ51" s="91"/>
      <c r="GK51" s="91"/>
      <c r="GL51" s="91"/>
      <c r="GM51" s="91"/>
      <c r="GN51" s="91"/>
      <c r="GO51" s="91"/>
      <c r="GP51" s="91"/>
      <c r="GQ51" s="91"/>
      <c r="GR51" s="91"/>
    </row>
    <row r="52" spans="2:200" x14ac:dyDescent="0.15">
      <c r="B52" s="91"/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  <c r="AD52" s="91"/>
      <c r="AE52" s="91"/>
      <c r="AF52" s="91"/>
      <c r="AG52" s="91"/>
      <c r="AH52" s="91"/>
      <c r="AI52" s="91"/>
      <c r="AJ52" s="91"/>
      <c r="AK52" s="91"/>
      <c r="AL52" s="91"/>
      <c r="AM52" s="91"/>
      <c r="AN52" s="91"/>
      <c r="AO52" s="91"/>
      <c r="AP52" s="91"/>
      <c r="AQ52" s="91"/>
      <c r="AR52" s="91"/>
      <c r="AS52" s="91"/>
      <c r="AT52" s="91"/>
      <c r="AU52" s="91"/>
      <c r="AV52" s="91"/>
      <c r="AW52" s="91"/>
      <c r="AX52" s="91"/>
      <c r="AY52" s="91"/>
      <c r="AZ52" s="91"/>
      <c r="BA52" s="91"/>
      <c r="BB52" s="91"/>
      <c r="BC52" s="91"/>
      <c r="BD52" s="91"/>
      <c r="BE52" s="91"/>
      <c r="BF52" s="91"/>
      <c r="BG52" s="91"/>
      <c r="BH52" s="91"/>
      <c r="BI52" s="91"/>
      <c r="BJ52" s="91"/>
      <c r="BK52" s="91"/>
      <c r="BL52" s="91"/>
      <c r="BM52" s="91"/>
      <c r="BN52" s="91"/>
      <c r="BO52" s="91"/>
      <c r="BP52" s="91"/>
      <c r="BQ52" s="91"/>
      <c r="BR52" s="91"/>
      <c r="BS52" s="91"/>
      <c r="BT52" s="91"/>
      <c r="BU52" s="91"/>
      <c r="BV52" s="91"/>
      <c r="BW52" s="91"/>
      <c r="BX52" s="91"/>
      <c r="BY52" s="91"/>
      <c r="BZ52" s="91"/>
      <c r="CA52" s="91"/>
      <c r="CB52" s="91"/>
      <c r="CC52" s="91"/>
      <c r="CD52" s="91"/>
      <c r="CE52" s="91"/>
      <c r="CF52" s="91"/>
      <c r="CG52" s="91"/>
      <c r="CH52" s="91"/>
      <c r="CI52" s="91"/>
      <c r="CJ52" s="91"/>
      <c r="CK52" s="91"/>
      <c r="CL52" s="91"/>
      <c r="CM52" s="91"/>
      <c r="CN52" s="91"/>
      <c r="CO52" s="91"/>
      <c r="CP52" s="91"/>
      <c r="CQ52" s="91"/>
      <c r="CR52" s="91"/>
      <c r="CS52" s="91"/>
      <c r="CT52" s="91"/>
      <c r="CU52" s="91"/>
      <c r="CV52" s="91"/>
      <c r="CW52" s="91"/>
      <c r="CX52" s="91"/>
      <c r="CY52" s="91"/>
      <c r="CZ52" s="91"/>
      <c r="DA52" s="91"/>
      <c r="DB52" s="91"/>
      <c r="DC52" s="91"/>
      <c r="DD52" s="91"/>
      <c r="DE52" s="91"/>
      <c r="DF52" s="91"/>
      <c r="DG52" s="91"/>
      <c r="DH52" s="91"/>
      <c r="DI52" s="91"/>
      <c r="DJ52" s="91"/>
      <c r="DK52" s="91"/>
      <c r="DL52" s="91"/>
      <c r="DM52" s="91"/>
      <c r="DN52" s="91"/>
      <c r="DO52" s="91"/>
      <c r="DP52" s="91"/>
      <c r="DQ52" s="91"/>
      <c r="DR52" s="91"/>
      <c r="DS52" s="91"/>
      <c r="DT52" s="91"/>
      <c r="DU52" s="91"/>
      <c r="DV52" s="91"/>
      <c r="DW52" s="91"/>
      <c r="DX52" s="91"/>
      <c r="DY52" s="91"/>
      <c r="DZ52" s="91"/>
      <c r="EA52" s="91"/>
      <c r="EB52" s="91"/>
      <c r="EC52" s="91"/>
      <c r="ED52" s="91"/>
      <c r="EE52" s="91"/>
      <c r="EF52" s="91"/>
      <c r="EG52" s="91"/>
      <c r="EH52" s="91"/>
      <c r="EI52" s="91"/>
      <c r="EJ52" s="91"/>
      <c r="EK52" s="91"/>
      <c r="EL52" s="91"/>
      <c r="EM52" s="91"/>
      <c r="EN52" s="91"/>
      <c r="EO52" s="91"/>
      <c r="EP52" s="91"/>
      <c r="EQ52" s="91"/>
      <c r="ER52" s="91"/>
      <c r="ES52" s="91"/>
      <c r="ET52" s="91"/>
      <c r="EU52" s="91"/>
      <c r="EV52" s="91"/>
      <c r="EW52" s="91"/>
      <c r="EX52" s="91"/>
      <c r="EY52" s="91"/>
      <c r="EZ52" s="91"/>
      <c r="FA52" s="91"/>
      <c r="FB52" s="91"/>
      <c r="FC52" s="91"/>
      <c r="FD52" s="91"/>
      <c r="FE52" s="91"/>
      <c r="FF52" s="91"/>
      <c r="FG52" s="91"/>
      <c r="FH52" s="91"/>
      <c r="FI52" s="91"/>
      <c r="FJ52" s="91"/>
      <c r="FK52" s="91"/>
      <c r="FL52" s="91"/>
      <c r="FM52" s="91"/>
      <c r="FN52" s="91"/>
      <c r="FO52" s="91"/>
      <c r="FP52" s="91"/>
      <c r="FQ52" s="91"/>
      <c r="FR52" s="91"/>
      <c r="FS52" s="91"/>
      <c r="FT52" s="91"/>
      <c r="FU52" s="91"/>
      <c r="FV52" s="91"/>
      <c r="FW52" s="91"/>
      <c r="FX52" s="91"/>
      <c r="FY52" s="91"/>
      <c r="FZ52" s="91"/>
      <c r="GA52" s="91"/>
      <c r="GB52" s="91"/>
      <c r="GC52" s="91"/>
      <c r="GD52" s="91"/>
      <c r="GE52" s="91"/>
      <c r="GF52" s="91"/>
      <c r="GG52" s="91"/>
      <c r="GH52" s="91"/>
      <c r="GI52" s="91"/>
      <c r="GJ52" s="91"/>
      <c r="GK52" s="91"/>
      <c r="GL52" s="91"/>
      <c r="GM52" s="91"/>
      <c r="GN52" s="91"/>
      <c r="GO52" s="91"/>
      <c r="GP52" s="91"/>
      <c r="GQ52" s="91"/>
      <c r="GR52" s="91"/>
    </row>
    <row r="53" spans="2:200" x14ac:dyDescent="0.15"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/>
      <c r="AJ53" s="91"/>
      <c r="AK53" s="91"/>
      <c r="AL53" s="91"/>
      <c r="AM53" s="91"/>
      <c r="AN53" s="91"/>
      <c r="AO53" s="91"/>
      <c r="AP53" s="91"/>
      <c r="AQ53" s="91"/>
      <c r="AR53" s="91"/>
      <c r="AS53" s="91"/>
      <c r="AT53" s="91"/>
      <c r="AU53" s="91"/>
      <c r="AV53" s="91"/>
      <c r="AW53" s="91"/>
      <c r="AX53" s="91"/>
      <c r="AY53" s="91"/>
      <c r="AZ53" s="91"/>
      <c r="BA53" s="91"/>
      <c r="BB53" s="91"/>
      <c r="BC53" s="91"/>
      <c r="BD53" s="91"/>
      <c r="BE53" s="91"/>
      <c r="BF53" s="91"/>
      <c r="BG53" s="91"/>
      <c r="BH53" s="91"/>
      <c r="BI53" s="91"/>
      <c r="BJ53" s="91"/>
      <c r="BK53" s="91"/>
      <c r="BL53" s="91"/>
      <c r="BM53" s="91"/>
      <c r="BN53" s="91"/>
      <c r="BO53" s="91"/>
      <c r="BP53" s="91"/>
      <c r="BQ53" s="91"/>
      <c r="BR53" s="91"/>
      <c r="BS53" s="91"/>
      <c r="BT53" s="91"/>
      <c r="BU53" s="91"/>
      <c r="BV53" s="91"/>
      <c r="BW53" s="91"/>
      <c r="BX53" s="91"/>
      <c r="BY53" s="91"/>
      <c r="BZ53" s="91"/>
      <c r="CA53" s="91"/>
      <c r="CB53" s="91"/>
      <c r="CC53" s="91"/>
      <c r="CD53" s="91"/>
      <c r="CE53" s="91"/>
      <c r="CF53" s="91"/>
      <c r="CG53" s="91"/>
      <c r="CH53" s="91"/>
      <c r="CI53" s="91"/>
      <c r="CJ53" s="91"/>
      <c r="CK53" s="91"/>
      <c r="CL53" s="91"/>
      <c r="CM53" s="91"/>
      <c r="CN53" s="91"/>
      <c r="CO53" s="91"/>
      <c r="CP53" s="91"/>
      <c r="CQ53" s="91"/>
      <c r="CR53" s="91"/>
      <c r="CS53" s="91"/>
      <c r="CT53" s="91"/>
      <c r="CU53" s="91"/>
      <c r="CV53" s="91"/>
      <c r="CW53" s="91"/>
      <c r="CX53" s="91"/>
      <c r="CY53" s="91"/>
      <c r="CZ53" s="91"/>
      <c r="DA53" s="91"/>
      <c r="DB53" s="91"/>
      <c r="DC53" s="91"/>
      <c r="DD53" s="91"/>
      <c r="DE53" s="91"/>
      <c r="DF53" s="91"/>
      <c r="DG53" s="91"/>
      <c r="DH53" s="91"/>
      <c r="DI53" s="91"/>
      <c r="DJ53" s="91"/>
      <c r="DK53" s="91"/>
      <c r="DL53" s="91"/>
      <c r="DM53" s="91"/>
      <c r="DN53" s="91"/>
      <c r="DO53" s="91"/>
      <c r="DP53" s="91"/>
      <c r="DQ53" s="91"/>
      <c r="DR53" s="91"/>
      <c r="DS53" s="91"/>
      <c r="DT53" s="91"/>
      <c r="DU53" s="91"/>
      <c r="DV53" s="91"/>
      <c r="DW53" s="91"/>
      <c r="DX53" s="91"/>
      <c r="DY53" s="91"/>
      <c r="DZ53" s="91"/>
      <c r="EA53" s="91"/>
      <c r="EB53" s="91"/>
      <c r="EC53" s="91"/>
      <c r="ED53" s="91"/>
      <c r="EE53" s="91"/>
      <c r="EF53" s="91"/>
      <c r="EG53" s="91"/>
      <c r="EH53" s="91"/>
      <c r="EI53" s="91"/>
      <c r="EJ53" s="91"/>
      <c r="EK53" s="91"/>
      <c r="EL53" s="91"/>
      <c r="EM53" s="91"/>
      <c r="EN53" s="91"/>
      <c r="EO53" s="91"/>
      <c r="EP53" s="91"/>
      <c r="EQ53" s="91"/>
      <c r="ER53" s="91"/>
      <c r="ES53" s="91"/>
      <c r="ET53" s="91"/>
      <c r="EU53" s="91"/>
      <c r="EV53" s="91"/>
      <c r="EW53" s="91"/>
      <c r="EX53" s="91"/>
      <c r="EY53" s="91"/>
      <c r="EZ53" s="91"/>
      <c r="FA53" s="91"/>
      <c r="FB53" s="91"/>
      <c r="FC53" s="91"/>
      <c r="FD53" s="91"/>
      <c r="FE53" s="91"/>
      <c r="FF53" s="91"/>
      <c r="FG53" s="91"/>
      <c r="FH53" s="91"/>
      <c r="FI53" s="91"/>
      <c r="FJ53" s="91"/>
      <c r="FK53" s="91"/>
      <c r="FL53" s="91"/>
      <c r="FM53" s="91"/>
      <c r="FN53" s="91"/>
      <c r="FO53" s="91"/>
      <c r="FP53" s="91"/>
      <c r="FQ53" s="91"/>
      <c r="FR53" s="91"/>
      <c r="FS53" s="91"/>
      <c r="FT53" s="91"/>
      <c r="FU53" s="91"/>
      <c r="FV53" s="91"/>
      <c r="FW53" s="91"/>
      <c r="FX53" s="91"/>
      <c r="FY53" s="91"/>
      <c r="FZ53" s="91"/>
      <c r="GA53" s="91"/>
      <c r="GB53" s="91"/>
      <c r="GC53" s="91"/>
      <c r="GD53" s="91"/>
      <c r="GE53" s="91"/>
      <c r="GF53" s="91"/>
      <c r="GG53" s="91"/>
      <c r="GH53" s="91"/>
      <c r="GI53" s="91"/>
      <c r="GJ53" s="91"/>
      <c r="GK53" s="91"/>
      <c r="GL53" s="91"/>
      <c r="GM53" s="91"/>
      <c r="GN53" s="91"/>
      <c r="GO53" s="91"/>
      <c r="GP53" s="91"/>
      <c r="GQ53" s="91"/>
      <c r="GR53" s="91"/>
    </row>
    <row r="54" spans="2:200" x14ac:dyDescent="0.15">
      <c r="B54" s="91"/>
      <c r="C54" s="91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/>
      <c r="AH54" s="91"/>
      <c r="AI54" s="91"/>
      <c r="AJ54" s="91"/>
      <c r="AK54" s="91"/>
      <c r="AL54" s="91"/>
      <c r="AM54" s="91"/>
      <c r="AN54" s="91"/>
      <c r="AO54" s="91"/>
      <c r="AP54" s="91"/>
      <c r="AQ54" s="91"/>
      <c r="AR54" s="91"/>
      <c r="AS54" s="91"/>
      <c r="AT54" s="91"/>
      <c r="AU54" s="91"/>
      <c r="AV54" s="91"/>
      <c r="AW54" s="91"/>
      <c r="AX54" s="91"/>
      <c r="AY54" s="91"/>
      <c r="AZ54" s="91"/>
      <c r="BA54" s="91"/>
      <c r="BB54" s="91"/>
      <c r="BC54" s="91"/>
      <c r="BD54" s="91"/>
      <c r="BE54" s="91"/>
      <c r="BF54" s="91"/>
      <c r="BG54" s="91"/>
      <c r="BH54" s="91"/>
      <c r="BI54" s="91"/>
      <c r="BJ54" s="91"/>
      <c r="BK54" s="91"/>
      <c r="BL54" s="91"/>
      <c r="BM54" s="91"/>
      <c r="BN54" s="91"/>
      <c r="BO54" s="91"/>
      <c r="BP54" s="91"/>
      <c r="BQ54" s="91"/>
      <c r="BR54" s="91"/>
      <c r="BS54" s="91"/>
      <c r="BT54" s="91"/>
      <c r="BU54" s="91"/>
      <c r="BV54" s="91"/>
      <c r="BW54" s="91"/>
      <c r="BX54" s="91"/>
      <c r="BY54" s="91"/>
      <c r="BZ54" s="91"/>
      <c r="CA54" s="91"/>
      <c r="CB54" s="91"/>
      <c r="CC54" s="91"/>
      <c r="CD54" s="91"/>
      <c r="CE54" s="91"/>
      <c r="CF54" s="91"/>
      <c r="CG54" s="91"/>
      <c r="CH54" s="91"/>
      <c r="CI54" s="91"/>
      <c r="CJ54" s="91"/>
      <c r="CK54" s="91"/>
      <c r="CL54" s="91"/>
      <c r="CM54" s="91"/>
      <c r="CN54" s="91"/>
      <c r="CO54" s="91"/>
      <c r="CP54" s="91"/>
      <c r="CQ54" s="91"/>
      <c r="CR54" s="91"/>
      <c r="CS54" s="91"/>
      <c r="CT54" s="91"/>
      <c r="CU54" s="91"/>
      <c r="CV54" s="91"/>
      <c r="CW54" s="91"/>
      <c r="CX54" s="91"/>
      <c r="CY54" s="91"/>
      <c r="CZ54" s="91"/>
      <c r="DA54" s="91"/>
      <c r="DB54" s="91"/>
      <c r="DC54" s="91"/>
      <c r="DD54" s="91"/>
      <c r="DE54" s="91"/>
      <c r="DF54" s="91"/>
      <c r="DG54" s="91"/>
      <c r="DH54" s="91"/>
      <c r="DI54" s="91"/>
      <c r="DJ54" s="91"/>
      <c r="DK54" s="91"/>
      <c r="DL54" s="91"/>
      <c r="DM54" s="91"/>
      <c r="DN54" s="91"/>
      <c r="DO54" s="91"/>
      <c r="DP54" s="91"/>
      <c r="DQ54" s="91"/>
      <c r="DR54" s="91"/>
      <c r="DS54" s="91"/>
      <c r="DT54" s="91"/>
      <c r="DU54" s="91"/>
      <c r="DV54" s="91"/>
      <c r="DW54" s="91"/>
      <c r="DX54" s="91"/>
      <c r="DY54" s="91"/>
      <c r="DZ54" s="91"/>
      <c r="EA54" s="91"/>
      <c r="EB54" s="91"/>
      <c r="EC54" s="91"/>
      <c r="ED54" s="91"/>
      <c r="EE54" s="91"/>
      <c r="EF54" s="91"/>
      <c r="EG54" s="91"/>
      <c r="EH54" s="91"/>
      <c r="EI54" s="91"/>
      <c r="EJ54" s="91"/>
      <c r="EK54" s="91"/>
      <c r="EL54" s="91"/>
      <c r="EM54" s="91"/>
      <c r="EN54" s="91"/>
      <c r="EO54" s="91"/>
      <c r="EP54" s="91"/>
      <c r="EQ54" s="91"/>
      <c r="ER54" s="91"/>
      <c r="ES54" s="91"/>
      <c r="ET54" s="91"/>
      <c r="EU54" s="91"/>
      <c r="EV54" s="91"/>
      <c r="EW54" s="91"/>
      <c r="EX54" s="91"/>
      <c r="EY54" s="91"/>
      <c r="EZ54" s="91"/>
      <c r="FA54" s="91"/>
      <c r="FB54" s="91"/>
      <c r="FC54" s="91"/>
      <c r="FD54" s="91"/>
      <c r="FE54" s="91"/>
      <c r="FF54" s="91"/>
      <c r="FG54" s="91"/>
      <c r="FH54" s="91"/>
      <c r="FI54" s="91"/>
      <c r="FJ54" s="91"/>
      <c r="FK54" s="91"/>
      <c r="FL54" s="91"/>
      <c r="FM54" s="91"/>
      <c r="FN54" s="91"/>
      <c r="FO54" s="91"/>
      <c r="FP54" s="91"/>
      <c r="FQ54" s="91"/>
      <c r="FR54" s="91"/>
      <c r="FS54" s="91"/>
      <c r="FT54" s="91"/>
      <c r="FU54" s="91"/>
      <c r="FV54" s="91"/>
      <c r="FW54" s="91"/>
      <c r="FX54" s="91"/>
      <c r="FY54" s="91"/>
      <c r="FZ54" s="91"/>
      <c r="GA54" s="91"/>
      <c r="GB54" s="91"/>
      <c r="GC54" s="91"/>
      <c r="GD54" s="91"/>
      <c r="GE54" s="91"/>
      <c r="GF54" s="91"/>
      <c r="GG54" s="91"/>
      <c r="GH54" s="91"/>
      <c r="GI54" s="91"/>
      <c r="GJ54" s="91"/>
      <c r="GK54" s="91"/>
      <c r="GL54" s="91"/>
      <c r="GM54" s="91"/>
      <c r="GN54" s="91"/>
      <c r="GO54" s="91"/>
      <c r="GP54" s="91"/>
      <c r="GQ54" s="91"/>
      <c r="GR54" s="91"/>
    </row>
    <row r="55" spans="2:200" x14ac:dyDescent="0.15">
      <c r="B55" s="91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  <c r="AK55" s="91"/>
      <c r="AL55" s="91"/>
      <c r="AM55" s="91"/>
      <c r="AN55" s="91"/>
      <c r="AO55" s="91"/>
      <c r="AP55" s="91"/>
      <c r="AQ55" s="91"/>
      <c r="AR55" s="91"/>
      <c r="AS55" s="91"/>
      <c r="AT55" s="91"/>
      <c r="AU55" s="91"/>
      <c r="AV55" s="91"/>
      <c r="AW55" s="91"/>
      <c r="AX55" s="91"/>
      <c r="AY55" s="91"/>
      <c r="AZ55" s="91"/>
      <c r="BA55" s="91"/>
      <c r="BB55" s="91"/>
      <c r="BC55" s="91"/>
      <c r="BD55" s="91"/>
      <c r="BE55" s="91"/>
      <c r="BF55" s="91"/>
      <c r="BG55" s="91"/>
      <c r="BH55" s="91"/>
      <c r="BI55" s="91"/>
      <c r="BJ55" s="91"/>
      <c r="BK55" s="91"/>
      <c r="BL55" s="91"/>
      <c r="BM55" s="91"/>
      <c r="BN55" s="91"/>
      <c r="BO55" s="91"/>
      <c r="BP55" s="91"/>
      <c r="BQ55" s="91"/>
      <c r="BR55" s="91"/>
      <c r="BS55" s="91"/>
      <c r="BT55" s="91"/>
      <c r="BU55" s="91"/>
      <c r="BV55" s="91"/>
      <c r="BW55" s="91"/>
      <c r="BX55" s="91"/>
      <c r="BY55" s="91"/>
      <c r="BZ55" s="91"/>
      <c r="CA55" s="91"/>
      <c r="CB55" s="91"/>
      <c r="CC55" s="91"/>
      <c r="CD55" s="91"/>
      <c r="CE55" s="91"/>
      <c r="CF55" s="91"/>
      <c r="CG55" s="91"/>
      <c r="CH55" s="91"/>
      <c r="CI55" s="91"/>
      <c r="CJ55" s="91"/>
      <c r="CK55" s="91"/>
      <c r="CL55" s="91"/>
      <c r="CM55" s="91"/>
      <c r="CN55" s="91"/>
      <c r="CO55" s="91"/>
      <c r="CP55" s="91"/>
      <c r="CQ55" s="91"/>
      <c r="CR55" s="91"/>
      <c r="CS55" s="91"/>
      <c r="CT55" s="91"/>
      <c r="CU55" s="91"/>
      <c r="CV55" s="91"/>
      <c r="CW55" s="91"/>
      <c r="CX55" s="91"/>
      <c r="CY55" s="91"/>
      <c r="CZ55" s="91"/>
      <c r="DA55" s="91"/>
      <c r="DB55" s="91"/>
      <c r="DC55" s="91"/>
      <c r="DD55" s="91"/>
      <c r="DE55" s="91"/>
      <c r="DF55" s="91"/>
      <c r="DG55" s="91"/>
      <c r="DH55" s="91"/>
      <c r="DI55" s="91"/>
      <c r="DJ55" s="91"/>
      <c r="DK55" s="91"/>
      <c r="DL55" s="91"/>
      <c r="DM55" s="91"/>
      <c r="DN55" s="91"/>
      <c r="DO55" s="91"/>
      <c r="DP55" s="91"/>
      <c r="DQ55" s="91"/>
      <c r="DR55" s="91"/>
      <c r="DS55" s="91"/>
      <c r="DT55" s="91"/>
      <c r="DU55" s="91"/>
      <c r="DV55" s="91"/>
      <c r="DW55" s="91"/>
      <c r="DX55" s="91"/>
      <c r="DY55" s="91"/>
      <c r="DZ55" s="91"/>
      <c r="EA55" s="91"/>
      <c r="EB55" s="91"/>
      <c r="EC55" s="91"/>
      <c r="ED55" s="91"/>
      <c r="EE55" s="91"/>
      <c r="EF55" s="91"/>
      <c r="EG55" s="91"/>
      <c r="EH55" s="91"/>
      <c r="EI55" s="91"/>
      <c r="EJ55" s="91"/>
      <c r="EK55" s="91"/>
      <c r="EL55" s="91"/>
      <c r="EM55" s="91"/>
      <c r="EN55" s="91"/>
      <c r="EO55" s="91"/>
      <c r="EP55" s="91"/>
      <c r="EQ55" s="91"/>
      <c r="ER55" s="91"/>
      <c r="ES55" s="91"/>
      <c r="ET55" s="91"/>
      <c r="EU55" s="91"/>
      <c r="EV55" s="91"/>
      <c r="EW55" s="91"/>
      <c r="EX55" s="91"/>
      <c r="EY55" s="91"/>
      <c r="EZ55" s="91"/>
      <c r="FA55" s="91"/>
      <c r="FB55" s="91"/>
      <c r="FC55" s="91"/>
      <c r="FD55" s="91"/>
      <c r="FE55" s="91"/>
      <c r="FF55" s="91"/>
      <c r="FG55" s="91"/>
      <c r="FH55" s="91"/>
      <c r="FI55" s="91"/>
      <c r="FJ55" s="91"/>
      <c r="FK55" s="91"/>
      <c r="FL55" s="91"/>
      <c r="FM55" s="91"/>
      <c r="FN55" s="91"/>
      <c r="FO55" s="91"/>
      <c r="FP55" s="91"/>
      <c r="FQ55" s="91"/>
      <c r="FR55" s="91"/>
      <c r="FS55" s="91"/>
      <c r="FT55" s="91"/>
      <c r="FU55" s="91"/>
      <c r="FV55" s="91"/>
      <c r="FW55" s="91"/>
      <c r="FX55" s="91"/>
      <c r="FY55" s="91"/>
      <c r="FZ55" s="91"/>
      <c r="GA55" s="91"/>
      <c r="GB55" s="91"/>
      <c r="GC55" s="91"/>
      <c r="GD55" s="91"/>
      <c r="GE55" s="91"/>
      <c r="GF55" s="91"/>
      <c r="GG55" s="91"/>
      <c r="GH55" s="91"/>
      <c r="GI55" s="91"/>
      <c r="GJ55" s="91"/>
      <c r="GK55" s="91"/>
      <c r="GL55" s="91"/>
      <c r="GM55" s="91"/>
      <c r="GN55" s="91"/>
      <c r="GO55" s="91"/>
      <c r="GP55" s="91"/>
      <c r="GQ55" s="91"/>
      <c r="GR55" s="91"/>
    </row>
    <row r="56" spans="2:200" x14ac:dyDescent="0.15">
      <c r="B56" s="91"/>
      <c r="C56" s="91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  <c r="AK56" s="91"/>
      <c r="AL56" s="91"/>
      <c r="AM56" s="91"/>
      <c r="AN56" s="91"/>
      <c r="AO56" s="91"/>
      <c r="AP56" s="91"/>
      <c r="AQ56" s="91"/>
      <c r="AR56" s="91"/>
      <c r="AS56" s="91"/>
      <c r="AT56" s="91"/>
      <c r="AU56" s="91"/>
      <c r="AV56" s="91"/>
      <c r="AW56" s="91"/>
      <c r="AX56" s="91"/>
      <c r="AY56" s="91"/>
      <c r="AZ56" s="91"/>
      <c r="BA56" s="91"/>
      <c r="BB56" s="91"/>
      <c r="BC56" s="91"/>
      <c r="BD56" s="91"/>
      <c r="BE56" s="91"/>
      <c r="BF56" s="91"/>
      <c r="BG56" s="91"/>
      <c r="BH56" s="91"/>
      <c r="BI56" s="91"/>
      <c r="BJ56" s="91"/>
      <c r="BK56" s="91"/>
      <c r="BL56" s="91"/>
      <c r="BM56" s="91"/>
      <c r="BN56" s="91"/>
      <c r="BO56" s="91"/>
      <c r="BP56" s="91"/>
      <c r="BQ56" s="91"/>
      <c r="BR56" s="91"/>
      <c r="BS56" s="91"/>
      <c r="BT56" s="91"/>
      <c r="BU56" s="91"/>
      <c r="BV56" s="91"/>
      <c r="BW56" s="91"/>
      <c r="BX56" s="91"/>
      <c r="BY56" s="91"/>
      <c r="BZ56" s="91"/>
      <c r="CA56" s="91"/>
      <c r="CB56" s="91"/>
      <c r="CC56" s="91"/>
      <c r="CD56" s="91"/>
      <c r="CE56" s="91"/>
      <c r="CF56" s="91"/>
      <c r="CG56" s="91"/>
      <c r="CH56" s="91"/>
      <c r="CI56" s="91"/>
      <c r="CJ56" s="91"/>
      <c r="CK56" s="91"/>
      <c r="CL56" s="91"/>
      <c r="CM56" s="91"/>
      <c r="CN56" s="91"/>
      <c r="CO56" s="91"/>
      <c r="CP56" s="91"/>
      <c r="CQ56" s="91"/>
      <c r="CR56" s="91"/>
      <c r="CS56" s="91"/>
      <c r="CT56" s="91"/>
      <c r="CU56" s="91"/>
      <c r="CV56" s="91"/>
      <c r="CW56" s="91"/>
      <c r="CX56" s="91"/>
      <c r="CY56" s="91"/>
      <c r="CZ56" s="91"/>
      <c r="DA56" s="91"/>
      <c r="DB56" s="91"/>
      <c r="DC56" s="91"/>
      <c r="DD56" s="91"/>
      <c r="DE56" s="91"/>
      <c r="DF56" s="91"/>
      <c r="DG56" s="91"/>
      <c r="DH56" s="91"/>
      <c r="DI56" s="91"/>
      <c r="DJ56" s="91"/>
      <c r="DK56" s="91"/>
      <c r="DL56" s="91"/>
      <c r="DM56" s="91"/>
      <c r="DN56" s="91"/>
      <c r="DO56" s="91"/>
      <c r="DP56" s="91"/>
      <c r="DQ56" s="91"/>
      <c r="DR56" s="91"/>
      <c r="DS56" s="91"/>
      <c r="DT56" s="91"/>
      <c r="DU56" s="91"/>
      <c r="DV56" s="91"/>
      <c r="DW56" s="91"/>
      <c r="DX56" s="91"/>
      <c r="DY56" s="91"/>
      <c r="DZ56" s="91"/>
      <c r="EA56" s="91"/>
      <c r="EB56" s="91"/>
      <c r="EC56" s="91"/>
      <c r="ED56" s="91"/>
      <c r="EE56" s="91"/>
      <c r="EF56" s="91"/>
      <c r="EG56" s="91"/>
      <c r="EH56" s="91"/>
      <c r="EI56" s="91"/>
      <c r="EJ56" s="91"/>
      <c r="EK56" s="91"/>
      <c r="EL56" s="91"/>
      <c r="EM56" s="91"/>
      <c r="EN56" s="91"/>
      <c r="EO56" s="91"/>
      <c r="EP56" s="91"/>
      <c r="EQ56" s="91"/>
      <c r="ER56" s="91"/>
      <c r="ES56" s="91"/>
      <c r="ET56" s="91"/>
      <c r="EU56" s="91"/>
      <c r="EV56" s="91"/>
      <c r="EW56" s="91"/>
      <c r="EX56" s="91"/>
      <c r="EY56" s="91"/>
      <c r="EZ56" s="91"/>
      <c r="FA56" s="91"/>
      <c r="FB56" s="91"/>
      <c r="FC56" s="91"/>
      <c r="FD56" s="91"/>
      <c r="FE56" s="91"/>
      <c r="FF56" s="91"/>
      <c r="FG56" s="91"/>
      <c r="FH56" s="91"/>
      <c r="FI56" s="91"/>
      <c r="FJ56" s="91"/>
      <c r="FK56" s="91"/>
      <c r="FL56" s="91"/>
      <c r="FM56" s="91"/>
      <c r="FN56" s="91"/>
      <c r="FO56" s="91"/>
      <c r="FP56" s="91"/>
      <c r="FQ56" s="91"/>
      <c r="FR56" s="91"/>
      <c r="FS56" s="91"/>
      <c r="FT56" s="91"/>
      <c r="FU56" s="91"/>
      <c r="FV56" s="91"/>
      <c r="FW56" s="91"/>
      <c r="FX56" s="91"/>
      <c r="FY56" s="91"/>
      <c r="FZ56" s="91"/>
      <c r="GA56" s="91"/>
      <c r="GB56" s="91"/>
      <c r="GC56" s="91"/>
      <c r="GD56" s="91"/>
      <c r="GE56" s="91"/>
      <c r="GF56" s="91"/>
      <c r="GG56" s="91"/>
      <c r="GH56" s="91"/>
      <c r="GI56" s="91"/>
      <c r="GJ56" s="91"/>
      <c r="GK56" s="91"/>
      <c r="GL56" s="91"/>
      <c r="GM56" s="91"/>
      <c r="GN56" s="91"/>
      <c r="GO56" s="91"/>
      <c r="GP56" s="91"/>
      <c r="GQ56" s="91"/>
      <c r="GR56" s="91"/>
    </row>
    <row r="57" spans="2:200" x14ac:dyDescent="0.15">
      <c r="B57" s="91"/>
      <c r="C57" s="91"/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/>
      <c r="AH57" s="91"/>
      <c r="AI57" s="91"/>
      <c r="AJ57" s="91"/>
      <c r="AK57" s="91"/>
      <c r="AL57" s="91"/>
      <c r="AM57" s="91"/>
      <c r="AN57" s="91"/>
      <c r="AO57" s="91"/>
      <c r="AP57" s="91"/>
      <c r="AQ57" s="91"/>
      <c r="AR57" s="91"/>
      <c r="AS57" s="91"/>
      <c r="AT57" s="91"/>
      <c r="AU57" s="91"/>
      <c r="AV57" s="91"/>
      <c r="AW57" s="91"/>
      <c r="AX57" s="91"/>
      <c r="AY57" s="91"/>
      <c r="AZ57" s="91"/>
      <c r="BA57" s="91"/>
      <c r="BB57" s="91"/>
      <c r="BC57" s="91"/>
      <c r="BD57" s="91"/>
      <c r="BE57" s="91"/>
      <c r="BF57" s="91"/>
      <c r="BG57" s="91"/>
      <c r="BH57" s="91"/>
      <c r="BI57" s="91"/>
      <c r="BJ57" s="91"/>
      <c r="BK57" s="91"/>
      <c r="BL57" s="91"/>
      <c r="BM57" s="91"/>
      <c r="BN57" s="91"/>
      <c r="BO57" s="91"/>
      <c r="BP57" s="91"/>
      <c r="BQ57" s="91"/>
      <c r="BR57" s="91"/>
      <c r="BS57" s="91"/>
      <c r="BT57" s="91"/>
      <c r="BU57" s="91"/>
      <c r="BV57" s="91"/>
      <c r="BW57" s="91"/>
      <c r="BX57" s="91"/>
      <c r="BY57" s="91"/>
      <c r="BZ57" s="91"/>
      <c r="CA57" s="91"/>
      <c r="CB57" s="91"/>
      <c r="CC57" s="91"/>
      <c r="CD57" s="91"/>
      <c r="CE57" s="91"/>
      <c r="CF57" s="91"/>
      <c r="CG57" s="91"/>
      <c r="CH57" s="91"/>
      <c r="CI57" s="91"/>
      <c r="CJ57" s="91"/>
      <c r="CK57" s="91"/>
      <c r="CL57" s="91"/>
      <c r="CM57" s="91"/>
      <c r="CN57" s="91"/>
      <c r="CO57" s="91"/>
      <c r="CP57" s="91"/>
      <c r="CQ57" s="91"/>
      <c r="CR57" s="91"/>
      <c r="CS57" s="91"/>
      <c r="CT57" s="91"/>
      <c r="CU57" s="91"/>
      <c r="CV57" s="91"/>
      <c r="CW57" s="91"/>
      <c r="CX57" s="91"/>
      <c r="CY57" s="91"/>
      <c r="CZ57" s="91"/>
      <c r="DA57" s="91"/>
      <c r="DB57" s="91"/>
      <c r="DC57" s="91"/>
      <c r="DD57" s="91"/>
      <c r="DE57" s="91"/>
      <c r="DF57" s="91"/>
      <c r="DG57" s="91"/>
      <c r="DH57" s="91"/>
      <c r="DI57" s="91"/>
      <c r="DJ57" s="91"/>
      <c r="DK57" s="91"/>
      <c r="DL57" s="91"/>
      <c r="DM57" s="91"/>
      <c r="DN57" s="91"/>
      <c r="DO57" s="91"/>
      <c r="DP57" s="91"/>
      <c r="DQ57" s="91"/>
      <c r="DR57" s="91"/>
      <c r="DS57" s="91"/>
      <c r="DT57" s="91"/>
      <c r="DU57" s="91"/>
      <c r="DV57" s="91"/>
      <c r="DW57" s="91"/>
      <c r="DX57" s="91"/>
      <c r="DY57" s="91"/>
      <c r="DZ57" s="91"/>
      <c r="EA57" s="91"/>
      <c r="EB57" s="91"/>
      <c r="EC57" s="91"/>
      <c r="ED57" s="91"/>
      <c r="EE57" s="91"/>
      <c r="EF57" s="91"/>
      <c r="EG57" s="91"/>
      <c r="EH57" s="91"/>
      <c r="EI57" s="91"/>
      <c r="EJ57" s="91"/>
      <c r="EK57" s="91"/>
      <c r="EL57" s="91"/>
      <c r="EM57" s="91"/>
      <c r="EN57" s="91"/>
      <c r="EO57" s="91"/>
      <c r="EP57" s="91"/>
      <c r="EQ57" s="91"/>
      <c r="ER57" s="91"/>
      <c r="ES57" s="91"/>
      <c r="ET57" s="91"/>
      <c r="EU57" s="91"/>
      <c r="EV57" s="91"/>
      <c r="EW57" s="91"/>
      <c r="EX57" s="91"/>
      <c r="EY57" s="91"/>
      <c r="EZ57" s="91"/>
      <c r="FA57" s="91"/>
      <c r="FB57" s="91"/>
      <c r="FC57" s="91"/>
      <c r="FD57" s="91"/>
      <c r="FE57" s="91"/>
      <c r="FF57" s="91"/>
      <c r="FG57" s="91"/>
      <c r="FH57" s="91"/>
      <c r="FI57" s="91"/>
      <c r="FJ57" s="91"/>
      <c r="FK57" s="91"/>
      <c r="FL57" s="91"/>
      <c r="FM57" s="91"/>
      <c r="FN57" s="91"/>
      <c r="FO57" s="91"/>
      <c r="FP57" s="91"/>
      <c r="FQ57" s="91"/>
      <c r="FR57" s="91"/>
      <c r="FS57" s="91"/>
      <c r="FT57" s="91"/>
      <c r="FU57" s="91"/>
      <c r="FV57" s="91"/>
      <c r="FW57" s="91"/>
      <c r="FX57" s="91"/>
      <c r="FY57" s="91"/>
      <c r="FZ57" s="91"/>
      <c r="GA57" s="91"/>
      <c r="GB57" s="91"/>
      <c r="GC57" s="91"/>
      <c r="GD57" s="91"/>
      <c r="GE57" s="91"/>
      <c r="GF57" s="91"/>
      <c r="GG57" s="91"/>
      <c r="GH57" s="91"/>
      <c r="GI57" s="91"/>
      <c r="GJ57" s="91"/>
      <c r="GK57" s="91"/>
      <c r="GL57" s="91"/>
      <c r="GM57" s="91"/>
      <c r="GN57" s="91"/>
      <c r="GO57" s="91"/>
      <c r="GP57" s="91"/>
      <c r="GQ57" s="91"/>
      <c r="GR57" s="91"/>
    </row>
    <row r="58" spans="2:200" x14ac:dyDescent="0.15">
      <c r="B58" s="91"/>
      <c r="C58" s="91"/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  <c r="AD58" s="91"/>
      <c r="AE58" s="91"/>
      <c r="AF58" s="91"/>
      <c r="AG58" s="91"/>
      <c r="AH58" s="91"/>
      <c r="AI58" s="91"/>
      <c r="AJ58" s="91"/>
      <c r="AK58" s="91"/>
      <c r="AL58" s="91"/>
      <c r="AM58" s="91"/>
      <c r="AN58" s="91"/>
      <c r="AO58" s="91"/>
      <c r="AP58" s="91"/>
      <c r="AQ58" s="91"/>
      <c r="AR58" s="91"/>
      <c r="AS58" s="91"/>
      <c r="AT58" s="91"/>
      <c r="AU58" s="91"/>
      <c r="AV58" s="91"/>
      <c r="AW58" s="91"/>
      <c r="AX58" s="91"/>
      <c r="AY58" s="91"/>
      <c r="AZ58" s="91"/>
      <c r="BA58" s="91"/>
      <c r="BB58" s="91"/>
      <c r="BC58" s="91"/>
      <c r="BD58" s="91"/>
      <c r="BE58" s="91"/>
      <c r="BF58" s="91"/>
      <c r="BG58" s="91"/>
      <c r="BH58" s="91"/>
      <c r="BI58" s="91"/>
      <c r="BJ58" s="91"/>
      <c r="BK58" s="91"/>
      <c r="BL58" s="91"/>
      <c r="BM58" s="91"/>
      <c r="BN58" s="91"/>
      <c r="BO58" s="91"/>
      <c r="BP58" s="91"/>
      <c r="BQ58" s="91"/>
      <c r="BR58" s="91"/>
      <c r="BS58" s="91"/>
      <c r="BT58" s="91"/>
      <c r="BU58" s="91"/>
      <c r="BV58" s="91"/>
      <c r="BW58" s="91"/>
      <c r="BX58" s="91"/>
      <c r="BY58" s="91"/>
      <c r="BZ58" s="91"/>
      <c r="CA58" s="91"/>
      <c r="CB58" s="91"/>
      <c r="CC58" s="91"/>
      <c r="CD58" s="91"/>
      <c r="CE58" s="91"/>
      <c r="CF58" s="91"/>
      <c r="CG58" s="91"/>
      <c r="CH58" s="91"/>
      <c r="CI58" s="91"/>
      <c r="CJ58" s="91"/>
      <c r="CK58" s="91"/>
      <c r="CL58" s="91"/>
      <c r="CM58" s="91"/>
      <c r="CN58" s="91"/>
      <c r="CO58" s="91"/>
      <c r="CP58" s="91"/>
      <c r="CQ58" s="91"/>
      <c r="CR58" s="91"/>
      <c r="CS58" s="91"/>
      <c r="CT58" s="91"/>
      <c r="CU58" s="91"/>
      <c r="CV58" s="91"/>
      <c r="CW58" s="91"/>
      <c r="CX58" s="91"/>
      <c r="CY58" s="91"/>
      <c r="CZ58" s="91"/>
      <c r="DA58" s="91"/>
      <c r="DB58" s="91"/>
      <c r="DC58" s="91"/>
      <c r="DD58" s="91"/>
      <c r="DE58" s="91"/>
      <c r="DF58" s="91"/>
      <c r="DG58" s="91"/>
      <c r="DH58" s="91"/>
      <c r="DI58" s="91"/>
      <c r="DJ58" s="91"/>
      <c r="DK58" s="91"/>
      <c r="DL58" s="91"/>
      <c r="DM58" s="91"/>
      <c r="DN58" s="91"/>
      <c r="DO58" s="91"/>
      <c r="DP58" s="91"/>
      <c r="DQ58" s="91"/>
      <c r="DR58" s="91"/>
      <c r="DS58" s="91"/>
      <c r="DT58" s="91"/>
      <c r="DU58" s="91"/>
      <c r="DV58" s="91"/>
      <c r="DW58" s="91"/>
      <c r="DX58" s="91"/>
      <c r="DY58" s="91"/>
      <c r="DZ58" s="91"/>
      <c r="EA58" s="91"/>
      <c r="EB58" s="91"/>
      <c r="EC58" s="91"/>
      <c r="ED58" s="91"/>
      <c r="EE58" s="91"/>
      <c r="EF58" s="91"/>
      <c r="EG58" s="91"/>
      <c r="EH58" s="91"/>
      <c r="EI58" s="91"/>
      <c r="EJ58" s="91"/>
      <c r="EK58" s="91"/>
      <c r="EL58" s="91"/>
      <c r="EM58" s="91"/>
      <c r="EN58" s="91"/>
      <c r="EO58" s="91"/>
      <c r="EP58" s="91"/>
      <c r="EQ58" s="91"/>
      <c r="ER58" s="91"/>
      <c r="ES58" s="91"/>
      <c r="ET58" s="91"/>
      <c r="EU58" s="91"/>
      <c r="EV58" s="91"/>
      <c r="EW58" s="91"/>
      <c r="EX58" s="91"/>
      <c r="EY58" s="91"/>
      <c r="EZ58" s="91"/>
      <c r="FA58" s="91"/>
      <c r="FB58" s="91"/>
      <c r="FC58" s="91"/>
      <c r="FD58" s="91"/>
      <c r="FE58" s="91"/>
      <c r="FF58" s="91"/>
      <c r="FG58" s="91"/>
      <c r="FH58" s="91"/>
      <c r="FI58" s="91"/>
      <c r="FJ58" s="91"/>
      <c r="FK58" s="91"/>
      <c r="FL58" s="91"/>
      <c r="FM58" s="91"/>
      <c r="FN58" s="91"/>
      <c r="FO58" s="91"/>
      <c r="FP58" s="91"/>
      <c r="FQ58" s="91"/>
      <c r="FR58" s="91"/>
      <c r="FS58" s="91"/>
      <c r="FT58" s="91"/>
      <c r="FU58" s="91"/>
      <c r="FV58" s="91"/>
      <c r="FW58" s="91"/>
      <c r="FX58" s="91"/>
      <c r="FY58" s="91"/>
      <c r="FZ58" s="91"/>
      <c r="GA58" s="91"/>
      <c r="GB58" s="91"/>
      <c r="GC58" s="91"/>
      <c r="GD58" s="91"/>
      <c r="GE58" s="91"/>
      <c r="GF58" s="91"/>
      <c r="GG58" s="91"/>
      <c r="GH58" s="91"/>
      <c r="GI58" s="91"/>
      <c r="GJ58" s="91"/>
      <c r="GK58" s="91"/>
      <c r="GL58" s="91"/>
      <c r="GM58" s="91"/>
      <c r="GN58" s="91"/>
      <c r="GO58" s="91"/>
      <c r="GP58" s="91"/>
      <c r="GQ58" s="91"/>
      <c r="GR58" s="91"/>
    </row>
    <row r="59" spans="2:200" x14ac:dyDescent="0.15"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  <c r="EH59" s="91"/>
      <c r="EI59" s="91"/>
      <c r="EJ59" s="91"/>
      <c r="EK59" s="91"/>
      <c r="EL59" s="91"/>
      <c r="EM59" s="91"/>
      <c r="EN59" s="91"/>
      <c r="EO59" s="91"/>
      <c r="EP59" s="91"/>
      <c r="EQ59" s="91"/>
      <c r="ER59" s="91"/>
      <c r="ES59" s="91"/>
      <c r="ET59" s="91"/>
      <c r="EU59" s="91"/>
      <c r="EV59" s="91"/>
      <c r="EW59" s="91"/>
      <c r="EX59" s="91"/>
      <c r="EY59" s="91"/>
      <c r="EZ59" s="91"/>
      <c r="FA59" s="91"/>
      <c r="FB59" s="91"/>
      <c r="FC59" s="91"/>
      <c r="FD59" s="91"/>
      <c r="FE59" s="91"/>
      <c r="FF59" s="91"/>
      <c r="FG59" s="91"/>
      <c r="FH59" s="91"/>
      <c r="FI59" s="91"/>
      <c r="FJ59" s="91"/>
      <c r="FK59" s="91"/>
      <c r="FL59" s="91"/>
      <c r="FM59" s="91"/>
      <c r="FN59" s="91"/>
      <c r="FO59" s="91"/>
      <c r="FP59" s="91"/>
      <c r="FQ59" s="91"/>
      <c r="FR59" s="91"/>
      <c r="FS59" s="91"/>
      <c r="FT59" s="91"/>
      <c r="FU59" s="91"/>
      <c r="FV59" s="91"/>
      <c r="FW59" s="91"/>
      <c r="FX59" s="91"/>
      <c r="FY59" s="91"/>
      <c r="FZ59" s="91"/>
      <c r="GA59" s="91"/>
      <c r="GB59" s="91"/>
      <c r="GC59" s="91"/>
      <c r="GD59" s="91"/>
      <c r="GE59" s="91"/>
      <c r="GF59" s="91"/>
      <c r="GG59" s="91"/>
      <c r="GH59" s="91"/>
      <c r="GI59" s="91"/>
      <c r="GJ59" s="91"/>
      <c r="GK59" s="91"/>
      <c r="GL59" s="91"/>
      <c r="GM59" s="91"/>
      <c r="GN59" s="91"/>
      <c r="GO59" s="91"/>
      <c r="GP59" s="91"/>
      <c r="GQ59" s="91"/>
      <c r="GR59" s="91"/>
    </row>
    <row r="60" spans="2:200" x14ac:dyDescent="0.15">
      <c r="B60" s="91"/>
      <c r="C60" s="91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R60" s="91"/>
      <c r="AS60" s="91"/>
      <c r="AT60" s="91"/>
      <c r="AU60" s="91"/>
      <c r="AV60" s="91"/>
      <c r="AW60" s="91"/>
      <c r="AX60" s="91"/>
      <c r="AY60" s="91"/>
      <c r="AZ60" s="91"/>
      <c r="BA60" s="91"/>
      <c r="BB60" s="91"/>
      <c r="BC60" s="91"/>
      <c r="BD60" s="91"/>
      <c r="BE60" s="91"/>
      <c r="BF60" s="91"/>
      <c r="BG60" s="91"/>
      <c r="BH60" s="91"/>
      <c r="BI60" s="91"/>
      <c r="BJ60" s="91"/>
      <c r="BK60" s="91"/>
      <c r="BL60" s="91"/>
      <c r="BM60" s="91"/>
      <c r="BN60" s="91"/>
      <c r="BO60" s="91"/>
      <c r="BP60" s="91"/>
      <c r="BQ60" s="91"/>
      <c r="BR60" s="91"/>
      <c r="BS60" s="91"/>
      <c r="BT60" s="91"/>
      <c r="BU60" s="91"/>
      <c r="BV60" s="91"/>
      <c r="BW60" s="91"/>
      <c r="BX60" s="91"/>
      <c r="BY60" s="91"/>
      <c r="BZ60" s="91"/>
      <c r="CA60" s="91"/>
      <c r="CB60" s="91"/>
      <c r="CC60" s="91"/>
      <c r="CD60" s="91"/>
      <c r="CE60" s="91"/>
      <c r="CF60" s="91"/>
      <c r="CG60" s="91"/>
      <c r="CH60" s="91"/>
      <c r="CI60" s="91"/>
      <c r="CJ60" s="91"/>
      <c r="CK60" s="91"/>
      <c r="CL60" s="91"/>
      <c r="CM60" s="91"/>
      <c r="CN60" s="91"/>
      <c r="CO60" s="91"/>
      <c r="CP60" s="91"/>
      <c r="CQ60" s="91"/>
      <c r="CR60" s="91"/>
      <c r="CS60" s="91"/>
      <c r="CT60" s="91"/>
      <c r="CU60" s="91"/>
      <c r="CV60" s="91"/>
      <c r="CW60" s="91"/>
      <c r="CX60" s="91"/>
      <c r="CY60" s="91"/>
      <c r="CZ60" s="91"/>
      <c r="DA60" s="91"/>
      <c r="DB60" s="91"/>
      <c r="DC60" s="91"/>
      <c r="DD60" s="91"/>
      <c r="DE60" s="91"/>
      <c r="DF60" s="91"/>
      <c r="DG60" s="91"/>
      <c r="DH60" s="91"/>
      <c r="DI60" s="91"/>
      <c r="DJ60" s="91"/>
      <c r="DK60" s="91"/>
      <c r="DL60" s="91"/>
      <c r="DM60" s="91"/>
      <c r="DN60" s="91"/>
      <c r="DO60" s="91"/>
      <c r="DP60" s="91"/>
      <c r="DQ60" s="91"/>
      <c r="DR60" s="91"/>
      <c r="DS60" s="91"/>
      <c r="DT60" s="91"/>
      <c r="DU60" s="91"/>
      <c r="DV60" s="91"/>
      <c r="DW60" s="91"/>
      <c r="DX60" s="91"/>
      <c r="DY60" s="91"/>
      <c r="DZ60" s="91"/>
      <c r="EA60" s="91"/>
      <c r="EB60" s="91"/>
      <c r="EC60" s="91"/>
      <c r="ED60" s="91"/>
      <c r="EE60" s="91"/>
      <c r="EF60" s="91"/>
      <c r="EG60" s="91"/>
      <c r="EH60" s="91"/>
      <c r="EI60" s="91"/>
      <c r="EJ60" s="91"/>
      <c r="EK60" s="91"/>
      <c r="EL60" s="91"/>
      <c r="EM60" s="91"/>
      <c r="EN60" s="91"/>
      <c r="EO60" s="91"/>
      <c r="EP60" s="91"/>
      <c r="EQ60" s="91"/>
      <c r="ER60" s="91"/>
      <c r="ES60" s="91"/>
      <c r="ET60" s="91"/>
      <c r="EU60" s="91"/>
      <c r="EV60" s="91"/>
      <c r="EW60" s="91"/>
      <c r="EX60" s="91"/>
      <c r="EY60" s="91"/>
      <c r="EZ60" s="91"/>
      <c r="FA60" s="91"/>
      <c r="FB60" s="91"/>
      <c r="FC60" s="91"/>
      <c r="FD60" s="91"/>
      <c r="FE60" s="91"/>
      <c r="FF60" s="91"/>
      <c r="FG60" s="91"/>
      <c r="FH60" s="91"/>
      <c r="FI60" s="91"/>
      <c r="FJ60" s="91"/>
      <c r="FK60" s="91"/>
      <c r="FL60" s="91"/>
      <c r="FM60" s="91"/>
      <c r="FN60" s="91"/>
      <c r="FO60" s="91"/>
      <c r="FP60" s="91"/>
      <c r="FQ60" s="91"/>
      <c r="FR60" s="91"/>
      <c r="FS60" s="91"/>
      <c r="FT60" s="91"/>
      <c r="FU60" s="91"/>
      <c r="FV60" s="91"/>
      <c r="FW60" s="91"/>
      <c r="FX60" s="91"/>
      <c r="FY60" s="91"/>
      <c r="FZ60" s="91"/>
      <c r="GA60" s="91"/>
      <c r="GB60" s="91"/>
      <c r="GC60" s="91"/>
      <c r="GD60" s="91"/>
      <c r="GE60" s="91"/>
      <c r="GF60" s="91"/>
      <c r="GG60" s="91"/>
      <c r="GH60" s="91"/>
      <c r="GI60" s="91"/>
      <c r="GJ60" s="91"/>
      <c r="GK60" s="91"/>
      <c r="GL60" s="91"/>
      <c r="GM60" s="91"/>
      <c r="GN60" s="91"/>
      <c r="GO60" s="91"/>
      <c r="GP60" s="91"/>
      <c r="GQ60" s="91"/>
      <c r="GR60" s="91"/>
    </row>
    <row r="61" spans="2:200" x14ac:dyDescent="0.15"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91"/>
      <c r="BE61" s="91"/>
      <c r="BF61" s="91"/>
      <c r="BG61" s="91"/>
      <c r="BH61" s="91"/>
      <c r="BI61" s="91"/>
      <c r="BJ61" s="91"/>
      <c r="BK61" s="91"/>
      <c r="BL61" s="91"/>
      <c r="BM61" s="91"/>
      <c r="BN61" s="91"/>
      <c r="BO61" s="91"/>
      <c r="BP61" s="91"/>
      <c r="BQ61" s="91"/>
      <c r="BR61" s="91"/>
      <c r="BS61" s="91"/>
      <c r="BT61" s="91"/>
      <c r="BU61" s="91"/>
      <c r="BV61" s="91"/>
      <c r="BW61" s="91"/>
      <c r="BX61" s="91"/>
      <c r="BY61" s="91"/>
      <c r="BZ61" s="91"/>
      <c r="CA61" s="91"/>
      <c r="CB61" s="91"/>
      <c r="CC61" s="91"/>
      <c r="CD61" s="91"/>
      <c r="CE61" s="91"/>
      <c r="CF61" s="91"/>
      <c r="CG61" s="91"/>
      <c r="CH61" s="91"/>
      <c r="CI61" s="91"/>
      <c r="CJ61" s="91"/>
      <c r="CK61" s="91"/>
      <c r="CL61" s="91"/>
      <c r="CM61" s="91"/>
      <c r="CN61" s="91"/>
      <c r="CO61" s="91"/>
      <c r="CP61" s="91"/>
      <c r="CQ61" s="91"/>
      <c r="CR61" s="91"/>
      <c r="CS61" s="91"/>
      <c r="CT61" s="91"/>
      <c r="CU61" s="91"/>
      <c r="CV61" s="91"/>
      <c r="CW61" s="91"/>
      <c r="CX61" s="91"/>
      <c r="CY61" s="91"/>
      <c r="CZ61" s="91"/>
      <c r="DA61" s="91"/>
      <c r="DB61" s="91"/>
      <c r="DC61" s="91"/>
      <c r="DD61" s="91"/>
      <c r="DE61" s="91"/>
      <c r="DF61" s="91"/>
      <c r="DG61" s="91"/>
      <c r="DH61" s="91"/>
      <c r="DI61" s="91"/>
      <c r="DJ61" s="91"/>
      <c r="DK61" s="91"/>
      <c r="DL61" s="91"/>
      <c r="DM61" s="91"/>
      <c r="DN61" s="91"/>
      <c r="DO61" s="91"/>
      <c r="DP61" s="91"/>
      <c r="DQ61" s="91"/>
      <c r="DR61" s="91"/>
      <c r="DS61" s="91"/>
      <c r="DT61" s="91"/>
      <c r="DU61" s="91"/>
      <c r="DV61" s="91"/>
      <c r="DW61" s="91"/>
      <c r="DX61" s="91"/>
      <c r="DY61" s="91"/>
      <c r="DZ61" s="91"/>
      <c r="EA61" s="91"/>
      <c r="EB61" s="91"/>
      <c r="EC61" s="91"/>
      <c r="ED61" s="91"/>
      <c r="EE61" s="91"/>
      <c r="EF61" s="91"/>
      <c r="EG61" s="91"/>
      <c r="EH61" s="91"/>
      <c r="EI61" s="91"/>
      <c r="EJ61" s="91"/>
      <c r="EK61" s="91"/>
      <c r="EL61" s="91"/>
      <c r="EM61" s="91"/>
      <c r="EN61" s="91"/>
      <c r="EO61" s="91"/>
      <c r="EP61" s="91"/>
      <c r="EQ61" s="91"/>
      <c r="ER61" s="91"/>
      <c r="ES61" s="91"/>
      <c r="ET61" s="91"/>
      <c r="EU61" s="91"/>
      <c r="EV61" s="91"/>
      <c r="EW61" s="91"/>
      <c r="EX61" s="91"/>
      <c r="EY61" s="91"/>
      <c r="EZ61" s="91"/>
      <c r="FA61" s="91"/>
      <c r="FB61" s="91"/>
      <c r="FC61" s="91"/>
      <c r="FD61" s="91"/>
      <c r="FE61" s="91"/>
      <c r="FF61" s="91"/>
      <c r="FG61" s="91"/>
      <c r="FH61" s="91"/>
      <c r="FI61" s="91"/>
      <c r="FJ61" s="91"/>
      <c r="FK61" s="91"/>
      <c r="FL61" s="91"/>
      <c r="FM61" s="91"/>
      <c r="FN61" s="91"/>
      <c r="FO61" s="91"/>
      <c r="FP61" s="91"/>
      <c r="FQ61" s="91"/>
      <c r="FR61" s="91"/>
      <c r="FS61" s="91"/>
      <c r="FT61" s="91"/>
      <c r="FU61" s="91"/>
      <c r="FV61" s="91"/>
      <c r="FW61" s="91"/>
      <c r="FX61" s="91"/>
      <c r="FY61" s="91"/>
      <c r="FZ61" s="91"/>
      <c r="GA61" s="91"/>
      <c r="GB61" s="91"/>
      <c r="GC61" s="91"/>
      <c r="GD61" s="91"/>
      <c r="GE61" s="91"/>
      <c r="GF61" s="91"/>
      <c r="GG61" s="91"/>
      <c r="GH61" s="91"/>
      <c r="GI61" s="91"/>
      <c r="GJ61" s="91"/>
      <c r="GK61" s="91"/>
      <c r="GL61" s="91"/>
      <c r="GM61" s="91"/>
      <c r="GN61" s="91"/>
      <c r="GO61" s="91"/>
      <c r="GP61" s="91"/>
      <c r="GQ61" s="91"/>
      <c r="GR61" s="91"/>
    </row>
    <row r="62" spans="2:200" x14ac:dyDescent="0.15">
      <c r="B62" s="91"/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/>
      <c r="AH62" s="91"/>
      <c r="AI62" s="91"/>
      <c r="AJ62" s="91"/>
      <c r="AK62" s="91"/>
      <c r="AL62" s="91"/>
      <c r="AM62" s="91"/>
      <c r="AN62" s="91"/>
      <c r="AO62" s="91"/>
      <c r="AP62" s="91"/>
      <c r="AQ62" s="91"/>
      <c r="AR62" s="91"/>
      <c r="AS62" s="91"/>
      <c r="AT62" s="91"/>
      <c r="AU62" s="91"/>
      <c r="AV62" s="91"/>
      <c r="AW62" s="91"/>
      <c r="AX62" s="91"/>
      <c r="AY62" s="91"/>
      <c r="AZ62" s="91"/>
      <c r="BA62" s="91"/>
      <c r="BB62" s="91"/>
      <c r="BC62" s="91"/>
      <c r="BD62" s="91"/>
      <c r="BE62" s="91"/>
      <c r="BF62" s="91"/>
      <c r="BG62" s="91"/>
      <c r="BH62" s="91"/>
      <c r="BI62" s="91"/>
      <c r="BJ62" s="91"/>
      <c r="BK62" s="91"/>
      <c r="BL62" s="91"/>
      <c r="BM62" s="91"/>
      <c r="BN62" s="91"/>
      <c r="BO62" s="91"/>
      <c r="BP62" s="91"/>
      <c r="BQ62" s="91"/>
      <c r="BR62" s="91"/>
      <c r="BS62" s="91"/>
      <c r="BT62" s="91"/>
      <c r="BU62" s="91"/>
      <c r="BV62" s="91"/>
      <c r="BW62" s="91"/>
      <c r="BX62" s="91"/>
      <c r="BY62" s="91"/>
      <c r="BZ62" s="91"/>
      <c r="CA62" s="91"/>
      <c r="CB62" s="91"/>
      <c r="CC62" s="91"/>
      <c r="CD62" s="91"/>
      <c r="CE62" s="91"/>
      <c r="CF62" s="91"/>
      <c r="CG62" s="91"/>
      <c r="CH62" s="91"/>
      <c r="CI62" s="91"/>
      <c r="CJ62" s="91"/>
      <c r="CK62" s="91"/>
      <c r="CL62" s="91"/>
      <c r="CM62" s="91"/>
      <c r="CN62" s="91"/>
      <c r="CO62" s="91"/>
      <c r="CP62" s="91"/>
      <c r="CQ62" s="91"/>
      <c r="CR62" s="91"/>
      <c r="CS62" s="91"/>
      <c r="CT62" s="91"/>
      <c r="CU62" s="91"/>
      <c r="CV62" s="91"/>
      <c r="CW62" s="91"/>
      <c r="CX62" s="91"/>
      <c r="CY62" s="91"/>
      <c r="CZ62" s="91"/>
      <c r="DA62" s="91"/>
      <c r="DB62" s="91"/>
      <c r="DC62" s="91"/>
      <c r="DD62" s="91"/>
      <c r="DE62" s="91"/>
      <c r="DF62" s="91"/>
      <c r="DG62" s="91"/>
      <c r="DH62" s="91"/>
      <c r="DI62" s="91"/>
      <c r="DJ62" s="91"/>
      <c r="DK62" s="91"/>
      <c r="DL62" s="91"/>
      <c r="DM62" s="91"/>
      <c r="DN62" s="91"/>
      <c r="DO62" s="91"/>
      <c r="DP62" s="91"/>
      <c r="DQ62" s="91"/>
      <c r="DR62" s="91"/>
      <c r="DS62" s="91"/>
      <c r="DT62" s="91"/>
      <c r="DU62" s="91"/>
      <c r="DV62" s="91"/>
      <c r="DW62" s="91"/>
      <c r="DX62" s="91"/>
      <c r="DY62" s="91"/>
      <c r="DZ62" s="91"/>
      <c r="EA62" s="91"/>
      <c r="EB62" s="91"/>
      <c r="EC62" s="91"/>
      <c r="ED62" s="91"/>
      <c r="EE62" s="91"/>
      <c r="EF62" s="91"/>
      <c r="EG62" s="91"/>
      <c r="EH62" s="91"/>
      <c r="EI62" s="91"/>
      <c r="EJ62" s="91"/>
      <c r="EK62" s="91"/>
      <c r="EL62" s="91"/>
      <c r="EM62" s="91"/>
      <c r="EN62" s="91"/>
      <c r="EO62" s="91"/>
      <c r="EP62" s="91"/>
      <c r="EQ62" s="91"/>
      <c r="ER62" s="91"/>
      <c r="ES62" s="91"/>
      <c r="ET62" s="91"/>
      <c r="EU62" s="91"/>
      <c r="EV62" s="91"/>
      <c r="EW62" s="91"/>
      <c r="EX62" s="91"/>
      <c r="EY62" s="91"/>
      <c r="EZ62" s="91"/>
      <c r="FA62" s="91"/>
      <c r="FB62" s="91"/>
      <c r="FC62" s="91"/>
      <c r="FD62" s="91"/>
      <c r="FE62" s="91"/>
      <c r="FF62" s="91"/>
      <c r="FG62" s="91"/>
      <c r="FH62" s="91"/>
      <c r="FI62" s="91"/>
      <c r="FJ62" s="91"/>
      <c r="FK62" s="91"/>
      <c r="FL62" s="91"/>
      <c r="FM62" s="91"/>
      <c r="FN62" s="91"/>
      <c r="FO62" s="91"/>
      <c r="FP62" s="91"/>
      <c r="FQ62" s="91"/>
      <c r="FR62" s="91"/>
      <c r="FS62" s="91"/>
      <c r="FT62" s="91"/>
      <c r="FU62" s="91"/>
      <c r="FV62" s="91"/>
      <c r="FW62" s="91"/>
      <c r="FX62" s="91"/>
      <c r="FY62" s="91"/>
      <c r="FZ62" s="91"/>
      <c r="GA62" s="91"/>
      <c r="GB62" s="91"/>
      <c r="GC62" s="91"/>
      <c r="GD62" s="91"/>
      <c r="GE62" s="91"/>
      <c r="GF62" s="91"/>
      <c r="GG62" s="91"/>
      <c r="GH62" s="91"/>
      <c r="GI62" s="91"/>
      <c r="GJ62" s="91"/>
      <c r="GK62" s="91"/>
      <c r="GL62" s="91"/>
      <c r="GM62" s="91"/>
      <c r="GN62" s="91"/>
      <c r="GO62" s="91"/>
      <c r="GP62" s="91"/>
      <c r="GQ62" s="91"/>
      <c r="GR62" s="91"/>
    </row>
    <row r="63" spans="2:200" x14ac:dyDescent="0.15"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  <c r="AD63" s="91"/>
      <c r="AE63" s="91"/>
      <c r="AF63" s="91"/>
      <c r="AG63" s="91"/>
      <c r="AH63" s="91"/>
      <c r="AI63" s="91"/>
      <c r="AJ63" s="91"/>
      <c r="AK63" s="91"/>
      <c r="AL63" s="91"/>
      <c r="AM63" s="91"/>
      <c r="AN63" s="91"/>
      <c r="AO63" s="91"/>
      <c r="AP63" s="91"/>
      <c r="AQ63" s="91"/>
      <c r="AR63" s="91"/>
      <c r="AS63" s="91"/>
      <c r="AT63" s="91"/>
      <c r="AU63" s="91"/>
      <c r="AV63" s="91"/>
      <c r="AW63" s="91"/>
      <c r="AX63" s="91"/>
      <c r="AY63" s="91"/>
      <c r="AZ63" s="91"/>
      <c r="BA63" s="91"/>
      <c r="BB63" s="91"/>
      <c r="BC63" s="91"/>
      <c r="BD63" s="91"/>
      <c r="BE63" s="91"/>
      <c r="BF63" s="91"/>
      <c r="BG63" s="91"/>
      <c r="BH63" s="91"/>
      <c r="BI63" s="91"/>
      <c r="BJ63" s="91"/>
      <c r="BK63" s="91"/>
      <c r="BL63" s="91"/>
      <c r="BM63" s="91"/>
      <c r="BN63" s="91"/>
      <c r="BO63" s="91"/>
      <c r="BP63" s="91"/>
      <c r="BQ63" s="91"/>
      <c r="BR63" s="91"/>
      <c r="BS63" s="91"/>
      <c r="BT63" s="91"/>
      <c r="BU63" s="91"/>
      <c r="BV63" s="91"/>
      <c r="BW63" s="91"/>
      <c r="BX63" s="91"/>
      <c r="BY63" s="91"/>
      <c r="BZ63" s="91"/>
      <c r="CA63" s="91"/>
      <c r="CB63" s="91"/>
      <c r="CC63" s="91"/>
      <c r="CD63" s="91"/>
      <c r="CE63" s="91"/>
      <c r="CF63" s="91"/>
      <c r="CG63" s="91"/>
      <c r="CH63" s="91"/>
      <c r="CI63" s="91"/>
      <c r="CJ63" s="91"/>
      <c r="CK63" s="91"/>
      <c r="CL63" s="91"/>
      <c r="CM63" s="91"/>
      <c r="CN63" s="91"/>
      <c r="CO63" s="91"/>
      <c r="CP63" s="91"/>
      <c r="CQ63" s="91"/>
      <c r="CR63" s="91"/>
      <c r="CS63" s="91"/>
      <c r="CT63" s="91"/>
      <c r="CU63" s="91"/>
      <c r="CV63" s="91"/>
      <c r="CW63" s="91"/>
      <c r="CX63" s="91"/>
      <c r="CY63" s="91"/>
      <c r="CZ63" s="91"/>
      <c r="DA63" s="91"/>
      <c r="DB63" s="91"/>
      <c r="DC63" s="91"/>
      <c r="DD63" s="91"/>
      <c r="DE63" s="91"/>
      <c r="DF63" s="91"/>
      <c r="DG63" s="91"/>
      <c r="DH63" s="91"/>
      <c r="DI63" s="91"/>
      <c r="DJ63" s="91"/>
      <c r="DK63" s="91"/>
      <c r="DL63" s="91"/>
      <c r="DM63" s="91"/>
      <c r="DN63" s="91"/>
      <c r="DO63" s="91"/>
      <c r="DP63" s="91"/>
      <c r="DQ63" s="91"/>
      <c r="DR63" s="91"/>
      <c r="DS63" s="91"/>
      <c r="DT63" s="91"/>
      <c r="DU63" s="91"/>
      <c r="DV63" s="91"/>
      <c r="DW63" s="91"/>
      <c r="DX63" s="91"/>
      <c r="DY63" s="91"/>
      <c r="DZ63" s="91"/>
      <c r="EA63" s="91"/>
      <c r="EB63" s="91"/>
      <c r="EC63" s="91"/>
      <c r="ED63" s="91"/>
      <c r="EE63" s="91"/>
      <c r="EF63" s="91"/>
      <c r="EG63" s="91"/>
      <c r="EH63" s="91"/>
      <c r="EI63" s="91"/>
      <c r="EJ63" s="91"/>
      <c r="EK63" s="91"/>
      <c r="EL63" s="91"/>
      <c r="EM63" s="91"/>
      <c r="EN63" s="91"/>
      <c r="EO63" s="91"/>
      <c r="EP63" s="91"/>
      <c r="EQ63" s="91"/>
      <c r="ER63" s="91"/>
      <c r="ES63" s="91"/>
      <c r="ET63" s="91"/>
      <c r="EU63" s="91"/>
      <c r="EV63" s="91"/>
      <c r="EW63" s="91"/>
      <c r="EX63" s="91"/>
      <c r="EY63" s="91"/>
      <c r="EZ63" s="91"/>
      <c r="FA63" s="91"/>
      <c r="FB63" s="91"/>
      <c r="FC63" s="91"/>
      <c r="FD63" s="91"/>
      <c r="FE63" s="91"/>
      <c r="FF63" s="91"/>
      <c r="FG63" s="91"/>
      <c r="FH63" s="91"/>
      <c r="FI63" s="91"/>
      <c r="FJ63" s="91"/>
      <c r="FK63" s="91"/>
      <c r="FL63" s="91"/>
      <c r="FM63" s="91"/>
      <c r="FN63" s="91"/>
      <c r="FO63" s="91"/>
      <c r="FP63" s="91"/>
      <c r="FQ63" s="91"/>
      <c r="FR63" s="91"/>
      <c r="FS63" s="91"/>
      <c r="FT63" s="91"/>
      <c r="FU63" s="91"/>
      <c r="FV63" s="91"/>
      <c r="FW63" s="91"/>
      <c r="FX63" s="91"/>
      <c r="FY63" s="91"/>
      <c r="FZ63" s="91"/>
      <c r="GA63" s="91"/>
      <c r="GB63" s="91"/>
      <c r="GC63" s="91"/>
      <c r="GD63" s="91"/>
      <c r="GE63" s="91"/>
      <c r="GF63" s="91"/>
      <c r="GG63" s="91"/>
      <c r="GH63" s="91"/>
      <c r="GI63" s="91"/>
      <c r="GJ63" s="91"/>
      <c r="GK63" s="91"/>
      <c r="GL63" s="91"/>
      <c r="GM63" s="91"/>
      <c r="GN63" s="91"/>
      <c r="GO63" s="91"/>
      <c r="GP63" s="91"/>
      <c r="GQ63" s="91"/>
      <c r="GR63" s="91"/>
    </row>
    <row r="64" spans="2:200" x14ac:dyDescent="0.15"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91"/>
      <c r="AN64" s="91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1"/>
      <c r="BA64" s="91"/>
      <c r="BB64" s="91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91"/>
      <c r="BN64" s="91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1"/>
      <c r="BZ64" s="91"/>
      <c r="CA64" s="91"/>
      <c r="CB64" s="91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91"/>
      <c r="CN64" s="91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1"/>
      <c r="CZ64" s="91"/>
      <c r="DA64" s="91"/>
      <c r="DB64" s="91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91"/>
      <c r="DN64" s="91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1"/>
      <c r="DZ64" s="91"/>
      <c r="EA64" s="91"/>
      <c r="EB64" s="91"/>
      <c r="EC64" s="91"/>
      <c r="ED64" s="91"/>
      <c r="EE64" s="91"/>
      <c r="EF64" s="91"/>
      <c r="EG64" s="91"/>
      <c r="EH64" s="91"/>
      <c r="EI64" s="91"/>
      <c r="EJ64" s="91"/>
      <c r="EK64" s="91"/>
      <c r="EL64" s="91"/>
      <c r="EM64" s="91"/>
      <c r="EN64" s="91"/>
      <c r="EO64" s="91"/>
      <c r="EP64" s="91"/>
      <c r="EQ64" s="91"/>
      <c r="ER64" s="91"/>
      <c r="ES64" s="91"/>
      <c r="ET64" s="91"/>
      <c r="EU64" s="91"/>
      <c r="EV64" s="91"/>
      <c r="EW64" s="91"/>
      <c r="EX64" s="91"/>
      <c r="EY64" s="91"/>
      <c r="EZ64" s="91"/>
      <c r="FA64" s="91"/>
      <c r="FB64" s="91"/>
      <c r="FC64" s="91"/>
      <c r="FD64" s="91"/>
      <c r="FE64" s="91"/>
      <c r="FF64" s="91"/>
      <c r="FG64" s="91"/>
      <c r="FH64" s="91"/>
      <c r="FI64" s="91"/>
      <c r="FJ64" s="91"/>
      <c r="FK64" s="91"/>
      <c r="FL64" s="91"/>
      <c r="FM64" s="91"/>
      <c r="FN64" s="91"/>
      <c r="FO64" s="91"/>
      <c r="FP64" s="91"/>
      <c r="FQ64" s="91"/>
      <c r="FR64" s="91"/>
      <c r="FS64" s="91"/>
      <c r="FT64" s="91"/>
      <c r="FU64" s="91"/>
      <c r="FV64" s="91"/>
      <c r="FW64" s="91"/>
      <c r="FX64" s="91"/>
      <c r="FY64" s="91"/>
      <c r="FZ64" s="91"/>
      <c r="GA64" s="91"/>
      <c r="GB64" s="91"/>
      <c r="GC64" s="91"/>
      <c r="GD64" s="91"/>
      <c r="GE64" s="91"/>
      <c r="GF64" s="91"/>
      <c r="GG64" s="91"/>
      <c r="GH64" s="91"/>
      <c r="GI64" s="91"/>
      <c r="GJ64" s="91"/>
      <c r="GK64" s="91"/>
      <c r="GL64" s="91"/>
      <c r="GM64" s="91"/>
      <c r="GN64" s="91"/>
      <c r="GO64" s="91"/>
      <c r="GP64" s="91"/>
      <c r="GQ64" s="91"/>
      <c r="GR64" s="91"/>
    </row>
    <row r="65" spans="2:200" x14ac:dyDescent="0.15">
      <c r="B65" s="91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/>
      <c r="AH65" s="91"/>
      <c r="AI65" s="91"/>
      <c r="AJ65" s="91"/>
      <c r="AK65" s="91"/>
      <c r="AL65" s="91"/>
      <c r="AM65" s="91"/>
      <c r="AN65" s="91"/>
      <c r="AO65" s="91"/>
      <c r="AP65" s="91"/>
      <c r="AQ65" s="91"/>
      <c r="AR65" s="91"/>
      <c r="AS65" s="91"/>
      <c r="AT65" s="91"/>
      <c r="AU65" s="91"/>
      <c r="AV65" s="91"/>
      <c r="AW65" s="91"/>
      <c r="AX65" s="91"/>
      <c r="AY65" s="91"/>
      <c r="AZ65" s="91"/>
      <c r="BA65" s="91"/>
      <c r="BB65" s="91"/>
      <c r="BC65" s="91"/>
      <c r="BD65" s="91"/>
      <c r="BE65" s="91"/>
      <c r="BF65" s="91"/>
      <c r="BG65" s="91"/>
      <c r="BH65" s="91"/>
      <c r="BI65" s="91"/>
      <c r="BJ65" s="91"/>
      <c r="BK65" s="91"/>
      <c r="BL65" s="91"/>
      <c r="BM65" s="91"/>
      <c r="BN65" s="91"/>
      <c r="BO65" s="91"/>
      <c r="BP65" s="91"/>
      <c r="BQ65" s="91"/>
      <c r="BR65" s="91"/>
      <c r="BS65" s="91"/>
      <c r="BT65" s="91"/>
      <c r="BU65" s="91"/>
      <c r="BV65" s="91"/>
      <c r="BW65" s="91"/>
      <c r="BX65" s="91"/>
      <c r="BY65" s="91"/>
      <c r="BZ65" s="91"/>
      <c r="CA65" s="91"/>
      <c r="CB65" s="91"/>
      <c r="CC65" s="91"/>
      <c r="CD65" s="91"/>
      <c r="CE65" s="91"/>
      <c r="CF65" s="91"/>
      <c r="CG65" s="91"/>
      <c r="CH65" s="91"/>
      <c r="CI65" s="91"/>
      <c r="CJ65" s="91"/>
      <c r="CK65" s="91"/>
      <c r="CL65" s="91"/>
      <c r="CM65" s="91"/>
      <c r="CN65" s="91"/>
      <c r="CO65" s="91"/>
      <c r="CP65" s="91"/>
      <c r="CQ65" s="91"/>
      <c r="CR65" s="91"/>
      <c r="CS65" s="91"/>
      <c r="CT65" s="91"/>
      <c r="CU65" s="91"/>
      <c r="CV65" s="91"/>
      <c r="CW65" s="91"/>
      <c r="CX65" s="91"/>
      <c r="CY65" s="91"/>
      <c r="CZ65" s="91"/>
      <c r="DA65" s="91"/>
      <c r="DB65" s="91"/>
      <c r="DC65" s="91"/>
      <c r="DD65" s="91"/>
      <c r="DE65" s="91"/>
      <c r="DF65" s="91"/>
      <c r="DG65" s="91"/>
      <c r="DH65" s="91"/>
      <c r="DI65" s="91"/>
      <c r="DJ65" s="91"/>
      <c r="DK65" s="91"/>
      <c r="DL65" s="91"/>
      <c r="DM65" s="91"/>
      <c r="DN65" s="91"/>
      <c r="DO65" s="91"/>
      <c r="DP65" s="91"/>
      <c r="DQ65" s="91"/>
      <c r="DR65" s="91"/>
      <c r="DS65" s="91"/>
      <c r="DT65" s="91"/>
      <c r="DU65" s="91"/>
      <c r="DV65" s="91"/>
      <c r="DW65" s="91"/>
      <c r="DX65" s="91"/>
      <c r="DY65" s="91"/>
      <c r="DZ65" s="91"/>
      <c r="EA65" s="91"/>
      <c r="EB65" s="91"/>
      <c r="EC65" s="91"/>
      <c r="ED65" s="91"/>
      <c r="EE65" s="91"/>
      <c r="EF65" s="91"/>
      <c r="EG65" s="91"/>
      <c r="EH65" s="91"/>
      <c r="EI65" s="91"/>
      <c r="EJ65" s="91"/>
      <c r="EK65" s="91"/>
      <c r="EL65" s="91"/>
      <c r="EM65" s="91"/>
      <c r="EN65" s="91"/>
      <c r="EO65" s="91"/>
      <c r="EP65" s="91"/>
      <c r="EQ65" s="91"/>
      <c r="ER65" s="91"/>
      <c r="ES65" s="91"/>
      <c r="ET65" s="91"/>
      <c r="EU65" s="91"/>
      <c r="EV65" s="91"/>
      <c r="EW65" s="91"/>
      <c r="EX65" s="91"/>
      <c r="EY65" s="91"/>
      <c r="EZ65" s="91"/>
      <c r="FA65" s="91"/>
      <c r="FB65" s="91"/>
      <c r="FC65" s="91"/>
      <c r="FD65" s="91"/>
      <c r="FE65" s="91"/>
      <c r="FF65" s="91"/>
      <c r="FG65" s="91"/>
      <c r="FH65" s="91"/>
      <c r="FI65" s="91"/>
      <c r="FJ65" s="91"/>
      <c r="FK65" s="91"/>
      <c r="FL65" s="91"/>
      <c r="FM65" s="91"/>
      <c r="FN65" s="91"/>
      <c r="FO65" s="91"/>
      <c r="FP65" s="91"/>
      <c r="FQ65" s="91"/>
      <c r="FR65" s="91"/>
      <c r="FS65" s="91"/>
      <c r="FT65" s="91"/>
      <c r="FU65" s="91"/>
      <c r="FV65" s="91"/>
      <c r="FW65" s="91"/>
      <c r="FX65" s="91"/>
      <c r="FY65" s="91"/>
      <c r="FZ65" s="91"/>
      <c r="GA65" s="91"/>
      <c r="GB65" s="91"/>
      <c r="GC65" s="91"/>
      <c r="GD65" s="91"/>
      <c r="GE65" s="91"/>
      <c r="GF65" s="91"/>
      <c r="GG65" s="91"/>
      <c r="GH65" s="91"/>
      <c r="GI65" s="91"/>
      <c r="GJ65" s="91"/>
      <c r="GK65" s="91"/>
      <c r="GL65" s="91"/>
      <c r="GM65" s="91"/>
      <c r="GN65" s="91"/>
      <c r="GO65" s="91"/>
      <c r="GP65" s="91"/>
      <c r="GQ65" s="91"/>
      <c r="GR65" s="91"/>
    </row>
    <row r="66" spans="2:200" x14ac:dyDescent="0.15">
      <c r="B66" s="91"/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  <c r="AA66" s="91"/>
      <c r="AB66" s="91"/>
      <c r="AC66" s="91"/>
      <c r="AD66" s="91"/>
      <c r="AE66" s="91"/>
      <c r="AF66" s="91"/>
      <c r="AG66" s="91"/>
      <c r="AH66" s="91"/>
      <c r="AI66" s="91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91"/>
      <c r="BE66" s="91"/>
      <c r="BF66" s="91"/>
      <c r="BG66" s="91"/>
      <c r="BH66" s="91"/>
      <c r="BI66" s="91"/>
      <c r="BJ66" s="91"/>
      <c r="BK66" s="91"/>
      <c r="BL66" s="91"/>
      <c r="BM66" s="91"/>
      <c r="BN66" s="91"/>
      <c r="BO66" s="91"/>
      <c r="BP66" s="91"/>
      <c r="BQ66" s="91"/>
      <c r="BR66" s="91"/>
      <c r="BS66" s="91"/>
      <c r="BT66" s="91"/>
      <c r="BU66" s="91"/>
      <c r="BV66" s="91"/>
      <c r="BW66" s="91"/>
      <c r="BX66" s="91"/>
      <c r="BY66" s="91"/>
      <c r="BZ66" s="91"/>
      <c r="CA66" s="91"/>
      <c r="CB66" s="91"/>
      <c r="CC66" s="91"/>
      <c r="CD66" s="91"/>
      <c r="CE66" s="91"/>
      <c r="CF66" s="91"/>
      <c r="CG66" s="91"/>
      <c r="CH66" s="91"/>
      <c r="CI66" s="91"/>
      <c r="CJ66" s="91"/>
      <c r="CK66" s="91"/>
      <c r="CL66" s="91"/>
      <c r="CM66" s="91"/>
      <c r="CN66" s="91"/>
      <c r="CO66" s="91"/>
      <c r="CP66" s="91"/>
      <c r="CQ66" s="91"/>
      <c r="CR66" s="91"/>
      <c r="CS66" s="91"/>
      <c r="CT66" s="91"/>
      <c r="CU66" s="91"/>
      <c r="CV66" s="91"/>
      <c r="CW66" s="91"/>
      <c r="CX66" s="91"/>
      <c r="CY66" s="91"/>
      <c r="CZ66" s="91"/>
      <c r="DA66" s="91"/>
      <c r="DB66" s="91"/>
      <c r="DC66" s="91"/>
      <c r="DD66" s="91"/>
      <c r="DE66" s="91"/>
      <c r="DF66" s="91"/>
      <c r="DG66" s="91"/>
      <c r="DH66" s="91"/>
      <c r="DI66" s="91"/>
      <c r="DJ66" s="91"/>
      <c r="DK66" s="91"/>
      <c r="DL66" s="91"/>
      <c r="DM66" s="91"/>
      <c r="DN66" s="91"/>
      <c r="DO66" s="91"/>
      <c r="DP66" s="91"/>
      <c r="DQ66" s="91"/>
      <c r="DR66" s="91"/>
      <c r="DS66" s="91"/>
      <c r="DT66" s="91"/>
      <c r="DU66" s="91"/>
      <c r="DV66" s="91"/>
      <c r="DW66" s="91"/>
      <c r="DX66" s="91"/>
      <c r="DY66" s="91"/>
      <c r="DZ66" s="91"/>
      <c r="EA66" s="91"/>
      <c r="EB66" s="91"/>
      <c r="EC66" s="91"/>
      <c r="ED66" s="91"/>
      <c r="EE66" s="91"/>
      <c r="EF66" s="91"/>
      <c r="EG66" s="91"/>
      <c r="EH66" s="91"/>
      <c r="EI66" s="91"/>
      <c r="EJ66" s="91"/>
      <c r="EK66" s="91"/>
      <c r="EL66" s="91"/>
      <c r="EM66" s="91"/>
      <c r="EN66" s="91"/>
      <c r="EO66" s="91"/>
      <c r="EP66" s="91"/>
      <c r="EQ66" s="91"/>
      <c r="ER66" s="91"/>
      <c r="ES66" s="91"/>
      <c r="ET66" s="91"/>
      <c r="EU66" s="91"/>
      <c r="EV66" s="91"/>
      <c r="EW66" s="91"/>
      <c r="EX66" s="91"/>
      <c r="EY66" s="91"/>
      <c r="EZ66" s="91"/>
      <c r="FA66" s="91"/>
      <c r="FB66" s="91"/>
      <c r="FC66" s="91"/>
      <c r="FD66" s="91"/>
      <c r="FE66" s="91"/>
      <c r="FF66" s="91"/>
      <c r="FG66" s="91"/>
      <c r="FH66" s="91"/>
      <c r="FI66" s="91"/>
      <c r="FJ66" s="91"/>
      <c r="FK66" s="91"/>
      <c r="FL66" s="91"/>
      <c r="FM66" s="91"/>
      <c r="FN66" s="91"/>
      <c r="FO66" s="91"/>
      <c r="FP66" s="91"/>
      <c r="FQ66" s="91"/>
      <c r="FR66" s="91"/>
      <c r="FS66" s="91"/>
      <c r="FT66" s="91"/>
      <c r="FU66" s="91"/>
      <c r="FV66" s="91"/>
      <c r="FW66" s="91"/>
      <c r="FX66" s="91"/>
      <c r="FY66" s="91"/>
      <c r="FZ66" s="91"/>
      <c r="GA66" s="91"/>
      <c r="GB66" s="91"/>
      <c r="GC66" s="91"/>
      <c r="GD66" s="91"/>
      <c r="GE66" s="91"/>
      <c r="GF66" s="91"/>
      <c r="GG66" s="91"/>
      <c r="GH66" s="91"/>
      <c r="GI66" s="91"/>
      <c r="GJ66" s="91"/>
      <c r="GK66" s="91"/>
      <c r="GL66" s="91"/>
      <c r="GM66" s="91"/>
      <c r="GN66" s="91"/>
      <c r="GO66" s="91"/>
      <c r="GP66" s="91"/>
      <c r="GQ66" s="91"/>
      <c r="GR66" s="91"/>
    </row>
    <row r="67" spans="2:200" x14ac:dyDescent="0.15"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  <c r="AD67" s="91"/>
      <c r="AE67" s="91"/>
      <c r="AF67" s="91"/>
      <c r="AG67" s="91"/>
      <c r="AH67" s="91"/>
      <c r="AI67" s="91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91"/>
      <c r="BE67" s="91"/>
      <c r="BF67" s="91"/>
      <c r="BG67" s="91"/>
      <c r="BH67" s="91"/>
      <c r="BI67" s="91"/>
      <c r="BJ67" s="91"/>
      <c r="BK67" s="91"/>
      <c r="BL67" s="91"/>
      <c r="BM67" s="91"/>
      <c r="BN67" s="91"/>
      <c r="BO67" s="91"/>
      <c r="BP67" s="91"/>
      <c r="BQ67" s="91"/>
      <c r="BR67" s="91"/>
      <c r="BS67" s="91"/>
      <c r="BT67" s="91"/>
      <c r="BU67" s="91"/>
      <c r="BV67" s="91"/>
      <c r="BW67" s="91"/>
      <c r="BX67" s="91"/>
      <c r="BY67" s="91"/>
      <c r="BZ67" s="91"/>
      <c r="CA67" s="91"/>
      <c r="CB67" s="91"/>
      <c r="CC67" s="91"/>
      <c r="CD67" s="91"/>
      <c r="CE67" s="91"/>
      <c r="CF67" s="91"/>
      <c r="CG67" s="91"/>
      <c r="CH67" s="91"/>
      <c r="CI67" s="91"/>
      <c r="CJ67" s="91"/>
      <c r="CK67" s="91"/>
      <c r="CL67" s="91"/>
      <c r="CM67" s="91"/>
      <c r="CN67" s="91"/>
      <c r="CO67" s="91"/>
      <c r="CP67" s="91"/>
      <c r="CQ67" s="91"/>
      <c r="CR67" s="91"/>
      <c r="CS67" s="91"/>
      <c r="CT67" s="91"/>
      <c r="CU67" s="91"/>
      <c r="CV67" s="91"/>
      <c r="CW67" s="91"/>
      <c r="CX67" s="91"/>
      <c r="CY67" s="91"/>
      <c r="CZ67" s="91"/>
      <c r="DA67" s="91"/>
      <c r="DB67" s="91"/>
      <c r="DC67" s="91"/>
      <c r="DD67" s="91"/>
      <c r="DE67" s="91"/>
      <c r="DF67" s="91"/>
      <c r="DG67" s="91"/>
      <c r="DH67" s="91"/>
      <c r="DI67" s="91"/>
      <c r="DJ67" s="91"/>
      <c r="DK67" s="91"/>
      <c r="DL67" s="91"/>
      <c r="DM67" s="91"/>
      <c r="DN67" s="91"/>
      <c r="DO67" s="91"/>
      <c r="DP67" s="91"/>
      <c r="DQ67" s="91"/>
      <c r="DR67" s="91"/>
      <c r="DS67" s="91"/>
      <c r="DT67" s="91"/>
      <c r="DU67" s="91"/>
      <c r="DV67" s="91"/>
      <c r="DW67" s="91"/>
      <c r="DX67" s="91"/>
      <c r="DY67" s="91"/>
      <c r="DZ67" s="91"/>
      <c r="EA67" s="91"/>
      <c r="EB67" s="91"/>
      <c r="EC67" s="91"/>
      <c r="ED67" s="91"/>
      <c r="EE67" s="91"/>
      <c r="EF67" s="91"/>
      <c r="EG67" s="91"/>
      <c r="EH67" s="91"/>
      <c r="EI67" s="91"/>
      <c r="EJ67" s="91"/>
      <c r="EK67" s="91"/>
      <c r="EL67" s="91"/>
      <c r="EM67" s="91"/>
      <c r="EN67" s="91"/>
      <c r="EO67" s="91"/>
      <c r="EP67" s="91"/>
      <c r="EQ67" s="91"/>
      <c r="ER67" s="91"/>
      <c r="ES67" s="91"/>
      <c r="ET67" s="91"/>
      <c r="EU67" s="91"/>
      <c r="EV67" s="91"/>
      <c r="EW67" s="91"/>
      <c r="EX67" s="91"/>
      <c r="EY67" s="91"/>
      <c r="EZ67" s="91"/>
      <c r="FA67" s="91"/>
      <c r="FB67" s="91"/>
      <c r="FC67" s="91"/>
      <c r="FD67" s="91"/>
      <c r="FE67" s="91"/>
      <c r="FF67" s="91"/>
      <c r="FG67" s="91"/>
      <c r="FH67" s="91"/>
      <c r="FI67" s="91"/>
      <c r="FJ67" s="91"/>
      <c r="FK67" s="91"/>
      <c r="FL67" s="91"/>
      <c r="FM67" s="91"/>
      <c r="FN67" s="91"/>
      <c r="FO67" s="91"/>
      <c r="FP67" s="91"/>
      <c r="FQ67" s="91"/>
      <c r="FR67" s="91"/>
      <c r="FS67" s="91"/>
      <c r="FT67" s="91"/>
      <c r="FU67" s="91"/>
      <c r="FV67" s="91"/>
      <c r="FW67" s="91"/>
      <c r="FX67" s="91"/>
      <c r="FY67" s="91"/>
      <c r="FZ67" s="91"/>
      <c r="GA67" s="91"/>
      <c r="GB67" s="91"/>
      <c r="GC67" s="91"/>
      <c r="GD67" s="91"/>
      <c r="GE67" s="91"/>
      <c r="GF67" s="91"/>
      <c r="GG67" s="91"/>
      <c r="GH67" s="91"/>
      <c r="GI67" s="91"/>
      <c r="GJ67" s="91"/>
      <c r="GK67" s="91"/>
      <c r="GL67" s="91"/>
      <c r="GM67" s="91"/>
      <c r="GN67" s="91"/>
      <c r="GO67" s="91"/>
      <c r="GP67" s="91"/>
      <c r="GQ67" s="91"/>
      <c r="GR67" s="91"/>
    </row>
    <row r="68" spans="2:200" x14ac:dyDescent="0.15">
      <c r="B68" s="91"/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  <c r="AD68" s="91"/>
      <c r="AE68" s="91"/>
      <c r="AF68" s="91"/>
      <c r="AG68" s="91"/>
      <c r="AH68" s="91"/>
      <c r="AI68" s="91"/>
      <c r="AJ68" s="91"/>
      <c r="AK68" s="91"/>
      <c r="AL68" s="91"/>
      <c r="AM68" s="91"/>
      <c r="AN68" s="91"/>
      <c r="AO68" s="91"/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1"/>
      <c r="BA68" s="91"/>
      <c r="BB68" s="91"/>
      <c r="BC68" s="91"/>
      <c r="BD68" s="91"/>
      <c r="BE68" s="91"/>
      <c r="BF68" s="91"/>
      <c r="BG68" s="91"/>
      <c r="BH68" s="91"/>
      <c r="BI68" s="91"/>
      <c r="BJ68" s="91"/>
      <c r="BK68" s="91"/>
      <c r="BL68" s="91"/>
      <c r="BM68" s="91"/>
      <c r="BN68" s="91"/>
      <c r="BO68" s="91"/>
      <c r="BP68" s="91"/>
      <c r="BQ68" s="91"/>
      <c r="BR68" s="91"/>
      <c r="BS68" s="91"/>
      <c r="BT68" s="91"/>
      <c r="BU68" s="91"/>
      <c r="BV68" s="91"/>
      <c r="BW68" s="91"/>
      <c r="BX68" s="91"/>
      <c r="BY68" s="91"/>
      <c r="BZ68" s="91"/>
      <c r="CA68" s="91"/>
      <c r="CB68" s="91"/>
      <c r="CC68" s="91"/>
      <c r="CD68" s="91"/>
      <c r="CE68" s="91"/>
      <c r="CF68" s="91"/>
      <c r="CG68" s="91"/>
      <c r="CH68" s="91"/>
      <c r="CI68" s="91"/>
      <c r="CJ68" s="91"/>
      <c r="CK68" s="91"/>
      <c r="CL68" s="91"/>
      <c r="CM68" s="91"/>
      <c r="CN68" s="91"/>
      <c r="CO68" s="91"/>
      <c r="CP68" s="91"/>
      <c r="CQ68" s="91"/>
      <c r="CR68" s="91"/>
      <c r="CS68" s="91"/>
      <c r="CT68" s="91"/>
      <c r="CU68" s="91"/>
      <c r="CV68" s="91"/>
      <c r="CW68" s="91"/>
      <c r="CX68" s="91"/>
      <c r="CY68" s="91"/>
      <c r="CZ68" s="91"/>
      <c r="DA68" s="91"/>
      <c r="DB68" s="91"/>
      <c r="DC68" s="91"/>
      <c r="DD68" s="91"/>
      <c r="DE68" s="91"/>
      <c r="DF68" s="91"/>
      <c r="DG68" s="91"/>
      <c r="DH68" s="91"/>
      <c r="DI68" s="91"/>
      <c r="DJ68" s="91"/>
      <c r="DK68" s="91"/>
      <c r="DL68" s="91"/>
      <c r="DM68" s="91"/>
      <c r="DN68" s="91"/>
      <c r="DO68" s="91"/>
      <c r="DP68" s="91"/>
      <c r="DQ68" s="91"/>
      <c r="DR68" s="91"/>
      <c r="DS68" s="91"/>
      <c r="DT68" s="91"/>
      <c r="DU68" s="91"/>
      <c r="DV68" s="91"/>
      <c r="DW68" s="91"/>
      <c r="DX68" s="91"/>
      <c r="DY68" s="91"/>
      <c r="DZ68" s="91"/>
      <c r="EA68" s="91"/>
      <c r="EB68" s="91"/>
      <c r="EC68" s="91"/>
      <c r="ED68" s="91"/>
      <c r="EE68" s="91"/>
      <c r="EF68" s="91"/>
      <c r="EG68" s="91"/>
      <c r="EH68" s="91"/>
      <c r="EI68" s="91"/>
      <c r="EJ68" s="91"/>
      <c r="EK68" s="91"/>
      <c r="EL68" s="91"/>
      <c r="EM68" s="91"/>
      <c r="EN68" s="91"/>
      <c r="EO68" s="91"/>
      <c r="EP68" s="91"/>
      <c r="EQ68" s="91"/>
      <c r="ER68" s="91"/>
      <c r="ES68" s="91"/>
      <c r="ET68" s="91"/>
      <c r="EU68" s="91"/>
      <c r="EV68" s="91"/>
      <c r="EW68" s="91"/>
      <c r="EX68" s="91"/>
      <c r="EY68" s="91"/>
      <c r="EZ68" s="91"/>
      <c r="FA68" s="91"/>
      <c r="FB68" s="91"/>
      <c r="FC68" s="91"/>
      <c r="FD68" s="91"/>
      <c r="FE68" s="91"/>
      <c r="FF68" s="91"/>
      <c r="FG68" s="91"/>
      <c r="FH68" s="91"/>
      <c r="FI68" s="91"/>
      <c r="FJ68" s="91"/>
      <c r="FK68" s="91"/>
      <c r="FL68" s="91"/>
      <c r="FM68" s="91"/>
      <c r="FN68" s="91"/>
      <c r="FO68" s="91"/>
      <c r="FP68" s="91"/>
      <c r="FQ68" s="91"/>
      <c r="FR68" s="91"/>
      <c r="FS68" s="91"/>
      <c r="FT68" s="91"/>
      <c r="FU68" s="91"/>
      <c r="FV68" s="91"/>
      <c r="FW68" s="91"/>
      <c r="FX68" s="91"/>
      <c r="FY68" s="91"/>
      <c r="FZ68" s="91"/>
      <c r="GA68" s="91"/>
      <c r="GB68" s="91"/>
      <c r="GC68" s="91"/>
      <c r="GD68" s="91"/>
      <c r="GE68" s="91"/>
      <c r="GF68" s="91"/>
      <c r="GG68" s="91"/>
      <c r="GH68" s="91"/>
      <c r="GI68" s="91"/>
      <c r="GJ68" s="91"/>
      <c r="GK68" s="91"/>
      <c r="GL68" s="91"/>
      <c r="GM68" s="91"/>
      <c r="GN68" s="91"/>
      <c r="GO68" s="91"/>
      <c r="GP68" s="91"/>
      <c r="GQ68" s="91"/>
      <c r="GR68" s="91"/>
    </row>
    <row r="69" spans="2:200" x14ac:dyDescent="0.15"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  <c r="AD69" s="91"/>
      <c r="AE69" s="91"/>
      <c r="AF69" s="91"/>
      <c r="AG69" s="91"/>
      <c r="AH69" s="91"/>
      <c r="AI69" s="91"/>
      <c r="AJ69" s="91"/>
      <c r="AK69" s="91"/>
      <c r="AL69" s="91"/>
      <c r="AM69" s="91"/>
      <c r="AN69" s="91"/>
      <c r="AO69" s="91"/>
      <c r="AP69" s="91"/>
      <c r="AQ69" s="91"/>
      <c r="AR69" s="91"/>
      <c r="AS69" s="91"/>
      <c r="AT69" s="91"/>
      <c r="AU69" s="91"/>
      <c r="AV69" s="91"/>
      <c r="AW69" s="91"/>
      <c r="AX69" s="91"/>
      <c r="AY69" s="91"/>
      <c r="AZ69" s="91"/>
      <c r="BA69" s="91"/>
      <c r="BB69" s="91"/>
      <c r="BC69" s="91"/>
      <c r="BD69" s="91"/>
      <c r="BE69" s="91"/>
      <c r="BF69" s="91"/>
      <c r="BG69" s="91"/>
      <c r="BH69" s="91"/>
      <c r="BI69" s="91"/>
      <c r="BJ69" s="91"/>
      <c r="BK69" s="91"/>
      <c r="BL69" s="91"/>
      <c r="BM69" s="91"/>
      <c r="BN69" s="91"/>
      <c r="BO69" s="91"/>
      <c r="BP69" s="91"/>
      <c r="BQ69" s="91"/>
      <c r="BR69" s="91"/>
      <c r="BS69" s="91"/>
      <c r="BT69" s="91"/>
      <c r="BU69" s="91"/>
      <c r="BV69" s="91"/>
      <c r="BW69" s="91"/>
      <c r="BX69" s="91"/>
      <c r="BY69" s="91"/>
      <c r="BZ69" s="91"/>
      <c r="CA69" s="91"/>
      <c r="CB69" s="91"/>
      <c r="CC69" s="91"/>
      <c r="CD69" s="91"/>
      <c r="CE69" s="91"/>
      <c r="CF69" s="91"/>
      <c r="CG69" s="91"/>
      <c r="CH69" s="91"/>
      <c r="CI69" s="91"/>
      <c r="CJ69" s="91"/>
      <c r="CK69" s="91"/>
      <c r="CL69" s="91"/>
      <c r="CM69" s="91"/>
      <c r="CN69" s="91"/>
      <c r="CO69" s="91"/>
      <c r="CP69" s="91"/>
      <c r="CQ69" s="91"/>
      <c r="CR69" s="91"/>
      <c r="CS69" s="91"/>
      <c r="CT69" s="91"/>
      <c r="CU69" s="91"/>
      <c r="CV69" s="91"/>
      <c r="CW69" s="91"/>
      <c r="CX69" s="91"/>
      <c r="CY69" s="91"/>
      <c r="CZ69" s="91"/>
      <c r="DA69" s="91"/>
      <c r="DB69" s="91"/>
      <c r="DC69" s="91"/>
      <c r="DD69" s="91"/>
      <c r="DE69" s="91"/>
      <c r="DF69" s="91"/>
      <c r="DG69" s="91"/>
      <c r="DH69" s="91"/>
      <c r="DI69" s="91"/>
      <c r="DJ69" s="91"/>
      <c r="DK69" s="91"/>
      <c r="DL69" s="91"/>
      <c r="DM69" s="91"/>
      <c r="DN69" s="91"/>
      <c r="DO69" s="91"/>
      <c r="DP69" s="91"/>
      <c r="DQ69" s="91"/>
      <c r="DR69" s="91"/>
      <c r="DS69" s="91"/>
      <c r="DT69" s="91"/>
      <c r="DU69" s="91"/>
      <c r="DV69" s="91"/>
      <c r="DW69" s="91"/>
      <c r="DX69" s="91"/>
      <c r="DY69" s="91"/>
      <c r="DZ69" s="91"/>
      <c r="EA69" s="91"/>
      <c r="EB69" s="91"/>
      <c r="EC69" s="91"/>
      <c r="ED69" s="91"/>
      <c r="EE69" s="91"/>
      <c r="EF69" s="91"/>
      <c r="EG69" s="91"/>
      <c r="EH69" s="91"/>
      <c r="EI69" s="91"/>
      <c r="EJ69" s="91"/>
      <c r="EK69" s="91"/>
      <c r="EL69" s="91"/>
      <c r="EM69" s="91"/>
      <c r="EN69" s="91"/>
      <c r="EO69" s="91"/>
      <c r="EP69" s="91"/>
      <c r="EQ69" s="91"/>
      <c r="ER69" s="91"/>
      <c r="ES69" s="91"/>
      <c r="ET69" s="91"/>
      <c r="EU69" s="91"/>
      <c r="EV69" s="91"/>
      <c r="EW69" s="91"/>
      <c r="EX69" s="91"/>
      <c r="EY69" s="91"/>
      <c r="EZ69" s="91"/>
      <c r="FA69" s="91"/>
      <c r="FB69" s="91"/>
      <c r="FC69" s="91"/>
      <c r="FD69" s="91"/>
      <c r="FE69" s="91"/>
      <c r="FF69" s="91"/>
      <c r="FG69" s="91"/>
      <c r="FH69" s="91"/>
      <c r="FI69" s="91"/>
      <c r="FJ69" s="91"/>
      <c r="FK69" s="91"/>
      <c r="FL69" s="91"/>
      <c r="FM69" s="91"/>
      <c r="FN69" s="91"/>
      <c r="FO69" s="91"/>
      <c r="FP69" s="91"/>
      <c r="FQ69" s="91"/>
      <c r="FR69" s="91"/>
      <c r="FS69" s="91"/>
      <c r="FT69" s="91"/>
      <c r="FU69" s="91"/>
      <c r="FV69" s="91"/>
      <c r="FW69" s="91"/>
      <c r="FX69" s="91"/>
      <c r="FY69" s="91"/>
      <c r="FZ69" s="91"/>
      <c r="GA69" s="91"/>
      <c r="GB69" s="91"/>
      <c r="GC69" s="91"/>
      <c r="GD69" s="91"/>
      <c r="GE69" s="91"/>
      <c r="GF69" s="91"/>
      <c r="GG69" s="91"/>
      <c r="GH69" s="91"/>
      <c r="GI69" s="91"/>
      <c r="GJ69" s="91"/>
      <c r="GK69" s="91"/>
      <c r="GL69" s="91"/>
      <c r="GM69" s="91"/>
      <c r="GN69" s="91"/>
      <c r="GO69" s="91"/>
      <c r="GP69" s="91"/>
      <c r="GQ69" s="91"/>
      <c r="GR69" s="91"/>
    </row>
    <row r="70" spans="2:200" x14ac:dyDescent="0.15">
      <c r="B70" s="91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1"/>
      <c r="AL70" s="91"/>
      <c r="AM70" s="91"/>
      <c r="AN70" s="91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91"/>
      <c r="AZ70" s="91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1"/>
      <c r="BL70" s="91"/>
      <c r="BM70" s="91"/>
      <c r="BN70" s="91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91"/>
      <c r="BZ70" s="91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1"/>
      <c r="CL70" s="91"/>
      <c r="CM70" s="91"/>
      <c r="CN70" s="91"/>
      <c r="CO70" s="91"/>
      <c r="CP70" s="91"/>
      <c r="CQ70" s="91"/>
      <c r="CR70" s="91"/>
      <c r="CS70" s="91"/>
      <c r="CT70" s="91"/>
      <c r="CU70" s="91"/>
      <c r="CV70" s="91"/>
      <c r="CW70" s="91"/>
      <c r="CX70" s="91"/>
      <c r="CY70" s="91"/>
      <c r="CZ70" s="91"/>
      <c r="DA70" s="91"/>
      <c r="DB70" s="91"/>
      <c r="DC70" s="91"/>
      <c r="DD70" s="91"/>
      <c r="DE70" s="91"/>
      <c r="DF70" s="91"/>
      <c r="DG70" s="91"/>
      <c r="DH70" s="91"/>
      <c r="DI70" s="91"/>
      <c r="DJ70" s="91"/>
      <c r="DK70" s="91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91"/>
      <c r="DW70" s="91"/>
      <c r="DX70" s="91"/>
      <c r="DY70" s="91"/>
      <c r="DZ70" s="91"/>
      <c r="EA70" s="91"/>
      <c r="EB70" s="91"/>
      <c r="EC70" s="91"/>
      <c r="ED70" s="91"/>
      <c r="EE70" s="91"/>
      <c r="EF70" s="91"/>
      <c r="EG70" s="91"/>
      <c r="EH70" s="91"/>
      <c r="EI70" s="91"/>
      <c r="EJ70" s="91"/>
      <c r="EK70" s="91"/>
      <c r="EL70" s="91"/>
      <c r="EM70" s="91"/>
      <c r="EN70" s="91"/>
      <c r="EO70" s="91"/>
      <c r="EP70" s="91"/>
      <c r="EQ70" s="91"/>
      <c r="ER70" s="91"/>
      <c r="ES70" s="91"/>
      <c r="ET70" s="91"/>
      <c r="EU70" s="91"/>
      <c r="EV70" s="91"/>
      <c r="EW70" s="91"/>
      <c r="EX70" s="91"/>
      <c r="EY70" s="91"/>
      <c r="EZ70" s="91"/>
      <c r="FA70" s="91"/>
      <c r="FB70" s="91"/>
      <c r="FC70" s="91"/>
      <c r="FD70" s="91"/>
      <c r="FE70" s="91"/>
      <c r="FF70" s="91"/>
      <c r="FG70" s="91"/>
      <c r="FH70" s="91"/>
      <c r="FI70" s="91"/>
      <c r="FJ70" s="91"/>
      <c r="FK70" s="91"/>
      <c r="FL70" s="91"/>
      <c r="FM70" s="91"/>
      <c r="FN70" s="91"/>
      <c r="FO70" s="91"/>
      <c r="FP70" s="91"/>
      <c r="FQ70" s="91"/>
      <c r="FR70" s="91"/>
      <c r="FS70" s="91"/>
      <c r="FT70" s="91"/>
      <c r="FU70" s="91"/>
      <c r="FV70" s="91"/>
      <c r="FW70" s="91"/>
      <c r="FX70" s="91"/>
      <c r="FY70" s="91"/>
      <c r="FZ70" s="91"/>
      <c r="GA70" s="91"/>
      <c r="GB70" s="91"/>
      <c r="GC70" s="91"/>
      <c r="GD70" s="91"/>
      <c r="GE70" s="91"/>
      <c r="GF70" s="91"/>
      <c r="GG70" s="91"/>
      <c r="GH70" s="91"/>
      <c r="GI70" s="91"/>
      <c r="GJ70" s="91"/>
      <c r="GK70" s="91"/>
      <c r="GL70" s="91"/>
      <c r="GM70" s="91"/>
      <c r="GN70" s="91"/>
      <c r="GO70" s="91"/>
      <c r="GP70" s="91"/>
      <c r="GQ70" s="91"/>
      <c r="GR70" s="91"/>
    </row>
    <row r="71" spans="2:200" x14ac:dyDescent="0.15"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  <c r="AD71" s="91"/>
      <c r="AE71" s="91"/>
      <c r="AF71" s="91"/>
      <c r="AG71" s="91"/>
      <c r="AH71" s="91"/>
      <c r="AI71" s="91"/>
      <c r="AJ71" s="91"/>
      <c r="AK71" s="91"/>
      <c r="AL71" s="91"/>
      <c r="AM71" s="91"/>
      <c r="AN71" s="91"/>
      <c r="AO71" s="91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91"/>
      <c r="BE71" s="91"/>
      <c r="BF71" s="91"/>
      <c r="BG71" s="91"/>
      <c r="BH71" s="91"/>
      <c r="BI71" s="91"/>
      <c r="BJ71" s="91"/>
      <c r="BK71" s="91"/>
      <c r="BL71" s="91"/>
      <c r="BM71" s="91"/>
      <c r="BN71" s="91"/>
      <c r="BO71" s="91"/>
      <c r="BP71" s="91"/>
      <c r="BQ71" s="91"/>
      <c r="BR71" s="91"/>
      <c r="BS71" s="91"/>
      <c r="BT71" s="91"/>
      <c r="BU71" s="91"/>
      <c r="BV71" s="91"/>
      <c r="BW71" s="91"/>
      <c r="BX71" s="91"/>
      <c r="BY71" s="91"/>
      <c r="BZ71" s="91"/>
      <c r="CA71" s="91"/>
      <c r="CB71" s="91"/>
      <c r="CC71" s="91"/>
      <c r="CD71" s="91"/>
      <c r="CE71" s="91"/>
      <c r="CF71" s="91"/>
      <c r="CG71" s="91"/>
      <c r="CH71" s="91"/>
      <c r="CI71" s="91"/>
      <c r="CJ71" s="91"/>
      <c r="CK71" s="91"/>
      <c r="CL71" s="91"/>
      <c r="CM71" s="91"/>
      <c r="CN71" s="91"/>
      <c r="CO71" s="91"/>
      <c r="CP71" s="91"/>
      <c r="CQ71" s="91"/>
      <c r="CR71" s="91"/>
      <c r="CS71" s="91"/>
      <c r="CT71" s="91"/>
      <c r="CU71" s="91"/>
      <c r="CV71" s="91"/>
      <c r="CW71" s="91"/>
      <c r="CX71" s="91"/>
      <c r="CY71" s="91"/>
      <c r="CZ71" s="91"/>
      <c r="DA71" s="91"/>
      <c r="DB71" s="91"/>
      <c r="DC71" s="91"/>
      <c r="DD71" s="91"/>
      <c r="DE71" s="91"/>
      <c r="DF71" s="91"/>
      <c r="DG71" s="91"/>
      <c r="DH71" s="91"/>
      <c r="DI71" s="91"/>
      <c r="DJ71" s="91"/>
      <c r="DK71" s="91"/>
      <c r="DL71" s="91"/>
      <c r="DM71" s="91"/>
      <c r="DN71" s="91"/>
      <c r="DO71" s="91"/>
      <c r="DP71" s="91"/>
      <c r="DQ71" s="91"/>
      <c r="DR71" s="91"/>
      <c r="DS71" s="91"/>
      <c r="DT71" s="91"/>
      <c r="DU71" s="91"/>
      <c r="DV71" s="91"/>
      <c r="DW71" s="91"/>
      <c r="DX71" s="91"/>
      <c r="DY71" s="91"/>
      <c r="DZ71" s="91"/>
      <c r="EA71" s="91"/>
      <c r="EB71" s="91"/>
      <c r="EC71" s="91"/>
      <c r="ED71" s="91"/>
      <c r="EE71" s="91"/>
      <c r="EF71" s="91"/>
      <c r="EG71" s="91"/>
      <c r="EH71" s="91"/>
      <c r="EI71" s="91"/>
      <c r="EJ71" s="91"/>
      <c r="EK71" s="91"/>
      <c r="EL71" s="91"/>
      <c r="EM71" s="91"/>
      <c r="EN71" s="91"/>
      <c r="EO71" s="91"/>
      <c r="EP71" s="91"/>
      <c r="EQ71" s="91"/>
      <c r="ER71" s="91"/>
      <c r="ES71" s="91"/>
      <c r="ET71" s="91"/>
      <c r="EU71" s="91"/>
      <c r="EV71" s="91"/>
      <c r="EW71" s="91"/>
      <c r="EX71" s="91"/>
      <c r="EY71" s="91"/>
      <c r="EZ71" s="91"/>
      <c r="FA71" s="91"/>
      <c r="FB71" s="91"/>
      <c r="FC71" s="91"/>
      <c r="FD71" s="91"/>
      <c r="FE71" s="91"/>
      <c r="FF71" s="91"/>
      <c r="FG71" s="91"/>
      <c r="FH71" s="91"/>
      <c r="FI71" s="91"/>
      <c r="FJ71" s="91"/>
      <c r="FK71" s="91"/>
      <c r="FL71" s="91"/>
      <c r="FM71" s="91"/>
      <c r="FN71" s="91"/>
      <c r="FO71" s="91"/>
      <c r="FP71" s="91"/>
      <c r="FQ71" s="91"/>
      <c r="FR71" s="91"/>
      <c r="FS71" s="91"/>
      <c r="FT71" s="91"/>
      <c r="FU71" s="91"/>
      <c r="FV71" s="91"/>
      <c r="FW71" s="91"/>
      <c r="FX71" s="91"/>
      <c r="FY71" s="91"/>
      <c r="FZ71" s="91"/>
      <c r="GA71" s="91"/>
      <c r="GB71" s="91"/>
      <c r="GC71" s="91"/>
      <c r="GD71" s="91"/>
      <c r="GE71" s="91"/>
      <c r="GF71" s="91"/>
      <c r="GG71" s="91"/>
      <c r="GH71" s="91"/>
      <c r="GI71" s="91"/>
      <c r="GJ71" s="91"/>
      <c r="GK71" s="91"/>
      <c r="GL71" s="91"/>
      <c r="GM71" s="91"/>
      <c r="GN71" s="91"/>
      <c r="GO71" s="91"/>
      <c r="GP71" s="91"/>
      <c r="GQ71" s="91"/>
      <c r="GR71" s="91"/>
    </row>
    <row r="72" spans="2:200" x14ac:dyDescent="0.15">
      <c r="B72" s="91"/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  <c r="AD72" s="91"/>
      <c r="AE72" s="91"/>
      <c r="AF72" s="91"/>
      <c r="AG72" s="91"/>
      <c r="AH72" s="91"/>
      <c r="AI72" s="91"/>
      <c r="AJ72" s="91"/>
      <c r="AK72" s="91"/>
      <c r="AL72" s="91"/>
      <c r="AM72" s="91"/>
      <c r="AN72" s="91"/>
      <c r="AO72" s="91"/>
      <c r="AP72" s="91"/>
      <c r="AQ72" s="91"/>
      <c r="AR72" s="91"/>
      <c r="AS72" s="91"/>
      <c r="AT72" s="91"/>
      <c r="AU72" s="91"/>
      <c r="AV72" s="91"/>
      <c r="AW72" s="91"/>
      <c r="AX72" s="91"/>
      <c r="AY72" s="91"/>
      <c r="AZ72" s="91"/>
      <c r="BA72" s="91"/>
      <c r="BB72" s="91"/>
      <c r="BC72" s="91"/>
      <c r="BD72" s="91"/>
      <c r="BE72" s="91"/>
      <c r="BF72" s="91"/>
      <c r="BG72" s="91"/>
      <c r="BH72" s="91"/>
      <c r="BI72" s="91"/>
      <c r="BJ72" s="91"/>
      <c r="BK72" s="91"/>
      <c r="BL72" s="91"/>
      <c r="BM72" s="91"/>
      <c r="BN72" s="91"/>
      <c r="BO72" s="91"/>
      <c r="BP72" s="91"/>
      <c r="BQ72" s="91"/>
      <c r="BR72" s="91"/>
      <c r="BS72" s="91"/>
      <c r="BT72" s="91"/>
      <c r="BU72" s="91"/>
      <c r="BV72" s="91"/>
      <c r="BW72" s="91"/>
      <c r="BX72" s="91"/>
      <c r="BY72" s="91"/>
      <c r="BZ72" s="91"/>
      <c r="CA72" s="91"/>
      <c r="CB72" s="91"/>
      <c r="CC72" s="91"/>
      <c r="CD72" s="91"/>
      <c r="CE72" s="91"/>
      <c r="CF72" s="91"/>
      <c r="CG72" s="91"/>
      <c r="CH72" s="91"/>
      <c r="CI72" s="91"/>
      <c r="CJ72" s="91"/>
      <c r="CK72" s="91"/>
      <c r="CL72" s="91"/>
      <c r="CM72" s="91"/>
      <c r="CN72" s="91"/>
      <c r="CO72" s="91"/>
      <c r="CP72" s="91"/>
      <c r="CQ72" s="91"/>
      <c r="CR72" s="91"/>
      <c r="CS72" s="91"/>
      <c r="CT72" s="91"/>
      <c r="CU72" s="91"/>
      <c r="CV72" s="91"/>
      <c r="CW72" s="91"/>
      <c r="CX72" s="91"/>
      <c r="CY72" s="91"/>
      <c r="CZ72" s="91"/>
      <c r="DA72" s="91"/>
      <c r="DB72" s="91"/>
      <c r="DC72" s="91"/>
      <c r="DD72" s="91"/>
      <c r="DE72" s="91"/>
      <c r="DF72" s="91"/>
      <c r="DG72" s="91"/>
      <c r="DH72" s="91"/>
      <c r="DI72" s="91"/>
      <c r="DJ72" s="91"/>
      <c r="DK72" s="91"/>
      <c r="DL72" s="91"/>
      <c r="DM72" s="91"/>
      <c r="DN72" s="91"/>
      <c r="DO72" s="91"/>
      <c r="DP72" s="91"/>
      <c r="DQ72" s="91"/>
      <c r="DR72" s="91"/>
      <c r="DS72" s="91"/>
      <c r="DT72" s="91"/>
      <c r="DU72" s="91"/>
      <c r="DV72" s="91"/>
      <c r="DW72" s="91"/>
      <c r="DX72" s="91"/>
      <c r="DY72" s="91"/>
      <c r="DZ72" s="91"/>
      <c r="EA72" s="91"/>
      <c r="EB72" s="91"/>
      <c r="EC72" s="91"/>
      <c r="ED72" s="91"/>
      <c r="EE72" s="91"/>
      <c r="EF72" s="91"/>
      <c r="EG72" s="91"/>
      <c r="EH72" s="91"/>
      <c r="EI72" s="91"/>
      <c r="EJ72" s="91"/>
      <c r="EK72" s="91"/>
      <c r="EL72" s="91"/>
      <c r="EM72" s="91"/>
      <c r="EN72" s="91"/>
      <c r="EO72" s="91"/>
      <c r="EP72" s="91"/>
      <c r="EQ72" s="91"/>
      <c r="ER72" s="91"/>
      <c r="ES72" s="91"/>
      <c r="ET72" s="91"/>
      <c r="EU72" s="91"/>
      <c r="EV72" s="91"/>
      <c r="EW72" s="91"/>
      <c r="EX72" s="91"/>
      <c r="EY72" s="91"/>
      <c r="EZ72" s="91"/>
      <c r="FA72" s="91"/>
      <c r="FB72" s="91"/>
      <c r="FC72" s="91"/>
      <c r="FD72" s="91"/>
      <c r="FE72" s="91"/>
      <c r="FF72" s="91"/>
      <c r="FG72" s="91"/>
      <c r="FH72" s="91"/>
      <c r="FI72" s="91"/>
      <c r="FJ72" s="91"/>
      <c r="FK72" s="91"/>
      <c r="FL72" s="91"/>
      <c r="FM72" s="91"/>
      <c r="FN72" s="91"/>
      <c r="FO72" s="91"/>
      <c r="FP72" s="91"/>
      <c r="FQ72" s="91"/>
      <c r="FR72" s="91"/>
      <c r="FS72" s="91"/>
      <c r="FT72" s="91"/>
      <c r="FU72" s="91"/>
      <c r="FV72" s="91"/>
      <c r="FW72" s="91"/>
      <c r="FX72" s="91"/>
      <c r="FY72" s="91"/>
      <c r="FZ72" s="91"/>
      <c r="GA72" s="91"/>
      <c r="GB72" s="91"/>
      <c r="GC72" s="91"/>
      <c r="GD72" s="91"/>
      <c r="GE72" s="91"/>
      <c r="GF72" s="91"/>
      <c r="GG72" s="91"/>
      <c r="GH72" s="91"/>
      <c r="GI72" s="91"/>
      <c r="GJ72" s="91"/>
      <c r="GK72" s="91"/>
      <c r="GL72" s="91"/>
      <c r="GM72" s="91"/>
      <c r="GN72" s="91"/>
      <c r="GO72" s="91"/>
      <c r="GP72" s="91"/>
      <c r="GQ72" s="91"/>
      <c r="GR72" s="91"/>
    </row>
    <row r="73" spans="2:200" x14ac:dyDescent="0.15">
      <c r="B73" s="91"/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  <c r="AA73" s="91"/>
      <c r="AB73" s="91"/>
      <c r="AC73" s="91"/>
      <c r="AD73" s="91"/>
      <c r="AE73" s="91"/>
      <c r="AF73" s="91"/>
      <c r="AG73" s="91"/>
      <c r="AH73" s="91"/>
      <c r="AI73" s="91"/>
      <c r="AJ73" s="91"/>
      <c r="AK73" s="91"/>
      <c r="AL73" s="91"/>
      <c r="AM73" s="91"/>
      <c r="AN73" s="91"/>
      <c r="AO73" s="91"/>
      <c r="AP73" s="91"/>
      <c r="AQ73" s="91"/>
      <c r="AR73" s="91"/>
      <c r="AS73" s="91"/>
      <c r="AT73" s="91"/>
      <c r="AU73" s="91"/>
      <c r="AV73" s="91"/>
      <c r="AW73" s="91"/>
      <c r="AX73" s="91"/>
      <c r="AY73" s="91"/>
      <c r="AZ73" s="91"/>
      <c r="BA73" s="91"/>
      <c r="BB73" s="91"/>
      <c r="BC73" s="91"/>
      <c r="BD73" s="91"/>
      <c r="BE73" s="91"/>
      <c r="BF73" s="91"/>
      <c r="BG73" s="91"/>
      <c r="BH73" s="91"/>
      <c r="BI73" s="91"/>
      <c r="BJ73" s="91"/>
      <c r="BK73" s="91"/>
      <c r="BL73" s="91"/>
      <c r="BM73" s="91"/>
      <c r="BN73" s="91"/>
      <c r="BO73" s="91"/>
      <c r="BP73" s="91"/>
      <c r="BQ73" s="91"/>
      <c r="BR73" s="91"/>
      <c r="BS73" s="91"/>
      <c r="BT73" s="91"/>
      <c r="BU73" s="91"/>
      <c r="BV73" s="91"/>
      <c r="BW73" s="91"/>
      <c r="BX73" s="91"/>
      <c r="BY73" s="91"/>
      <c r="BZ73" s="91"/>
      <c r="CA73" s="91"/>
      <c r="CB73" s="91"/>
      <c r="CC73" s="91"/>
      <c r="CD73" s="91"/>
      <c r="CE73" s="91"/>
      <c r="CF73" s="91"/>
      <c r="CG73" s="91"/>
      <c r="CH73" s="91"/>
      <c r="CI73" s="91"/>
      <c r="CJ73" s="91"/>
      <c r="CK73" s="91"/>
      <c r="CL73" s="91"/>
      <c r="CM73" s="91"/>
      <c r="CN73" s="91"/>
      <c r="CO73" s="91"/>
      <c r="CP73" s="91"/>
      <c r="CQ73" s="91"/>
      <c r="CR73" s="91"/>
      <c r="CS73" s="91"/>
      <c r="CT73" s="91"/>
      <c r="CU73" s="91"/>
      <c r="CV73" s="91"/>
      <c r="CW73" s="91"/>
      <c r="CX73" s="91"/>
      <c r="CY73" s="91"/>
      <c r="CZ73" s="91"/>
      <c r="DA73" s="91"/>
      <c r="DB73" s="91"/>
      <c r="DC73" s="91"/>
      <c r="DD73" s="91"/>
      <c r="DE73" s="91"/>
      <c r="DF73" s="91"/>
      <c r="DG73" s="91"/>
      <c r="DH73" s="91"/>
      <c r="DI73" s="91"/>
      <c r="DJ73" s="91"/>
      <c r="DK73" s="91"/>
      <c r="DL73" s="91"/>
      <c r="DM73" s="91"/>
      <c r="DN73" s="91"/>
      <c r="DO73" s="91"/>
      <c r="DP73" s="91"/>
      <c r="DQ73" s="91"/>
      <c r="DR73" s="91"/>
      <c r="DS73" s="91"/>
      <c r="DT73" s="91"/>
      <c r="DU73" s="91"/>
      <c r="DV73" s="91"/>
      <c r="DW73" s="91"/>
      <c r="DX73" s="91"/>
      <c r="DY73" s="91"/>
      <c r="DZ73" s="91"/>
      <c r="EA73" s="91"/>
      <c r="EB73" s="91"/>
      <c r="EC73" s="91"/>
      <c r="ED73" s="91"/>
      <c r="EE73" s="91"/>
      <c r="EF73" s="91"/>
      <c r="EG73" s="91"/>
      <c r="EH73" s="91"/>
      <c r="EI73" s="91"/>
      <c r="EJ73" s="91"/>
      <c r="EK73" s="91"/>
      <c r="EL73" s="91"/>
      <c r="EM73" s="91"/>
      <c r="EN73" s="91"/>
      <c r="EO73" s="91"/>
      <c r="EP73" s="91"/>
      <c r="EQ73" s="91"/>
      <c r="ER73" s="91"/>
      <c r="ES73" s="91"/>
      <c r="ET73" s="91"/>
      <c r="EU73" s="91"/>
      <c r="EV73" s="91"/>
      <c r="EW73" s="91"/>
      <c r="EX73" s="91"/>
      <c r="EY73" s="91"/>
      <c r="EZ73" s="91"/>
      <c r="FA73" s="91"/>
      <c r="FB73" s="91"/>
      <c r="FC73" s="91"/>
      <c r="FD73" s="91"/>
      <c r="FE73" s="91"/>
      <c r="FF73" s="91"/>
      <c r="FG73" s="91"/>
      <c r="FH73" s="91"/>
      <c r="FI73" s="91"/>
      <c r="FJ73" s="91"/>
      <c r="FK73" s="91"/>
      <c r="FL73" s="91"/>
      <c r="FM73" s="91"/>
      <c r="FN73" s="91"/>
      <c r="FO73" s="91"/>
      <c r="FP73" s="91"/>
      <c r="FQ73" s="91"/>
      <c r="FR73" s="91"/>
      <c r="FS73" s="91"/>
      <c r="FT73" s="91"/>
      <c r="FU73" s="91"/>
      <c r="FV73" s="91"/>
      <c r="FW73" s="91"/>
      <c r="FX73" s="91"/>
      <c r="FY73" s="91"/>
      <c r="FZ73" s="91"/>
      <c r="GA73" s="91"/>
      <c r="GB73" s="91"/>
      <c r="GC73" s="91"/>
      <c r="GD73" s="91"/>
      <c r="GE73" s="91"/>
      <c r="GF73" s="91"/>
      <c r="GG73" s="91"/>
      <c r="GH73" s="91"/>
      <c r="GI73" s="91"/>
      <c r="GJ73" s="91"/>
      <c r="GK73" s="91"/>
      <c r="GL73" s="91"/>
      <c r="GM73" s="91"/>
      <c r="GN73" s="91"/>
      <c r="GO73" s="91"/>
      <c r="GP73" s="91"/>
      <c r="GQ73" s="91"/>
      <c r="GR73" s="91"/>
    </row>
    <row r="74" spans="2:200" x14ac:dyDescent="0.15">
      <c r="B74" s="91"/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  <c r="AA74" s="91"/>
      <c r="AB74" s="91"/>
      <c r="AC74" s="91"/>
      <c r="AD74" s="91"/>
      <c r="AE74" s="91"/>
      <c r="AF74" s="91"/>
      <c r="AG74" s="91"/>
      <c r="AH74" s="91"/>
      <c r="AI74" s="91"/>
      <c r="AJ74" s="91"/>
      <c r="AK74" s="91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91"/>
      <c r="AW74" s="91"/>
      <c r="AX74" s="91"/>
      <c r="AY74" s="91"/>
      <c r="AZ74" s="91"/>
      <c r="BA74" s="91"/>
      <c r="BB74" s="91"/>
      <c r="BC74" s="91"/>
      <c r="BD74" s="91"/>
      <c r="BE74" s="91"/>
      <c r="BF74" s="91"/>
      <c r="BG74" s="91"/>
      <c r="BH74" s="91"/>
      <c r="BI74" s="91"/>
      <c r="BJ74" s="91"/>
      <c r="BK74" s="91"/>
      <c r="BL74" s="91"/>
      <c r="BM74" s="91"/>
      <c r="BN74" s="91"/>
      <c r="BO74" s="91"/>
      <c r="BP74" s="91"/>
      <c r="BQ74" s="91"/>
      <c r="BR74" s="91"/>
      <c r="BS74" s="91"/>
      <c r="BT74" s="91"/>
      <c r="BU74" s="91"/>
      <c r="BV74" s="91"/>
      <c r="BW74" s="91"/>
      <c r="BX74" s="91"/>
      <c r="BY74" s="91"/>
      <c r="BZ74" s="91"/>
      <c r="CA74" s="91"/>
      <c r="CB74" s="91"/>
      <c r="CC74" s="91"/>
      <c r="CD74" s="91"/>
      <c r="CE74" s="91"/>
      <c r="CF74" s="91"/>
      <c r="CG74" s="91"/>
      <c r="CH74" s="91"/>
      <c r="CI74" s="91"/>
      <c r="CJ74" s="91"/>
      <c r="CK74" s="91"/>
      <c r="CL74" s="91"/>
      <c r="CM74" s="91"/>
      <c r="CN74" s="91"/>
      <c r="CO74" s="91"/>
      <c r="CP74" s="91"/>
      <c r="CQ74" s="91"/>
      <c r="CR74" s="91"/>
      <c r="CS74" s="91"/>
      <c r="CT74" s="91"/>
      <c r="CU74" s="91"/>
      <c r="CV74" s="91"/>
      <c r="CW74" s="91"/>
      <c r="CX74" s="91"/>
      <c r="CY74" s="91"/>
      <c r="CZ74" s="91"/>
      <c r="DA74" s="91"/>
      <c r="DB74" s="91"/>
      <c r="DC74" s="91"/>
      <c r="DD74" s="91"/>
      <c r="DE74" s="91"/>
      <c r="DF74" s="91"/>
      <c r="DG74" s="91"/>
      <c r="DH74" s="91"/>
      <c r="DI74" s="91"/>
      <c r="DJ74" s="91"/>
      <c r="DK74" s="91"/>
      <c r="DL74" s="91"/>
      <c r="DM74" s="91"/>
      <c r="DN74" s="91"/>
      <c r="DO74" s="91"/>
      <c r="DP74" s="91"/>
      <c r="DQ74" s="91"/>
      <c r="DR74" s="91"/>
      <c r="DS74" s="91"/>
      <c r="DT74" s="91"/>
      <c r="DU74" s="91"/>
      <c r="DV74" s="91"/>
      <c r="DW74" s="91"/>
      <c r="DX74" s="91"/>
      <c r="DY74" s="91"/>
      <c r="DZ74" s="91"/>
      <c r="EA74" s="91"/>
      <c r="EB74" s="91"/>
      <c r="EC74" s="91"/>
      <c r="ED74" s="91"/>
      <c r="EE74" s="91"/>
      <c r="EF74" s="91"/>
      <c r="EG74" s="91"/>
      <c r="EH74" s="91"/>
      <c r="EI74" s="91"/>
      <c r="EJ74" s="91"/>
      <c r="EK74" s="91"/>
      <c r="EL74" s="91"/>
      <c r="EM74" s="91"/>
      <c r="EN74" s="91"/>
      <c r="EO74" s="91"/>
      <c r="EP74" s="91"/>
      <c r="EQ74" s="91"/>
      <c r="ER74" s="91"/>
      <c r="ES74" s="91"/>
      <c r="ET74" s="91"/>
      <c r="EU74" s="91"/>
      <c r="EV74" s="91"/>
      <c r="EW74" s="91"/>
      <c r="EX74" s="91"/>
      <c r="EY74" s="91"/>
      <c r="EZ74" s="91"/>
      <c r="FA74" s="91"/>
      <c r="FB74" s="91"/>
      <c r="FC74" s="91"/>
      <c r="FD74" s="91"/>
      <c r="FE74" s="91"/>
      <c r="FF74" s="91"/>
      <c r="FG74" s="91"/>
      <c r="FH74" s="91"/>
      <c r="FI74" s="91"/>
      <c r="FJ74" s="91"/>
      <c r="FK74" s="91"/>
      <c r="FL74" s="91"/>
      <c r="FM74" s="91"/>
      <c r="FN74" s="91"/>
      <c r="FO74" s="91"/>
      <c r="FP74" s="91"/>
      <c r="FQ74" s="91"/>
      <c r="FR74" s="91"/>
      <c r="FS74" s="91"/>
      <c r="FT74" s="91"/>
      <c r="FU74" s="91"/>
      <c r="FV74" s="91"/>
      <c r="FW74" s="91"/>
      <c r="FX74" s="91"/>
      <c r="FY74" s="91"/>
      <c r="FZ74" s="91"/>
      <c r="GA74" s="91"/>
      <c r="GB74" s="91"/>
      <c r="GC74" s="91"/>
      <c r="GD74" s="91"/>
      <c r="GE74" s="91"/>
      <c r="GF74" s="91"/>
      <c r="GG74" s="91"/>
      <c r="GH74" s="91"/>
      <c r="GI74" s="91"/>
      <c r="GJ74" s="91"/>
      <c r="GK74" s="91"/>
      <c r="GL74" s="91"/>
      <c r="GM74" s="91"/>
      <c r="GN74" s="91"/>
      <c r="GO74" s="91"/>
      <c r="GP74" s="91"/>
      <c r="GQ74" s="91"/>
      <c r="GR74" s="91"/>
    </row>
    <row r="75" spans="2:200" x14ac:dyDescent="0.15"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  <c r="X75" s="91"/>
      <c r="Y75" s="91"/>
      <c r="Z75" s="91"/>
      <c r="AA75" s="91"/>
      <c r="AB75" s="91"/>
      <c r="AC75" s="91"/>
      <c r="AD75" s="91"/>
      <c r="AE75" s="91"/>
      <c r="AF75" s="91"/>
      <c r="AG75" s="91"/>
      <c r="AH75" s="91"/>
      <c r="AI75" s="91"/>
      <c r="AJ75" s="91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  <c r="BC75" s="91"/>
      <c r="BD75" s="91"/>
      <c r="BE75" s="91"/>
      <c r="BF75" s="91"/>
      <c r="BG75" s="91"/>
      <c r="BH75" s="91"/>
      <c r="BI75" s="91"/>
      <c r="BJ75" s="91"/>
      <c r="BK75" s="91"/>
      <c r="BL75" s="91"/>
      <c r="BM75" s="91"/>
      <c r="BN75" s="91"/>
      <c r="BO75" s="91"/>
      <c r="BP75" s="91"/>
      <c r="BQ75" s="91"/>
      <c r="BR75" s="91"/>
      <c r="BS75" s="91"/>
      <c r="BT75" s="91"/>
      <c r="BU75" s="91"/>
      <c r="BV75" s="91"/>
      <c r="BW75" s="91"/>
      <c r="BX75" s="91"/>
      <c r="BY75" s="91"/>
      <c r="BZ75" s="91"/>
      <c r="CA75" s="91"/>
      <c r="CB75" s="91"/>
      <c r="CC75" s="91"/>
      <c r="CD75" s="91"/>
      <c r="CE75" s="91"/>
      <c r="CF75" s="91"/>
      <c r="CG75" s="91"/>
      <c r="CH75" s="91"/>
      <c r="CI75" s="91"/>
      <c r="CJ75" s="91"/>
      <c r="CK75" s="91"/>
      <c r="CL75" s="91"/>
      <c r="CM75" s="91"/>
      <c r="CN75" s="91"/>
      <c r="CO75" s="91"/>
      <c r="CP75" s="91"/>
      <c r="CQ75" s="91"/>
      <c r="CR75" s="91"/>
      <c r="CS75" s="91"/>
      <c r="CT75" s="91"/>
      <c r="CU75" s="91"/>
      <c r="CV75" s="91"/>
      <c r="CW75" s="91"/>
      <c r="CX75" s="91"/>
      <c r="CY75" s="91"/>
      <c r="CZ75" s="91"/>
      <c r="DA75" s="91"/>
      <c r="DB75" s="91"/>
      <c r="DC75" s="91"/>
      <c r="DD75" s="91"/>
      <c r="DE75" s="91"/>
      <c r="DF75" s="91"/>
      <c r="DG75" s="91"/>
      <c r="DH75" s="91"/>
      <c r="DI75" s="91"/>
      <c r="DJ75" s="91"/>
      <c r="DK75" s="91"/>
      <c r="DL75" s="91"/>
      <c r="DM75" s="91"/>
      <c r="DN75" s="91"/>
      <c r="DO75" s="91"/>
      <c r="DP75" s="91"/>
      <c r="DQ75" s="91"/>
      <c r="DR75" s="91"/>
      <c r="DS75" s="91"/>
      <c r="DT75" s="91"/>
      <c r="DU75" s="91"/>
      <c r="DV75" s="91"/>
      <c r="DW75" s="91"/>
      <c r="DX75" s="91"/>
      <c r="DY75" s="91"/>
      <c r="DZ75" s="91"/>
      <c r="EA75" s="91"/>
      <c r="EB75" s="91"/>
      <c r="EC75" s="91"/>
      <c r="ED75" s="91"/>
      <c r="EE75" s="91"/>
      <c r="EF75" s="91"/>
      <c r="EG75" s="91"/>
      <c r="EH75" s="91"/>
      <c r="EI75" s="91"/>
      <c r="EJ75" s="91"/>
      <c r="EK75" s="91"/>
      <c r="EL75" s="91"/>
      <c r="EM75" s="91"/>
      <c r="EN75" s="91"/>
      <c r="EO75" s="91"/>
      <c r="EP75" s="91"/>
      <c r="EQ75" s="91"/>
      <c r="ER75" s="91"/>
      <c r="ES75" s="91"/>
      <c r="ET75" s="91"/>
      <c r="EU75" s="91"/>
      <c r="EV75" s="91"/>
      <c r="EW75" s="91"/>
      <c r="EX75" s="91"/>
      <c r="EY75" s="91"/>
      <c r="EZ75" s="91"/>
      <c r="FA75" s="91"/>
      <c r="FB75" s="91"/>
      <c r="FC75" s="91"/>
      <c r="FD75" s="91"/>
      <c r="FE75" s="91"/>
      <c r="FF75" s="91"/>
      <c r="FG75" s="91"/>
      <c r="FH75" s="91"/>
      <c r="FI75" s="91"/>
      <c r="FJ75" s="91"/>
      <c r="FK75" s="91"/>
      <c r="FL75" s="91"/>
      <c r="FM75" s="91"/>
      <c r="FN75" s="91"/>
      <c r="FO75" s="91"/>
      <c r="FP75" s="91"/>
      <c r="FQ75" s="91"/>
      <c r="FR75" s="91"/>
      <c r="FS75" s="91"/>
      <c r="FT75" s="91"/>
      <c r="FU75" s="91"/>
      <c r="FV75" s="91"/>
      <c r="FW75" s="91"/>
      <c r="FX75" s="91"/>
      <c r="FY75" s="91"/>
      <c r="FZ75" s="91"/>
      <c r="GA75" s="91"/>
      <c r="GB75" s="91"/>
      <c r="GC75" s="91"/>
      <c r="GD75" s="91"/>
      <c r="GE75" s="91"/>
      <c r="GF75" s="91"/>
      <c r="GG75" s="91"/>
      <c r="GH75" s="91"/>
      <c r="GI75" s="91"/>
      <c r="GJ75" s="91"/>
      <c r="GK75" s="91"/>
      <c r="GL75" s="91"/>
      <c r="GM75" s="91"/>
      <c r="GN75" s="91"/>
      <c r="GO75" s="91"/>
      <c r="GP75" s="91"/>
      <c r="GQ75" s="91"/>
      <c r="GR75" s="91"/>
    </row>
    <row r="76" spans="2:200" x14ac:dyDescent="0.15"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  <c r="X76" s="91"/>
      <c r="Y76" s="91"/>
      <c r="Z76" s="91"/>
      <c r="AA76" s="91"/>
      <c r="AB76" s="91"/>
      <c r="AC76" s="91"/>
      <c r="AD76" s="91"/>
      <c r="AE76" s="91"/>
      <c r="AF76" s="91"/>
      <c r="AG76" s="91"/>
      <c r="AH76" s="91"/>
      <c r="AI76" s="91"/>
      <c r="AJ76" s="91"/>
      <c r="AK76" s="91"/>
      <c r="AL76" s="91"/>
      <c r="AM76" s="91"/>
      <c r="AN76" s="91"/>
      <c r="AO76" s="91"/>
      <c r="AP76" s="91"/>
      <c r="AQ76" s="91"/>
      <c r="AR76" s="91"/>
      <c r="AS76" s="91"/>
      <c r="AT76" s="91"/>
      <c r="AU76" s="91"/>
      <c r="AV76" s="91"/>
      <c r="AW76" s="91"/>
      <c r="AX76" s="91"/>
      <c r="AY76" s="91"/>
      <c r="AZ76" s="91"/>
      <c r="BA76" s="91"/>
      <c r="BB76" s="91"/>
      <c r="BC76" s="91"/>
      <c r="BD76" s="91"/>
      <c r="BE76" s="91"/>
      <c r="BF76" s="91"/>
      <c r="BG76" s="91"/>
      <c r="BH76" s="91"/>
      <c r="BI76" s="91"/>
      <c r="BJ76" s="91"/>
      <c r="BK76" s="91"/>
      <c r="BL76" s="91"/>
      <c r="BM76" s="91"/>
      <c r="BN76" s="91"/>
      <c r="BO76" s="91"/>
      <c r="BP76" s="91"/>
      <c r="BQ76" s="91"/>
      <c r="BR76" s="91"/>
      <c r="BS76" s="91"/>
      <c r="BT76" s="91"/>
      <c r="BU76" s="91"/>
      <c r="BV76" s="91"/>
      <c r="BW76" s="91"/>
      <c r="BX76" s="91"/>
      <c r="BY76" s="91"/>
      <c r="BZ76" s="91"/>
      <c r="CA76" s="91"/>
      <c r="CB76" s="91"/>
      <c r="CC76" s="91"/>
      <c r="CD76" s="91"/>
      <c r="CE76" s="91"/>
      <c r="CF76" s="91"/>
      <c r="CG76" s="91"/>
      <c r="CH76" s="91"/>
      <c r="CI76" s="91"/>
      <c r="CJ76" s="91"/>
      <c r="CK76" s="91"/>
      <c r="CL76" s="91"/>
      <c r="CM76" s="91"/>
      <c r="CN76" s="91"/>
      <c r="CO76" s="91"/>
      <c r="CP76" s="91"/>
      <c r="CQ76" s="91"/>
      <c r="CR76" s="91"/>
      <c r="CS76" s="91"/>
      <c r="CT76" s="91"/>
      <c r="CU76" s="91"/>
      <c r="CV76" s="91"/>
      <c r="CW76" s="91"/>
      <c r="CX76" s="91"/>
      <c r="CY76" s="91"/>
      <c r="CZ76" s="91"/>
      <c r="DA76" s="91"/>
      <c r="DB76" s="91"/>
      <c r="DC76" s="91"/>
      <c r="DD76" s="91"/>
      <c r="DE76" s="91"/>
      <c r="DF76" s="91"/>
      <c r="DG76" s="91"/>
      <c r="DH76" s="91"/>
      <c r="DI76" s="91"/>
      <c r="DJ76" s="91"/>
      <c r="DK76" s="91"/>
      <c r="DL76" s="91"/>
      <c r="DM76" s="91"/>
      <c r="DN76" s="91"/>
      <c r="DO76" s="91"/>
      <c r="DP76" s="91"/>
      <c r="DQ76" s="91"/>
      <c r="DR76" s="91"/>
      <c r="DS76" s="91"/>
      <c r="DT76" s="91"/>
      <c r="DU76" s="91"/>
      <c r="DV76" s="91"/>
      <c r="DW76" s="91"/>
      <c r="DX76" s="91"/>
      <c r="DY76" s="91"/>
      <c r="DZ76" s="91"/>
      <c r="EA76" s="91"/>
      <c r="EB76" s="91"/>
      <c r="EC76" s="91"/>
      <c r="ED76" s="91"/>
      <c r="EE76" s="91"/>
      <c r="EF76" s="91"/>
      <c r="EG76" s="91"/>
      <c r="EH76" s="91"/>
      <c r="EI76" s="91"/>
      <c r="EJ76" s="91"/>
      <c r="EK76" s="91"/>
      <c r="EL76" s="91"/>
      <c r="EM76" s="91"/>
      <c r="EN76" s="91"/>
      <c r="EO76" s="91"/>
      <c r="EP76" s="91"/>
      <c r="EQ76" s="91"/>
      <c r="ER76" s="91"/>
      <c r="ES76" s="91"/>
      <c r="ET76" s="91"/>
      <c r="EU76" s="91"/>
      <c r="EV76" s="91"/>
      <c r="EW76" s="91"/>
      <c r="EX76" s="91"/>
      <c r="EY76" s="91"/>
      <c r="EZ76" s="91"/>
      <c r="FA76" s="91"/>
      <c r="FB76" s="91"/>
      <c r="FC76" s="91"/>
      <c r="FD76" s="91"/>
      <c r="FE76" s="91"/>
      <c r="FF76" s="91"/>
      <c r="FG76" s="91"/>
      <c r="FH76" s="91"/>
      <c r="FI76" s="91"/>
      <c r="FJ76" s="91"/>
      <c r="FK76" s="91"/>
      <c r="FL76" s="91"/>
      <c r="FM76" s="91"/>
      <c r="FN76" s="91"/>
      <c r="FO76" s="91"/>
      <c r="FP76" s="91"/>
      <c r="FQ76" s="91"/>
      <c r="FR76" s="91"/>
      <c r="FS76" s="91"/>
      <c r="FT76" s="91"/>
      <c r="FU76" s="91"/>
      <c r="FV76" s="91"/>
      <c r="FW76" s="91"/>
      <c r="FX76" s="91"/>
      <c r="FY76" s="91"/>
      <c r="FZ76" s="91"/>
      <c r="GA76" s="91"/>
      <c r="GB76" s="91"/>
      <c r="GC76" s="91"/>
      <c r="GD76" s="91"/>
      <c r="GE76" s="91"/>
      <c r="GF76" s="91"/>
      <c r="GG76" s="91"/>
      <c r="GH76" s="91"/>
      <c r="GI76" s="91"/>
      <c r="GJ76" s="91"/>
      <c r="GK76" s="91"/>
      <c r="GL76" s="91"/>
      <c r="GM76" s="91"/>
      <c r="GN76" s="91"/>
      <c r="GO76" s="91"/>
      <c r="GP76" s="91"/>
      <c r="GQ76" s="91"/>
      <c r="GR76" s="91"/>
    </row>
    <row r="77" spans="2:200" x14ac:dyDescent="0.15"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91"/>
      <c r="AD77" s="91"/>
      <c r="AE77" s="91"/>
      <c r="AF77" s="91"/>
      <c r="AG77" s="91"/>
      <c r="AH77" s="91"/>
      <c r="AI77" s="91"/>
      <c r="AJ77" s="91"/>
      <c r="AK77" s="91"/>
      <c r="AL77" s="91"/>
      <c r="AM77" s="91"/>
      <c r="AN77" s="91"/>
      <c r="AO77" s="91"/>
      <c r="AP77" s="91"/>
      <c r="AQ77" s="91"/>
      <c r="AR77" s="91"/>
      <c r="AS77" s="91"/>
      <c r="AT77" s="91"/>
      <c r="AU77" s="91"/>
      <c r="AV77" s="91"/>
      <c r="AW77" s="91"/>
      <c r="AX77" s="91"/>
      <c r="AY77" s="91"/>
      <c r="AZ77" s="91"/>
      <c r="BA77" s="91"/>
      <c r="BB77" s="91"/>
      <c r="BC77" s="91"/>
      <c r="BD77" s="91"/>
      <c r="BE77" s="91"/>
      <c r="BF77" s="91"/>
      <c r="BG77" s="91"/>
      <c r="BH77" s="91"/>
      <c r="BI77" s="91"/>
      <c r="BJ77" s="91"/>
      <c r="BK77" s="91"/>
      <c r="BL77" s="91"/>
      <c r="BM77" s="91"/>
      <c r="BN77" s="91"/>
      <c r="BO77" s="91"/>
      <c r="BP77" s="91"/>
      <c r="BQ77" s="91"/>
      <c r="BR77" s="91"/>
      <c r="BS77" s="91"/>
      <c r="BT77" s="91"/>
      <c r="BU77" s="91"/>
      <c r="BV77" s="91"/>
      <c r="BW77" s="91"/>
      <c r="BX77" s="91"/>
      <c r="BY77" s="91"/>
      <c r="BZ77" s="91"/>
      <c r="CA77" s="91"/>
      <c r="CB77" s="91"/>
      <c r="CC77" s="91"/>
      <c r="CD77" s="91"/>
      <c r="CE77" s="91"/>
      <c r="CF77" s="91"/>
      <c r="CG77" s="91"/>
      <c r="CH77" s="91"/>
      <c r="CI77" s="91"/>
      <c r="CJ77" s="91"/>
      <c r="CK77" s="91"/>
      <c r="CL77" s="91"/>
      <c r="CM77" s="91"/>
      <c r="CN77" s="91"/>
      <c r="CO77" s="91"/>
      <c r="CP77" s="91"/>
      <c r="CQ77" s="91"/>
      <c r="CR77" s="91"/>
      <c r="CS77" s="91"/>
      <c r="CT77" s="91"/>
      <c r="CU77" s="91"/>
      <c r="CV77" s="91"/>
      <c r="CW77" s="91"/>
      <c r="CX77" s="91"/>
      <c r="CY77" s="91"/>
      <c r="CZ77" s="91"/>
      <c r="DA77" s="91"/>
      <c r="DB77" s="91"/>
      <c r="DC77" s="91"/>
      <c r="DD77" s="91"/>
      <c r="DE77" s="91"/>
      <c r="DF77" s="91"/>
      <c r="DG77" s="91"/>
      <c r="DH77" s="91"/>
      <c r="DI77" s="91"/>
      <c r="DJ77" s="91"/>
      <c r="DK77" s="91"/>
      <c r="DL77" s="91"/>
      <c r="DM77" s="91"/>
      <c r="DN77" s="91"/>
      <c r="DO77" s="91"/>
      <c r="DP77" s="91"/>
      <c r="DQ77" s="91"/>
      <c r="DR77" s="91"/>
      <c r="DS77" s="91"/>
      <c r="DT77" s="91"/>
      <c r="DU77" s="91"/>
      <c r="DV77" s="91"/>
      <c r="DW77" s="91"/>
      <c r="DX77" s="91"/>
      <c r="DY77" s="91"/>
      <c r="DZ77" s="91"/>
      <c r="EA77" s="91"/>
      <c r="EB77" s="91"/>
      <c r="EC77" s="91"/>
      <c r="ED77" s="91"/>
      <c r="EE77" s="91"/>
      <c r="EF77" s="91"/>
      <c r="EG77" s="91"/>
      <c r="EH77" s="91"/>
      <c r="EI77" s="91"/>
      <c r="EJ77" s="91"/>
      <c r="EK77" s="91"/>
      <c r="EL77" s="91"/>
      <c r="EM77" s="91"/>
      <c r="EN77" s="91"/>
      <c r="EO77" s="91"/>
      <c r="EP77" s="91"/>
      <c r="EQ77" s="91"/>
      <c r="ER77" s="91"/>
      <c r="ES77" s="91"/>
      <c r="ET77" s="91"/>
      <c r="EU77" s="91"/>
      <c r="EV77" s="91"/>
      <c r="EW77" s="91"/>
      <c r="EX77" s="91"/>
      <c r="EY77" s="91"/>
      <c r="EZ77" s="91"/>
      <c r="FA77" s="91"/>
      <c r="FB77" s="91"/>
      <c r="FC77" s="91"/>
      <c r="FD77" s="91"/>
      <c r="FE77" s="91"/>
      <c r="FF77" s="91"/>
      <c r="FG77" s="91"/>
      <c r="FH77" s="91"/>
      <c r="FI77" s="91"/>
      <c r="FJ77" s="91"/>
      <c r="FK77" s="91"/>
      <c r="FL77" s="91"/>
      <c r="FM77" s="91"/>
      <c r="FN77" s="91"/>
      <c r="FO77" s="91"/>
      <c r="FP77" s="91"/>
      <c r="FQ77" s="91"/>
      <c r="FR77" s="91"/>
      <c r="FS77" s="91"/>
      <c r="FT77" s="91"/>
      <c r="FU77" s="91"/>
      <c r="FV77" s="91"/>
      <c r="FW77" s="91"/>
      <c r="FX77" s="91"/>
      <c r="FY77" s="91"/>
      <c r="FZ77" s="91"/>
      <c r="GA77" s="91"/>
      <c r="GB77" s="91"/>
      <c r="GC77" s="91"/>
      <c r="GD77" s="91"/>
      <c r="GE77" s="91"/>
      <c r="GF77" s="91"/>
      <c r="GG77" s="91"/>
      <c r="GH77" s="91"/>
      <c r="GI77" s="91"/>
      <c r="GJ77" s="91"/>
      <c r="GK77" s="91"/>
      <c r="GL77" s="91"/>
      <c r="GM77" s="91"/>
      <c r="GN77" s="91"/>
      <c r="GO77" s="91"/>
      <c r="GP77" s="91"/>
      <c r="GQ77" s="91"/>
      <c r="GR77" s="91"/>
    </row>
    <row r="78" spans="2:200" x14ac:dyDescent="0.15"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  <c r="AA78" s="91"/>
      <c r="AB78" s="91"/>
      <c r="AC78" s="91"/>
      <c r="AD78" s="91"/>
      <c r="AE78" s="91"/>
      <c r="AF78" s="91"/>
      <c r="AG78" s="91"/>
      <c r="AH78" s="91"/>
      <c r="AI78" s="91"/>
      <c r="AJ78" s="91"/>
      <c r="AK78" s="91"/>
      <c r="AL78" s="91"/>
      <c r="AM78" s="91"/>
      <c r="AN78" s="91"/>
      <c r="AO78" s="91"/>
      <c r="AP78" s="91"/>
      <c r="AQ78" s="91"/>
      <c r="AR78" s="91"/>
      <c r="AS78" s="91"/>
      <c r="AT78" s="91"/>
      <c r="AU78" s="91"/>
      <c r="AV78" s="91"/>
      <c r="AW78" s="91"/>
      <c r="AX78" s="91"/>
      <c r="AY78" s="91"/>
      <c r="AZ78" s="91"/>
      <c r="BA78" s="91"/>
      <c r="BB78" s="91"/>
      <c r="BC78" s="91"/>
      <c r="BD78" s="91"/>
      <c r="BE78" s="91"/>
      <c r="BF78" s="91"/>
      <c r="BG78" s="91"/>
      <c r="BH78" s="91"/>
      <c r="BI78" s="91"/>
      <c r="BJ78" s="91"/>
      <c r="BK78" s="91"/>
      <c r="BL78" s="91"/>
      <c r="BM78" s="91"/>
      <c r="BN78" s="91"/>
      <c r="BO78" s="91"/>
      <c r="BP78" s="91"/>
      <c r="BQ78" s="91"/>
      <c r="BR78" s="91"/>
      <c r="BS78" s="91"/>
      <c r="BT78" s="91"/>
      <c r="BU78" s="91"/>
      <c r="BV78" s="91"/>
      <c r="BW78" s="91"/>
      <c r="BX78" s="91"/>
      <c r="BY78" s="91"/>
      <c r="BZ78" s="91"/>
      <c r="CA78" s="91"/>
      <c r="CB78" s="91"/>
      <c r="CC78" s="91"/>
      <c r="CD78" s="91"/>
      <c r="CE78" s="91"/>
      <c r="CF78" s="91"/>
      <c r="CG78" s="91"/>
      <c r="CH78" s="91"/>
      <c r="CI78" s="91"/>
      <c r="CJ78" s="91"/>
      <c r="CK78" s="91"/>
      <c r="CL78" s="91"/>
      <c r="CM78" s="91"/>
      <c r="CN78" s="91"/>
      <c r="CO78" s="91"/>
      <c r="CP78" s="91"/>
      <c r="CQ78" s="91"/>
      <c r="CR78" s="91"/>
      <c r="CS78" s="91"/>
      <c r="CT78" s="91"/>
      <c r="CU78" s="91"/>
      <c r="CV78" s="91"/>
      <c r="CW78" s="91"/>
      <c r="CX78" s="91"/>
      <c r="CY78" s="91"/>
      <c r="CZ78" s="91"/>
      <c r="DA78" s="91"/>
      <c r="DB78" s="91"/>
      <c r="DC78" s="91"/>
      <c r="DD78" s="91"/>
      <c r="DE78" s="91"/>
      <c r="DF78" s="91"/>
      <c r="DG78" s="91"/>
      <c r="DH78" s="91"/>
      <c r="DI78" s="91"/>
      <c r="DJ78" s="91"/>
      <c r="DK78" s="91"/>
      <c r="DL78" s="91"/>
      <c r="DM78" s="91"/>
      <c r="DN78" s="91"/>
      <c r="DO78" s="91"/>
      <c r="DP78" s="91"/>
      <c r="DQ78" s="91"/>
      <c r="DR78" s="91"/>
      <c r="DS78" s="91"/>
      <c r="DT78" s="91"/>
      <c r="DU78" s="91"/>
      <c r="DV78" s="91"/>
      <c r="DW78" s="91"/>
      <c r="DX78" s="91"/>
      <c r="DY78" s="91"/>
      <c r="DZ78" s="91"/>
      <c r="EA78" s="91"/>
      <c r="EB78" s="91"/>
      <c r="EC78" s="91"/>
      <c r="ED78" s="91"/>
      <c r="EE78" s="91"/>
      <c r="EF78" s="91"/>
      <c r="EG78" s="91"/>
      <c r="EH78" s="91"/>
      <c r="EI78" s="91"/>
      <c r="EJ78" s="91"/>
      <c r="EK78" s="91"/>
      <c r="EL78" s="91"/>
      <c r="EM78" s="91"/>
      <c r="EN78" s="91"/>
      <c r="EO78" s="91"/>
      <c r="EP78" s="91"/>
      <c r="EQ78" s="91"/>
      <c r="ER78" s="91"/>
      <c r="ES78" s="91"/>
      <c r="ET78" s="91"/>
      <c r="EU78" s="91"/>
      <c r="EV78" s="91"/>
      <c r="EW78" s="91"/>
      <c r="EX78" s="91"/>
      <c r="EY78" s="91"/>
      <c r="EZ78" s="91"/>
      <c r="FA78" s="91"/>
      <c r="FB78" s="91"/>
      <c r="FC78" s="91"/>
      <c r="FD78" s="91"/>
      <c r="FE78" s="91"/>
      <c r="FF78" s="91"/>
      <c r="FG78" s="91"/>
      <c r="FH78" s="91"/>
      <c r="FI78" s="91"/>
      <c r="FJ78" s="91"/>
      <c r="FK78" s="91"/>
      <c r="FL78" s="91"/>
      <c r="FM78" s="91"/>
      <c r="FN78" s="91"/>
      <c r="FO78" s="91"/>
      <c r="FP78" s="91"/>
      <c r="FQ78" s="91"/>
      <c r="FR78" s="91"/>
      <c r="FS78" s="91"/>
      <c r="FT78" s="91"/>
      <c r="FU78" s="91"/>
      <c r="FV78" s="91"/>
      <c r="FW78" s="91"/>
      <c r="FX78" s="91"/>
      <c r="FY78" s="91"/>
      <c r="FZ78" s="91"/>
      <c r="GA78" s="91"/>
      <c r="GB78" s="91"/>
      <c r="GC78" s="91"/>
      <c r="GD78" s="91"/>
      <c r="GE78" s="91"/>
      <c r="GF78" s="91"/>
      <c r="GG78" s="91"/>
      <c r="GH78" s="91"/>
      <c r="GI78" s="91"/>
      <c r="GJ78" s="91"/>
      <c r="GK78" s="91"/>
      <c r="GL78" s="91"/>
      <c r="GM78" s="91"/>
      <c r="GN78" s="91"/>
      <c r="GO78" s="91"/>
      <c r="GP78" s="91"/>
      <c r="GQ78" s="91"/>
      <c r="GR78" s="91"/>
    </row>
    <row r="79" spans="2:200" x14ac:dyDescent="0.15"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  <c r="AD79" s="91"/>
      <c r="AE79" s="91"/>
      <c r="AF79" s="91"/>
      <c r="AG79" s="91"/>
      <c r="AH79" s="91"/>
      <c r="AI79" s="91"/>
      <c r="AJ79" s="91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1"/>
      <c r="AV79" s="91"/>
      <c r="AW79" s="91"/>
      <c r="AX79" s="91"/>
      <c r="AY79" s="91"/>
      <c r="AZ79" s="91"/>
      <c r="BA79" s="91"/>
      <c r="BB79" s="91"/>
      <c r="BC79" s="91"/>
      <c r="BD79" s="91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W79" s="91"/>
      <c r="BX79" s="91"/>
      <c r="BY79" s="91"/>
      <c r="BZ79" s="91"/>
      <c r="CA79" s="91"/>
      <c r="CB79" s="91"/>
      <c r="CC79" s="91"/>
      <c r="CD79" s="91"/>
      <c r="CE79" s="91"/>
      <c r="CF79" s="91"/>
      <c r="CG79" s="91"/>
      <c r="CH79" s="91"/>
      <c r="CI79" s="91"/>
      <c r="CJ79" s="91"/>
      <c r="CK79" s="91"/>
      <c r="CL79" s="91"/>
      <c r="CM79" s="91"/>
      <c r="CN79" s="91"/>
      <c r="CO79" s="91"/>
      <c r="CP79" s="91"/>
      <c r="CQ79" s="91"/>
      <c r="CR79" s="91"/>
      <c r="CS79" s="91"/>
      <c r="CT79" s="91"/>
      <c r="CU79" s="91"/>
      <c r="CV79" s="91"/>
      <c r="CW79" s="91"/>
      <c r="CX79" s="91"/>
      <c r="CY79" s="91"/>
      <c r="CZ79" s="91"/>
      <c r="DA79" s="91"/>
      <c r="DB79" s="91"/>
      <c r="DC79" s="91"/>
      <c r="DD79" s="91"/>
      <c r="DE79" s="91"/>
      <c r="DF79" s="91"/>
      <c r="DG79" s="91"/>
      <c r="DH79" s="91"/>
      <c r="DI79" s="91"/>
      <c r="DJ79" s="91"/>
      <c r="DK79" s="91"/>
      <c r="DL79" s="91"/>
      <c r="DM79" s="91"/>
      <c r="DN79" s="91"/>
      <c r="DO79" s="91"/>
      <c r="DP79" s="91"/>
      <c r="DQ79" s="91"/>
      <c r="DR79" s="91"/>
      <c r="DS79" s="91"/>
      <c r="DT79" s="91"/>
      <c r="DU79" s="91"/>
      <c r="DV79" s="91"/>
      <c r="DW79" s="91"/>
      <c r="DX79" s="91"/>
      <c r="DY79" s="91"/>
      <c r="DZ79" s="91"/>
      <c r="EA79" s="91"/>
      <c r="EB79" s="91"/>
      <c r="EC79" s="91"/>
      <c r="ED79" s="91"/>
      <c r="EE79" s="91"/>
      <c r="EF79" s="91"/>
      <c r="EG79" s="91"/>
      <c r="EH79" s="91"/>
      <c r="EI79" s="91"/>
      <c r="EJ79" s="91"/>
      <c r="EK79" s="91"/>
      <c r="EL79" s="91"/>
      <c r="EM79" s="91"/>
      <c r="EN79" s="91"/>
      <c r="EO79" s="91"/>
      <c r="EP79" s="91"/>
      <c r="EQ79" s="91"/>
      <c r="ER79" s="91"/>
      <c r="ES79" s="91"/>
      <c r="ET79" s="91"/>
      <c r="EU79" s="91"/>
      <c r="EV79" s="91"/>
      <c r="EW79" s="91"/>
      <c r="EX79" s="91"/>
      <c r="EY79" s="91"/>
      <c r="EZ79" s="91"/>
      <c r="FA79" s="91"/>
      <c r="FB79" s="91"/>
      <c r="FC79" s="91"/>
      <c r="FD79" s="91"/>
      <c r="FE79" s="91"/>
      <c r="FF79" s="91"/>
      <c r="FG79" s="91"/>
      <c r="FH79" s="91"/>
      <c r="FI79" s="91"/>
      <c r="FJ79" s="91"/>
      <c r="FK79" s="91"/>
      <c r="FL79" s="91"/>
      <c r="FM79" s="91"/>
      <c r="FN79" s="91"/>
      <c r="FO79" s="91"/>
      <c r="FP79" s="91"/>
      <c r="FQ79" s="91"/>
      <c r="FR79" s="91"/>
      <c r="FS79" s="91"/>
      <c r="FT79" s="91"/>
      <c r="FU79" s="91"/>
      <c r="FV79" s="91"/>
      <c r="FW79" s="91"/>
      <c r="FX79" s="91"/>
      <c r="FY79" s="91"/>
      <c r="FZ79" s="91"/>
      <c r="GA79" s="91"/>
      <c r="GB79" s="91"/>
      <c r="GC79" s="91"/>
      <c r="GD79" s="91"/>
      <c r="GE79" s="91"/>
      <c r="GF79" s="91"/>
      <c r="GG79" s="91"/>
      <c r="GH79" s="91"/>
      <c r="GI79" s="91"/>
      <c r="GJ79" s="91"/>
      <c r="GK79" s="91"/>
      <c r="GL79" s="91"/>
      <c r="GM79" s="91"/>
      <c r="GN79" s="91"/>
      <c r="GO79" s="91"/>
      <c r="GP79" s="91"/>
      <c r="GQ79" s="91"/>
      <c r="GR79" s="91"/>
    </row>
    <row r="80" spans="2:200" x14ac:dyDescent="0.15"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/>
      <c r="AV80" s="91"/>
      <c r="AW80" s="91"/>
      <c r="AX80" s="91"/>
      <c r="AY80" s="91"/>
      <c r="AZ80" s="91"/>
      <c r="BA80" s="91"/>
      <c r="BB80" s="91"/>
      <c r="BC80" s="91"/>
      <c r="BD80" s="91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W80" s="91"/>
      <c r="BX80" s="91"/>
      <c r="BY80" s="91"/>
      <c r="BZ80" s="91"/>
      <c r="CA80" s="91"/>
      <c r="CB80" s="91"/>
      <c r="CC80" s="91"/>
      <c r="CD80" s="91"/>
      <c r="CE80" s="91"/>
      <c r="CF80" s="91"/>
      <c r="CG80" s="91"/>
      <c r="CH80" s="91"/>
      <c r="CI80" s="91"/>
      <c r="CJ80" s="91"/>
      <c r="CK80" s="91"/>
      <c r="CL80" s="91"/>
      <c r="CM80" s="91"/>
      <c r="CN80" s="91"/>
      <c r="CO80" s="91"/>
      <c r="CP80" s="91"/>
      <c r="CQ80" s="91"/>
      <c r="CR80" s="91"/>
      <c r="CS80" s="91"/>
      <c r="CT80" s="91"/>
      <c r="CU80" s="91"/>
      <c r="CV80" s="91"/>
      <c r="CW80" s="91"/>
      <c r="CX80" s="91"/>
      <c r="CY80" s="91"/>
      <c r="CZ80" s="91"/>
      <c r="DA80" s="91"/>
      <c r="DB80" s="91"/>
      <c r="DC80" s="91"/>
      <c r="DD80" s="91"/>
      <c r="DE80" s="91"/>
      <c r="DF80" s="91"/>
      <c r="DG80" s="91"/>
      <c r="DH80" s="91"/>
      <c r="DI80" s="91"/>
      <c r="DJ80" s="91"/>
      <c r="DK80" s="91"/>
      <c r="DL80" s="91"/>
      <c r="DM80" s="91"/>
      <c r="DN80" s="91"/>
      <c r="DO80" s="91"/>
      <c r="DP80" s="91"/>
      <c r="DQ80" s="91"/>
      <c r="DR80" s="91"/>
      <c r="DS80" s="91"/>
      <c r="DT80" s="91"/>
      <c r="DU80" s="91"/>
      <c r="DV80" s="91"/>
      <c r="DW80" s="91"/>
      <c r="DX80" s="91"/>
      <c r="DY80" s="91"/>
      <c r="DZ80" s="91"/>
      <c r="EA80" s="91"/>
      <c r="EB80" s="91"/>
      <c r="EC80" s="91"/>
      <c r="ED80" s="91"/>
      <c r="EE80" s="91"/>
      <c r="EF80" s="91"/>
      <c r="EG80" s="91"/>
      <c r="EH80" s="91"/>
      <c r="EI80" s="91"/>
      <c r="EJ80" s="91"/>
      <c r="EK80" s="91"/>
      <c r="EL80" s="91"/>
      <c r="EM80" s="91"/>
      <c r="EN80" s="91"/>
      <c r="EO80" s="91"/>
      <c r="EP80" s="91"/>
      <c r="EQ80" s="91"/>
      <c r="ER80" s="91"/>
      <c r="ES80" s="91"/>
      <c r="ET80" s="91"/>
      <c r="EU80" s="91"/>
      <c r="EV80" s="91"/>
      <c r="EW80" s="91"/>
      <c r="EX80" s="91"/>
      <c r="EY80" s="91"/>
      <c r="EZ80" s="91"/>
      <c r="FA80" s="91"/>
      <c r="FB80" s="91"/>
      <c r="FC80" s="91"/>
      <c r="FD80" s="91"/>
      <c r="FE80" s="91"/>
      <c r="FF80" s="91"/>
      <c r="FG80" s="91"/>
      <c r="FH80" s="91"/>
      <c r="FI80" s="91"/>
      <c r="FJ80" s="91"/>
      <c r="FK80" s="91"/>
      <c r="FL80" s="91"/>
      <c r="FM80" s="91"/>
      <c r="FN80" s="91"/>
      <c r="FO80" s="91"/>
      <c r="FP80" s="91"/>
      <c r="FQ80" s="91"/>
      <c r="FR80" s="91"/>
      <c r="FS80" s="91"/>
      <c r="FT80" s="91"/>
      <c r="FU80" s="91"/>
      <c r="FV80" s="91"/>
      <c r="FW80" s="91"/>
      <c r="FX80" s="91"/>
      <c r="FY80" s="91"/>
      <c r="FZ80" s="91"/>
      <c r="GA80" s="91"/>
      <c r="GB80" s="91"/>
      <c r="GC80" s="91"/>
      <c r="GD80" s="91"/>
      <c r="GE80" s="91"/>
      <c r="GF80" s="91"/>
      <c r="GG80" s="91"/>
      <c r="GH80" s="91"/>
      <c r="GI80" s="91"/>
      <c r="GJ80" s="91"/>
      <c r="GK80" s="91"/>
      <c r="GL80" s="91"/>
      <c r="GM80" s="91"/>
      <c r="GN80" s="91"/>
      <c r="GO80" s="91"/>
      <c r="GP80" s="91"/>
      <c r="GQ80" s="91"/>
      <c r="GR80" s="91"/>
    </row>
    <row r="81" spans="2:200" x14ac:dyDescent="0.15"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1"/>
      <c r="AV81" s="91"/>
      <c r="AW81" s="91"/>
      <c r="AX81" s="91"/>
      <c r="AY81" s="91"/>
      <c r="AZ81" s="91"/>
      <c r="BA81" s="91"/>
      <c r="BB81" s="91"/>
      <c r="BC81" s="91"/>
      <c r="BD81" s="91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W81" s="91"/>
      <c r="BX81" s="91"/>
      <c r="BY81" s="91"/>
      <c r="BZ81" s="91"/>
      <c r="CA81" s="91"/>
      <c r="CB81" s="91"/>
      <c r="CC81" s="91"/>
      <c r="CD81" s="91"/>
      <c r="CE81" s="91"/>
      <c r="CF81" s="91"/>
      <c r="CG81" s="91"/>
      <c r="CH81" s="91"/>
      <c r="CI81" s="91"/>
      <c r="CJ81" s="91"/>
      <c r="CK81" s="91"/>
      <c r="CL81" s="91"/>
      <c r="CM81" s="91"/>
      <c r="CN81" s="91"/>
      <c r="CO81" s="91"/>
      <c r="CP81" s="91"/>
      <c r="CQ81" s="91"/>
      <c r="CR81" s="91"/>
      <c r="CS81" s="91"/>
      <c r="CT81" s="91"/>
      <c r="CU81" s="91"/>
      <c r="CV81" s="91"/>
      <c r="CW81" s="91"/>
      <c r="CX81" s="91"/>
      <c r="CY81" s="91"/>
      <c r="CZ81" s="91"/>
      <c r="DA81" s="91"/>
      <c r="DB81" s="91"/>
      <c r="DC81" s="91"/>
      <c r="DD81" s="91"/>
      <c r="DE81" s="91"/>
      <c r="DF81" s="91"/>
      <c r="DG81" s="91"/>
      <c r="DH81" s="91"/>
      <c r="DI81" s="91"/>
      <c r="DJ81" s="91"/>
      <c r="DK81" s="91"/>
      <c r="DL81" s="91"/>
      <c r="DM81" s="91"/>
      <c r="DN81" s="91"/>
      <c r="DO81" s="91"/>
      <c r="DP81" s="91"/>
      <c r="DQ81" s="91"/>
      <c r="DR81" s="91"/>
      <c r="DS81" s="91"/>
      <c r="DT81" s="91"/>
      <c r="DU81" s="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1"/>
      <c r="EH81" s="91"/>
      <c r="EI81" s="91"/>
      <c r="EJ81" s="91"/>
      <c r="EK81" s="91"/>
      <c r="EL81" s="91"/>
      <c r="EM81" s="91"/>
      <c r="EN81" s="91"/>
      <c r="EO81" s="91"/>
      <c r="EP81" s="91"/>
      <c r="EQ81" s="91"/>
      <c r="ER81" s="91"/>
      <c r="ES81" s="91"/>
      <c r="ET81" s="91"/>
      <c r="EU81" s="91"/>
      <c r="EV81" s="91"/>
      <c r="EW81" s="91"/>
      <c r="EX81" s="91"/>
      <c r="EY81" s="91"/>
      <c r="EZ81" s="91"/>
      <c r="FA81" s="91"/>
      <c r="FB81" s="91"/>
      <c r="FC81" s="91"/>
      <c r="FD81" s="91"/>
      <c r="FE81" s="91"/>
      <c r="FF81" s="91"/>
      <c r="FG81" s="91"/>
      <c r="FH81" s="91"/>
      <c r="FI81" s="91"/>
      <c r="FJ81" s="91"/>
      <c r="FK81" s="91"/>
      <c r="FL81" s="91"/>
      <c r="FM81" s="91"/>
      <c r="FN81" s="91"/>
      <c r="FO81" s="91"/>
      <c r="FP81" s="91"/>
      <c r="FQ81" s="91"/>
      <c r="FR81" s="91"/>
      <c r="FS81" s="91"/>
      <c r="FT81" s="91"/>
      <c r="FU81" s="91"/>
      <c r="FV81" s="91"/>
      <c r="FW81" s="91"/>
      <c r="FX81" s="91"/>
      <c r="FY81" s="91"/>
      <c r="FZ81" s="91"/>
      <c r="GA81" s="91"/>
      <c r="GB81" s="91"/>
      <c r="GC81" s="91"/>
      <c r="GD81" s="91"/>
      <c r="GE81" s="91"/>
      <c r="GF81" s="91"/>
      <c r="GG81" s="91"/>
      <c r="GH81" s="91"/>
      <c r="GI81" s="91"/>
      <c r="GJ81" s="91"/>
      <c r="GK81" s="91"/>
      <c r="GL81" s="91"/>
      <c r="GM81" s="91"/>
      <c r="GN81" s="91"/>
      <c r="GO81" s="91"/>
      <c r="GP81" s="91"/>
      <c r="GQ81" s="91"/>
      <c r="GR81" s="91"/>
    </row>
    <row r="82" spans="2:200" x14ac:dyDescent="0.15"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91"/>
      <c r="Y82" s="91"/>
      <c r="Z82" s="91"/>
      <c r="AA82" s="91"/>
      <c r="AB82" s="91"/>
      <c r="AC82" s="91"/>
      <c r="AD82" s="91"/>
      <c r="AE82" s="91"/>
      <c r="AF82" s="91"/>
      <c r="AG82" s="91"/>
      <c r="AH82" s="91"/>
      <c r="AI82" s="91"/>
      <c r="AJ82" s="91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1"/>
      <c r="AV82" s="91"/>
      <c r="AW82" s="91"/>
      <c r="AX82" s="91"/>
      <c r="AY82" s="91"/>
      <c r="AZ82" s="91"/>
      <c r="BA82" s="91"/>
      <c r="BB82" s="91"/>
      <c r="BC82" s="91"/>
      <c r="BD82" s="91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W82" s="91"/>
      <c r="BX82" s="91"/>
      <c r="BY82" s="91"/>
      <c r="BZ82" s="91"/>
      <c r="CA82" s="91"/>
      <c r="CB82" s="91"/>
      <c r="CC82" s="91"/>
      <c r="CD82" s="91"/>
      <c r="CE82" s="91"/>
      <c r="CF82" s="91"/>
      <c r="CG82" s="91"/>
      <c r="CH82" s="91"/>
      <c r="CI82" s="91"/>
      <c r="CJ82" s="91"/>
      <c r="CK82" s="91"/>
      <c r="CL82" s="91"/>
      <c r="CM82" s="91"/>
      <c r="CN82" s="91"/>
      <c r="CO82" s="91"/>
      <c r="CP82" s="91"/>
      <c r="CQ82" s="91"/>
      <c r="CR82" s="91"/>
      <c r="CS82" s="91"/>
      <c r="CT82" s="91"/>
      <c r="CU82" s="91"/>
      <c r="CV82" s="91"/>
      <c r="CW82" s="91"/>
      <c r="CX82" s="91"/>
      <c r="CY82" s="91"/>
      <c r="CZ82" s="91"/>
      <c r="DA82" s="91"/>
      <c r="DB82" s="91"/>
      <c r="DC82" s="91"/>
      <c r="DD82" s="91"/>
      <c r="DE82" s="91"/>
      <c r="DF82" s="91"/>
      <c r="DG82" s="91"/>
      <c r="DH82" s="91"/>
      <c r="DI82" s="91"/>
      <c r="DJ82" s="91"/>
      <c r="DK82" s="91"/>
      <c r="DL82" s="91"/>
      <c r="DM82" s="91"/>
      <c r="DN82" s="91"/>
      <c r="DO82" s="91"/>
      <c r="DP82" s="91"/>
      <c r="DQ82" s="91"/>
      <c r="DR82" s="91"/>
      <c r="DS82" s="91"/>
      <c r="DT82" s="91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  <c r="EH82" s="91"/>
      <c r="EI82" s="91"/>
      <c r="EJ82" s="91"/>
      <c r="EK82" s="91"/>
      <c r="EL82" s="91"/>
      <c r="EM82" s="91"/>
      <c r="EN82" s="91"/>
      <c r="EO82" s="91"/>
      <c r="EP82" s="91"/>
      <c r="EQ82" s="91"/>
      <c r="ER82" s="91"/>
      <c r="ES82" s="91"/>
      <c r="ET82" s="91"/>
      <c r="EU82" s="91"/>
      <c r="EV82" s="91"/>
      <c r="EW82" s="91"/>
      <c r="EX82" s="91"/>
      <c r="EY82" s="91"/>
      <c r="EZ82" s="91"/>
      <c r="FA82" s="91"/>
      <c r="FB82" s="91"/>
      <c r="FC82" s="91"/>
      <c r="FD82" s="91"/>
      <c r="FE82" s="91"/>
      <c r="FF82" s="91"/>
      <c r="FG82" s="91"/>
      <c r="FH82" s="91"/>
      <c r="FI82" s="91"/>
      <c r="FJ82" s="91"/>
      <c r="FK82" s="91"/>
      <c r="FL82" s="91"/>
      <c r="FM82" s="91"/>
      <c r="FN82" s="91"/>
      <c r="FO82" s="91"/>
      <c r="FP82" s="91"/>
      <c r="FQ82" s="91"/>
      <c r="FR82" s="91"/>
      <c r="FS82" s="91"/>
      <c r="FT82" s="91"/>
      <c r="FU82" s="91"/>
      <c r="FV82" s="91"/>
      <c r="FW82" s="91"/>
      <c r="FX82" s="91"/>
      <c r="FY82" s="91"/>
      <c r="FZ82" s="91"/>
      <c r="GA82" s="91"/>
      <c r="GB82" s="91"/>
      <c r="GC82" s="91"/>
      <c r="GD82" s="91"/>
      <c r="GE82" s="91"/>
      <c r="GF82" s="91"/>
      <c r="GG82" s="91"/>
      <c r="GH82" s="91"/>
      <c r="GI82" s="91"/>
      <c r="GJ82" s="91"/>
      <c r="GK82" s="91"/>
      <c r="GL82" s="91"/>
      <c r="GM82" s="91"/>
      <c r="GN82" s="91"/>
      <c r="GO82" s="91"/>
      <c r="GP82" s="91"/>
      <c r="GQ82" s="91"/>
      <c r="GR82" s="91"/>
    </row>
    <row r="83" spans="2:200" x14ac:dyDescent="0.15"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/>
      <c r="AV83" s="91"/>
      <c r="AW83" s="91"/>
      <c r="AX83" s="91"/>
      <c r="AY83" s="91"/>
      <c r="AZ83" s="91"/>
      <c r="BA83" s="91"/>
      <c r="BB83" s="91"/>
      <c r="BC83" s="91"/>
      <c r="BD83" s="91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W83" s="91"/>
      <c r="BX83" s="91"/>
      <c r="BY83" s="91"/>
      <c r="BZ83" s="91"/>
      <c r="CA83" s="91"/>
      <c r="CB83" s="91"/>
      <c r="CC83" s="91"/>
      <c r="CD83" s="91"/>
      <c r="CE83" s="91"/>
      <c r="CF83" s="91"/>
      <c r="CG83" s="91"/>
      <c r="CH83" s="91"/>
      <c r="CI83" s="91"/>
      <c r="CJ83" s="91"/>
      <c r="CK83" s="91"/>
      <c r="CL83" s="91"/>
      <c r="CM83" s="91"/>
      <c r="CN83" s="91"/>
      <c r="CO83" s="91"/>
      <c r="CP83" s="91"/>
      <c r="CQ83" s="91"/>
      <c r="CR83" s="91"/>
      <c r="CS83" s="91"/>
      <c r="CT83" s="91"/>
      <c r="CU83" s="91"/>
      <c r="CV83" s="91"/>
      <c r="CW83" s="91"/>
      <c r="CX83" s="91"/>
      <c r="CY83" s="91"/>
      <c r="CZ83" s="91"/>
      <c r="DA83" s="91"/>
      <c r="DB83" s="91"/>
      <c r="DC83" s="91"/>
      <c r="DD83" s="91"/>
      <c r="DE83" s="91"/>
      <c r="DF83" s="91"/>
      <c r="DG83" s="91"/>
      <c r="DH83" s="91"/>
      <c r="DI83" s="91"/>
      <c r="DJ83" s="91"/>
      <c r="DK83" s="91"/>
      <c r="DL83" s="91"/>
      <c r="DM83" s="91"/>
      <c r="DN83" s="91"/>
      <c r="DO83" s="91"/>
      <c r="DP83" s="91"/>
      <c r="DQ83" s="91"/>
      <c r="DR83" s="91"/>
      <c r="DS83" s="91"/>
      <c r="DT83" s="91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  <c r="EH83" s="91"/>
      <c r="EI83" s="91"/>
      <c r="EJ83" s="91"/>
      <c r="EK83" s="91"/>
      <c r="EL83" s="91"/>
      <c r="EM83" s="91"/>
      <c r="EN83" s="91"/>
      <c r="EO83" s="91"/>
      <c r="EP83" s="91"/>
      <c r="EQ83" s="91"/>
      <c r="ER83" s="91"/>
      <c r="ES83" s="91"/>
      <c r="ET83" s="91"/>
      <c r="EU83" s="91"/>
      <c r="EV83" s="91"/>
      <c r="EW83" s="91"/>
      <c r="EX83" s="91"/>
      <c r="EY83" s="91"/>
      <c r="EZ83" s="91"/>
      <c r="FA83" s="91"/>
      <c r="FB83" s="91"/>
      <c r="FC83" s="91"/>
      <c r="FD83" s="91"/>
      <c r="FE83" s="91"/>
      <c r="FF83" s="91"/>
      <c r="FG83" s="91"/>
      <c r="FH83" s="91"/>
      <c r="FI83" s="91"/>
      <c r="FJ83" s="91"/>
      <c r="FK83" s="91"/>
      <c r="FL83" s="91"/>
      <c r="FM83" s="91"/>
      <c r="FN83" s="91"/>
      <c r="FO83" s="91"/>
      <c r="FP83" s="91"/>
      <c r="FQ83" s="91"/>
      <c r="FR83" s="91"/>
      <c r="FS83" s="91"/>
      <c r="FT83" s="91"/>
      <c r="FU83" s="91"/>
      <c r="FV83" s="91"/>
      <c r="FW83" s="91"/>
      <c r="FX83" s="91"/>
      <c r="FY83" s="91"/>
      <c r="FZ83" s="91"/>
      <c r="GA83" s="91"/>
      <c r="GB83" s="91"/>
      <c r="GC83" s="91"/>
      <c r="GD83" s="91"/>
      <c r="GE83" s="91"/>
      <c r="GF83" s="91"/>
      <c r="GG83" s="91"/>
      <c r="GH83" s="91"/>
      <c r="GI83" s="91"/>
      <c r="GJ83" s="91"/>
      <c r="GK83" s="91"/>
      <c r="GL83" s="91"/>
      <c r="GM83" s="91"/>
      <c r="GN83" s="91"/>
      <c r="GO83" s="91"/>
      <c r="GP83" s="91"/>
      <c r="GQ83" s="91"/>
      <c r="GR83" s="91"/>
    </row>
    <row r="84" spans="2:200" x14ac:dyDescent="0.15"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1"/>
      <c r="AV84" s="91"/>
      <c r="AW84" s="91"/>
      <c r="AX84" s="91"/>
      <c r="AY84" s="91"/>
      <c r="AZ84" s="91"/>
      <c r="BA84" s="91"/>
      <c r="BB84" s="91"/>
      <c r="BC84" s="91"/>
      <c r="BD84" s="91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W84" s="91"/>
      <c r="BX84" s="91"/>
      <c r="BY84" s="91"/>
      <c r="BZ84" s="91"/>
      <c r="CA84" s="91"/>
      <c r="CB84" s="91"/>
      <c r="CC84" s="91"/>
      <c r="CD84" s="91"/>
      <c r="CE84" s="91"/>
      <c r="CF84" s="91"/>
      <c r="CG84" s="91"/>
      <c r="CH84" s="91"/>
      <c r="CI84" s="91"/>
      <c r="CJ84" s="91"/>
      <c r="CK84" s="91"/>
      <c r="CL84" s="91"/>
      <c r="CM84" s="91"/>
      <c r="CN84" s="91"/>
      <c r="CO84" s="91"/>
      <c r="CP84" s="91"/>
      <c r="CQ84" s="91"/>
      <c r="CR84" s="91"/>
      <c r="CS84" s="91"/>
      <c r="CT84" s="91"/>
      <c r="CU84" s="91"/>
      <c r="CV84" s="91"/>
      <c r="CW84" s="91"/>
      <c r="CX84" s="91"/>
      <c r="CY84" s="91"/>
      <c r="CZ84" s="91"/>
      <c r="DA84" s="91"/>
      <c r="DB84" s="91"/>
      <c r="DC84" s="91"/>
      <c r="DD84" s="91"/>
      <c r="DE84" s="91"/>
      <c r="DF84" s="91"/>
      <c r="DG84" s="91"/>
      <c r="DH84" s="91"/>
      <c r="DI84" s="91"/>
      <c r="DJ84" s="91"/>
      <c r="DK84" s="91"/>
      <c r="DL84" s="91"/>
      <c r="DM84" s="91"/>
      <c r="DN84" s="91"/>
      <c r="DO84" s="91"/>
      <c r="DP84" s="91"/>
      <c r="DQ84" s="91"/>
      <c r="DR84" s="91"/>
      <c r="DS84" s="91"/>
      <c r="DT84" s="91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  <c r="EH84" s="91"/>
      <c r="EI84" s="91"/>
      <c r="EJ84" s="91"/>
      <c r="EK84" s="91"/>
      <c r="EL84" s="91"/>
      <c r="EM84" s="91"/>
      <c r="EN84" s="91"/>
      <c r="EO84" s="91"/>
      <c r="EP84" s="91"/>
      <c r="EQ84" s="91"/>
      <c r="ER84" s="91"/>
      <c r="ES84" s="91"/>
      <c r="ET84" s="91"/>
      <c r="EU84" s="91"/>
      <c r="EV84" s="91"/>
      <c r="EW84" s="91"/>
      <c r="EX84" s="91"/>
      <c r="EY84" s="91"/>
      <c r="EZ84" s="91"/>
      <c r="FA84" s="91"/>
      <c r="FB84" s="91"/>
      <c r="FC84" s="91"/>
      <c r="FD84" s="91"/>
      <c r="FE84" s="91"/>
      <c r="FF84" s="91"/>
      <c r="FG84" s="91"/>
      <c r="FH84" s="91"/>
      <c r="FI84" s="91"/>
      <c r="FJ84" s="91"/>
      <c r="FK84" s="91"/>
      <c r="FL84" s="91"/>
      <c r="FM84" s="91"/>
      <c r="FN84" s="91"/>
      <c r="FO84" s="91"/>
      <c r="FP84" s="91"/>
      <c r="FQ84" s="91"/>
      <c r="FR84" s="91"/>
      <c r="FS84" s="91"/>
      <c r="FT84" s="91"/>
      <c r="FU84" s="91"/>
      <c r="FV84" s="91"/>
      <c r="FW84" s="91"/>
      <c r="FX84" s="91"/>
      <c r="FY84" s="91"/>
      <c r="FZ84" s="91"/>
      <c r="GA84" s="91"/>
      <c r="GB84" s="91"/>
      <c r="GC84" s="91"/>
      <c r="GD84" s="91"/>
      <c r="GE84" s="91"/>
      <c r="GF84" s="91"/>
      <c r="GG84" s="91"/>
      <c r="GH84" s="91"/>
      <c r="GI84" s="91"/>
      <c r="GJ84" s="91"/>
      <c r="GK84" s="91"/>
      <c r="GL84" s="91"/>
      <c r="GM84" s="91"/>
      <c r="GN84" s="91"/>
      <c r="GO84" s="91"/>
      <c r="GP84" s="91"/>
      <c r="GQ84" s="91"/>
      <c r="GR84" s="91"/>
    </row>
    <row r="85" spans="2:200" x14ac:dyDescent="0.15"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1"/>
      <c r="AC85" s="91"/>
      <c r="AD85" s="91"/>
      <c r="AE85" s="91"/>
      <c r="AF85" s="91"/>
      <c r="AG85" s="91"/>
      <c r="AH85" s="91"/>
      <c r="AI85" s="91"/>
      <c r="AJ85" s="91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1"/>
      <c r="AV85" s="91"/>
      <c r="AW85" s="91"/>
      <c r="AX85" s="91"/>
      <c r="AY85" s="91"/>
      <c r="AZ85" s="91"/>
      <c r="BA85" s="91"/>
      <c r="BB85" s="91"/>
      <c r="BC85" s="91"/>
      <c r="BD85" s="91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W85" s="91"/>
      <c r="BX85" s="91"/>
      <c r="BY85" s="91"/>
      <c r="BZ85" s="91"/>
      <c r="CA85" s="91"/>
      <c r="CB85" s="91"/>
      <c r="CC85" s="91"/>
      <c r="CD85" s="91"/>
      <c r="CE85" s="91"/>
      <c r="CF85" s="91"/>
      <c r="CG85" s="91"/>
      <c r="CH85" s="91"/>
      <c r="CI85" s="91"/>
      <c r="CJ85" s="91"/>
      <c r="CK85" s="91"/>
      <c r="CL85" s="91"/>
      <c r="CM85" s="91"/>
      <c r="CN85" s="91"/>
      <c r="CO85" s="91"/>
      <c r="CP85" s="91"/>
      <c r="CQ85" s="91"/>
      <c r="CR85" s="91"/>
      <c r="CS85" s="91"/>
      <c r="CT85" s="91"/>
      <c r="CU85" s="91"/>
      <c r="CV85" s="91"/>
      <c r="CW85" s="91"/>
      <c r="CX85" s="91"/>
      <c r="CY85" s="91"/>
      <c r="CZ85" s="91"/>
      <c r="DA85" s="91"/>
      <c r="DB85" s="91"/>
      <c r="DC85" s="91"/>
      <c r="DD85" s="91"/>
      <c r="DE85" s="91"/>
      <c r="DF85" s="91"/>
      <c r="DG85" s="91"/>
      <c r="DH85" s="91"/>
      <c r="DI85" s="91"/>
      <c r="DJ85" s="91"/>
      <c r="DK85" s="91"/>
      <c r="DL85" s="91"/>
      <c r="DM85" s="91"/>
      <c r="DN85" s="91"/>
      <c r="DO85" s="91"/>
      <c r="DP85" s="91"/>
      <c r="DQ85" s="91"/>
      <c r="DR85" s="91"/>
      <c r="DS85" s="91"/>
      <c r="DT85" s="91"/>
      <c r="DU85" s="91"/>
      <c r="DV85" s="91"/>
      <c r="DW85" s="91"/>
      <c r="DX85" s="91"/>
      <c r="DY85" s="91"/>
      <c r="DZ85" s="91"/>
      <c r="EA85" s="91"/>
      <c r="EB85" s="91"/>
      <c r="EC85" s="91"/>
      <c r="ED85" s="91"/>
      <c r="EE85" s="91"/>
      <c r="EF85" s="91"/>
      <c r="EG85" s="91"/>
      <c r="EH85" s="91"/>
      <c r="EI85" s="91"/>
      <c r="EJ85" s="91"/>
      <c r="EK85" s="91"/>
      <c r="EL85" s="91"/>
      <c r="EM85" s="91"/>
      <c r="EN85" s="91"/>
      <c r="EO85" s="91"/>
      <c r="EP85" s="91"/>
      <c r="EQ85" s="91"/>
      <c r="ER85" s="91"/>
      <c r="ES85" s="91"/>
      <c r="ET85" s="91"/>
      <c r="EU85" s="91"/>
      <c r="EV85" s="91"/>
      <c r="EW85" s="91"/>
      <c r="EX85" s="91"/>
      <c r="EY85" s="91"/>
      <c r="EZ85" s="91"/>
      <c r="FA85" s="91"/>
      <c r="FB85" s="91"/>
      <c r="FC85" s="91"/>
      <c r="FD85" s="91"/>
      <c r="FE85" s="91"/>
      <c r="FF85" s="91"/>
      <c r="FG85" s="91"/>
      <c r="FH85" s="91"/>
      <c r="FI85" s="91"/>
      <c r="FJ85" s="91"/>
      <c r="FK85" s="91"/>
      <c r="FL85" s="91"/>
      <c r="FM85" s="91"/>
      <c r="FN85" s="91"/>
      <c r="FO85" s="91"/>
      <c r="FP85" s="91"/>
      <c r="FQ85" s="91"/>
      <c r="FR85" s="91"/>
      <c r="FS85" s="91"/>
      <c r="FT85" s="91"/>
      <c r="FU85" s="91"/>
      <c r="FV85" s="91"/>
      <c r="FW85" s="91"/>
      <c r="FX85" s="91"/>
      <c r="FY85" s="91"/>
      <c r="FZ85" s="91"/>
      <c r="GA85" s="91"/>
      <c r="GB85" s="91"/>
      <c r="GC85" s="91"/>
      <c r="GD85" s="91"/>
      <c r="GE85" s="91"/>
      <c r="GF85" s="91"/>
      <c r="GG85" s="91"/>
      <c r="GH85" s="91"/>
      <c r="GI85" s="91"/>
      <c r="GJ85" s="91"/>
      <c r="GK85" s="91"/>
      <c r="GL85" s="91"/>
      <c r="GM85" s="91"/>
      <c r="GN85" s="91"/>
      <c r="GO85" s="91"/>
      <c r="GP85" s="91"/>
      <c r="GQ85" s="91"/>
      <c r="GR85" s="91"/>
    </row>
    <row r="86" spans="2:200" x14ac:dyDescent="0.15"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  <c r="X86" s="91"/>
      <c r="Y86" s="91"/>
      <c r="Z86" s="91"/>
      <c r="AA86" s="91"/>
      <c r="AB86" s="91"/>
      <c r="AC86" s="91"/>
      <c r="AD86" s="91"/>
      <c r="AE86" s="91"/>
      <c r="AF86" s="91"/>
      <c r="AG86" s="91"/>
      <c r="AH86" s="91"/>
      <c r="AI86" s="91"/>
      <c r="AJ86" s="91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1"/>
      <c r="AV86" s="91"/>
      <c r="AW86" s="91"/>
      <c r="AX86" s="91"/>
      <c r="AY86" s="91"/>
      <c r="AZ86" s="91"/>
      <c r="BA86" s="91"/>
      <c r="BB86" s="91"/>
      <c r="BC86" s="91"/>
      <c r="BD86" s="91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W86" s="91"/>
      <c r="BX86" s="91"/>
      <c r="BY86" s="91"/>
      <c r="BZ86" s="91"/>
      <c r="CA86" s="91"/>
      <c r="CB86" s="91"/>
      <c r="CC86" s="91"/>
      <c r="CD86" s="91"/>
      <c r="CE86" s="91"/>
      <c r="CF86" s="91"/>
      <c r="CG86" s="91"/>
      <c r="CH86" s="91"/>
      <c r="CI86" s="91"/>
      <c r="CJ86" s="91"/>
      <c r="CK86" s="91"/>
      <c r="CL86" s="91"/>
      <c r="CM86" s="91"/>
      <c r="CN86" s="91"/>
      <c r="CO86" s="91"/>
      <c r="CP86" s="91"/>
      <c r="CQ86" s="91"/>
      <c r="CR86" s="91"/>
      <c r="CS86" s="91"/>
      <c r="CT86" s="91"/>
      <c r="CU86" s="91"/>
      <c r="CV86" s="91"/>
      <c r="CW86" s="91"/>
      <c r="CX86" s="91"/>
      <c r="CY86" s="91"/>
      <c r="CZ86" s="91"/>
      <c r="DA86" s="91"/>
      <c r="DB86" s="91"/>
      <c r="DC86" s="91"/>
      <c r="DD86" s="91"/>
      <c r="DE86" s="91"/>
      <c r="DF86" s="91"/>
      <c r="DG86" s="91"/>
      <c r="DH86" s="91"/>
      <c r="DI86" s="91"/>
      <c r="DJ86" s="91"/>
      <c r="DK86" s="91"/>
      <c r="DL86" s="91"/>
      <c r="DM86" s="91"/>
      <c r="DN86" s="91"/>
      <c r="DO86" s="91"/>
      <c r="DP86" s="91"/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1"/>
      <c r="EH86" s="91"/>
      <c r="EI86" s="91"/>
      <c r="EJ86" s="91"/>
      <c r="EK86" s="91"/>
      <c r="EL86" s="91"/>
      <c r="EM86" s="91"/>
      <c r="EN86" s="91"/>
      <c r="EO86" s="91"/>
      <c r="EP86" s="91"/>
      <c r="EQ86" s="91"/>
      <c r="ER86" s="91"/>
      <c r="ES86" s="91"/>
      <c r="ET86" s="91"/>
      <c r="EU86" s="91"/>
      <c r="EV86" s="91"/>
      <c r="EW86" s="91"/>
      <c r="EX86" s="91"/>
      <c r="EY86" s="91"/>
      <c r="EZ86" s="91"/>
      <c r="FA86" s="91"/>
      <c r="FB86" s="91"/>
      <c r="FC86" s="91"/>
      <c r="FD86" s="91"/>
      <c r="FE86" s="91"/>
      <c r="FF86" s="91"/>
      <c r="FG86" s="91"/>
      <c r="FH86" s="91"/>
      <c r="FI86" s="91"/>
      <c r="FJ86" s="91"/>
      <c r="FK86" s="91"/>
      <c r="FL86" s="91"/>
      <c r="FM86" s="91"/>
      <c r="FN86" s="91"/>
      <c r="FO86" s="91"/>
      <c r="FP86" s="91"/>
      <c r="FQ86" s="91"/>
      <c r="FR86" s="91"/>
      <c r="FS86" s="91"/>
      <c r="FT86" s="91"/>
      <c r="FU86" s="91"/>
      <c r="FV86" s="91"/>
      <c r="FW86" s="91"/>
      <c r="FX86" s="91"/>
      <c r="FY86" s="91"/>
      <c r="FZ86" s="91"/>
      <c r="GA86" s="91"/>
      <c r="GB86" s="91"/>
      <c r="GC86" s="91"/>
      <c r="GD86" s="91"/>
      <c r="GE86" s="91"/>
      <c r="GF86" s="91"/>
      <c r="GG86" s="91"/>
      <c r="GH86" s="91"/>
      <c r="GI86" s="91"/>
      <c r="GJ86" s="91"/>
      <c r="GK86" s="91"/>
      <c r="GL86" s="91"/>
      <c r="GM86" s="91"/>
      <c r="GN86" s="91"/>
      <c r="GO86" s="91"/>
      <c r="GP86" s="91"/>
      <c r="GQ86" s="91"/>
      <c r="GR86" s="91"/>
    </row>
    <row r="87" spans="2:200" x14ac:dyDescent="0.15"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  <c r="AD87" s="91"/>
      <c r="AE87" s="91"/>
      <c r="AF87" s="91"/>
      <c r="AG87" s="91"/>
      <c r="AH87" s="91"/>
      <c r="AI87" s="91"/>
      <c r="AJ87" s="91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1"/>
      <c r="AV87" s="91"/>
      <c r="AW87" s="91"/>
      <c r="AX87" s="91"/>
      <c r="AY87" s="91"/>
      <c r="AZ87" s="91"/>
      <c r="BA87" s="91"/>
      <c r="BB87" s="91"/>
      <c r="BC87" s="91"/>
      <c r="BD87" s="91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W87" s="91"/>
      <c r="BX87" s="91"/>
      <c r="BY87" s="91"/>
      <c r="BZ87" s="91"/>
      <c r="CA87" s="91"/>
      <c r="CB87" s="91"/>
      <c r="CC87" s="91"/>
      <c r="CD87" s="91"/>
      <c r="CE87" s="91"/>
      <c r="CF87" s="91"/>
      <c r="CG87" s="91"/>
      <c r="CH87" s="91"/>
      <c r="CI87" s="91"/>
      <c r="CJ87" s="91"/>
      <c r="CK87" s="91"/>
      <c r="CL87" s="91"/>
      <c r="CM87" s="91"/>
      <c r="CN87" s="91"/>
      <c r="CO87" s="91"/>
      <c r="CP87" s="91"/>
      <c r="CQ87" s="91"/>
      <c r="CR87" s="91"/>
      <c r="CS87" s="91"/>
      <c r="CT87" s="91"/>
      <c r="CU87" s="91"/>
      <c r="CV87" s="91"/>
      <c r="CW87" s="91"/>
      <c r="CX87" s="91"/>
      <c r="CY87" s="91"/>
      <c r="CZ87" s="91"/>
      <c r="DA87" s="91"/>
      <c r="DB87" s="91"/>
      <c r="DC87" s="91"/>
      <c r="DD87" s="91"/>
      <c r="DE87" s="91"/>
      <c r="DF87" s="91"/>
      <c r="DG87" s="91"/>
      <c r="DH87" s="91"/>
      <c r="DI87" s="91"/>
      <c r="DJ87" s="91"/>
      <c r="DK87" s="91"/>
      <c r="DL87" s="91"/>
      <c r="DM87" s="91"/>
      <c r="DN87" s="91"/>
      <c r="DO87" s="91"/>
      <c r="DP87" s="91"/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1"/>
      <c r="EH87" s="91"/>
      <c r="EI87" s="91"/>
      <c r="EJ87" s="91"/>
      <c r="EK87" s="91"/>
      <c r="EL87" s="91"/>
      <c r="EM87" s="91"/>
      <c r="EN87" s="91"/>
      <c r="EO87" s="91"/>
      <c r="EP87" s="91"/>
      <c r="EQ87" s="91"/>
      <c r="ER87" s="91"/>
      <c r="ES87" s="91"/>
      <c r="ET87" s="91"/>
      <c r="EU87" s="91"/>
      <c r="EV87" s="91"/>
      <c r="EW87" s="91"/>
      <c r="EX87" s="91"/>
      <c r="EY87" s="91"/>
      <c r="EZ87" s="91"/>
      <c r="FA87" s="91"/>
      <c r="FB87" s="91"/>
      <c r="FC87" s="91"/>
      <c r="FD87" s="91"/>
      <c r="FE87" s="91"/>
      <c r="FF87" s="91"/>
      <c r="FG87" s="91"/>
      <c r="FH87" s="91"/>
      <c r="FI87" s="91"/>
      <c r="FJ87" s="91"/>
      <c r="FK87" s="91"/>
      <c r="FL87" s="91"/>
      <c r="FM87" s="91"/>
      <c r="FN87" s="91"/>
      <c r="FO87" s="91"/>
      <c r="FP87" s="91"/>
      <c r="FQ87" s="91"/>
      <c r="FR87" s="91"/>
      <c r="FS87" s="91"/>
      <c r="FT87" s="91"/>
      <c r="FU87" s="91"/>
      <c r="FV87" s="91"/>
      <c r="FW87" s="91"/>
      <c r="FX87" s="91"/>
      <c r="FY87" s="91"/>
      <c r="FZ87" s="91"/>
      <c r="GA87" s="91"/>
      <c r="GB87" s="91"/>
      <c r="GC87" s="91"/>
      <c r="GD87" s="91"/>
      <c r="GE87" s="91"/>
      <c r="GF87" s="91"/>
      <c r="GG87" s="91"/>
      <c r="GH87" s="91"/>
      <c r="GI87" s="91"/>
      <c r="GJ87" s="91"/>
      <c r="GK87" s="91"/>
      <c r="GL87" s="91"/>
      <c r="GM87" s="91"/>
      <c r="GN87" s="91"/>
      <c r="GO87" s="91"/>
      <c r="GP87" s="91"/>
      <c r="GQ87" s="91"/>
      <c r="GR87" s="91"/>
    </row>
    <row r="88" spans="2:200" x14ac:dyDescent="0.15"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C88" s="91"/>
      <c r="BD88" s="91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W88" s="91"/>
      <c r="BX88" s="91"/>
      <c r="BY88" s="91"/>
      <c r="BZ88" s="91"/>
      <c r="CA88" s="91"/>
      <c r="CB88" s="91"/>
      <c r="CC88" s="91"/>
      <c r="CD88" s="91"/>
      <c r="CE88" s="91"/>
      <c r="CF88" s="91"/>
      <c r="CG88" s="91"/>
      <c r="CH88" s="91"/>
      <c r="CI88" s="91"/>
      <c r="CJ88" s="91"/>
      <c r="CK88" s="91"/>
      <c r="CL88" s="91"/>
      <c r="CM88" s="91"/>
      <c r="CN88" s="91"/>
      <c r="CO88" s="91"/>
      <c r="CP88" s="91"/>
      <c r="CQ88" s="91"/>
      <c r="CR88" s="91"/>
      <c r="CS88" s="91"/>
      <c r="CT88" s="91"/>
      <c r="CU88" s="91"/>
      <c r="CV88" s="91"/>
      <c r="CW88" s="91"/>
      <c r="CX88" s="91"/>
      <c r="CY88" s="91"/>
      <c r="CZ88" s="91"/>
      <c r="DA88" s="91"/>
      <c r="DB88" s="91"/>
      <c r="DC88" s="91"/>
      <c r="DD88" s="91"/>
      <c r="DE88" s="91"/>
      <c r="DF88" s="91"/>
      <c r="DG88" s="91"/>
      <c r="DH88" s="91"/>
      <c r="DI88" s="91"/>
      <c r="DJ88" s="91"/>
      <c r="DK88" s="91"/>
      <c r="DL88" s="91"/>
      <c r="DM88" s="91"/>
      <c r="DN88" s="91"/>
      <c r="DO88" s="91"/>
      <c r="DP88" s="91"/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1"/>
      <c r="EH88" s="91"/>
      <c r="EI88" s="91"/>
      <c r="EJ88" s="91"/>
      <c r="EK88" s="91"/>
      <c r="EL88" s="91"/>
      <c r="EM88" s="91"/>
      <c r="EN88" s="91"/>
      <c r="EO88" s="91"/>
      <c r="EP88" s="91"/>
      <c r="EQ88" s="91"/>
      <c r="ER88" s="91"/>
      <c r="ES88" s="91"/>
      <c r="ET88" s="91"/>
      <c r="EU88" s="91"/>
      <c r="EV88" s="91"/>
      <c r="EW88" s="91"/>
      <c r="EX88" s="91"/>
      <c r="EY88" s="91"/>
      <c r="EZ88" s="91"/>
      <c r="FA88" s="91"/>
      <c r="FB88" s="91"/>
      <c r="FC88" s="91"/>
      <c r="FD88" s="91"/>
      <c r="FE88" s="91"/>
      <c r="FF88" s="91"/>
      <c r="FG88" s="91"/>
      <c r="FH88" s="91"/>
      <c r="FI88" s="91"/>
      <c r="FJ88" s="91"/>
      <c r="FK88" s="91"/>
      <c r="FL88" s="91"/>
      <c r="FM88" s="91"/>
      <c r="FN88" s="91"/>
      <c r="FO88" s="91"/>
      <c r="FP88" s="91"/>
      <c r="FQ88" s="91"/>
      <c r="FR88" s="91"/>
      <c r="FS88" s="91"/>
      <c r="FT88" s="91"/>
      <c r="FU88" s="91"/>
      <c r="FV88" s="91"/>
      <c r="FW88" s="91"/>
      <c r="FX88" s="91"/>
      <c r="FY88" s="91"/>
      <c r="FZ88" s="91"/>
      <c r="GA88" s="91"/>
      <c r="GB88" s="91"/>
      <c r="GC88" s="91"/>
      <c r="GD88" s="91"/>
      <c r="GE88" s="91"/>
      <c r="GF88" s="91"/>
      <c r="GG88" s="91"/>
      <c r="GH88" s="91"/>
      <c r="GI88" s="91"/>
      <c r="GJ88" s="91"/>
      <c r="GK88" s="91"/>
      <c r="GL88" s="91"/>
      <c r="GM88" s="91"/>
      <c r="GN88" s="91"/>
      <c r="GO88" s="91"/>
      <c r="GP88" s="91"/>
      <c r="GQ88" s="91"/>
      <c r="GR88" s="91"/>
    </row>
    <row r="89" spans="2:200" x14ac:dyDescent="0.15"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91"/>
      <c r="AG89" s="91"/>
      <c r="AH89" s="91"/>
      <c r="AI89" s="91"/>
      <c r="AJ89" s="91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C89" s="91"/>
      <c r="BD89" s="91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W89" s="91"/>
      <c r="BX89" s="91"/>
      <c r="BY89" s="91"/>
      <c r="BZ89" s="91"/>
      <c r="CA89" s="91"/>
      <c r="CB89" s="91"/>
      <c r="CC89" s="91"/>
      <c r="CD89" s="91"/>
      <c r="CE89" s="91"/>
      <c r="CF89" s="91"/>
      <c r="CG89" s="91"/>
      <c r="CH89" s="91"/>
      <c r="CI89" s="91"/>
      <c r="CJ89" s="91"/>
      <c r="CK89" s="91"/>
      <c r="CL89" s="91"/>
      <c r="CM89" s="91"/>
      <c r="CN89" s="91"/>
      <c r="CO89" s="91"/>
      <c r="CP89" s="91"/>
      <c r="CQ89" s="91"/>
      <c r="CR89" s="91"/>
      <c r="CS89" s="91"/>
      <c r="CT89" s="91"/>
      <c r="CU89" s="91"/>
      <c r="CV89" s="91"/>
      <c r="CW89" s="91"/>
      <c r="CX89" s="91"/>
      <c r="CY89" s="91"/>
      <c r="CZ89" s="91"/>
      <c r="DA89" s="91"/>
      <c r="DB89" s="91"/>
      <c r="DC89" s="91"/>
      <c r="DD89" s="91"/>
      <c r="DE89" s="91"/>
      <c r="DF89" s="91"/>
      <c r="DG89" s="91"/>
      <c r="DH89" s="91"/>
      <c r="DI89" s="91"/>
      <c r="DJ89" s="91"/>
      <c r="DK89" s="91"/>
      <c r="DL89" s="91"/>
      <c r="DM89" s="91"/>
      <c r="DN89" s="91"/>
      <c r="DO89" s="91"/>
      <c r="DP89" s="91"/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1"/>
      <c r="EH89" s="91"/>
      <c r="EI89" s="91"/>
      <c r="EJ89" s="91"/>
      <c r="EK89" s="91"/>
      <c r="EL89" s="91"/>
      <c r="EM89" s="91"/>
      <c r="EN89" s="91"/>
      <c r="EO89" s="91"/>
      <c r="EP89" s="91"/>
      <c r="EQ89" s="91"/>
      <c r="ER89" s="91"/>
      <c r="ES89" s="91"/>
      <c r="ET89" s="91"/>
      <c r="EU89" s="91"/>
      <c r="EV89" s="91"/>
      <c r="EW89" s="91"/>
      <c r="EX89" s="91"/>
      <c r="EY89" s="91"/>
      <c r="EZ89" s="91"/>
      <c r="FA89" s="91"/>
      <c r="FB89" s="91"/>
      <c r="FC89" s="91"/>
      <c r="FD89" s="91"/>
      <c r="FE89" s="91"/>
      <c r="FF89" s="91"/>
      <c r="FG89" s="91"/>
      <c r="FH89" s="91"/>
      <c r="FI89" s="91"/>
      <c r="FJ89" s="91"/>
      <c r="FK89" s="91"/>
      <c r="FL89" s="91"/>
      <c r="FM89" s="91"/>
      <c r="FN89" s="91"/>
      <c r="FO89" s="91"/>
      <c r="FP89" s="91"/>
      <c r="FQ89" s="91"/>
      <c r="FR89" s="91"/>
      <c r="FS89" s="91"/>
      <c r="FT89" s="91"/>
      <c r="FU89" s="91"/>
      <c r="FV89" s="91"/>
      <c r="FW89" s="91"/>
      <c r="FX89" s="91"/>
      <c r="FY89" s="91"/>
      <c r="FZ89" s="91"/>
      <c r="GA89" s="91"/>
      <c r="GB89" s="91"/>
      <c r="GC89" s="91"/>
      <c r="GD89" s="91"/>
      <c r="GE89" s="91"/>
      <c r="GF89" s="91"/>
      <c r="GG89" s="91"/>
      <c r="GH89" s="91"/>
      <c r="GI89" s="91"/>
      <c r="GJ89" s="91"/>
      <c r="GK89" s="91"/>
      <c r="GL89" s="91"/>
      <c r="GM89" s="91"/>
      <c r="GN89" s="91"/>
      <c r="GO89" s="91"/>
      <c r="GP89" s="91"/>
      <c r="GQ89" s="91"/>
      <c r="GR89" s="91"/>
    </row>
    <row r="90" spans="2:200" x14ac:dyDescent="0.15"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C90" s="91"/>
      <c r="BD90" s="91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W90" s="91"/>
      <c r="BX90" s="91"/>
      <c r="BY90" s="91"/>
      <c r="BZ90" s="91"/>
      <c r="CA90" s="91"/>
      <c r="CB90" s="91"/>
      <c r="CC90" s="91"/>
      <c r="CD90" s="91"/>
      <c r="CE90" s="91"/>
      <c r="CF90" s="91"/>
      <c r="CG90" s="91"/>
      <c r="CH90" s="91"/>
      <c r="CI90" s="91"/>
      <c r="CJ90" s="91"/>
      <c r="CK90" s="91"/>
      <c r="CL90" s="91"/>
      <c r="CM90" s="91"/>
      <c r="CN90" s="91"/>
      <c r="CO90" s="91"/>
      <c r="CP90" s="91"/>
      <c r="CQ90" s="91"/>
      <c r="CR90" s="91"/>
      <c r="CS90" s="91"/>
      <c r="CT90" s="91"/>
      <c r="CU90" s="91"/>
      <c r="CV90" s="91"/>
      <c r="CW90" s="91"/>
      <c r="CX90" s="91"/>
      <c r="CY90" s="91"/>
      <c r="CZ90" s="91"/>
      <c r="DA90" s="91"/>
      <c r="DB90" s="91"/>
      <c r="DC90" s="91"/>
      <c r="DD90" s="91"/>
      <c r="DE90" s="91"/>
      <c r="DF90" s="91"/>
      <c r="DG90" s="91"/>
      <c r="DH90" s="91"/>
      <c r="DI90" s="91"/>
      <c r="DJ90" s="91"/>
      <c r="DK90" s="91"/>
      <c r="DL90" s="91"/>
      <c r="DM90" s="91"/>
      <c r="DN90" s="91"/>
      <c r="DO90" s="91"/>
      <c r="DP90" s="91"/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1"/>
      <c r="EH90" s="91"/>
      <c r="EI90" s="91"/>
      <c r="EJ90" s="91"/>
      <c r="EK90" s="91"/>
      <c r="EL90" s="91"/>
      <c r="EM90" s="91"/>
      <c r="EN90" s="91"/>
      <c r="EO90" s="91"/>
      <c r="EP90" s="91"/>
      <c r="EQ90" s="91"/>
      <c r="ER90" s="91"/>
      <c r="ES90" s="91"/>
      <c r="ET90" s="91"/>
      <c r="EU90" s="91"/>
      <c r="EV90" s="91"/>
      <c r="EW90" s="91"/>
      <c r="EX90" s="91"/>
      <c r="EY90" s="91"/>
      <c r="EZ90" s="91"/>
      <c r="FA90" s="91"/>
      <c r="FB90" s="91"/>
      <c r="FC90" s="91"/>
      <c r="FD90" s="91"/>
      <c r="FE90" s="91"/>
      <c r="FF90" s="91"/>
      <c r="FG90" s="91"/>
      <c r="FH90" s="91"/>
      <c r="FI90" s="91"/>
      <c r="FJ90" s="91"/>
      <c r="FK90" s="91"/>
      <c r="FL90" s="91"/>
      <c r="FM90" s="91"/>
      <c r="FN90" s="91"/>
      <c r="FO90" s="91"/>
      <c r="FP90" s="91"/>
      <c r="FQ90" s="91"/>
      <c r="FR90" s="91"/>
      <c r="FS90" s="91"/>
      <c r="FT90" s="91"/>
      <c r="FU90" s="91"/>
      <c r="FV90" s="91"/>
      <c r="FW90" s="91"/>
      <c r="FX90" s="91"/>
      <c r="FY90" s="91"/>
      <c r="FZ90" s="91"/>
      <c r="GA90" s="91"/>
      <c r="GB90" s="91"/>
      <c r="GC90" s="91"/>
      <c r="GD90" s="91"/>
      <c r="GE90" s="91"/>
      <c r="GF90" s="91"/>
      <c r="GG90" s="91"/>
      <c r="GH90" s="91"/>
      <c r="GI90" s="91"/>
      <c r="GJ90" s="91"/>
      <c r="GK90" s="91"/>
      <c r="GL90" s="91"/>
      <c r="GM90" s="91"/>
      <c r="GN90" s="91"/>
      <c r="GO90" s="91"/>
      <c r="GP90" s="91"/>
      <c r="GQ90" s="91"/>
      <c r="GR90" s="91"/>
    </row>
    <row r="91" spans="2:200" x14ac:dyDescent="0.15"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C91" s="91"/>
      <c r="BD91" s="91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W91" s="91"/>
      <c r="BX91" s="91"/>
      <c r="BY91" s="91"/>
      <c r="BZ91" s="91"/>
      <c r="CA91" s="91"/>
      <c r="CB91" s="91"/>
      <c r="CC91" s="91"/>
      <c r="CD91" s="91"/>
      <c r="CE91" s="91"/>
      <c r="CF91" s="91"/>
      <c r="CG91" s="91"/>
      <c r="CH91" s="91"/>
      <c r="CI91" s="91"/>
      <c r="CJ91" s="91"/>
      <c r="CK91" s="91"/>
      <c r="CL91" s="91"/>
      <c r="CM91" s="91"/>
      <c r="CN91" s="91"/>
      <c r="CO91" s="91"/>
      <c r="CP91" s="91"/>
      <c r="CQ91" s="91"/>
      <c r="CR91" s="91"/>
      <c r="CS91" s="91"/>
      <c r="CT91" s="91"/>
      <c r="CU91" s="91"/>
      <c r="CV91" s="91"/>
      <c r="CW91" s="91"/>
      <c r="CX91" s="91"/>
      <c r="CY91" s="91"/>
      <c r="CZ91" s="91"/>
      <c r="DA91" s="91"/>
      <c r="DB91" s="91"/>
      <c r="DC91" s="91"/>
      <c r="DD91" s="91"/>
      <c r="DE91" s="91"/>
      <c r="DF91" s="91"/>
      <c r="DG91" s="91"/>
      <c r="DH91" s="91"/>
      <c r="DI91" s="91"/>
      <c r="DJ91" s="91"/>
      <c r="DK91" s="91"/>
      <c r="DL91" s="91"/>
      <c r="DM91" s="91"/>
      <c r="DN91" s="91"/>
      <c r="DO91" s="91"/>
      <c r="DP91" s="91"/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1"/>
      <c r="EH91" s="91"/>
      <c r="EI91" s="91"/>
      <c r="EJ91" s="91"/>
      <c r="EK91" s="91"/>
      <c r="EL91" s="91"/>
      <c r="EM91" s="91"/>
      <c r="EN91" s="91"/>
      <c r="EO91" s="91"/>
      <c r="EP91" s="91"/>
      <c r="EQ91" s="91"/>
      <c r="ER91" s="91"/>
      <c r="ES91" s="91"/>
      <c r="ET91" s="91"/>
      <c r="EU91" s="91"/>
      <c r="EV91" s="91"/>
      <c r="EW91" s="91"/>
      <c r="EX91" s="91"/>
      <c r="EY91" s="91"/>
      <c r="EZ91" s="91"/>
      <c r="FA91" s="91"/>
      <c r="FB91" s="91"/>
      <c r="FC91" s="91"/>
      <c r="FD91" s="91"/>
      <c r="FE91" s="91"/>
      <c r="FF91" s="91"/>
      <c r="FG91" s="91"/>
      <c r="FH91" s="91"/>
      <c r="FI91" s="91"/>
      <c r="FJ91" s="91"/>
      <c r="FK91" s="91"/>
      <c r="FL91" s="91"/>
      <c r="FM91" s="91"/>
      <c r="FN91" s="91"/>
      <c r="FO91" s="91"/>
      <c r="FP91" s="91"/>
      <c r="FQ91" s="91"/>
      <c r="FR91" s="91"/>
      <c r="FS91" s="91"/>
      <c r="FT91" s="91"/>
      <c r="FU91" s="91"/>
      <c r="FV91" s="91"/>
      <c r="FW91" s="91"/>
      <c r="FX91" s="91"/>
      <c r="FY91" s="91"/>
      <c r="FZ91" s="91"/>
      <c r="GA91" s="91"/>
      <c r="GB91" s="91"/>
      <c r="GC91" s="91"/>
      <c r="GD91" s="91"/>
      <c r="GE91" s="91"/>
      <c r="GF91" s="91"/>
      <c r="GG91" s="91"/>
      <c r="GH91" s="91"/>
      <c r="GI91" s="91"/>
      <c r="GJ91" s="91"/>
      <c r="GK91" s="91"/>
      <c r="GL91" s="91"/>
      <c r="GM91" s="91"/>
      <c r="GN91" s="91"/>
      <c r="GO91" s="91"/>
      <c r="GP91" s="91"/>
      <c r="GQ91" s="91"/>
      <c r="GR91" s="91"/>
    </row>
    <row r="92" spans="2:200" x14ac:dyDescent="0.15">
      <c r="B92" s="91"/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C92" s="91"/>
      <c r="BD92" s="91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W92" s="91"/>
      <c r="BX92" s="91"/>
      <c r="BY92" s="91"/>
      <c r="BZ92" s="91"/>
      <c r="CA92" s="91"/>
      <c r="CB92" s="91"/>
      <c r="CC92" s="91"/>
      <c r="CD92" s="91"/>
      <c r="CE92" s="91"/>
      <c r="CF92" s="91"/>
      <c r="CG92" s="91"/>
      <c r="CH92" s="91"/>
      <c r="CI92" s="91"/>
      <c r="CJ92" s="91"/>
      <c r="CK92" s="91"/>
      <c r="CL92" s="91"/>
      <c r="CM92" s="91"/>
      <c r="CN92" s="91"/>
      <c r="CO92" s="91"/>
      <c r="CP92" s="91"/>
      <c r="CQ92" s="91"/>
      <c r="CR92" s="91"/>
      <c r="CS92" s="91"/>
      <c r="CT92" s="91"/>
      <c r="CU92" s="91"/>
      <c r="CV92" s="91"/>
      <c r="CW92" s="91"/>
      <c r="CX92" s="91"/>
      <c r="CY92" s="91"/>
      <c r="CZ92" s="91"/>
      <c r="DA92" s="91"/>
      <c r="DB92" s="91"/>
      <c r="DC92" s="91"/>
      <c r="DD92" s="91"/>
      <c r="DE92" s="91"/>
      <c r="DF92" s="91"/>
      <c r="DG92" s="91"/>
      <c r="DH92" s="91"/>
      <c r="DI92" s="91"/>
      <c r="DJ92" s="91"/>
      <c r="DK92" s="91"/>
      <c r="DL92" s="91"/>
      <c r="DM92" s="91"/>
      <c r="DN92" s="91"/>
      <c r="DO92" s="91"/>
      <c r="DP92" s="91"/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1"/>
      <c r="EH92" s="91"/>
      <c r="EI92" s="91"/>
      <c r="EJ92" s="91"/>
      <c r="EK92" s="91"/>
      <c r="EL92" s="91"/>
      <c r="EM92" s="91"/>
      <c r="EN92" s="91"/>
      <c r="EO92" s="91"/>
      <c r="EP92" s="91"/>
      <c r="EQ92" s="91"/>
      <c r="ER92" s="91"/>
      <c r="ES92" s="91"/>
      <c r="ET92" s="91"/>
      <c r="EU92" s="91"/>
      <c r="EV92" s="91"/>
      <c r="EW92" s="91"/>
      <c r="EX92" s="91"/>
      <c r="EY92" s="91"/>
      <c r="EZ92" s="91"/>
      <c r="FA92" s="91"/>
      <c r="FB92" s="91"/>
      <c r="FC92" s="91"/>
      <c r="FD92" s="91"/>
      <c r="FE92" s="91"/>
      <c r="FF92" s="91"/>
      <c r="FG92" s="91"/>
      <c r="FH92" s="91"/>
      <c r="FI92" s="91"/>
      <c r="FJ92" s="91"/>
      <c r="FK92" s="91"/>
      <c r="FL92" s="91"/>
      <c r="FM92" s="91"/>
      <c r="FN92" s="91"/>
      <c r="FO92" s="91"/>
      <c r="FP92" s="91"/>
      <c r="FQ92" s="91"/>
      <c r="FR92" s="91"/>
      <c r="FS92" s="91"/>
      <c r="FT92" s="91"/>
      <c r="FU92" s="91"/>
      <c r="FV92" s="91"/>
      <c r="FW92" s="91"/>
      <c r="FX92" s="91"/>
      <c r="FY92" s="91"/>
      <c r="FZ92" s="91"/>
      <c r="GA92" s="91"/>
      <c r="GB92" s="91"/>
      <c r="GC92" s="91"/>
      <c r="GD92" s="91"/>
      <c r="GE92" s="91"/>
      <c r="GF92" s="91"/>
      <c r="GG92" s="91"/>
      <c r="GH92" s="91"/>
      <c r="GI92" s="91"/>
      <c r="GJ92" s="91"/>
      <c r="GK92" s="91"/>
      <c r="GL92" s="91"/>
      <c r="GM92" s="91"/>
      <c r="GN92" s="91"/>
      <c r="GO92" s="91"/>
      <c r="GP92" s="91"/>
      <c r="GQ92" s="91"/>
      <c r="GR92" s="91"/>
    </row>
    <row r="93" spans="2:200" x14ac:dyDescent="0.15"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C93" s="91"/>
      <c r="BD93" s="91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W93" s="91"/>
      <c r="BX93" s="91"/>
      <c r="BY93" s="91"/>
      <c r="BZ93" s="91"/>
      <c r="CA93" s="91"/>
      <c r="CB93" s="91"/>
      <c r="CC93" s="91"/>
      <c r="CD93" s="91"/>
      <c r="CE93" s="91"/>
      <c r="CF93" s="91"/>
      <c r="CG93" s="91"/>
      <c r="CH93" s="91"/>
      <c r="CI93" s="91"/>
      <c r="CJ93" s="91"/>
      <c r="CK93" s="91"/>
      <c r="CL93" s="91"/>
      <c r="CM93" s="91"/>
      <c r="CN93" s="91"/>
      <c r="CO93" s="91"/>
      <c r="CP93" s="91"/>
      <c r="CQ93" s="91"/>
      <c r="CR93" s="91"/>
      <c r="CS93" s="91"/>
      <c r="CT93" s="91"/>
      <c r="CU93" s="91"/>
      <c r="CV93" s="91"/>
      <c r="CW93" s="91"/>
      <c r="CX93" s="91"/>
      <c r="CY93" s="91"/>
      <c r="CZ93" s="91"/>
      <c r="DA93" s="91"/>
      <c r="DB93" s="91"/>
      <c r="DC93" s="91"/>
      <c r="DD93" s="91"/>
      <c r="DE93" s="91"/>
      <c r="DF93" s="91"/>
      <c r="DG93" s="91"/>
      <c r="DH93" s="91"/>
      <c r="DI93" s="91"/>
      <c r="DJ93" s="91"/>
      <c r="DK93" s="91"/>
      <c r="DL93" s="91"/>
      <c r="DM93" s="91"/>
      <c r="DN93" s="91"/>
      <c r="DO93" s="91"/>
      <c r="DP93" s="91"/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1"/>
      <c r="EH93" s="91"/>
      <c r="EI93" s="91"/>
      <c r="EJ93" s="91"/>
      <c r="EK93" s="91"/>
      <c r="EL93" s="91"/>
      <c r="EM93" s="91"/>
      <c r="EN93" s="91"/>
      <c r="EO93" s="91"/>
      <c r="EP93" s="91"/>
      <c r="EQ93" s="91"/>
      <c r="ER93" s="91"/>
      <c r="ES93" s="91"/>
      <c r="ET93" s="91"/>
      <c r="EU93" s="91"/>
      <c r="EV93" s="91"/>
      <c r="EW93" s="91"/>
      <c r="EX93" s="91"/>
      <c r="EY93" s="91"/>
      <c r="EZ93" s="91"/>
      <c r="FA93" s="91"/>
      <c r="FB93" s="91"/>
      <c r="FC93" s="91"/>
      <c r="FD93" s="91"/>
      <c r="FE93" s="91"/>
      <c r="FF93" s="91"/>
      <c r="FG93" s="91"/>
      <c r="FH93" s="91"/>
      <c r="FI93" s="91"/>
      <c r="FJ93" s="91"/>
      <c r="FK93" s="91"/>
      <c r="FL93" s="91"/>
      <c r="FM93" s="91"/>
      <c r="FN93" s="91"/>
      <c r="FO93" s="91"/>
      <c r="FP93" s="91"/>
      <c r="FQ93" s="91"/>
      <c r="FR93" s="91"/>
      <c r="FS93" s="91"/>
      <c r="FT93" s="91"/>
      <c r="FU93" s="91"/>
      <c r="FV93" s="91"/>
      <c r="FW93" s="91"/>
      <c r="FX93" s="91"/>
      <c r="FY93" s="91"/>
      <c r="FZ93" s="91"/>
      <c r="GA93" s="91"/>
      <c r="GB93" s="91"/>
      <c r="GC93" s="91"/>
      <c r="GD93" s="91"/>
      <c r="GE93" s="91"/>
      <c r="GF93" s="91"/>
      <c r="GG93" s="91"/>
      <c r="GH93" s="91"/>
      <c r="GI93" s="91"/>
      <c r="GJ93" s="91"/>
      <c r="GK93" s="91"/>
      <c r="GL93" s="91"/>
      <c r="GM93" s="91"/>
      <c r="GN93" s="91"/>
      <c r="GO93" s="91"/>
      <c r="GP93" s="91"/>
      <c r="GQ93" s="91"/>
      <c r="GR93" s="91"/>
    </row>
    <row r="94" spans="2:200" x14ac:dyDescent="0.15">
      <c r="B94" s="91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91"/>
      <c r="AV94" s="91"/>
      <c r="AW94" s="91"/>
      <c r="AX94" s="91"/>
      <c r="AY94" s="91"/>
      <c r="AZ94" s="91"/>
      <c r="BA94" s="91"/>
      <c r="BB94" s="91"/>
      <c r="BC94" s="91"/>
      <c r="BD94" s="91"/>
      <c r="BE94" s="91"/>
      <c r="BF94" s="91"/>
      <c r="BG94" s="91"/>
      <c r="BH94" s="91"/>
      <c r="BI94" s="91"/>
      <c r="BJ94" s="91"/>
      <c r="BK94" s="91"/>
      <c r="BL94" s="91"/>
      <c r="BM94" s="91"/>
      <c r="BN94" s="91"/>
      <c r="BO94" s="91"/>
      <c r="BP94" s="91"/>
      <c r="BQ94" s="91"/>
      <c r="BR94" s="91"/>
      <c r="BS94" s="91"/>
      <c r="BT94" s="91"/>
      <c r="BU94" s="91"/>
      <c r="BV94" s="91"/>
      <c r="BW94" s="91"/>
      <c r="BX94" s="91"/>
      <c r="BY94" s="91"/>
      <c r="BZ94" s="91"/>
      <c r="CA94" s="91"/>
      <c r="CB94" s="91"/>
      <c r="CC94" s="91"/>
      <c r="CD94" s="91"/>
      <c r="CE94" s="91"/>
      <c r="CF94" s="91"/>
      <c r="CG94" s="91"/>
      <c r="CH94" s="91"/>
      <c r="CI94" s="91"/>
      <c r="CJ94" s="91"/>
      <c r="CK94" s="91"/>
      <c r="CL94" s="91"/>
      <c r="CM94" s="91"/>
      <c r="CN94" s="91"/>
      <c r="CO94" s="91"/>
      <c r="CP94" s="91"/>
      <c r="CQ94" s="91"/>
      <c r="CR94" s="91"/>
      <c r="CS94" s="91"/>
      <c r="CT94" s="91"/>
      <c r="CU94" s="91"/>
      <c r="CV94" s="91"/>
      <c r="CW94" s="91"/>
      <c r="CX94" s="91"/>
      <c r="CY94" s="91"/>
      <c r="CZ94" s="91"/>
      <c r="DA94" s="91"/>
      <c r="DB94" s="91"/>
      <c r="DC94" s="91"/>
      <c r="DD94" s="91"/>
      <c r="DE94" s="91"/>
      <c r="DF94" s="91"/>
      <c r="DG94" s="91"/>
      <c r="DH94" s="91"/>
      <c r="DI94" s="91"/>
      <c r="DJ94" s="91"/>
      <c r="DK94" s="91"/>
      <c r="DL94" s="91"/>
      <c r="DM94" s="91"/>
      <c r="DN94" s="91"/>
      <c r="DO94" s="91"/>
      <c r="DP94" s="91"/>
      <c r="DQ94" s="91"/>
      <c r="DR94" s="91"/>
      <c r="DS94" s="91"/>
      <c r="DT94" s="91"/>
      <c r="DU94" s="91"/>
      <c r="DV94" s="91"/>
      <c r="DW94" s="91"/>
      <c r="DX94" s="91"/>
      <c r="DY94" s="91"/>
      <c r="DZ94" s="91"/>
      <c r="EA94" s="91"/>
      <c r="EB94" s="91"/>
      <c r="EC94" s="91"/>
      <c r="ED94" s="91"/>
      <c r="EE94" s="91"/>
      <c r="EF94" s="91"/>
      <c r="EG94" s="91"/>
      <c r="EH94" s="91"/>
      <c r="EI94" s="91"/>
      <c r="EJ94" s="91"/>
      <c r="EK94" s="91"/>
      <c r="EL94" s="91"/>
      <c r="EM94" s="91"/>
      <c r="EN94" s="91"/>
      <c r="EO94" s="91"/>
      <c r="EP94" s="91"/>
      <c r="EQ94" s="91"/>
      <c r="ER94" s="91"/>
      <c r="ES94" s="91"/>
      <c r="ET94" s="91"/>
      <c r="EU94" s="91"/>
      <c r="EV94" s="91"/>
      <c r="EW94" s="91"/>
      <c r="EX94" s="91"/>
      <c r="EY94" s="91"/>
      <c r="EZ94" s="91"/>
      <c r="FA94" s="91"/>
      <c r="FB94" s="91"/>
      <c r="FC94" s="91"/>
      <c r="FD94" s="91"/>
      <c r="FE94" s="91"/>
      <c r="FF94" s="91"/>
      <c r="FG94" s="91"/>
      <c r="FH94" s="91"/>
      <c r="FI94" s="91"/>
      <c r="FJ94" s="91"/>
      <c r="FK94" s="91"/>
      <c r="FL94" s="91"/>
      <c r="FM94" s="91"/>
      <c r="FN94" s="91"/>
      <c r="FO94" s="91"/>
      <c r="FP94" s="91"/>
      <c r="FQ94" s="91"/>
      <c r="FR94" s="91"/>
      <c r="FS94" s="91"/>
      <c r="FT94" s="91"/>
      <c r="FU94" s="91"/>
      <c r="FV94" s="91"/>
      <c r="FW94" s="91"/>
      <c r="FX94" s="91"/>
      <c r="FY94" s="91"/>
      <c r="FZ94" s="91"/>
      <c r="GA94" s="91"/>
      <c r="GB94" s="91"/>
      <c r="GC94" s="91"/>
      <c r="GD94" s="91"/>
      <c r="GE94" s="91"/>
      <c r="GF94" s="91"/>
      <c r="GG94" s="91"/>
      <c r="GH94" s="91"/>
      <c r="GI94" s="91"/>
      <c r="GJ94" s="91"/>
      <c r="GK94" s="91"/>
      <c r="GL94" s="91"/>
      <c r="GM94" s="91"/>
      <c r="GN94" s="91"/>
      <c r="GO94" s="91"/>
      <c r="GP94" s="91"/>
      <c r="GQ94" s="91"/>
      <c r="GR94" s="91"/>
    </row>
    <row r="95" spans="2:200" x14ac:dyDescent="0.15"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91"/>
      <c r="AV95" s="91"/>
      <c r="AW95" s="91"/>
      <c r="AX95" s="91"/>
      <c r="AY95" s="91"/>
      <c r="AZ95" s="91"/>
      <c r="BA95" s="91"/>
      <c r="BB95" s="91"/>
      <c r="BC95" s="91"/>
      <c r="BD95" s="91"/>
      <c r="BE95" s="91"/>
      <c r="BF95" s="91"/>
      <c r="BG95" s="91"/>
      <c r="BH95" s="91"/>
      <c r="BI95" s="91"/>
      <c r="BJ95" s="91"/>
      <c r="BK95" s="91"/>
      <c r="BL95" s="91"/>
      <c r="BM95" s="91"/>
      <c r="BN95" s="91"/>
      <c r="BO95" s="91"/>
      <c r="BP95" s="91"/>
      <c r="BQ95" s="91"/>
      <c r="BR95" s="91"/>
      <c r="BS95" s="91"/>
      <c r="BT95" s="91"/>
      <c r="BU95" s="91"/>
      <c r="BV95" s="91"/>
      <c r="BW95" s="91"/>
      <c r="BX95" s="91"/>
      <c r="BY95" s="91"/>
      <c r="BZ95" s="91"/>
      <c r="CA95" s="91"/>
      <c r="CB95" s="91"/>
      <c r="CC95" s="91"/>
      <c r="CD95" s="91"/>
      <c r="CE95" s="91"/>
      <c r="CF95" s="91"/>
      <c r="CG95" s="91"/>
      <c r="CH95" s="91"/>
      <c r="CI95" s="91"/>
      <c r="CJ95" s="91"/>
      <c r="CK95" s="91"/>
      <c r="CL95" s="91"/>
      <c r="CM95" s="91"/>
      <c r="CN95" s="91"/>
      <c r="CO95" s="91"/>
      <c r="CP95" s="91"/>
      <c r="CQ95" s="91"/>
      <c r="CR95" s="91"/>
      <c r="CS95" s="91"/>
      <c r="CT95" s="91"/>
      <c r="CU95" s="91"/>
      <c r="CV95" s="91"/>
      <c r="CW95" s="91"/>
      <c r="CX95" s="91"/>
      <c r="CY95" s="91"/>
      <c r="CZ95" s="91"/>
      <c r="DA95" s="91"/>
      <c r="DB95" s="91"/>
      <c r="DC95" s="91"/>
      <c r="DD95" s="91"/>
      <c r="DE95" s="91"/>
      <c r="DF95" s="91"/>
      <c r="DG95" s="91"/>
      <c r="DH95" s="91"/>
      <c r="DI95" s="91"/>
      <c r="DJ95" s="91"/>
      <c r="DK95" s="91"/>
      <c r="DL95" s="91"/>
      <c r="DM95" s="91"/>
      <c r="DN95" s="91"/>
      <c r="DO95" s="91"/>
      <c r="DP95" s="91"/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1"/>
      <c r="EH95" s="91"/>
      <c r="EI95" s="91"/>
      <c r="EJ95" s="91"/>
      <c r="EK95" s="91"/>
      <c r="EL95" s="91"/>
      <c r="EM95" s="91"/>
      <c r="EN95" s="91"/>
      <c r="EO95" s="91"/>
      <c r="EP95" s="91"/>
      <c r="EQ95" s="91"/>
      <c r="ER95" s="91"/>
      <c r="ES95" s="91"/>
      <c r="ET95" s="91"/>
      <c r="EU95" s="91"/>
      <c r="EV95" s="91"/>
      <c r="EW95" s="91"/>
      <c r="EX95" s="91"/>
      <c r="EY95" s="91"/>
      <c r="EZ95" s="91"/>
      <c r="FA95" s="91"/>
      <c r="FB95" s="91"/>
      <c r="FC95" s="91"/>
      <c r="FD95" s="91"/>
      <c r="FE95" s="91"/>
      <c r="FF95" s="91"/>
      <c r="FG95" s="91"/>
      <c r="FH95" s="91"/>
      <c r="FI95" s="91"/>
      <c r="FJ95" s="91"/>
      <c r="FK95" s="91"/>
      <c r="FL95" s="91"/>
      <c r="FM95" s="91"/>
      <c r="FN95" s="91"/>
      <c r="FO95" s="91"/>
      <c r="FP95" s="91"/>
      <c r="FQ95" s="91"/>
      <c r="FR95" s="91"/>
      <c r="FS95" s="91"/>
      <c r="FT95" s="91"/>
      <c r="FU95" s="91"/>
      <c r="FV95" s="91"/>
      <c r="FW95" s="91"/>
      <c r="FX95" s="91"/>
      <c r="FY95" s="91"/>
      <c r="FZ95" s="91"/>
      <c r="GA95" s="91"/>
      <c r="GB95" s="91"/>
      <c r="GC95" s="91"/>
      <c r="GD95" s="91"/>
      <c r="GE95" s="91"/>
      <c r="GF95" s="91"/>
      <c r="GG95" s="91"/>
      <c r="GH95" s="91"/>
      <c r="GI95" s="91"/>
      <c r="GJ95" s="91"/>
      <c r="GK95" s="91"/>
      <c r="GL95" s="91"/>
      <c r="GM95" s="91"/>
      <c r="GN95" s="91"/>
      <c r="GO95" s="91"/>
      <c r="GP95" s="91"/>
      <c r="GQ95" s="91"/>
      <c r="GR95" s="91"/>
    </row>
    <row r="96" spans="2:200" x14ac:dyDescent="0.15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  <c r="X96" s="91"/>
      <c r="Y96" s="91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  <c r="AO96" s="91"/>
      <c r="AP96" s="91"/>
      <c r="AQ96" s="91"/>
      <c r="AR96" s="91"/>
      <c r="AS96" s="91"/>
      <c r="AT96" s="91"/>
      <c r="AU96" s="91"/>
      <c r="AV96" s="91"/>
      <c r="AW96" s="91"/>
      <c r="AX96" s="91"/>
      <c r="AY96" s="91"/>
      <c r="AZ96" s="91"/>
      <c r="BA96" s="91"/>
      <c r="BB96" s="91"/>
      <c r="BC96" s="91"/>
      <c r="BD96" s="91"/>
      <c r="BE96" s="91"/>
      <c r="BF96" s="91"/>
      <c r="BG96" s="91"/>
      <c r="BH96" s="91"/>
      <c r="BI96" s="91"/>
      <c r="BJ96" s="91"/>
      <c r="BK96" s="91"/>
      <c r="BL96" s="91"/>
      <c r="BM96" s="91"/>
      <c r="BN96" s="91"/>
      <c r="BO96" s="91"/>
      <c r="BP96" s="91"/>
      <c r="BQ96" s="91"/>
      <c r="BR96" s="91"/>
      <c r="BS96" s="91"/>
      <c r="BT96" s="91"/>
      <c r="BU96" s="91"/>
      <c r="BV96" s="91"/>
      <c r="BW96" s="91"/>
      <c r="BX96" s="91"/>
      <c r="BY96" s="91"/>
      <c r="BZ96" s="91"/>
      <c r="CA96" s="91"/>
      <c r="CB96" s="91"/>
      <c r="CC96" s="91"/>
      <c r="CD96" s="91"/>
      <c r="CE96" s="91"/>
      <c r="CF96" s="91"/>
      <c r="CG96" s="91"/>
      <c r="CH96" s="91"/>
      <c r="CI96" s="91"/>
      <c r="CJ96" s="91"/>
      <c r="CK96" s="91"/>
      <c r="CL96" s="91"/>
      <c r="CM96" s="91"/>
      <c r="CN96" s="91"/>
      <c r="CO96" s="91"/>
      <c r="CP96" s="91"/>
      <c r="CQ96" s="91"/>
      <c r="CR96" s="91"/>
      <c r="CS96" s="91"/>
      <c r="CT96" s="91"/>
      <c r="CU96" s="91"/>
      <c r="CV96" s="91"/>
      <c r="CW96" s="91"/>
      <c r="CX96" s="91"/>
      <c r="CY96" s="91"/>
      <c r="CZ96" s="91"/>
      <c r="DA96" s="91"/>
      <c r="DB96" s="91"/>
      <c r="DC96" s="91"/>
      <c r="DD96" s="91"/>
      <c r="DE96" s="91"/>
      <c r="DF96" s="91"/>
      <c r="DG96" s="91"/>
      <c r="DH96" s="91"/>
      <c r="DI96" s="91"/>
      <c r="DJ96" s="91"/>
      <c r="DK96" s="91"/>
      <c r="DL96" s="91"/>
      <c r="DM96" s="91"/>
      <c r="DN96" s="91"/>
      <c r="DO96" s="91"/>
      <c r="DP96" s="91"/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1"/>
      <c r="EH96" s="91"/>
      <c r="EI96" s="91"/>
      <c r="EJ96" s="91"/>
      <c r="EK96" s="91"/>
      <c r="EL96" s="91"/>
      <c r="EM96" s="91"/>
      <c r="EN96" s="91"/>
      <c r="EO96" s="91"/>
      <c r="EP96" s="91"/>
      <c r="EQ96" s="91"/>
      <c r="ER96" s="91"/>
      <c r="ES96" s="91"/>
      <c r="ET96" s="91"/>
      <c r="EU96" s="91"/>
      <c r="EV96" s="91"/>
      <c r="EW96" s="91"/>
      <c r="EX96" s="91"/>
      <c r="EY96" s="91"/>
      <c r="EZ96" s="91"/>
      <c r="FA96" s="91"/>
      <c r="FB96" s="91"/>
      <c r="FC96" s="91"/>
      <c r="FD96" s="91"/>
      <c r="FE96" s="91"/>
      <c r="FF96" s="91"/>
      <c r="FG96" s="91"/>
      <c r="FH96" s="91"/>
      <c r="FI96" s="91"/>
      <c r="FJ96" s="91"/>
      <c r="FK96" s="91"/>
      <c r="FL96" s="91"/>
      <c r="FM96" s="91"/>
      <c r="FN96" s="91"/>
      <c r="FO96" s="91"/>
      <c r="FP96" s="91"/>
      <c r="FQ96" s="91"/>
      <c r="FR96" s="91"/>
      <c r="FS96" s="91"/>
      <c r="FT96" s="91"/>
      <c r="FU96" s="91"/>
      <c r="FV96" s="91"/>
      <c r="FW96" s="91"/>
      <c r="FX96" s="91"/>
      <c r="FY96" s="91"/>
      <c r="FZ96" s="91"/>
      <c r="GA96" s="91"/>
      <c r="GB96" s="91"/>
      <c r="GC96" s="91"/>
      <c r="GD96" s="91"/>
      <c r="GE96" s="91"/>
      <c r="GF96" s="91"/>
      <c r="GG96" s="91"/>
      <c r="GH96" s="91"/>
      <c r="GI96" s="91"/>
      <c r="GJ96" s="91"/>
      <c r="GK96" s="91"/>
      <c r="GL96" s="91"/>
      <c r="GM96" s="91"/>
      <c r="GN96" s="91"/>
      <c r="GO96" s="91"/>
      <c r="GP96" s="91"/>
      <c r="GQ96" s="91"/>
      <c r="GR96" s="91"/>
    </row>
    <row r="97" spans="2:200" x14ac:dyDescent="0.15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91"/>
      <c r="AV97" s="91"/>
      <c r="AW97" s="91"/>
      <c r="AX97" s="91"/>
      <c r="AY97" s="91"/>
      <c r="AZ97" s="91"/>
      <c r="BA97" s="91"/>
      <c r="BB97" s="91"/>
      <c r="BC97" s="91"/>
      <c r="BD97" s="91"/>
      <c r="BE97" s="91"/>
      <c r="BF97" s="91"/>
      <c r="BG97" s="91"/>
      <c r="BH97" s="91"/>
      <c r="BI97" s="91"/>
      <c r="BJ97" s="91"/>
      <c r="BK97" s="91"/>
      <c r="BL97" s="91"/>
      <c r="BM97" s="91"/>
      <c r="BN97" s="91"/>
      <c r="BO97" s="91"/>
      <c r="BP97" s="91"/>
      <c r="BQ97" s="91"/>
      <c r="BR97" s="91"/>
      <c r="BS97" s="91"/>
      <c r="BT97" s="91"/>
      <c r="BU97" s="91"/>
      <c r="BV97" s="91"/>
      <c r="BW97" s="91"/>
      <c r="BX97" s="91"/>
      <c r="BY97" s="91"/>
      <c r="BZ97" s="91"/>
      <c r="CA97" s="91"/>
      <c r="CB97" s="91"/>
      <c r="CC97" s="91"/>
      <c r="CD97" s="91"/>
      <c r="CE97" s="91"/>
      <c r="CF97" s="91"/>
      <c r="CG97" s="91"/>
      <c r="CH97" s="91"/>
      <c r="CI97" s="91"/>
      <c r="CJ97" s="91"/>
      <c r="CK97" s="91"/>
      <c r="CL97" s="91"/>
      <c r="CM97" s="91"/>
      <c r="CN97" s="91"/>
      <c r="CO97" s="91"/>
      <c r="CP97" s="91"/>
      <c r="CQ97" s="91"/>
      <c r="CR97" s="91"/>
      <c r="CS97" s="91"/>
      <c r="CT97" s="91"/>
      <c r="CU97" s="91"/>
      <c r="CV97" s="91"/>
      <c r="CW97" s="91"/>
      <c r="CX97" s="91"/>
      <c r="CY97" s="91"/>
      <c r="CZ97" s="91"/>
      <c r="DA97" s="91"/>
      <c r="DB97" s="91"/>
      <c r="DC97" s="91"/>
      <c r="DD97" s="91"/>
      <c r="DE97" s="91"/>
      <c r="DF97" s="91"/>
      <c r="DG97" s="91"/>
      <c r="DH97" s="91"/>
      <c r="DI97" s="91"/>
      <c r="DJ97" s="91"/>
      <c r="DK97" s="91"/>
      <c r="DL97" s="91"/>
      <c r="DM97" s="91"/>
      <c r="DN97" s="91"/>
      <c r="DO97" s="91"/>
      <c r="DP97" s="91"/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1"/>
      <c r="EH97" s="91"/>
      <c r="EI97" s="91"/>
      <c r="EJ97" s="91"/>
      <c r="EK97" s="91"/>
      <c r="EL97" s="91"/>
      <c r="EM97" s="91"/>
      <c r="EN97" s="91"/>
      <c r="EO97" s="91"/>
      <c r="EP97" s="91"/>
      <c r="EQ97" s="91"/>
      <c r="ER97" s="91"/>
      <c r="ES97" s="91"/>
      <c r="ET97" s="91"/>
      <c r="EU97" s="91"/>
      <c r="EV97" s="91"/>
      <c r="EW97" s="91"/>
      <c r="EX97" s="91"/>
      <c r="EY97" s="91"/>
      <c r="EZ97" s="91"/>
      <c r="FA97" s="91"/>
      <c r="FB97" s="91"/>
      <c r="FC97" s="91"/>
      <c r="FD97" s="91"/>
      <c r="FE97" s="91"/>
      <c r="FF97" s="91"/>
      <c r="FG97" s="91"/>
      <c r="FH97" s="91"/>
      <c r="FI97" s="91"/>
      <c r="FJ97" s="91"/>
      <c r="FK97" s="91"/>
      <c r="FL97" s="91"/>
      <c r="FM97" s="91"/>
      <c r="FN97" s="91"/>
      <c r="FO97" s="91"/>
      <c r="FP97" s="91"/>
      <c r="FQ97" s="91"/>
      <c r="FR97" s="91"/>
      <c r="FS97" s="91"/>
      <c r="FT97" s="91"/>
      <c r="FU97" s="91"/>
      <c r="FV97" s="91"/>
      <c r="FW97" s="91"/>
      <c r="FX97" s="91"/>
      <c r="FY97" s="91"/>
      <c r="FZ97" s="91"/>
      <c r="GA97" s="91"/>
      <c r="GB97" s="91"/>
      <c r="GC97" s="91"/>
      <c r="GD97" s="91"/>
      <c r="GE97" s="91"/>
      <c r="GF97" s="91"/>
      <c r="GG97" s="91"/>
      <c r="GH97" s="91"/>
      <c r="GI97" s="91"/>
      <c r="GJ97" s="91"/>
      <c r="GK97" s="91"/>
      <c r="GL97" s="91"/>
      <c r="GM97" s="91"/>
      <c r="GN97" s="91"/>
      <c r="GO97" s="91"/>
      <c r="GP97" s="91"/>
      <c r="GQ97" s="91"/>
      <c r="GR97" s="91"/>
    </row>
    <row r="98" spans="2:200" x14ac:dyDescent="0.15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  <c r="X98" s="91"/>
      <c r="Y98" s="91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  <c r="AO98" s="91"/>
      <c r="AP98" s="91"/>
      <c r="AQ98" s="91"/>
      <c r="AR98" s="91"/>
      <c r="AS98" s="91"/>
      <c r="AT98" s="91"/>
      <c r="AU98" s="91"/>
      <c r="AV98" s="91"/>
      <c r="AW98" s="91"/>
      <c r="AX98" s="91"/>
      <c r="AY98" s="91"/>
      <c r="AZ98" s="91"/>
      <c r="BA98" s="91"/>
      <c r="BB98" s="91"/>
      <c r="BC98" s="91"/>
      <c r="BD98" s="91"/>
      <c r="BE98" s="91"/>
      <c r="BF98" s="91"/>
      <c r="BG98" s="91"/>
      <c r="BH98" s="91"/>
      <c r="BI98" s="91"/>
      <c r="BJ98" s="91"/>
      <c r="BK98" s="91"/>
      <c r="BL98" s="91"/>
      <c r="BM98" s="91"/>
      <c r="BN98" s="91"/>
      <c r="BO98" s="91"/>
      <c r="BP98" s="91"/>
      <c r="BQ98" s="91"/>
      <c r="BR98" s="91"/>
      <c r="BS98" s="91"/>
      <c r="BT98" s="91"/>
      <c r="BU98" s="91"/>
      <c r="BV98" s="91"/>
      <c r="BW98" s="91"/>
      <c r="BX98" s="91"/>
      <c r="BY98" s="91"/>
      <c r="BZ98" s="91"/>
      <c r="CA98" s="91"/>
      <c r="CB98" s="91"/>
      <c r="CC98" s="91"/>
      <c r="CD98" s="91"/>
      <c r="CE98" s="91"/>
      <c r="CF98" s="91"/>
      <c r="CG98" s="91"/>
      <c r="CH98" s="91"/>
      <c r="CI98" s="91"/>
      <c r="CJ98" s="91"/>
      <c r="CK98" s="91"/>
      <c r="CL98" s="91"/>
      <c r="CM98" s="91"/>
      <c r="CN98" s="91"/>
      <c r="CO98" s="91"/>
      <c r="CP98" s="91"/>
      <c r="CQ98" s="91"/>
      <c r="CR98" s="91"/>
      <c r="CS98" s="91"/>
      <c r="CT98" s="91"/>
      <c r="CU98" s="91"/>
      <c r="CV98" s="91"/>
      <c r="CW98" s="91"/>
      <c r="CX98" s="91"/>
      <c r="CY98" s="91"/>
      <c r="CZ98" s="91"/>
      <c r="DA98" s="91"/>
      <c r="DB98" s="91"/>
      <c r="DC98" s="91"/>
      <c r="DD98" s="91"/>
      <c r="DE98" s="91"/>
      <c r="DF98" s="91"/>
      <c r="DG98" s="91"/>
      <c r="DH98" s="91"/>
      <c r="DI98" s="91"/>
      <c r="DJ98" s="91"/>
      <c r="DK98" s="91"/>
      <c r="DL98" s="91"/>
      <c r="DM98" s="91"/>
      <c r="DN98" s="91"/>
      <c r="DO98" s="91"/>
      <c r="DP98" s="91"/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1"/>
      <c r="EH98" s="91"/>
      <c r="EI98" s="91"/>
      <c r="EJ98" s="91"/>
      <c r="EK98" s="91"/>
      <c r="EL98" s="91"/>
      <c r="EM98" s="91"/>
      <c r="EN98" s="91"/>
      <c r="EO98" s="91"/>
      <c r="EP98" s="91"/>
      <c r="EQ98" s="91"/>
      <c r="ER98" s="91"/>
      <c r="ES98" s="91"/>
      <c r="ET98" s="91"/>
      <c r="EU98" s="91"/>
      <c r="EV98" s="91"/>
      <c r="EW98" s="91"/>
      <c r="EX98" s="91"/>
      <c r="EY98" s="91"/>
      <c r="EZ98" s="91"/>
      <c r="FA98" s="91"/>
      <c r="FB98" s="91"/>
      <c r="FC98" s="91"/>
      <c r="FD98" s="91"/>
      <c r="FE98" s="91"/>
      <c r="FF98" s="91"/>
      <c r="FG98" s="91"/>
      <c r="FH98" s="91"/>
      <c r="FI98" s="91"/>
      <c r="FJ98" s="91"/>
      <c r="FK98" s="91"/>
      <c r="FL98" s="91"/>
      <c r="FM98" s="91"/>
      <c r="FN98" s="91"/>
      <c r="FO98" s="91"/>
      <c r="FP98" s="91"/>
      <c r="FQ98" s="91"/>
      <c r="FR98" s="91"/>
      <c r="FS98" s="91"/>
      <c r="FT98" s="91"/>
      <c r="FU98" s="91"/>
      <c r="FV98" s="91"/>
      <c r="FW98" s="91"/>
      <c r="FX98" s="91"/>
      <c r="FY98" s="91"/>
      <c r="FZ98" s="91"/>
      <c r="GA98" s="91"/>
      <c r="GB98" s="91"/>
      <c r="GC98" s="91"/>
      <c r="GD98" s="91"/>
      <c r="GE98" s="91"/>
      <c r="GF98" s="91"/>
      <c r="GG98" s="91"/>
      <c r="GH98" s="91"/>
      <c r="GI98" s="91"/>
      <c r="GJ98" s="91"/>
      <c r="GK98" s="91"/>
      <c r="GL98" s="91"/>
      <c r="GM98" s="91"/>
      <c r="GN98" s="91"/>
      <c r="GO98" s="91"/>
      <c r="GP98" s="91"/>
      <c r="GQ98" s="91"/>
      <c r="GR98" s="91"/>
    </row>
    <row r="99" spans="2:200" x14ac:dyDescent="0.15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91"/>
      <c r="AV99" s="91"/>
      <c r="AW99" s="91"/>
      <c r="AX99" s="91"/>
      <c r="AY99" s="91"/>
      <c r="AZ99" s="91"/>
      <c r="BA99" s="91"/>
      <c r="BB99" s="91"/>
      <c r="BC99" s="91"/>
      <c r="BD99" s="91"/>
      <c r="BE99" s="91"/>
      <c r="BF99" s="91"/>
      <c r="BG99" s="91"/>
      <c r="BH99" s="91"/>
      <c r="BI99" s="91"/>
      <c r="BJ99" s="91"/>
      <c r="BK99" s="91"/>
      <c r="BL99" s="91"/>
      <c r="BM99" s="91"/>
      <c r="BN99" s="91"/>
      <c r="BO99" s="91"/>
      <c r="BP99" s="91"/>
      <c r="BQ99" s="91"/>
      <c r="BR99" s="91"/>
      <c r="BS99" s="91"/>
      <c r="BT99" s="91"/>
      <c r="BU99" s="91"/>
      <c r="BV99" s="91"/>
      <c r="BW99" s="91"/>
      <c r="BX99" s="91"/>
      <c r="BY99" s="91"/>
      <c r="BZ99" s="91"/>
      <c r="CA99" s="91"/>
      <c r="CB99" s="91"/>
      <c r="CC99" s="91"/>
      <c r="CD99" s="91"/>
      <c r="CE99" s="91"/>
      <c r="CF99" s="91"/>
      <c r="CG99" s="91"/>
      <c r="CH99" s="91"/>
      <c r="CI99" s="91"/>
      <c r="CJ99" s="91"/>
      <c r="CK99" s="91"/>
      <c r="CL99" s="91"/>
      <c r="CM99" s="91"/>
      <c r="CN99" s="91"/>
      <c r="CO99" s="91"/>
      <c r="CP99" s="91"/>
      <c r="CQ99" s="91"/>
      <c r="CR99" s="91"/>
      <c r="CS99" s="91"/>
      <c r="CT99" s="91"/>
      <c r="CU99" s="91"/>
      <c r="CV99" s="91"/>
      <c r="CW99" s="91"/>
      <c r="CX99" s="91"/>
      <c r="CY99" s="91"/>
      <c r="CZ99" s="91"/>
      <c r="DA99" s="91"/>
      <c r="DB99" s="91"/>
      <c r="DC99" s="91"/>
      <c r="DD99" s="91"/>
      <c r="DE99" s="91"/>
      <c r="DF99" s="91"/>
      <c r="DG99" s="91"/>
      <c r="DH99" s="91"/>
      <c r="DI99" s="91"/>
      <c r="DJ99" s="91"/>
      <c r="DK99" s="91"/>
      <c r="DL99" s="91"/>
      <c r="DM99" s="91"/>
      <c r="DN99" s="91"/>
      <c r="DO99" s="91"/>
      <c r="DP99" s="91"/>
      <c r="DQ99" s="91"/>
      <c r="DR99" s="91"/>
      <c r="DS99" s="91"/>
      <c r="DT99" s="91"/>
      <c r="DU99" s="91"/>
      <c r="DV99" s="91"/>
      <c r="DW99" s="91"/>
      <c r="DX99" s="91"/>
      <c r="DY99" s="91"/>
      <c r="DZ99" s="91"/>
      <c r="EA99" s="91"/>
      <c r="EB99" s="91"/>
      <c r="EC99" s="91"/>
      <c r="ED99" s="91"/>
      <c r="EE99" s="91"/>
      <c r="EF99" s="91"/>
      <c r="EG99" s="91"/>
      <c r="EH99" s="91"/>
      <c r="EI99" s="91"/>
      <c r="EJ99" s="91"/>
      <c r="EK99" s="91"/>
      <c r="EL99" s="91"/>
      <c r="EM99" s="91"/>
      <c r="EN99" s="91"/>
      <c r="EO99" s="91"/>
      <c r="EP99" s="91"/>
      <c r="EQ99" s="91"/>
      <c r="ER99" s="91"/>
      <c r="ES99" s="91"/>
      <c r="ET99" s="91"/>
      <c r="EU99" s="91"/>
      <c r="EV99" s="91"/>
      <c r="EW99" s="91"/>
      <c r="EX99" s="91"/>
      <c r="EY99" s="91"/>
      <c r="EZ99" s="91"/>
      <c r="FA99" s="91"/>
      <c r="FB99" s="91"/>
      <c r="FC99" s="91"/>
      <c r="FD99" s="91"/>
      <c r="FE99" s="91"/>
      <c r="FF99" s="91"/>
      <c r="FG99" s="91"/>
      <c r="FH99" s="91"/>
      <c r="FI99" s="91"/>
      <c r="FJ99" s="91"/>
      <c r="FK99" s="91"/>
      <c r="FL99" s="91"/>
      <c r="FM99" s="91"/>
      <c r="FN99" s="91"/>
      <c r="FO99" s="91"/>
      <c r="FP99" s="91"/>
      <c r="FQ99" s="91"/>
      <c r="FR99" s="91"/>
      <c r="FS99" s="91"/>
      <c r="FT99" s="91"/>
      <c r="FU99" s="91"/>
      <c r="FV99" s="91"/>
      <c r="FW99" s="91"/>
      <c r="FX99" s="91"/>
      <c r="FY99" s="91"/>
      <c r="FZ99" s="91"/>
      <c r="GA99" s="91"/>
      <c r="GB99" s="91"/>
      <c r="GC99" s="91"/>
      <c r="GD99" s="91"/>
      <c r="GE99" s="91"/>
      <c r="GF99" s="91"/>
      <c r="GG99" s="91"/>
      <c r="GH99" s="91"/>
      <c r="GI99" s="91"/>
      <c r="GJ99" s="91"/>
      <c r="GK99" s="91"/>
      <c r="GL99" s="91"/>
      <c r="GM99" s="91"/>
      <c r="GN99" s="91"/>
      <c r="GO99" s="91"/>
      <c r="GP99" s="91"/>
      <c r="GQ99" s="91"/>
      <c r="GR99" s="91"/>
    </row>
    <row r="100" spans="2:200" x14ac:dyDescent="0.15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  <c r="X100" s="91"/>
      <c r="Y100" s="91"/>
      <c r="Z100" s="91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91"/>
      <c r="AL100" s="91"/>
      <c r="AM100" s="91"/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C100" s="91"/>
      <c r="BD100" s="91"/>
      <c r="BE100" s="91"/>
      <c r="BF100" s="91"/>
      <c r="BG100" s="91"/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W100" s="91"/>
      <c r="BX100" s="91"/>
      <c r="BY100" s="91"/>
      <c r="BZ100" s="91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1"/>
      <c r="CL100" s="91"/>
      <c r="CM100" s="91"/>
      <c r="CN100" s="91"/>
      <c r="CO100" s="91"/>
      <c r="CP100" s="91"/>
      <c r="CQ100" s="91"/>
      <c r="CR100" s="91"/>
      <c r="CS100" s="91"/>
      <c r="CT100" s="91"/>
      <c r="CU100" s="91"/>
      <c r="CV100" s="91"/>
      <c r="CW100" s="91"/>
      <c r="CX100" s="91"/>
      <c r="CY100" s="91"/>
      <c r="CZ100" s="91"/>
      <c r="DA100" s="91"/>
      <c r="DB100" s="91"/>
      <c r="DC100" s="91"/>
      <c r="DD100" s="91"/>
      <c r="DE100" s="91"/>
      <c r="DF100" s="91"/>
      <c r="DG100" s="91"/>
      <c r="DH100" s="91"/>
      <c r="DI100" s="91"/>
      <c r="DJ100" s="91"/>
      <c r="DK100" s="91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91"/>
      <c r="DW100" s="91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  <c r="EH100" s="91"/>
      <c r="EI100" s="91"/>
      <c r="EJ100" s="91"/>
      <c r="EK100" s="91"/>
      <c r="EL100" s="91"/>
      <c r="EM100" s="91"/>
      <c r="EN100" s="91"/>
      <c r="EO100" s="91"/>
      <c r="EP100" s="91"/>
      <c r="EQ100" s="91"/>
      <c r="ER100" s="91"/>
      <c r="ES100" s="91"/>
      <c r="ET100" s="91"/>
      <c r="EU100" s="91"/>
      <c r="EV100" s="91"/>
      <c r="EW100" s="91"/>
      <c r="EX100" s="91"/>
      <c r="EY100" s="91"/>
      <c r="EZ100" s="91"/>
      <c r="FA100" s="91"/>
      <c r="FB100" s="91"/>
      <c r="FC100" s="91"/>
      <c r="FD100" s="91"/>
      <c r="FE100" s="91"/>
      <c r="FF100" s="91"/>
      <c r="FG100" s="91"/>
      <c r="FH100" s="91"/>
      <c r="FI100" s="91"/>
      <c r="FJ100" s="91"/>
      <c r="FK100" s="91"/>
      <c r="FL100" s="91"/>
      <c r="FM100" s="91"/>
      <c r="FN100" s="91"/>
      <c r="FO100" s="91"/>
      <c r="FP100" s="91"/>
      <c r="FQ100" s="91"/>
      <c r="FR100" s="91"/>
      <c r="FS100" s="91"/>
      <c r="FT100" s="91"/>
      <c r="FU100" s="91"/>
      <c r="FV100" s="91"/>
      <c r="FW100" s="91"/>
      <c r="FX100" s="91"/>
      <c r="FY100" s="91"/>
      <c r="FZ100" s="91"/>
      <c r="GA100" s="91"/>
      <c r="GB100" s="91"/>
      <c r="GC100" s="91"/>
      <c r="GD100" s="91"/>
      <c r="GE100" s="91"/>
      <c r="GF100" s="91"/>
      <c r="GG100" s="91"/>
      <c r="GH100" s="91"/>
      <c r="GI100" s="91"/>
      <c r="GJ100" s="91"/>
      <c r="GK100" s="91"/>
      <c r="GL100" s="91"/>
      <c r="GM100" s="91"/>
      <c r="GN100" s="91"/>
      <c r="GO100" s="91"/>
      <c r="GP100" s="91"/>
      <c r="GQ100" s="91"/>
      <c r="GR100" s="91"/>
    </row>
    <row r="101" spans="2:200" x14ac:dyDescent="0.15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  <c r="AF101" s="91"/>
      <c r="AG101" s="91"/>
      <c r="AH101" s="91"/>
      <c r="AI101" s="91"/>
      <c r="AJ101" s="91"/>
      <c r="AK101" s="91"/>
      <c r="AL101" s="91"/>
      <c r="AM101" s="91"/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C101" s="91"/>
      <c r="BD101" s="91"/>
      <c r="BE101" s="91"/>
      <c r="BF101" s="91"/>
      <c r="BG101" s="91"/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W101" s="91"/>
      <c r="BX101" s="91"/>
      <c r="BY101" s="91"/>
      <c r="BZ101" s="91"/>
      <c r="CA101" s="91"/>
      <c r="CB101" s="91"/>
      <c r="CC101" s="91"/>
      <c r="CD101" s="91"/>
      <c r="CE101" s="91"/>
      <c r="CF101" s="91"/>
      <c r="CG101" s="91"/>
      <c r="CH101" s="91"/>
      <c r="CI101" s="91"/>
      <c r="CJ101" s="91"/>
      <c r="CK101" s="91"/>
      <c r="CL101" s="91"/>
      <c r="CM101" s="91"/>
      <c r="CN101" s="91"/>
      <c r="CO101" s="91"/>
      <c r="CP101" s="91"/>
      <c r="CQ101" s="91"/>
      <c r="CR101" s="91"/>
      <c r="CS101" s="91"/>
      <c r="CT101" s="91"/>
      <c r="CU101" s="91"/>
      <c r="CV101" s="91"/>
      <c r="CW101" s="91"/>
      <c r="CX101" s="91"/>
      <c r="CY101" s="91"/>
      <c r="CZ101" s="91"/>
      <c r="DA101" s="91"/>
      <c r="DB101" s="91"/>
      <c r="DC101" s="91"/>
      <c r="DD101" s="91"/>
      <c r="DE101" s="91"/>
      <c r="DF101" s="91"/>
      <c r="DG101" s="91"/>
      <c r="DH101" s="91"/>
      <c r="DI101" s="91"/>
      <c r="DJ101" s="91"/>
      <c r="DK101" s="91"/>
      <c r="DL101" s="91"/>
      <c r="DM101" s="91"/>
      <c r="DN101" s="91"/>
      <c r="DO101" s="91"/>
      <c r="DP101" s="91"/>
      <c r="DQ101" s="91"/>
      <c r="DR101" s="91"/>
      <c r="DS101" s="91"/>
      <c r="DT101" s="91"/>
      <c r="DU101" s="91"/>
      <c r="DV101" s="91"/>
      <c r="DW101" s="91"/>
      <c r="DX101" s="91"/>
      <c r="DY101" s="91"/>
      <c r="DZ101" s="91"/>
      <c r="EA101" s="91"/>
      <c r="EB101" s="91"/>
      <c r="EC101" s="91"/>
      <c r="ED101" s="91"/>
      <c r="EE101" s="91"/>
      <c r="EF101" s="91"/>
      <c r="EG101" s="91"/>
      <c r="EH101" s="91"/>
      <c r="EI101" s="91"/>
      <c r="EJ101" s="91"/>
      <c r="EK101" s="91"/>
      <c r="EL101" s="91"/>
      <c r="EM101" s="91"/>
      <c r="EN101" s="91"/>
      <c r="EO101" s="91"/>
      <c r="EP101" s="91"/>
      <c r="EQ101" s="91"/>
      <c r="ER101" s="91"/>
      <c r="ES101" s="91"/>
      <c r="ET101" s="91"/>
      <c r="EU101" s="91"/>
      <c r="EV101" s="91"/>
      <c r="EW101" s="91"/>
      <c r="EX101" s="91"/>
      <c r="EY101" s="91"/>
      <c r="EZ101" s="91"/>
      <c r="FA101" s="91"/>
      <c r="FB101" s="91"/>
      <c r="FC101" s="91"/>
      <c r="FD101" s="91"/>
      <c r="FE101" s="91"/>
      <c r="FF101" s="91"/>
      <c r="FG101" s="91"/>
      <c r="FH101" s="91"/>
      <c r="FI101" s="91"/>
      <c r="FJ101" s="91"/>
      <c r="FK101" s="91"/>
      <c r="FL101" s="91"/>
      <c r="FM101" s="91"/>
      <c r="FN101" s="91"/>
      <c r="FO101" s="91"/>
      <c r="FP101" s="91"/>
      <c r="FQ101" s="91"/>
      <c r="FR101" s="91"/>
      <c r="FS101" s="91"/>
      <c r="FT101" s="91"/>
      <c r="FU101" s="91"/>
      <c r="FV101" s="91"/>
      <c r="FW101" s="91"/>
      <c r="FX101" s="91"/>
      <c r="FY101" s="91"/>
      <c r="FZ101" s="91"/>
      <c r="GA101" s="91"/>
      <c r="GB101" s="91"/>
      <c r="GC101" s="91"/>
      <c r="GD101" s="91"/>
      <c r="GE101" s="91"/>
      <c r="GF101" s="91"/>
      <c r="GG101" s="91"/>
      <c r="GH101" s="91"/>
      <c r="GI101" s="91"/>
      <c r="GJ101" s="91"/>
      <c r="GK101" s="91"/>
      <c r="GL101" s="91"/>
      <c r="GM101" s="91"/>
      <c r="GN101" s="91"/>
      <c r="GO101" s="91"/>
      <c r="GP101" s="91"/>
      <c r="GQ101" s="91"/>
      <c r="GR101" s="91"/>
    </row>
    <row r="102" spans="2:200" x14ac:dyDescent="0.15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  <c r="AD102" s="91"/>
      <c r="AE102" s="91"/>
      <c r="AF102" s="91"/>
      <c r="AG102" s="91"/>
      <c r="AH102" s="91"/>
      <c r="AI102" s="91"/>
      <c r="AJ102" s="91"/>
      <c r="AK102" s="91"/>
      <c r="AL102" s="91"/>
      <c r="AM102" s="91"/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C102" s="91"/>
      <c r="BD102" s="91"/>
      <c r="BE102" s="91"/>
      <c r="BF102" s="91"/>
      <c r="BG102" s="91"/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W102" s="91"/>
      <c r="BX102" s="91"/>
      <c r="BY102" s="91"/>
      <c r="BZ102" s="91"/>
      <c r="CA102" s="91"/>
      <c r="CB102" s="91"/>
      <c r="CC102" s="91"/>
      <c r="CD102" s="91"/>
      <c r="CE102" s="91"/>
      <c r="CF102" s="91"/>
      <c r="CG102" s="91"/>
      <c r="CH102" s="91"/>
      <c r="CI102" s="91"/>
      <c r="CJ102" s="91"/>
      <c r="CK102" s="91"/>
      <c r="CL102" s="91"/>
      <c r="CM102" s="91"/>
      <c r="CN102" s="91"/>
      <c r="CO102" s="91"/>
      <c r="CP102" s="91"/>
      <c r="CQ102" s="91"/>
      <c r="CR102" s="91"/>
      <c r="CS102" s="91"/>
      <c r="CT102" s="91"/>
      <c r="CU102" s="91"/>
      <c r="CV102" s="91"/>
      <c r="CW102" s="91"/>
      <c r="CX102" s="91"/>
      <c r="CY102" s="91"/>
      <c r="CZ102" s="91"/>
      <c r="DA102" s="91"/>
      <c r="DB102" s="91"/>
      <c r="DC102" s="91"/>
      <c r="DD102" s="91"/>
      <c r="DE102" s="91"/>
      <c r="DF102" s="91"/>
      <c r="DG102" s="91"/>
      <c r="DH102" s="91"/>
      <c r="DI102" s="91"/>
      <c r="DJ102" s="91"/>
      <c r="DK102" s="91"/>
      <c r="DL102" s="91"/>
      <c r="DM102" s="91"/>
      <c r="DN102" s="91"/>
      <c r="DO102" s="91"/>
      <c r="DP102" s="91"/>
      <c r="DQ102" s="91"/>
      <c r="DR102" s="91"/>
      <c r="DS102" s="91"/>
      <c r="DT102" s="91"/>
      <c r="DU102" s="91"/>
      <c r="DV102" s="91"/>
      <c r="DW102" s="91"/>
      <c r="DX102" s="91"/>
      <c r="DY102" s="91"/>
      <c r="DZ102" s="91"/>
      <c r="EA102" s="91"/>
      <c r="EB102" s="91"/>
      <c r="EC102" s="91"/>
      <c r="ED102" s="91"/>
      <c r="EE102" s="91"/>
      <c r="EF102" s="91"/>
      <c r="EG102" s="91"/>
      <c r="EH102" s="91"/>
      <c r="EI102" s="91"/>
      <c r="EJ102" s="91"/>
      <c r="EK102" s="91"/>
      <c r="EL102" s="91"/>
      <c r="EM102" s="91"/>
      <c r="EN102" s="91"/>
      <c r="EO102" s="91"/>
      <c r="EP102" s="91"/>
      <c r="EQ102" s="91"/>
      <c r="ER102" s="91"/>
      <c r="ES102" s="91"/>
      <c r="ET102" s="91"/>
      <c r="EU102" s="91"/>
      <c r="EV102" s="91"/>
      <c r="EW102" s="91"/>
      <c r="EX102" s="91"/>
      <c r="EY102" s="91"/>
      <c r="EZ102" s="91"/>
      <c r="FA102" s="91"/>
      <c r="FB102" s="91"/>
      <c r="FC102" s="91"/>
      <c r="FD102" s="91"/>
      <c r="FE102" s="91"/>
      <c r="FF102" s="91"/>
      <c r="FG102" s="91"/>
      <c r="FH102" s="91"/>
      <c r="FI102" s="91"/>
      <c r="FJ102" s="91"/>
      <c r="FK102" s="91"/>
      <c r="FL102" s="91"/>
      <c r="FM102" s="91"/>
      <c r="FN102" s="91"/>
      <c r="FO102" s="91"/>
      <c r="FP102" s="91"/>
      <c r="FQ102" s="91"/>
      <c r="FR102" s="91"/>
      <c r="FS102" s="91"/>
      <c r="FT102" s="91"/>
      <c r="FU102" s="91"/>
      <c r="FV102" s="91"/>
      <c r="FW102" s="91"/>
      <c r="FX102" s="91"/>
      <c r="FY102" s="91"/>
      <c r="FZ102" s="91"/>
      <c r="GA102" s="91"/>
      <c r="GB102" s="91"/>
      <c r="GC102" s="91"/>
      <c r="GD102" s="91"/>
      <c r="GE102" s="91"/>
      <c r="GF102" s="91"/>
      <c r="GG102" s="91"/>
      <c r="GH102" s="91"/>
      <c r="GI102" s="91"/>
      <c r="GJ102" s="91"/>
      <c r="GK102" s="91"/>
      <c r="GL102" s="91"/>
      <c r="GM102" s="91"/>
      <c r="GN102" s="91"/>
      <c r="GO102" s="91"/>
      <c r="GP102" s="91"/>
      <c r="GQ102" s="91"/>
      <c r="GR102" s="91"/>
    </row>
    <row r="103" spans="2:200" x14ac:dyDescent="0.15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C103" s="91"/>
      <c r="BD103" s="91"/>
      <c r="BE103" s="91"/>
      <c r="BF103" s="91"/>
      <c r="BG103" s="91"/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W103" s="91"/>
      <c r="BX103" s="91"/>
      <c r="BY103" s="91"/>
      <c r="BZ103" s="91"/>
      <c r="CA103" s="91"/>
      <c r="CB103" s="91"/>
      <c r="CC103" s="91"/>
      <c r="CD103" s="91"/>
      <c r="CE103" s="91"/>
      <c r="CF103" s="91"/>
      <c r="CG103" s="91"/>
      <c r="CH103" s="91"/>
      <c r="CI103" s="91"/>
      <c r="CJ103" s="91"/>
      <c r="CK103" s="91"/>
      <c r="CL103" s="91"/>
      <c r="CM103" s="91"/>
      <c r="CN103" s="91"/>
      <c r="CO103" s="91"/>
      <c r="CP103" s="91"/>
      <c r="CQ103" s="91"/>
      <c r="CR103" s="91"/>
      <c r="CS103" s="91"/>
      <c r="CT103" s="91"/>
      <c r="CU103" s="91"/>
      <c r="CV103" s="91"/>
      <c r="CW103" s="91"/>
      <c r="CX103" s="91"/>
      <c r="CY103" s="91"/>
      <c r="CZ103" s="91"/>
      <c r="DA103" s="91"/>
      <c r="DB103" s="91"/>
      <c r="DC103" s="91"/>
      <c r="DD103" s="91"/>
      <c r="DE103" s="91"/>
      <c r="DF103" s="91"/>
      <c r="DG103" s="91"/>
      <c r="DH103" s="91"/>
      <c r="DI103" s="91"/>
      <c r="DJ103" s="91"/>
      <c r="DK103" s="91"/>
      <c r="DL103" s="91"/>
      <c r="DM103" s="91"/>
      <c r="DN103" s="91"/>
      <c r="DO103" s="91"/>
      <c r="DP103" s="91"/>
      <c r="DQ103" s="91"/>
      <c r="DR103" s="91"/>
      <c r="DS103" s="91"/>
      <c r="DT103" s="91"/>
      <c r="DU103" s="91"/>
      <c r="DV103" s="91"/>
      <c r="DW103" s="91"/>
      <c r="DX103" s="91"/>
      <c r="DY103" s="91"/>
      <c r="DZ103" s="91"/>
      <c r="EA103" s="91"/>
      <c r="EB103" s="91"/>
      <c r="EC103" s="91"/>
      <c r="ED103" s="91"/>
      <c r="EE103" s="91"/>
      <c r="EF103" s="91"/>
      <c r="EG103" s="91"/>
      <c r="EH103" s="91"/>
      <c r="EI103" s="91"/>
      <c r="EJ103" s="91"/>
      <c r="EK103" s="91"/>
      <c r="EL103" s="91"/>
      <c r="EM103" s="91"/>
      <c r="EN103" s="91"/>
      <c r="EO103" s="91"/>
      <c r="EP103" s="91"/>
      <c r="EQ103" s="91"/>
      <c r="ER103" s="91"/>
      <c r="ES103" s="91"/>
      <c r="ET103" s="91"/>
      <c r="EU103" s="91"/>
      <c r="EV103" s="91"/>
      <c r="EW103" s="91"/>
      <c r="EX103" s="91"/>
      <c r="EY103" s="91"/>
      <c r="EZ103" s="91"/>
      <c r="FA103" s="91"/>
      <c r="FB103" s="91"/>
      <c r="FC103" s="91"/>
      <c r="FD103" s="91"/>
      <c r="FE103" s="91"/>
      <c r="FF103" s="91"/>
      <c r="FG103" s="91"/>
      <c r="FH103" s="91"/>
      <c r="FI103" s="91"/>
      <c r="FJ103" s="91"/>
      <c r="FK103" s="91"/>
      <c r="FL103" s="91"/>
      <c r="FM103" s="91"/>
      <c r="FN103" s="91"/>
      <c r="FO103" s="91"/>
      <c r="FP103" s="91"/>
      <c r="FQ103" s="91"/>
      <c r="FR103" s="91"/>
      <c r="FS103" s="91"/>
      <c r="FT103" s="91"/>
      <c r="FU103" s="91"/>
      <c r="FV103" s="91"/>
      <c r="FW103" s="91"/>
      <c r="FX103" s="91"/>
      <c r="FY103" s="91"/>
      <c r="FZ103" s="91"/>
      <c r="GA103" s="91"/>
      <c r="GB103" s="91"/>
      <c r="GC103" s="91"/>
      <c r="GD103" s="91"/>
      <c r="GE103" s="91"/>
      <c r="GF103" s="91"/>
      <c r="GG103" s="91"/>
      <c r="GH103" s="91"/>
      <c r="GI103" s="91"/>
      <c r="GJ103" s="91"/>
      <c r="GK103" s="91"/>
      <c r="GL103" s="91"/>
      <c r="GM103" s="91"/>
      <c r="GN103" s="91"/>
      <c r="GO103" s="91"/>
      <c r="GP103" s="91"/>
      <c r="GQ103" s="91"/>
      <c r="GR103" s="91"/>
    </row>
    <row r="104" spans="2:200" x14ac:dyDescent="0.15"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C104" s="91"/>
      <c r="BD104" s="91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W104" s="91"/>
      <c r="BX104" s="91"/>
      <c r="BY104" s="91"/>
      <c r="BZ104" s="91"/>
      <c r="CA104" s="91"/>
      <c r="CB104" s="91"/>
      <c r="CC104" s="91"/>
      <c r="CD104" s="91"/>
      <c r="CE104" s="91"/>
      <c r="CF104" s="91"/>
      <c r="CG104" s="91"/>
      <c r="CH104" s="91"/>
      <c r="CI104" s="91"/>
      <c r="CJ104" s="91"/>
      <c r="CK104" s="91"/>
      <c r="CL104" s="91"/>
      <c r="CM104" s="91"/>
      <c r="CN104" s="91"/>
      <c r="CO104" s="91"/>
      <c r="CP104" s="91"/>
      <c r="CQ104" s="91"/>
      <c r="CR104" s="91"/>
      <c r="CS104" s="91"/>
      <c r="CT104" s="91"/>
      <c r="CU104" s="91"/>
      <c r="CV104" s="91"/>
      <c r="CW104" s="91"/>
      <c r="CX104" s="91"/>
      <c r="CY104" s="91"/>
      <c r="CZ104" s="91"/>
      <c r="DA104" s="91"/>
      <c r="DB104" s="91"/>
      <c r="DC104" s="91"/>
      <c r="DD104" s="91"/>
      <c r="DE104" s="91"/>
      <c r="DF104" s="91"/>
      <c r="DG104" s="91"/>
      <c r="DH104" s="91"/>
      <c r="DI104" s="91"/>
      <c r="DJ104" s="91"/>
      <c r="DK104" s="91"/>
      <c r="DL104" s="91"/>
      <c r="DM104" s="91"/>
      <c r="DN104" s="91"/>
      <c r="DO104" s="91"/>
      <c r="DP104" s="91"/>
      <c r="DQ104" s="91"/>
      <c r="DR104" s="91"/>
      <c r="DS104" s="91"/>
      <c r="DT104" s="91"/>
      <c r="DU104" s="91"/>
      <c r="DV104" s="91"/>
      <c r="DW104" s="91"/>
      <c r="DX104" s="91"/>
      <c r="DY104" s="91"/>
      <c r="DZ104" s="91"/>
      <c r="EA104" s="91"/>
      <c r="EB104" s="91"/>
      <c r="EC104" s="91"/>
      <c r="ED104" s="91"/>
      <c r="EE104" s="91"/>
      <c r="EF104" s="91"/>
      <c r="EG104" s="91"/>
      <c r="EH104" s="91"/>
      <c r="EI104" s="91"/>
      <c r="EJ104" s="91"/>
      <c r="EK104" s="91"/>
      <c r="EL104" s="91"/>
      <c r="EM104" s="91"/>
      <c r="EN104" s="91"/>
      <c r="EO104" s="91"/>
      <c r="EP104" s="91"/>
      <c r="EQ104" s="91"/>
      <c r="ER104" s="91"/>
      <c r="ES104" s="91"/>
      <c r="ET104" s="91"/>
      <c r="EU104" s="91"/>
      <c r="EV104" s="91"/>
      <c r="EW104" s="91"/>
      <c r="EX104" s="91"/>
      <c r="EY104" s="91"/>
      <c r="EZ104" s="91"/>
      <c r="FA104" s="91"/>
      <c r="FB104" s="91"/>
      <c r="FC104" s="91"/>
      <c r="FD104" s="91"/>
      <c r="FE104" s="91"/>
      <c r="FF104" s="91"/>
      <c r="FG104" s="91"/>
      <c r="FH104" s="91"/>
      <c r="FI104" s="91"/>
      <c r="FJ104" s="91"/>
      <c r="FK104" s="91"/>
      <c r="FL104" s="91"/>
      <c r="FM104" s="91"/>
      <c r="FN104" s="91"/>
      <c r="FO104" s="91"/>
      <c r="FP104" s="91"/>
      <c r="FQ104" s="91"/>
      <c r="FR104" s="91"/>
      <c r="FS104" s="91"/>
      <c r="FT104" s="91"/>
      <c r="FU104" s="91"/>
      <c r="FV104" s="91"/>
      <c r="FW104" s="91"/>
      <c r="FX104" s="91"/>
      <c r="FY104" s="91"/>
      <c r="FZ104" s="91"/>
      <c r="GA104" s="91"/>
      <c r="GB104" s="91"/>
      <c r="GC104" s="91"/>
      <c r="GD104" s="91"/>
      <c r="GE104" s="91"/>
      <c r="GF104" s="91"/>
      <c r="GG104" s="91"/>
      <c r="GH104" s="91"/>
      <c r="GI104" s="91"/>
      <c r="GJ104" s="91"/>
      <c r="GK104" s="91"/>
      <c r="GL104" s="91"/>
      <c r="GM104" s="91"/>
      <c r="GN104" s="91"/>
      <c r="GO104" s="91"/>
      <c r="GP104" s="91"/>
      <c r="GQ104" s="91"/>
      <c r="GR104" s="91"/>
    </row>
    <row r="105" spans="2:200" x14ac:dyDescent="0.15"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1"/>
      <c r="BZ105" s="91"/>
      <c r="CA105" s="91"/>
      <c r="CB105" s="91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91"/>
      <c r="CN105" s="91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1"/>
      <c r="CZ105" s="91"/>
      <c r="DA105" s="91"/>
      <c r="DB105" s="91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91"/>
      <c r="DN105" s="91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1"/>
      <c r="DZ105" s="91"/>
      <c r="EA105" s="91"/>
      <c r="EB105" s="91"/>
      <c r="EC105" s="91"/>
      <c r="ED105" s="91"/>
      <c r="EE105" s="91"/>
      <c r="EF105" s="91"/>
      <c r="EG105" s="91"/>
      <c r="EH105" s="91"/>
      <c r="EI105" s="91"/>
      <c r="EJ105" s="91"/>
      <c r="EK105" s="91"/>
      <c r="EL105" s="91"/>
      <c r="EM105" s="91"/>
      <c r="EN105" s="91"/>
      <c r="EO105" s="91"/>
      <c r="EP105" s="91"/>
      <c r="EQ105" s="91"/>
      <c r="ER105" s="91"/>
      <c r="ES105" s="91"/>
      <c r="ET105" s="91"/>
      <c r="EU105" s="91"/>
      <c r="EV105" s="91"/>
      <c r="EW105" s="91"/>
      <c r="EX105" s="91"/>
      <c r="EY105" s="91"/>
      <c r="EZ105" s="91"/>
      <c r="FA105" s="91"/>
      <c r="FB105" s="91"/>
      <c r="FC105" s="91"/>
      <c r="FD105" s="91"/>
      <c r="FE105" s="91"/>
      <c r="FF105" s="91"/>
      <c r="FG105" s="91"/>
      <c r="FH105" s="91"/>
      <c r="FI105" s="91"/>
      <c r="FJ105" s="91"/>
      <c r="FK105" s="91"/>
      <c r="FL105" s="91"/>
      <c r="FM105" s="91"/>
      <c r="FN105" s="91"/>
      <c r="FO105" s="91"/>
      <c r="FP105" s="91"/>
      <c r="FQ105" s="91"/>
      <c r="FR105" s="91"/>
      <c r="FS105" s="91"/>
      <c r="FT105" s="91"/>
      <c r="FU105" s="91"/>
      <c r="FV105" s="91"/>
      <c r="FW105" s="91"/>
      <c r="FX105" s="91"/>
      <c r="FY105" s="91"/>
      <c r="FZ105" s="91"/>
      <c r="GA105" s="91"/>
      <c r="GB105" s="91"/>
      <c r="GC105" s="91"/>
      <c r="GD105" s="91"/>
      <c r="GE105" s="91"/>
      <c r="GF105" s="91"/>
      <c r="GG105" s="91"/>
      <c r="GH105" s="91"/>
      <c r="GI105" s="91"/>
      <c r="GJ105" s="91"/>
      <c r="GK105" s="91"/>
      <c r="GL105" s="91"/>
      <c r="GM105" s="91"/>
      <c r="GN105" s="91"/>
      <c r="GO105" s="91"/>
      <c r="GP105" s="91"/>
      <c r="GQ105" s="91"/>
      <c r="GR105" s="91"/>
    </row>
    <row r="106" spans="2:200" x14ac:dyDescent="0.15"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  <c r="AD106" s="91"/>
      <c r="AE106" s="91"/>
      <c r="AF106" s="91"/>
      <c r="AG106" s="91"/>
      <c r="AH106" s="91"/>
      <c r="AI106" s="91"/>
      <c r="AJ106" s="91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C106" s="91"/>
      <c r="BD106" s="91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W106" s="91"/>
      <c r="BX106" s="91"/>
      <c r="BY106" s="91"/>
      <c r="BZ106" s="91"/>
      <c r="CA106" s="91"/>
      <c r="CB106" s="91"/>
      <c r="CC106" s="91"/>
      <c r="CD106" s="91"/>
      <c r="CE106" s="91"/>
      <c r="CF106" s="91"/>
      <c r="CG106" s="91"/>
      <c r="CH106" s="91"/>
      <c r="CI106" s="91"/>
      <c r="CJ106" s="91"/>
      <c r="CK106" s="91"/>
      <c r="CL106" s="91"/>
      <c r="CM106" s="91"/>
      <c r="CN106" s="91"/>
      <c r="CO106" s="91"/>
      <c r="CP106" s="91"/>
      <c r="CQ106" s="91"/>
      <c r="CR106" s="91"/>
      <c r="CS106" s="91"/>
      <c r="CT106" s="91"/>
      <c r="CU106" s="91"/>
      <c r="CV106" s="91"/>
      <c r="CW106" s="91"/>
      <c r="CX106" s="91"/>
      <c r="CY106" s="91"/>
      <c r="CZ106" s="91"/>
      <c r="DA106" s="91"/>
      <c r="DB106" s="91"/>
      <c r="DC106" s="91"/>
      <c r="DD106" s="91"/>
      <c r="DE106" s="91"/>
      <c r="DF106" s="91"/>
      <c r="DG106" s="91"/>
      <c r="DH106" s="91"/>
      <c r="DI106" s="91"/>
      <c r="DJ106" s="91"/>
      <c r="DK106" s="91"/>
      <c r="DL106" s="91"/>
      <c r="DM106" s="91"/>
      <c r="DN106" s="91"/>
      <c r="DO106" s="91"/>
      <c r="DP106" s="91"/>
      <c r="DQ106" s="91"/>
      <c r="DR106" s="91"/>
      <c r="DS106" s="91"/>
      <c r="DT106" s="91"/>
      <c r="DU106" s="91"/>
      <c r="DV106" s="91"/>
      <c r="DW106" s="91"/>
      <c r="DX106" s="91"/>
      <c r="DY106" s="91"/>
      <c r="DZ106" s="91"/>
      <c r="EA106" s="91"/>
      <c r="EB106" s="91"/>
      <c r="EC106" s="91"/>
      <c r="ED106" s="91"/>
      <c r="EE106" s="91"/>
      <c r="EF106" s="91"/>
      <c r="EG106" s="91"/>
      <c r="EH106" s="91"/>
      <c r="EI106" s="91"/>
      <c r="EJ106" s="91"/>
      <c r="EK106" s="91"/>
      <c r="EL106" s="91"/>
      <c r="EM106" s="91"/>
      <c r="EN106" s="91"/>
      <c r="EO106" s="91"/>
      <c r="EP106" s="91"/>
      <c r="EQ106" s="91"/>
      <c r="ER106" s="91"/>
      <c r="ES106" s="91"/>
      <c r="ET106" s="91"/>
      <c r="EU106" s="91"/>
      <c r="EV106" s="91"/>
      <c r="EW106" s="91"/>
      <c r="EX106" s="91"/>
      <c r="EY106" s="91"/>
      <c r="EZ106" s="91"/>
      <c r="FA106" s="91"/>
      <c r="FB106" s="91"/>
      <c r="FC106" s="91"/>
      <c r="FD106" s="91"/>
      <c r="FE106" s="91"/>
      <c r="FF106" s="91"/>
      <c r="FG106" s="91"/>
      <c r="FH106" s="91"/>
      <c r="FI106" s="91"/>
      <c r="FJ106" s="91"/>
      <c r="FK106" s="91"/>
      <c r="FL106" s="91"/>
      <c r="FM106" s="91"/>
      <c r="FN106" s="91"/>
      <c r="FO106" s="91"/>
      <c r="FP106" s="91"/>
      <c r="FQ106" s="91"/>
      <c r="FR106" s="91"/>
      <c r="FS106" s="91"/>
      <c r="FT106" s="91"/>
      <c r="FU106" s="91"/>
      <c r="FV106" s="91"/>
      <c r="FW106" s="91"/>
      <c r="FX106" s="91"/>
      <c r="FY106" s="91"/>
      <c r="FZ106" s="91"/>
      <c r="GA106" s="91"/>
      <c r="GB106" s="91"/>
      <c r="GC106" s="91"/>
      <c r="GD106" s="91"/>
      <c r="GE106" s="91"/>
      <c r="GF106" s="91"/>
      <c r="GG106" s="91"/>
      <c r="GH106" s="91"/>
      <c r="GI106" s="91"/>
      <c r="GJ106" s="91"/>
      <c r="GK106" s="91"/>
      <c r="GL106" s="91"/>
      <c r="GM106" s="91"/>
      <c r="GN106" s="91"/>
      <c r="GO106" s="91"/>
      <c r="GP106" s="91"/>
      <c r="GQ106" s="91"/>
      <c r="GR106" s="91"/>
    </row>
    <row r="107" spans="2:200" x14ac:dyDescent="0.15"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C107" s="91"/>
      <c r="BD107" s="91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W107" s="91"/>
      <c r="BX107" s="91"/>
      <c r="BY107" s="91"/>
      <c r="BZ107" s="91"/>
      <c r="CA107" s="91"/>
      <c r="CB107" s="91"/>
      <c r="CC107" s="91"/>
      <c r="CD107" s="91"/>
      <c r="CE107" s="91"/>
      <c r="CF107" s="91"/>
      <c r="CG107" s="91"/>
      <c r="CH107" s="91"/>
      <c r="CI107" s="91"/>
      <c r="CJ107" s="91"/>
      <c r="CK107" s="91"/>
      <c r="CL107" s="91"/>
      <c r="CM107" s="91"/>
      <c r="CN107" s="91"/>
      <c r="CO107" s="91"/>
      <c r="CP107" s="91"/>
      <c r="CQ107" s="91"/>
      <c r="CR107" s="91"/>
      <c r="CS107" s="91"/>
      <c r="CT107" s="91"/>
      <c r="CU107" s="91"/>
      <c r="CV107" s="91"/>
      <c r="CW107" s="91"/>
      <c r="CX107" s="91"/>
      <c r="CY107" s="91"/>
      <c r="CZ107" s="91"/>
      <c r="DA107" s="91"/>
      <c r="DB107" s="91"/>
      <c r="DC107" s="91"/>
      <c r="DD107" s="91"/>
      <c r="DE107" s="91"/>
      <c r="DF107" s="91"/>
      <c r="DG107" s="91"/>
      <c r="DH107" s="91"/>
      <c r="DI107" s="91"/>
      <c r="DJ107" s="91"/>
      <c r="DK107" s="91"/>
      <c r="DL107" s="91"/>
      <c r="DM107" s="91"/>
      <c r="DN107" s="91"/>
      <c r="DO107" s="91"/>
      <c r="DP107" s="91"/>
      <c r="DQ107" s="91"/>
      <c r="DR107" s="91"/>
      <c r="DS107" s="91"/>
      <c r="DT107" s="91"/>
      <c r="DU107" s="91"/>
      <c r="DV107" s="91"/>
      <c r="DW107" s="91"/>
      <c r="DX107" s="91"/>
      <c r="DY107" s="91"/>
      <c r="DZ107" s="91"/>
      <c r="EA107" s="91"/>
      <c r="EB107" s="91"/>
      <c r="EC107" s="91"/>
      <c r="ED107" s="91"/>
      <c r="EE107" s="91"/>
      <c r="EF107" s="91"/>
      <c r="EG107" s="91"/>
      <c r="EH107" s="91"/>
      <c r="EI107" s="91"/>
      <c r="EJ107" s="91"/>
      <c r="EK107" s="91"/>
      <c r="EL107" s="91"/>
      <c r="EM107" s="91"/>
      <c r="EN107" s="91"/>
      <c r="EO107" s="91"/>
      <c r="EP107" s="91"/>
      <c r="EQ107" s="91"/>
      <c r="ER107" s="91"/>
      <c r="ES107" s="91"/>
      <c r="ET107" s="91"/>
      <c r="EU107" s="91"/>
      <c r="EV107" s="91"/>
      <c r="EW107" s="91"/>
      <c r="EX107" s="91"/>
      <c r="EY107" s="91"/>
      <c r="EZ107" s="91"/>
      <c r="FA107" s="91"/>
      <c r="FB107" s="91"/>
      <c r="FC107" s="91"/>
      <c r="FD107" s="91"/>
      <c r="FE107" s="91"/>
      <c r="FF107" s="91"/>
      <c r="FG107" s="91"/>
      <c r="FH107" s="91"/>
      <c r="FI107" s="91"/>
      <c r="FJ107" s="91"/>
      <c r="FK107" s="91"/>
      <c r="FL107" s="91"/>
      <c r="FM107" s="91"/>
      <c r="FN107" s="91"/>
      <c r="FO107" s="91"/>
      <c r="FP107" s="91"/>
      <c r="FQ107" s="91"/>
      <c r="FR107" s="91"/>
      <c r="FS107" s="91"/>
      <c r="FT107" s="91"/>
      <c r="FU107" s="91"/>
      <c r="FV107" s="91"/>
      <c r="FW107" s="91"/>
      <c r="FX107" s="91"/>
      <c r="FY107" s="91"/>
      <c r="FZ107" s="91"/>
      <c r="GA107" s="91"/>
      <c r="GB107" s="91"/>
      <c r="GC107" s="91"/>
      <c r="GD107" s="91"/>
      <c r="GE107" s="91"/>
      <c r="GF107" s="91"/>
      <c r="GG107" s="91"/>
      <c r="GH107" s="91"/>
      <c r="GI107" s="91"/>
      <c r="GJ107" s="91"/>
      <c r="GK107" s="91"/>
      <c r="GL107" s="91"/>
      <c r="GM107" s="91"/>
      <c r="GN107" s="91"/>
      <c r="GO107" s="91"/>
      <c r="GP107" s="91"/>
      <c r="GQ107" s="91"/>
      <c r="GR107" s="91"/>
    </row>
    <row r="108" spans="2:200" x14ac:dyDescent="0.15"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C108" s="91"/>
      <c r="BD108" s="91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W108" s="91"/>
      <c r="BX108" s="91"/>
      <c r="BY108" s="91"/>
      <c r="BZ108" s="91"/>
      <c r="CA108" s="91"/>
      <c r="CB108" s="91"/>
      <c r="CC108" s="91"/>
      <c r="CD108" s="91"/>
      <c r="CE108" s="91"/>
      <c r="CF108" s="91"/>
      <c r="CG108" s="91"/>
      <c r="CH108" s="91"/>
      <c r="CI108" s="91"/>
      <c r="CJ108" s="91"/>
      <c r="CK108" s="91"/>
      <c r="CL108" s="91"/>
      <c r="CM108" s="91"/>
      <c r="CN108" s="91"/>
      <c r="CO108" s="91"/>
      <c r="CP108" s="91"/>
      <c r="CQ108" s="91"/>
      <c r="CR108" s="91"/>
      <c r="CS108" s="91"/>
      <c r="CT108" s="91"/>
      <c r="CU108" s="91"/>
      <c r="CV108" s="91"/>
      <c r="CW108" s="91"/>
      <c r="CX108" s="91"/>
      <c r="CY108" s="91"/>
      <c r="CZ108" s="91"/>
      <c r="DA108" s="91"/>
      <c r="DB108" s="91"/>
      <c r="DC108" s="91"/>
      <c r="DD108" s="91"/>
      <c r="DE108" s="91"/>
      <c r="DF108" s="91"/>
      <c r="DG108" s="91"/>
      <c r="DH108" s="91"/>
      <c r="DI108" s="91"/>
      <c r="DJ108" s="91"/>
      <c r="DK108" s="91"/>
      <c r="DL108" s="91"/>
      <c r="DM108" s="91"/>
      <c r="DN108" s="91"/>
      <c r="DO108" s="91"/>
      <c r="DP108" s="91"/>
      <c r="DQ108" s="91"/>
      <c r="DR108" s="91"/>
      <c r="DS108" s="91"/>
      <c r="DT108" s="91"/>
      <c r="DU108" s="91"/>
      <c r="DV108" s="91"/>
      <c r="DW108" s="91"/>
      <c r="DX108" s="91"/>
      <c r="DY108" s="91"/>
      <c r="DZ108" s="91"/>
      <c r="EA108" s="91"/>
      <c r="EB108" s="91"/>
      <c r="EC108" s="91"/>
      <c r="ED108" s="91"/>
      <c r="EE108" s="91"/>
      <c r="EF108" s="91"/>
      <c r="EG108" s="91"/>
      <c r="EH108" s="91"/>
      <c r="EI108" s="91"/>
      <c r="EJ108" s="91"/>
      <c r="EK108" s="91"/>
      <c r="EL108" s="91"/>
      <c r="EM108" s="91"/>
      <c r="EN108" s="91"/>
      <c r="EO108" s="91"/>
      <c r="EP108" s="91"/>
      <c r="EQ108" s="91"/>
      <c r="ER108" s="91"/>
      <c r="ES108" s="91"/>
      <c r="ET108" s="91"/>
      <c r="EU108" s="91"/>
      <c r="EV108" s="91"/>
      <c r="EW108" s="91"/>
      <c r="EX108" s="91"/>
      <c r="EY108" s="91"/>
      <c r="EZ108" s="91"/>
      <c r="FA108" s="91"/>
      <c r="FB108" s="91"/>
      <c r="FC108" s="91"/>
      <c r="FD108" s="91"/>
      <c r="FE108" s="91"/>
      <c r="FF108" s="91"/>
      <c r="FG108" s="91"/>
      <c r="FH108" s="91"/>
      <c r="FI108" s="91"/>
      <c r="FJ108" s="91"/>
      <c r="FK108" s="91"/>
      <c r="FL108" s="91"/>
      <c r="FM108" s="91"/>
      <c r="FN108" s="91"/>
      <c r="FO108" s="91"/>
      <c r="FP108" s="91"/>
      <c r="FQ108" s="91"/>
      <c r="FR108" s="91"/>
      <c r="FS108" s="91"/>
      <c r="FT108" s="91"/>
      <c r="FU108" s="91"/>
      <c r="FV108" s="91"/>
      <c r="FW108" s="91"/>
      <c r="FX108" s="91"/>
      <c r="FY108" s="91"/>
      <c r="FZ108" s="91"/>
      <c r="GA108" s="91"/>
      <c r="GB108" s="91"/>
      <c r="GC108" s="91"/>
      <c r="GD108" s="91"/>
      <c r="GE108" s="91"/>
      <c r="GF108" s="91"/>
      <c r="GG108" s="91"/>
      <c r="GH108" s="91"/>
      <c r="GI108" s="91"/>
      <c r="GJ108" s="91"/>
      <c r="GK108" s="91"/>
      <c r="GL108" s="91"/>
      <c r="GM108" s="91"/>
      <c r="GN108" s="91"/>
      <c r="GO108" s="91"/>
      <c r="GP108" s="91"/>
      <c r="GQ108" s="91"/>
      <c r="GR108" s="91"/>
    </row>
    <row r="109" spans="2:200" x14ac:dyDescent="0.15"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C109" s="91"/>
      <c r="BD109" s="91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W109" s="91"/>
      <c r="BX109" s="91"/>
      <c r="BY109" s="91"/>
      <c r="BZ109" s="91"/>
      <c r="CA109" s="91"/>
      <c r="CB109" s="91"/>
      <c r="CC109" s="91"/>
      <c r="CD109" s="91"/>
      <c r="CE109" s="91"/>
      <c r="CF109" s="91"/>
      <c r="CG109" s="91"/>
      <c r="CH109" s="91"/>
      <c r="CI109" s="91"/>
      <c r="CJ109" s="91"/>
      <c r="CK109" s="91"/>
      <c r="CL109" s="91"/>
      <c r="CM109" s="91"/>
      <c r="CN109" s="91"/>
      <c r="CO109" s="91"/>
      <c r="CP109" s="91"/>
      <c r="CQ109" s="91"/>
      <c r="CR109" s="91"/>
      <c r="CS109" s="91"/>
      <c r="CT109" s="91"/>
      <c r="CU109" s="91"/>
      <c r="CV109" s="91"/>
      <c r="CW109" s="91"/>
      <c r="CX109" s="91"/>
      <c r="CY109" s="91"/>
      <c r="CZ109" s="91"/>
      <c r="DA109" s="91"/>
      <c r="DB109" s="91"/>
      <c r="DC109" s="91"/>
      <c r="DD109" s="91"/>
      <c r="DE109" s="91"/>
      <c r="DF109" s="91"/>
      <c r="DG109" s="91"/>
      <c r="DH109" s="91"/>
      <c r="DI109" s="91"/>
      <c r="DJ109" s="91"/>
      <c r="DK109" s="91"/>
      <c r="DL109" s="91"/>
      <c r="DM109" s="91"/>
      <c r="DN109" s="91"/>
      <c r="DO109" s="91"/>
      <c r="DP109" s="91"/>
      <c r="DQ109" s="91"/>
      <c r="DR109" s="91"/>
      <c r="DS109" s="91"/>
      <c r="DT109" s="91"/>
      <c r="DU109" s="91"/>
      <c r="DV109" s="91"/>
      <c r="DW109" s="91"/>
      <c r="DX109" s="91"/>
      <c r="DY109" s="91"/>
      <c r="DZ109" s="91"/>
      <c r="EA109" s="91"/>
      <c r="EB109" s="91"/>
      <c r="EC109" s="91"/>
      <c r="ED109" s="91"/>
      <c r="EE109" s="91"/>
      <c r="EF109" s="91"/>
      <c r="EG109" s="91"/>
      <c r="EH109" s="91"/>
      <c r="EI109" s="91"/>
      <c r="EJ109" s="91"/>
      <c r="EK109" s="91"/>
      <c r="EL109" s="91"/>
      <c r="EM109" s="91"/>
      <c r="EN109" s="91"/>
      <c r="EO109" s="91"/>
      <c r="EP109" s="91"/>
      <c r="EQ109" s="91"/>
      <c r="ER109" s="91"/>
      <c r="ES109" s="91"/>
      <c r="ET109" s="91"/>
      <c r="EU109" s="91"/>
      <c r="EV109" s="91"/>
      <c r="EW109" s="91"/>
      <c r="EX109" s="91"/>
      <c r="EY109" s="91"/>
      <c r="EZ109" s="91"/>
      <c r="FA109" s="91"/>
      <c r="FB109" s="91"/>
      <c r="FC109" s="91"/>
      <c r="FD109" s="91"/>
      <c r="FE109" s="91"/>
      <c r="FF109" s="91"/>
      <c r="FG109" s="91"/>
      <c r="FH109" s="91"/>
      <c r="FI109" s="91"/>
      <c r="FJ109" s="91"/>
      <c r="FK109" s="91"/>
      <c r="FL109" s="91"/>
      <c r="FM109" s="91"/>
      <c r="FN109" s="91"/>
      <c r="FO109" s="91"/>
      <c r="FP109" s="91"/>
      <c r="FQ109" s="91"/>
      <c r="FR109" s="91"/>
      <c r="FS109" s="91"/>
      <c r="FT109" s="91"/>
      <c r="FU109" s="91"/>
      <c r="FV109" s="91"/>
      <c r="FW109" s="91"/>
      <c r="FX109" s="91"/>
      <c r="FY109" s="91"/>
      <c r="FZ109" s="91"/>
      <c r="GA109" s="91"/>
      <c r="GB109" s="91"/>
      <c r="GC109" s="91"/>
      <c r="GD109" s="91"/>
      <c r="GE109" s="91"/>
      <c r="GF109" s="91"/>
      <c r="GG109" s="91"/>
      <c r="GH109" s="91"/>
      <c r="GI109" s="91"/>
      <c r="GJ109" s="91"/>
      <c r="GK109" s="91"/>
      <c r="GL109" s="91"/>
      <c r="GM109" s="91"/>
      <c r="GN109" s="91"/>
      <c r="GO109" s="91"/>
      <c r="GP109" s="91"/>
      <c r="GQ109" s="91"/>
      <c r="GR109" s="91"/>
    </row>
    <row r="110" spans="2:200" x14ac:dyDescent="0.15"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1"/>
      <c r="AJ110" s="91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C110" s="91"/>
      <c r="BD110" s="91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W110" s="91"/>
      <c r="BX110" s="91"/>
      <c r="BY110" s="91"/>
      <c r="BZ110" s="91"/>
      <c r="CA110" s="91"/>
      <c r="CB110" s="91"/>
      <c r="CC110" s="91"/>
      <c r="CD110" s="91"/>
      <c r="CE110" s="91"/>
      <c r="CF110" s="91"/>
      <c r="CG110" s="91"/>
      <c r="CH110" s="91"/>
      <c r="CI110" s="91"/>
      <c r="CJ110" s="91"/>
      <c r="CK110" s="91"/>
      <c r="CL110" s="91"/>
      <c r="CM110" s="91"/>
      <c r="CN110" s="91"/>
      <c r="CO110" s="91"/>
      <c r="CP110" s="91"/>
      <c r="CQ110" s="91"/>
      <c r="CR110" s="91"/>
      <c r="CS110" s="91"/>
      <c r="CT110" s="91"/>
      <c r="CU110" s="91"/>
      <c r="CV110" s="91"/>
      <c r="CW110" s="91"/>
      <c r="CX110" s="91"/>
      <c r="CY110" s="91"/>
      <c r="CZ110" s="91"/>
      <c r="DA110" s="91"/>
      <c r="DB110" s="91"/>
      <c r="DC110" s="91"/>
      <c r="DD110" s="91"/>
      <c r="DE110" s="91"/>
      <c r="DF110" s="91"/>
      <c r="DG110" s="91"/>
      <c r="DH110" s="91"/>
      <c r="DI110" s="91"/>
      <c r="DJ110" s="91"/>
      <c r="DK110" s="91"/>
      <c r="DL110" s="91"/>
      <c r="DM110" s="91"/>
      <c r="DN110" s="91"/>
      <c r="DO110" s="91"/>
      <c r="DP110" s="91"/>
      <c r="DQ110" s="91"/>
      <c r="DR110" s="91"/>
      <c r="DS110" s="91"/>
      <c r="DT110" s="91"/>
      <c r="DU110" s="91"/>
      <c r="DV110" s="91"/>
      <c r="DW110" s="91"/>
      <c r="DX110" s="91"/>
      <c r="DY110" s="91"/>
      <c r="DZ110" s="91"/>
      <c r="EA110" s="91"/>
      <c r="EB110" s="91"/>
      <c r="EC110" s="91"/>
      <c r="ED110" s="91"/>
      <c r="EE110" s="91"/>
      <c r="EF110" s="91"/>
      <c r="EG110" s="91"/>
      <c r="EH110" s="91"/>
      <c r="EI110" s="91"/>
      <c r="EJ110" s="91"/>
      <c r="EK110" s="91"/>
      <c r="EL110" s="91"/>
      <c r="EM110" s="91"/>
      <c r="EN110" s="91"/>
      <c r="EO110" s="91"/>
      <c r="EP110" s="91"/>
      <c r="EQ110" s="91"/>
      <c r="ER110" s="91"/>
      <c r="ES110" s="91"/>
      <c r="ET110" s="91"/>
      <c r="EU110" s="91"/>
      <c r="EV110" s="91"/>
      <c r="EW110" s="91"/>
      <c r="EX110" s="91"/>
      <c r="EY110" s="91"/>
      <c r="EZ110" s="91"/>
      <c r="FA110" s="91"/>
      <c r="FB110" s="91"/>
      <c r="FC110" s="91"/>
      <c r="FD110" s="91"/>
      <c r="FE110" s="91"/>
      <c r="FF110" s="91"/>
      <c r="FG110" s="91"/>
      <c r="FH110" s="91"/>
      <c r="FI110" s="91"/>
      <c r="FJ110" s="91"/>
      <c r="FK110" s="91"/>
      <c r="FL110" s="91"/>
      <c r="FM110" s="91"/>
      <c r="FN110" s="91"/>
      <c r="FO110" s="91"/>
      <c r="FP110" s="91"/>
      <c r="FQ110" s="91"/>
      <c r="FR110" s="91"/>
      <c r="FS110" s="91"/>
      <c r="FT110" s="91"/>
      <c r="FU110" s="91"/>
      <c r="FV110" s="91"/>
      <c r="FW110" s="91"/>
      <c r="FX110" s="91"/>
      <c r="FY110" s="91"/>
      <c r="FZ110" s="91"/>
      <c r="GA110" s="91"/>
      <c r="GB110" s="91"/>
      <c r="GC110" s="91"/>
      <c r="GD110" s="91"/>
      <c r="GE110" s="91"/>
      <c r="GF110" s="91"/>
      <c r="GG110" s="91"/>
      <c r="GH110" s="91"/>
      <c r="GI110" s="91"/>
      <c r="GJ110" s="91"/>
      <c r="GK110" s="91"/>
      <c r="GL110" s="91"/>
      <c r="GM110" s="91"/>
      <c r="GN110" s="91"/>
      <c r="GO110" s="91"/>
      <c r="GP110" s="91"/>
      <c r="GQ110" s="91"/>
      <c r="GR110" s="91"/>
    </row>
    <row r="111" spans="2:200" x14ac:dyDescent="0.15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C111" s="91"/>
      <c r="BD111" s="91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W111" s="91"/>
      <c r="BX111" s="91"/>
      <c r="BY111" s="91"/>
      <c r="BZ111" s="91"/>
      <c r="CA111" s="91"/>
      <c r="CB111" s="91"/>
      <c r="CC111" s="91"/>
      <c r="CD111" s="91"/>
      <c r="CE111" s="91"/>
      <c r="CF111" s="91"/>
      <c r="CG111" s="91"/>
      <c r="CH111" s="91"/>
      <c r="CI111" s="91"/>
      <c r="CJ111" s="91"/>
      <c r="CK111" s="91"/>
      <c r="CL111" s="91"/>
      <c r="CM111" s="91"/>
      <c r="CN111" s="91"/>
      <c r="CO111" s="91"/>
      <c r="CP111" s="91"/>
      <c r="CQ111" s="91"/>
      <c r="CR111" s="91"/>
      <c r="CS111" s="91"/>
      <c r="CT111" s="91"/>
      <c r="CU111" s="91"/>
      <c r="CV111" s="91"/>
      <c r="CW111" s="91"/>
      <c r="CX111" s="91"/>
      <c r="CY111" s="91"/>
      <c r="CZ111" s="91"/>
      <c r="DA111" s="91"/>
      <c r="DB111" s="91"/>
      <c r="DC111" s="91"/>
      <c r="DD111" s="91"/>
      <c r="DE111" s="91"/>
      <c r="DF111" s="91"/>
      <c r="DG111" s="91"/>
      <c r="DH111" s="91"/>
      <c r="DI111" s="91"/>
      <c r="DJ111" s="91"/>
      <c r="DK111" s="91"/>
      <c r="DL111" s="91"/>
      <c r="DM111" s="91"/>
      <c r="DN111" s="91"/>
      <c r="DO111" s="91"/>
      <c r="DP111" s="91"/>
      <c r="DQ111" s="91"/>
      <c r="DR111" s="91"/>
      <c r="DS111" s="91"/>
      <c r="DT111" s="91"/>
      <c r="DU111" s="91"/>
      <c r="DV111" s="91"/>
      <c r="DW111" s="91"/>
      <c r="DX111" s="91"/>
      <c r="DY111" s="91"/>
      <c r="DZ111" s="91"/>
      <c r="EA111" s="91"/>
      <c r="EB111" s="91"/>
      <c r="EC111" s="91"/>
      <c r="ED111" s="91"/>
      <c r="EE111" s="91"/>
      <c r="EF111" s="91"/>
      <c r="EG111" s="91"/>
      <c r="EH111" s="91"/>
      <c r="EI111" s="91"/>
      <c r="EJ111" s="91"/>
      <c r="EK111" s="91"/>
      <c r="EL111" s="91"/>
      <c r="EM111" s="91"/>
      <c r="EN111" s="91"/>
      <c r="EO111" s="91"/>
      <c r="EP111" s="91"/>
      <c r="EQ111" s="91"/>
      <c r="ER111" s="91"/>
      <c r="ES111" s="91"/>
      <c r="ET111" s="91"/>
      <c r="EU111" s="91"/>
      <c r="EV111" s="91"/>
      <c r="EW111" s="91"/>
      <c r="EX111" s="91"/>
      <c r="EY111" s="91"/>
      <c r="EZ111" s="91"/>
      <c r="FA111" s="91"/>
      <c r="FB111" s="91"/>
      <c r="FC111" s="91"/>
      <c r="FD111" s="91"/>
      <c r="FE111" s="91"/>
      <c r="FF111" s="91"/>
      <c r="FG111" s="91"/>
      <c r="FH111" s="91"/>
      <c r="FI111" s="91"/>
      <c r="FJ111" s="91"/>
      <c r="FK111" s="91"/>
      <c r="FL111" s="91"/>
      <c r="FM111" s="91"/>
      <c r="FN111" s="91"/>
      <c r="FO111" s="91"/>
      <c r="FP111" s="91"/>
      <c r="FQ111" s="91"/>
      <c r="FR111" s="91"/>
      <c r="FS111" s="91"/>
      <c r="FT111" s="91"/>
      <c r="FU111" s="91"/>
      <c r="FV111" s="91"/>
      <c r="FW111" s="91"/>
      <c r="FX111" s="91"/>
      <c r="FY111" s="91"/>
      <c r="FZ111" s="91"/>
      <c r="GA111" s="91"/>
      <c r="GB111" s="91"/>
      <c r="GC111" s="91"/>
      <c r="GD111" s="91"/>
      <c r="GE111" s="91"/>
      <c r="GF111" s="91"/>
      <c r="GG111" s="91"/>
      <c r="GH111" s="91"/>
      <c r="GI111" s="91"/>
      <c r="GJ111" s="91"/>
      <c r="GK111" s="91"/>
      <c r="GL111" s="91"/>
      <c r="GM111" s="91"/>
      <c r="GN111" s="91"/>
      <c r="GO111" s="91"/>
      <c r="GP111" s="91"/>
      <c r="GQ111" s="91"/>
      <c r="GR111" s="91"/>
    </row>
    <row r="112" spans="2:200" x14ac:dyDescent="0.15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  <c r="AD112" s="91"/>
      <c r="AE112" s="91"/>
      <c r="AF112" s="91"/>
      <c r="AG112" s="91"/>
      <c r="AH112" s="91"/>
      <c r="AI112" s="91"/>
      <c r="AJ112" s="91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C112" s="91"/>
      <c r="BD112" s="91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W112" s="91"/>
      <c r="BX112" s="91"/>
      <c r="BY112" s="91"/>
      <c r="BZ112" s="91"/>
      <c r="CA112" s="91"/>
      <c r="CB112" s="91"/>
      <c r="CC112" s="91"/>
      <c r="CD112" s="91"/>
      <c r="CE112" s="91"/>
      <c r="CF112" s="91"/>
      <c r="CG112" s="91"/>
      <c r="CH112" s="91"/>
      <c r="CI112" s="91"/>
      <c r="CJ112" s="91"/>
      <c r="CK112" s="91"/>
      <c r="CL112" s="91"/>
      <c r="CM112" s="91"/>
      <c r="CN112" s="91"/>
      <c r="CO112" s="91"/>
      <c r="CP112" s="91"/>
      <c r="CQ112" s="91"/>
      <c r="CR112" s="91"/>
      <c r="CS112" s="91"/>
      <c r="CT112" s="91"/>
      <c r="CU112" s="91"/>
      <c r="CV112" s="91"/>
      <c r="CW112" s="91"/>
      <c r="CX112" s="91"/>
      <c r="CY112" s="91"/>
      <c r="CZ112" s="91"/>
      <c r="DA112" s="91"/>
      <c r="DB112" s="91"/>
      <c r="DC112" s="91"/>
      <c r="DD112" s="91"/>
      <c r="DE112" s="91"/>
      <c r="DF112" s="91"/>
      <c r="DG112" s="91"/>
      <c r="DH112" s="91"/>
      <c r="DI112" s="91"/>
      <c r="DJ112" s="91"/>
      <c r="DK112" s="91"/>
      <c r="DL112" s="91"/>
      <c r="DM112" s="91"/>
      <c r="DN112" s="91"/>
      <c r="DO112" s="91"/>
      <c r="DP112" s="91"/>
      <c r="DQ112" s="91"/>
      <c r="DR112" s="91"/>
      <c r="DS112" s="91"/>
      <c r="DT112" s="91"/>
      <c r="DU112" s="91"/>
      <c r="DV112" s="91"/>
      <c r="DW112" s="91"/>
      <c r="DX112" s="91"/>
      <c r="DY112" s="91"/>
      <c r="DZ112" s="91"/>
      <c r="EA112" s="91"/>
      <c r="EB112" s="91"/>
      <c r="EC112" s="91"/>
      <c r="ED112" s="91"/>
      <c r="EE112" s="91"/>
      <c r="EF112" s="91"/>
      <c r="EG112" s="91"/>
      <c r="EH112" s="91"/>
      <c r="EI112" s="91"/>
      <c r="EJ112" s="91"/>
      <c r="EK112" s="91"/>
      <c r="EL112" s="91"/>
      <c r="EM112" s="91"/>
      <c r="EN112" s="91"/>
      <c r="EO112" s="91"/>
      <c r="EP112" s="91"/>
      <c r="EQ112" s="91"/>
      <c r="ER112" s="91"/>
      <c r="ES112" s="91"/>
      <c r="ET112" s="91"/>
      <c r="EU112" s="91"/>
      <c r="EV112" s="91"/>
      <c r="EW112" s="91"/>
      <c r="EX112" s="91"/>
      <c r="EY112" s="91"/>
      <c r="EZ112" s="91"/>
      <c r="FA112" s="91"/>
      <c r="FB112" s="91"/>
      <c r="FC112" s="91"/>
      <c r="FD112" s="91"/>
      <c r="FE112" s="91"/>
      <c r="FF112" s="91"/>
      <c r="FG112" s="91"/>
      <c r="FH112" s="91"/>
      <c r="FI112" s="91"/>
      <c r="FJ112" s="91"/>
      <c r="FK112" s="91"/>
      <c r="FL112" s="91"/>
      <c r="FM112" s="91"/>
      <c r="FN112" s="91"/>
      <c r="FO112" s="91"/>
      <c r="FP112" s="91"/>
      <c r="FQ112" s="91"/>
      <c r="FR112" s="91"/>
      <c r="FS112" s="91"/>
      <c r="FT112" s="91"/>
      <c r="FU112" s="91"/>
      <c r="FV112" s="91"/>
      <c r="FW112" s="91"/>
      <c r="FX112" s="91"/>
      <c r="FY112" s="91"/>
      <c r="FZ112" s="91"/>
      <c r="GA112" s="91"/>
      <c r="GB112" s="91"/>
      <c r="GC112" s="91"/>
      <c r="GD112" s="91"/>
      <c r="GE112" s="91"/>
      <c r="GF112" s="91"/>
      <c r="GG112" s="91"/>
      <c r="GH112" s="91"/>
      <c r="GI112" s="91"/>
      <c r="GJ112" s="91"/>
      <c r="GK112" s="91"/>
      <c r="GL112" s="91"/>
      <c r="GM112" s="91"/>
      <c r="GN112" s="91"/>
      <c r="GO112" s="91"/>
      <c r="GP112" s="91"/>
      <c r="GQ112" s="91"/>
      <c r="GR112" s="91"/>
    </row>
    <row r="113" spans="2:200" x14ac:dyDescent="0.15"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/>
      <c r="AF113" s="91"/>
      <c r="AG113" s="91"/>
      <c r="AH113" s="91"/>
      <c r="AI113" s="91"/>
      <c r="AJ113" s="91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C113" s="91"/>
      <c r="BD113" s="91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W113" s="91"/>
      <c r="BX113" s="91"/>
      <c r="BY113" s="91"/>
      <c r="BZ113" s="91"/>
      <c r="CA113" s="91"/>
      <c r="CB113" s="91"/>
      <c r="CC113" s="91"/>
      <c r="CD113" s="91"/>
      <c r="CE113" s="91"/>
      <c r="CF113" s="91"/>
      <c r="CG113" s="91"/>
      <c r="CH113" s="91"/>
      <c r="CI113" s="91"/>
      <c r="CJ113" s="91"/>
      <c r="CK113" s="91"/>
      <c r="CL113" s="91"/>
      <c r="CM113" s="91"/>
      <c r="CN113" s="91"/>
      <c r="CO113" s="91"/>
      <c r="CP113" s="91"/>
      <c r="CQ113" s="91"/>
      <c r="CR113" s="91"/>
      <c r="CS113" s="91"/>
      <c r="CT113" s="91"/>
      <c r="CU113" s="91"/>
      <c r="CV113" s="91"/>
      <c r="CW113" s="91"/>
      <c r="CX113" s="91"/>
      <c r="CY113" s="91"/>
      <c r="CZ113" s="91"/>
      <c r="DA113" s="91"/>
      <c r="DB113" s="91"/>
      <c r="DC113" s="91"/>
      <c r="DD113" s="91"/>
      <c r="DE113" s="91"/>
      <c r="DF113" s="91"/>
      <c r="DG113" s="91"/>
      <c r="DH113" s="91"/>
      <c r="DI113" s="91"/>
      <c r="DJ113" s="91"/>
      <c r="DK113" s="91"/>
      <c r="DL113" s="91"/>
      <c r="DM113" s="91"/>
      <c r="DN113" s="91"/>
      <c r="DO113" s="91"/>
      <c r="DP113" s="91"/>
      <c r="DQ113" s="91"/>
      <c r="DR113" s="91"/>
      <c r="DS113" s="91"/>
      <c r="DT113" s="91"/>
      <c r="DU113" s="91"/>
      <c r="DV113" s="91"/>
      <c r="DW113" s="91"/>
      <c r="DX113" s="91"/>
      <c r="DY113" s="91"/>
      <c r="DZ113" s="91"/>
      <c r="EA113" s="91"/>
      <c r="EB113" s="91"/>
      <c r="EC113" s="91"/>
      <c r="ED113" s="91"/>
      <c r="EE113" s="91"/>
      <c r="EF113" s="91"/>
      <c r="EG113" s="91"/>
      <c r="EH113" s="91"/>
      <c r="EI113" s="91"/>
      <c r="EJ113" s="91"/>
      <c r="EK113" s="91"/>
      <c r="EL113" s="91"/>
      <c r="EM113" s="91"/>
      <c r="EN113" s="91"/>
      <c r="EO113" s="91"/>
      <c r="EP113" s="91"/>
      <c r="EQ113" s="91"/>
      <c r="ER113" s="91"/>
      <c r="ES113" s="91"/>
      <c r="ET113" s="91"/>
      <c r="EU113" s="91"/>
      <c r="EV113" s="91"/>
      <c r="EW113" s="91"/>
      <c r="EX113" s="91"/>
      <c r="EY113" s="91"/>
      <c r="EZ113" s="91"/>
      <c r="FA113" s="91"/>
      <c r="FB113" s="91"/>
      <c r="FC113" s="91"/>
      <c r="FD113" s="91"/>
      <c r="FE113" s="91"/>
      <c r="FF113" s="91"/>
      <c r="FG113" s="91"/>
      <c r="FH113" s="91"/>
      <c r="FI113" s="91"/>
      <c r="FJ113" s="91"/>
      <c r="FK113" s="91"/>
      <c r="FL113" s="91"/>
      <c r="FM113" s="91"/>
      <c r="FN113" s="91"/>
      <c r="FO113" s="91"/>
      <c r="FP113" s="91"/>
      <c r="FQ113" s="91"/>
      <c r="FR113" s="91"/>
      <c r="FS113" s="91"/>
      <c r="FT113" s="91"/>
      <c r="FU113" s="91"/>
      <c r="FV113" s="91"/>
      <c r="FW113" s="91"/>
      <c r="FX113" s="91"/>
      <c r="FY113" s="91"/>
      <c r="FZ113" s="91"/>
      <c r="GA113" s="91"/>
      <c r="GB113" s="91"/>
      <c r="GC113" s="91"/>
      <c r="GD113" s="91"/>
      <c r="GE113" s="91"/>
      <c r="GF113" s="91"/>
      <c r="GG113" s="91"/>
      <c r="GH113" s="91"/>
      <c r="GI113" s="91"/>
      <c r="GJ113" s="91"/>
      <c r="GK113" s="91"/>
      <c r="GL113" s="91"/>
      <c r="GM113" s="91"/>
      <c r="GN113" s="91"/>
      <c r="GO113" s="91"/>
      <c r="GP113" s="91"/>
      <c r="GQ113" s="91"/>
      <c r="GR113" s="91"/>
    </row>
    <row r="114" spans="2:200" x14ac:dyDescent="0.15">
      <c r="B114" s="91"/>
      <c r="C114" s="91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  <c r="AD114" s="91"/>
      <c r="AE114" s="91"/>
      <c r="AF114" s="91"/>
      <c r="AG114" s="91"/>
      <c r="AH114" s="91"/>
      <c r="AI114" s="91"/>
      <c r="AJ114" s="91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C114" s="91"/>
      <c r="BD114" s="91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W114" s="91"/>
      <c r="BX114" s="91"/>
      <c r="BY114" s="91"/>
      <c r="BZ114" s="91"/>
      <c r="CA114" s="91"/>
      <c r="CB114" s="91"/>
      <c r="CC114" s="91"/>
      <c r="CD114" s="91"/>
      <c r="CE114" s="91"/>
      <c r="CF114" s="91"/>
      <c r="CG114" s="91"/>
      <c r="CH114" s="91"/>
      <c r="CI114" s="91"/>
      <c r="CJ114" s="91"/>
      <c r="CK114" s="91"/>
      <c r="CL114" s="91"/>
      <c r="CM114" s="91"/>
      <c r="CN114" s="91"/>
      <c r="CO114" s="91"/>
      <c r="CP114" s="91"/>
      <c r="CQ114" s="91"/>
      <c r="CR114" s="91"/>
      <c r="CS114" s="91"/>
      <c r="CT114" s="91"/>
      <c r="CU114" s="91"/>
      <c r="CV114" s="91"/>
      <c r="CW114" s="91"/>
      <c r="CX114" s="91"/>
      <c r="CY114" s="91"/>
      <c r="CZ114" s="91"/>
      <c r="DA114" s="91"/>
      <c r="DB114" s="91"/>
      <c r="DC114" s="91"/>
      <c r="DD114" s="91"/>
      <c r="DE114" s="91"/>
      <c r="DF114" s="91"/>
      <c r="DG114" s="91"/>
      <c r="DH114" s="91"/>
      <c r="DI114" s="91"/>
      <c r="DJ114" s="91"/>
      <c r="DK114" s="91"/>
      <c r="DL114" s="91"/>
      <c r="DM114" s="91"/>
      <c r="DN114" s="91"/>
      <c r="DO114" s="91"/>
      <c r="DP114" s="91"/>
      <c r="DQ114" s="91"/>
      <c r="DR114" s="91"/>
      <c r="DS114" s="91"/>
      <c r="DT114" s="91"/>
      <c r="DU114" s="91"/>
      <c r="DV114" s="91"/>
      <c r="DW114" s="91"/>
      <c r="DX114" s="91"/>
      <c r="DY114" s="91"/>
      <c r="DZ114" s="91"/>
      <c r="EA114" s="91"/>
      <c r="EB114" s="91"/>
      <c r="EC114" s="91"/>
      <c r="ED114" s="91"/>
      <c r="EE114" s="91"/>
      <c r="EF114" s="91"/>
      <c r="EG114" s="91"/>
      <c r="EH114" s="91"/>
      <c r="EI114" s="91"/>
      <c r="EJ114" s="91"/>
      <c r="EK114" s="91"/>
      <c r="EL114" s="91"/>
      <c r="EM114" s="91"/>
      <c r="EN114" s="91"/>
      <c r="EO114" s="91"/>
      <c r="EP114" s="91"/>
      <c r="EQ114" s="91"/>
      <c r="ER114" s="91"/>
      <c r="ES114" s="91"/>
      <c r="ET114" s="91"/>
      <c r="EU114" s="91"/>
      <c r="EV114" s="91"/>
      <c r="EW114" s="91"/>
      <c r="EX114" s="91"/>
      <c r="EY114" s="91"/>
      <c r="EZ114" s="91"/>
      <c r="FA114" s="91"/>
      <c r="FB114" s="91"/>
      <c r="FC114" s="91"/>
      <c r="FD114" s="91"/>
      <c r="FE114" s="91"/>
      <c r="FF114" s="91"/>
      <c r="FG114" s="91"/>
      <c r="FH114" s="91"/>
      <c r="FI114" s="91"/>
      <c r="FJ114" s="91"/>
      <c r="FK114" s="91"/>
      <c r="FL114" s="91"/>
      <c r="FM114" s="91"/>
      <c r="FN114" s="91"/>
      <c r="FO114" s="91"/>
      <c r="FP114" s="91"/>
      <c r="FQ114" s="91"/>
      <c r="FR114" s="91"/>
      <c r="FS114" s="91"/>
      <c r="FT114" s="91"/>
      <c r="FU114" s="91"/>
      <c r="FV114" s="91"/>
      <c r="FW114" s="91"/>
      <c r="FX114" s="91"/>
      <c r="FY114" s="91"/>
      <c r="FZ114" s="91"/>
      <c r="GA114" s="91"/>
      <c r="GB114" s="91"/>
      <c r="GC114" s="91"/>
      <c r="GD114" s="91"/>
      <c r="GE114" s="91"/>
      <c r="GF114" s="91"/>
      <c r="GG114" s="91"/>
      <c r="GH114" s="91"/>
      <c r="GI114" s="91"/>
      <c r="GJ114" s="91"/>
      <c r="GK114" s="91"/>
      <c r="GL114" s="91"/>
      <c r="GM114" s="91"/>
      <c r="GN114" s="91"/>
      <c r="GO114" s="91"/>
      <c r="GP114" s="91"/>
      <c r="GQ114" s="91"/>
      <c r="GR114" s="91"/>
    </row>
    <row r="115" spans="2:200" x14ac:dyDescent="0.15"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C115" s="91"/>
      <c r="BD115" s="91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W115" s="91"/>
      <c r="BX115" s="91"/>
      <c r="BY115" s="91"/>
      <c r="BZ115" s="91"/>
      <c r="CA115" s="91"/>
      <c r="CB115" s="91"/>
      <c r="CC115" s="91"/>
      <c r="CD115" s="91"/>
      <c r="CE115" s="91"/>
      <c r="CF115" s="91"/>
      <c r="CG115" s="91"/>
      <c r="CH115" s="91"/>
      <c r="CI115" s="91"/>
      <c r="CJ115" s="91"/>
      <c r="CK115" s="91"/>
      <c r="CL115" s="91"/>
      <c r="CM115" s="91"/>
      <c r="CN115" s="91"/>
      <c r="CO115" s="91"/>
      <c r="CP115" s="91"/>
      <c r="CQ115" s="91"/>
      <c r="CR115" s="91"/>
      <c r="CS115" s="91"/>
      <c r="CT115" s="91"/>
      <c r="CU115" s="91"/>
      <c r="CV115" s="91"/>
      <c r="CW115" s="91"/>
      <c r="CX115" s="91"/>
      <c r="CY115" s="91"/>
      <c r="CZ115" s="91"/>
      <c r="DA115" s="91"/>
      <c r="DB115" s="91"/>
      <c r="DC115" s="91"/>
      <c r="DD115" s="91"/>
      <c r="DE115" s="91"/>
      <c r="DF115" s="91"/>
      <c r="DG115" s="91"/>
      <c r="DH115" s="91"/>
      <c r="DI115" s="91"/>
      <c r="DJ115" s="91"/>
      <c r="DK115" s="91"/>
      <c r="DL115" s="91"/>
      <c r="DM115" s="91"/>
      <c r="DN115" s="91"/>
      <c r="DO115" s="91"/>
      <c r="DP115" s="91"/>
      <c r="DQ115" s="91"/>
      <c r="DR115" s="91"/>
      <c r="DS115" s="91"/>
      <c r="DT115" s="91"/>
      <c r="DU115" s="91"/>
      <c r="DV115" s="91"/>
      <c r="DW115" s="91"/>
      <c r="DX115" s="91"/>
      <c r="DY115" s="91"/>
      <c r="DZ115" s="91"/>
      <c r="EA115" s="91"/>
      <c r="EB115" s="91"/>
      <c r="EC115" s="91"/>
      <c r="ED115" s="91"/>
      <c r="EE115" s="91"/>
      <c r="EF115" s="91"/>
      <c r="EG115" s="91"/>
      <c r="EH115" s="91"/>
      <c r="EI115" s="91"/>
      <c r="EJ115" s="91"/>
      <c r="EK115" s="91"/>
      <c r="EL115" s="91"/>
      <c r="EM115" s="91"/>
      <c r="EN115" s="91"/>
      <c r="EO115" s="91"/>
      <c r="EP115" s="91"/>
      <c r="EQ115" s="91"/>
      <c r="ER115" s="91"/>
      <c r="ES115" s="91"/>
      <c r="ET115" s="91"/>
      <c r="EU115" s="91"/>
      <c r="EV115" s="91"/>
      <c r="EW115" s="91"/>
      <c r="EX115" s="91"/>
      <c r="EY115" s="91"/>
      <c r="EZ115" s="91"/>
      <c r="FA115" s="91"/>
      <c r="FB115" s="91"/>
      <c r="FC115" s="91"/>
      <c r="FD115" s="91"/>
      <c r="FE115" s="91"/>
      <c r="FF115" s="91"/>
      <c r="FG115" s="91"/>
      <c r="FH115" s="91"/>
      <c r="FI115" s="91"/>
      <c r="FJ115" s="91"/>
      <c r="FK115" s="91"/>
      <c r="FL115" s="91"/>
      <c r="FM115" s="91"/>
      <c r="FN115" s="91"/>
      <c r="FO115" s="91"/>
      <c r="FP115" s="91"/>
      <c r="FQ115" s="91"/>
      <c r="FR115" s="91"/>
      <c r="FS115" s="91"/>
      <c r="FT115" s="91"/>
      <c r="FU115" s="91"/>
      <c r="FV115" s="91"/>
      <c r="FW115" s="91"/>
      <c r="FX115" s="91"/>
      <c r="FY115" s="91"/>
      <c r="FZ115" s="91"/>
      <c r="GA115" s="91"/>
      <c r="GB115" s="91"/>
      <c r="GC115" s="91"/>
      <c r="GD115" s="91"/>
      <c r="GE115" s="91"/>
      <c r="GF115" s="91"/>
      <c r="GG115" s="91"/>
      <c r="GH115" s="91"/>
      <c r="GI115" s="91"/>
      <c r="GJ115" s="91"/>
      <c r="GK115" s="91"/>
      <c r="GL115" s="91"/>
      <c r="GM115" s="91"/>
      <c r="GN115" s="91"/>
      <c r="GO115" s="91"/>
      <c r="GP115" s="91"/>
      <c r="GQ115" s="91"/>
      <c r="GR115" s="91"/>
    </row>
    <row r="116" spans="2:200" x14ac:dyDescent="0.15">
      <c r="B116" s="91"/>
      <c r="C116" s="91"/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  <c r="X116" s="91"/>
      <c r="Y116" s="91"/>
      <c r="Z116" s="91"/>
      <c r="AA116" s="91"/>
      <c r="AB116" s="91"/>
      <c r="AC116" s="91"/>
      <c r="AD116" s="91"/>
      <c r="AE116" s="91"/>
      <c r="AF116" s="91"/>
      <c r="AG116" s="91"/>
      <c r="AH116" s="91"/>
      <c r="AI116" s="91"/>
      <c r="AJ116" s="91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C116" s="91"/>
      <c r="BD116" s="91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W116" s="91"/>
      <c r="BX116" s="91"/>
      <c r="BY116" s="91"/>
      <c r="BZ116" s="91"/>
      <c r="CA116" s="91"/>
      <c r="CB116" s="91"/>
      <c r="CC116" s="91"/>
      <c r="CD116" s="91"/>
      <c r="CE116" s="91"/>
      <c r="CF116" s="91"/>
      <c r="CG116" s="91"/>
      <c r="CH116" s="91"/>
      <c r="CI116" s="91"/>
      <c r="CJ116" s="91"/>
      <c r="CK116" s="91"/>
      <c r="CL116" s="91"/>
      <c r="CM116" s="91"/>
      <c r="CN116" s="91"/>
      <c r="CO116" s="91"/>
      <c r="CP116" s="91"/>
      <c r="CQ116" s="91"/>
      <c r="CR116" s="91"/>
      <c r="CS116" s="91"/>
      <c r="CT116" s="91"/>
      <c r="CU116" s="91"/>
      <c r="CV116" s="91"/>
      <c r="CW116" s="91"/>
      <c r="CX116" s="91"/>
      <c r="CY116" s="91"/>
      <c r="CZ116" s="91"/>
      <c r="DA116" s="91"/>
      <c r="DB116" s="91"/>
      <c r="DC116" s="91"/>
      <c r="DD116" s="91"/>
      <c r="DE116" s="91"/>
      <c r="DF116" s="91"/>
      <c r="DG116" s="91"/>
      <c r="DH116" s="91"/>
      <c r="DI116" s="91"/>
      <c r="DJ116" s="91"/>
      <c r="DK116" s="91"/>
      <c r="DL116" s="91"/>
      <c r="DM116" s="91"/>
      <c r="DN116" s="91"/>
      <c r="DO116" s="91"/>
      <c r="DP116" s="91"/>
      <c r="DQ116" s="91"/>
      <c r="DR116" s="91"/>
      <c r="DS116" s="91"/>
      <c r="DT116" s="91"/>
      <c r="DU116" s="91"/>
      <c r="DV116" s="91"/>
      <c r="DW116" s="91"/>
      <c r="DX116" s="91"/>
      <c r="DY116" s="91"/>
      <c r="DZ116" s="91"/>
      <c r="EA116" s="91"/>
      <c r="EB116" s="91"/>
      <c r="EC116" s="91"/>
      <c r="ED116" s="91"/>
      <c r="EE116" s="91"/>
      <c r="EF116" s="91"/>
      <c r="EG116" s="91"/>
      <c r="EH116" s="91"/>
      <c r="EI116" s="91"/>
      <c r="EJ116" s="91"/>
      <c r="EK116" s="91"/>
      <c r="EL116" s="91"/>
      <c r="EM116" s="91"/>
      <c r="EN116" s="91"/>
      <c r="EO116" s="91"/>
      <c r="EP116" s="91"/>
      <c r="EQ116" s="91"/>
      <c r="ER116" s="91"/>
      <c r="ES116" s="91"/>
      <c r="ET116" s="91"/>
      <c r="EU116" s="91"/>
      <c r="EV116" s="91"/>
      <c r="EW116" s="91"/>
      <c r="EX116" s="91"/>
      <c r="EY116" s="91"/>
      <c r="EZ116" s="91"/>
      <c r="FA116" s="91"/>
      <c r="FB116" s="91"/>
      <c r="FC116" s="91"/>
      <c r="FD116" s="91"/>
      <c r="FE116" s="91"/>
      <c r="FF116" s="91"/>
      <c r="FG116" s="91"/>
      <c r="FH116" s="91"/>
      <c r="FI116" s="91"/>
      <c r="FJ116" s="91"/>
      <c r="FK116" s="91"/>
      <c r="FL116" s="91"/>
      <c r="FM116" s="91"/>
      <c r="FN116" s="91"/>
      <c r="FO116" s="91"/>
      <c r="FP116" s="91"/>
      <c r="FQ116" s="91"/>
      <c r="FR116" s="91"/>
      <c r="FS116" s="91"/>
      <c r="FT116" s="91"/>
      <c r="FU116" s="91"/>
      <c r="FV116" s="91"/>
      <c r="FW116" s="91"/>
      <c r="FX116" s="91"/>
      <c r="FY116" s="91"/>
      <c r="FZ116" s="91"/>
      <c r="GA116" s="91"/>
      <c r="GB116" s="91"/>
      <c r="GC116" s="91"/>
      <c r="GD116" s="91"/>
      <c r="GE116" s="91"/>
      <c r="GF116" s="91"/>
      <c r="GG116" s="91"/>
      <c r="GH116" s="91"/>
      <c r="GI116" s="91"/>
      <c r="GJ116" s="91"/>
      <c r="GK116" s="91"/>
      <c r="GL116" s="91"/>
      <c r="GM116" s="91"/>
      <c r="GN116" s="91"/>
      <c r="GO116" s="91"/>
      <c r="GP116" s="91"/>
      <c r="GQ116" s="91"/>
      <c r="GR116" s="91"/>
    </row>
    <row r="117" spans="2:200" x14ac:dyDescent="0.15"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/>
      <c r="AF117" s="91"/>
      <c r="AG117" s="91"/>
      <c r="AH117" s="91"/>
      <c r="AI117" s="91"/>
      <c r="AJ117" s="91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C117" s="91"/>
      <c r="BD117" s="91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W117" s="91"/>
      <c r="BX117" s="91"/>
      <c r="BY117" s="91"/>
      <c r="BZ117" s="91"/>
      <c r="CA117" s="91"/>
      <c r="CB117" s="91"/>
      <c r="CC117" s="91"/>
      <c r="CD117" s="91"/>
      <c r="CE117" s="91"/>
      <c r="CF117" s="91"/>
      <c r="CG117" s="91"/>
      <c r="CH117" s="91"/>
      <c r="CI117" s="91"/>
      <c r="CJ117" s="91"/>
      <c r="CK117" s="91"/>
      <c r="CL117" s="91"/>
      <c r="CM117" s="91"/>
      <c r="CN117" s="91"/>
      <c r="CO117" s="91"/>
      <c r="CP117" s="91"/>
      <c r="CQ117" s="91"/>
      <c r="CR117" s="91"/>
      <c r="CS117" s="91"/>
      <c r="CT117" s="91"/>
      <c r="CU117" s="91"/>
      <c r="CV117" s="91"/>
      <c r="CW117" s="91"/>
      <c r="CX117" s="91"/>
      <c r="CY117" s="91"/>
      <c r="CZ117" s="91"/>
      <c r="DA117" s="91"/>
      <c r="DB117" s="91"/>
      <c r="DC117" s="91"/>
      <c r="DD117" s="91"/>
      <c r="DE117" s="91"/>
      <c r="DF117" s="91"/>
      <c r="DG117" s="91"/>
      <c r="DH117" s="91"/>
      <c r="DI117" s="91"/>
      <c r="DJ117" s="91"/>
      <c r="DK117" s="91"/>
      <c r="DL117" s="91"/>
      <c r="DM117" s="91"/>
      <c r="DN117" s="91"/>
      <c r="DO117" s="91"/>
      <c r="DP117" s="91"/>
      <c r="DQ117" s="91"/>
      <c r="DR117" s="91"/>
      <c r="DS117" s="91"/>
      <c r="DT117" s="91"/>
      <c r="DU117" s="91"/>
      <c r="DV117" s="91"/>
      <c r="DW117" s="91"/>
      <c r="DX117" s="91"/>
      <c r="DY117" s="91"/>
      <c r="DZ117" s="91"/>
      <c r="EA117" s="91"/>
      <c r="EB117" s="91"/>
      <c r="EC117" s="91"/>
      <c r="ED117" s="91"/>
      <c r="EE117" s="91"/>
      <c r="EF117" s="91"/>
      <c r="EG117" s="91"/>
      <c r="EH117" s="91"/>
      <c r="EI117" s="91"/>
      <c r="EJ117" s="91"/>
      <c r="EK117" s="91"/>
      <c r="EL117" s="91"/>
      <c r="EM117" s="91"/>
      <c r="EN117" s="91"/>
      <c r="EO117" s="91"/>
      <c r="EP117" s="91"/>
      <c r="EQ117" s="91"/>
      <c r="ER117" s="91"/>
      <c r="ES117" s="91"/>
      <c r="ET117" s="91"/>
      <c r="EU117" s="91"/>
      <c r="EV117" s="91"/>
      <c r="EW117" s="91"/>
      <c r="EX117" s="91"/>
      <c r="EY117" s="91"/>
      <c r="EZ117" s="91"/>
      <c r="FA117" s="91"/>
      <c r="FB117" s="91"/>
      <c r="FC117" s="91"/>
      <c r="FD117" s="91"/>
      <c r="FE117" s="91"/>
      <c r="FF117" s="91"/>
      <c r="FG117" s="91"/>
      <c r="FH117" s="91"/>
      <c r="FI117" s="91"/>
      <c r="FJ117" s="91"/>
      <c r="FK117" s="91"/>
      <c r="FL117" s="91"/>
      <c r="FM117" s="91"/>
      <c r="FN117" s="91"/>
      <c r="FO117" s="91"/>
      <c r="FP117" s="91"/>
      <c r="FQ117" s="91"/>
      <c r="FR117" s="91"/>
      <c r="FS117" s="91"/>
      <c r="FT117" s="91"/>
      <c r="FU117" s="91"/>
      <c r="FV117" s="91"/>
      <c r="FW117" s="91"/>
      <c r="FX117" s="91"/>
      <c r="FY117" s="91"/>
      <c r="FZ117" s="91"/>
      <c r="GA117" s="91"/>
      <c r="GB117" s="91"/>
      <c r="GC117" s="91"/>
      <c r="GD117" s="91"/>
      <c r="GE117" s="91"/>
      <c r="GF117" s="91"/>
      <c r="GG117" s="91"/>
      <c r="GH117" s="91"/>
      <c r="GI117" s="91"/>
      <c r="GJ117" s="91"/>
      <c r="GK117" s="91"/>
      <c r="GL117" s="91"/>
      <c r="GM117" s="91"/>
      <c r="GN117" s="91"/>
      <c r="GO117" s="91"/>
      <c r="GP117" s="91"/>
      <c r="GQ117" s="91"/>
      <c r="GR117" s="91"/>
    </row>
    <row r="118" spans="2:200" x14ac:dyDescent="0.15"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/>
      <c r="AD118" s="91"/>
      <c r="AE118" s="91"/>
      <c r="AF118" s="91"/>
      <c r="AG118" s="91"/>
      <c r="AH118" s="91"/>
      <c r="AI118" s="91"/>
      <c r="AJ118" s="91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C118" s="91"/>
      <c r="BD118" s="91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W118" s="91"/>
      <c r="BX118" s="91"/>
      <c r="BY118" s="91"/>
      <c r="BZ118" s="91"/>
      <c r="CA118" s="91"/>
      <c r="CB118" s="91"/>
      <c r="CC118" s="91"/>
      <c r="CD118" s="91"/>
      <c r="CE118" s="91"/>
      <c r="CF118" s="91"/>
      <c r="CG118" s="91"/>
      <c r="CH118" s="91"/>
      <c r="CI118" s="91"/>
      <c r="CJ118" s="91"/>
      <c r="CK118" s="91"/>
      <c r="CL118" s="91"/>
      <c r="CM118" s="91"/>
      <c r="CN118" s="91"/>
      <c r="CO118" s="91"/>
      <c r="CP118" s="91"/>
      <c r="CQ118" s="91"/>
      <c r="CR118" s="91"/>
      <c r="CS118" s="91"/>
      <c r="CT118" s="91"/>
      <c r="CU118" s="91"/>
      <c r="CV118" s="91"/>
      <c r="CW118" s="91"/>
      <c r="CX118" s="91"/>
      <c r="CY118" s="91"/>
      <c r="CZ118" s="91"/>
      <c r="DA118" s="91"/>
      <c r="DB118" s="91"/>
      <c r="DC118" s="91"/>
      <c r="DD118" s="91"/>
      <c r="DE118" s="91"/>
      <c r="DF118" s="91"/>
      <c r="DG118" s="91"/>
      <c r="DH118" s="91"/>
      <c r="DI118" s="91"/>
      <c r="DJ118" s="91"/>
      <c r="DK118" s="91"/>
      <c r="DL118" s="91"/>
      <c r="DM118" s="91"/>
      <c r="DN118" s="91"/>
      <c r="DO118" s="91"/>
      <c r="DP118" s="91"/>
      <c r="DQ118" s="91"/>
      <c r="DR118" s="91"/>
      <c r="DS118" s="91"/>
      <c r="DT118" s="91"/>
      <c r="DU118" s="91"/>
      <c r="DV118" s="91"/>
      <c r="DW118" s="91"/>
      <c r="DX118" s="91"/>
      <c r="DY118" s="91"/>
      <c r="DZ118" s="91"/>
      <c r="EA118" s="91"/>
      <c r="EB118" s="91"/>
      <c r="EC118" s="91"/>
      <c r="ED118" s="91"/>
      <c r="EE118" s="91"/>
      <c r="EF118" s="91"/>
      <c r="EG118" s="91"/>
      <c r="EH118" s="91"/>
      <c r="EI118" s="91"/>
      <c r="EJ118" s="91"/>
      <c r="EK118" s="91"/>
      <c r="EL118" s="91"/>
      <c r="EM118" s="91"/>
      <c r="EN118" s="91"/>
      <c r="EO118" s="91"/>
      <c r="EP118" s="91"/>
      <c r="EQ118" s="91"/>
      <c r="ER118" s="91"/>
      <c r="ES118" s="91"/>
      <c r="ET118" s="91"/>
      <c r="EU118" s="91"/>
      <c r="EV118" s="91"/>
      <c r="EW118" s="91"/>
      <c r="EX118" s="91"/>
      <c r="EY118" s="91"/>
      <c r="EZ118" s="91"/>
      <c r="FA118" s="91"/>
      <c r="FB118" s="91"/>
      <c r="FC118" s="91"/>
      <c r="FD118" s="91"/>
      <c r="FE118" s="91"/>
      <c r="FF118" s="91"/>
      <c r="FG118" s="91"/>
      <c r="FH118" s="91"/>
      <c r="FI118" s="91"/>
      <c r="FJ118" s="91"/>
      <c r="FK118" s="91"/>
      <c r="FL118" s="91"/>
      <c r="FM118" s="91"/>
      <c r="FN118" s="91"/>
      <c r="FO118" s="91"/>
      <c r="FP118" s="91"/>
      <c r="FQ118" s="91"/>
      <c r="FR118" s="91"/>
      <c r="FS118" s="91"/>
      <c r="FT118" s="91"/>
      <c r="FU118" s="91"/>
      <c r="FV118" s="91"/>
      <c r="FW118" s="91"/>
      <c r="FX118" s="91"/>
      <c r="FY118" s="91"/>
      <c r="FZ118" s="91"/>
      <c r="GA118" s="91"/>
      <c r="GB118" s="91"/>
      <c r="GC118" s="91"/>
      <c r="GD118" s="91"/>
      <c r="GE118" s="91"/>
      <c r="GF118" s="91"/>
      <c r="GG118" s="91"/>
      <c r="GH118" s="91"/>
      <c r="GI118" s="91"/>
      <c r="GJ118" s="91"/>
      <c r="GK118" s="91"/>
      <c r="GL118" s="91"/>
      <c r="GM118" s="91"/>
      <c r="GN118" s="91"/>
      <c r="GO118" s="91"/>
      <c r="GP118" s="91"/>
      <c r="GQ118" s="91"/>
      <c r="GR118" s="91"/>
    </row>
    <row r="119" spans="2:200" x14ac:dyDescent="0.15"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  <c r="Z119" s="91"/>
      <c r="AA119" s="91"/>
      <c r="AB119" s="91"/>
      <c r="AC119" s="91"/>
      <c r="AD119" s="91"/>
      <c r="AE119" s="91"/>
      <c r="AF119" s="91"/>
      <c r="AG119" s="91"/>
      <c r="AH119" s="91"/>
      <c r="AI119" s="91"/>
      <c r="AJ119" s="91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C119" s="91"/>
      <c r="BD119" s="91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W119" s="91"/>
      <c r="BX119" s="91"/>
      <c r="BY119" s="91"/>
      <c r="BZ119" s="91"/>
      <c r="CA119" s="91"/>
      <c r="CB119" s="91"/>
      <c r="CC119" s="91"/>
      <c r="CD119" s="91"/>
      <c r="CE119" s="91"/>
      <c r="CF119" s="91"/>
      <c r="CG119" s="91"/>
      <c r="CH119" s="91"/>
      <c r="CI119" s="91"/>
      <c r="CJ119" s="91"/>
      <c r="CK119" s="91"/>
      <c r="CL119" s="91"/>
      <c r="CM119" s="91"/>
      <c r="CN119" s="91"/>
      <c r="CO119" s="91"/>
      <c r="CP119" s="91"/>
      <c r="CQ119" s="91"/>
      <c r="CR119" s="91"/>
      <c r="CS119" s="91"/>
      <c r="CT119" s="91"/>
      <c r="CU119" s="91"/>
      <c r="CV119" s="91"/>
      <c r="CW119" s="91"/>
      <c r="CX119" s="91"/>
      <c r="CY119" s="91"/>
      <c r="CZ119" s="91"/>
      <c r="DA119" s="91"/>
      <c r="DB119" s="91"/>
      <c r="DC119" s="91"/>
      <c r="DD119" s="91"/>
      <c r="DE119" s="91"/>
      <c r="DF119" s="91"/>
      <c r="DG119" s="91"/>
      <c r="DH119" s="91"/>
      <c r="DI119" s="91"/>
      <c r="DJ119" s="91"/>
      <c r="DK119" s="91"/>
      <c r="DL119" s="91"/>
      <c r="DM119" s="91"/>
      <c r="DN119" s="91"/>
      <c r="DO119" s="91"/>
      <c r="DP119" s="91"/>
      <c r="DQ119" s="91"/>
      <c r="DR119" s="91"/>
      <c r="DS119" s="91"/>
      <c r="DT119" s="91"/>
      <c r="DU119" s="91"/>
      <c r="DV119" s="91"/>
      <c r="DW119" s="91"/>
      <c r="DX119" s="91"/>
      <c r="DY119" s="91"/>
      <c r="DZ119" s="91"/>
      <c r="EA119" s="91"/>
      <c r="EB119" s="91"/>
      <c r="EC119" s="91"/>
      <c r="ED119" s="91"/>
      <c r="EE119" s="91"/>
      <c r="EF119" s="91"/>
      <c r="EG119" s="91"/>
      <c r="EH119" s="91"/>
      <c r="EI119" s="91"/>
      <c r="EJ119" s="91"/>
      <c r="EK119" s="91"/>
      <c r="EL119" s="91"/>
      <c r="EM119" s="91"/>
      <c r="EN119" s="91"/>
      <c r="EO119" s="91"/>
      <c r="EP119" s="91"/>
      <c r="EQ119" s="91"/>
      <c r="ER119" s="91"/>
      <c r="ES119" s="91"/>
      <c r="ET119" s="91"/>
      <c r="EU119" s="91"/>
      <c r="EV119" s="91"/>
      <c r="EW119" s="91"/>
      <c r="EX119" s="91"/>
      <c r="EY119" s="91"/>
      <c r="EZ119" s="91"/>
      <c r="FA119" s="91"/>
      <c r="FB119" s="91"/>
      <c r="FC119" s="91"/>
      <c r="FD119" s="91"/>
      <c r="FE119" s="91"/>
      <c r="FF119" s="91"/>
      <c r="FG119" s="91"/>
      <c r="FH119" s="91"/>
      <c r="FI119" s="91"/>
      <c r="FJ119" s="91"/>
      <c r="FK119" s="91"/>
      <c r="FL119" s="91"/>
      <c r="FM119" s="91"/>
      <c r="FN119" s="91"/>
      <c r="FO119" s="91"/>
      <c r="FP119" s="91"/>
      <c r="FQ119" s="91"/>
      <c r="FR119" s="91"/>
      <c r="FS119" s="91"/>
      <c r="FT119" s="91"/>
      <c r="FU119" s="91"/>
      <c r="FV119" s="91"/>
      <c r="FW119" s="91"/>
      <c r="FX119" s="91"/>
      <c r="FY119" s="91"/>
      <c r="FZ119" s="91"/>
      <c r="GA119" s="91"/>
      <c r="GB119" s="91"/>
      <c r="GC119" s="91"/>
      <c r="GD119" s="91"/>
      <c r="GE119" s="91"/>
      <c r="GF119" s="91"/>
      <c r="GG119" s="91"/>
      <c r="GH119" s="91"/>
      <c r="GI119" s="91"/>
      <c r="GJ119" s="91"/>
      <c r="GK119" s="91"/>
      <c r="GL119" s="91"/>
      <c r="GM119" s="91"/>
      <c r="GN119" s="91"/>
      <c r="GO119" s="91"/>
      <c r="GP119" s="91"/>
      <c r="GQ119" s="91"/>
      <c r="GR119" s="91"/>
    </row>
    <row r="120" spans="2:200" x14ac:dyDescent="0.15">
      <c r="B120" s="91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  <c r="X120" s="91"/>
      <c r="Y120" s="91"/>
      <c r="Z120" s="91"/>
      <c r="AA120" s="91"/>
      <c r="AB120" s="91"/>
      <c r="AC120" s="91"/>
      <c r="AD120" s="91"/>
      <c r="AE120" s="91"/>
      <c r="AF120" s="91"/>
      <c r="AG120" s="91"/>
      <c r="AH120" s="91"/>
      <c r="AI120" s="91"/>
      <c r="AJ120" s="91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C120" s="91"/>
      <c r="BD120" s="91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W120" s="91"/>
      <c r="BX120" s="91"/>
      <c r="BY120" s="91"/>
      <c r="BZ120" s="91"/>
      <c r="CA120" s="91"/>
      <c r="CB120" s="91"/>
      <c r="CC120" s="91"/>
      <c r="CD120" s="91"/>
      <c r="CE120" s="91"/>
      <c r="CF120" s="91"/>
      <c r="CG120" s="91"/>
      <c r="CH120" s="91"/>
      <c r="CI120" s="91"/>
      <c r="CJ120" s="91"/>
      <c r="CK120" s="91"/>
      <c r="CL120" s="91"/>
      <c r="CM120" s="91"/>
      <c r="CN120" s="91"/>
      <c r="CO120" s="91"/>
      <c r="CP120" s="91"/>
      <c r="CQ120" s="91"/>
      <c r="CR120" s="91"/>
      <c r="CS120" s="91"/>
      <c r="CT120" s="91"/>
      <c r="CU120" s="91"/>
      <c r="CV120" s="91"/>
      <c r="CW120" s="91"/>
      <c r="CX120" s="91"/>
      <c r="CY120" s="91"/>
      <c r="CZ120" s="91"/>
      <c r="DA120" s="91"/>
      <c r="DB120" s="91"/>
      <c r="DC120" s="91"/>
      <c r="DD120" s="91"/>
      <c r="DE120" s="91"/>
      <c r="DF120" s="91"/>
      <c r="DG120" s="91"/>
      <c r="DH120" s="91"/>
      <c r="DI120" s="91"/>
      <c r="DJ120" s="91"/>
      <c r="DK120" s="91"/>
      <c r="DL120" s="91"/>
      <c r="DM120" s="91"/>
      <c r="DN120" s="91"/>
      <c r="DO120" s="91"/>
      <c r="DP120" s="91"/>
      <c r="DQ120" s="91"/>
      <c r="DR120" s="91"/>
      <c r="DS120" s="91"/>
      <c r="DT120" s="91"/>
      <c r="DU120" s="91"/>
      <c r="DV120" s="91"/>
      <c r="DW120" s="91"/>
      <c r="DX120" s="91"/>
      <c r="DY120" s="91"/>
      <c r="DZ120" s="91"/>
      <c r="EA120" s="91"/>
      <c r="EB120" s="91"/>
      <c r="EC120" s="91"/>
      <c r="ED120" s="91"/>
      <c r="EE120" s="91"/>
      <c r="EF120" s="91"/>
      <c r="EG120" s="91"/>
      <c r="EH120" s="91"/>
      <c r="EI120" s="91"/>
      <c r="EJ120" s="91"/>
      <c r="EK120" s="91"/>
      <c r="EL120" s="91"/>
      <c r="EM120" s="91"/>
      <c r="EN120" s="91"/>
      <c r="EO120" s="91"/>
      <c r="EP120" s="91"/>
      <c r="EQ120" s="91"/>
      <c r="ER120" s="91"/>
      <c r="ES120" s="91"/>
      <c r="ET120" s="91"/>
      <c r="EU120" s="91"/>
      <c r="EV120" s="91"/>
      <c r="EW120" s="91"/>
      <c r="EX120" s="91"/>
      <c r="EY120" s="91"/>
      <c r="EZ120" s="91"/>
      <c r="FA120" s="91"/>
      <c r="FB120" s="91"/>
      <c r="FC120" s="91"/>
      <c r="FD120" s="91"/>
      <c r="FE120" s="91"/>
      <c r="FF120" s="91"/>
      <c r="FG120" s="91"/>
      <c r="FH120" s="91"/>
      <c r="FI120" s="91"/>
      <c r="FJ120" s="91"/>
      <c r="FK120" s="91"/>
      <c r="FL120" s="91"/>
      <c r="FM120" s="91"/>
      <c r="FN120" s="91"/>
      <c r="FO120" s="91"/>
      <c r="FP120" s="91"/>
      <c r="FQ120" s="91"/>
      <c r="FR120" s="91"/>
      <c r="FS120" s="91"/>
      <c r="FT120" s="91"/>
      <c r="FU120" s="91"/>
      <c r="FV120" s="91"/>
      <c r="FW120" s="91"/>
      <c r="FX120" s="91"/>
      <c r="FY120" s="91"/>
      <c r="FZ120" s="91"/>
      <c r="GA120" s="91"/>
      <c r="GB120" s="91"/>
      <c r="GC120" s="91"/>
      <c r="GD120" s="91"/>
      <c r="GE120" s="91"/>
      <c r="GF120" s="91"/>
      <c r="GG120" s="91"/>
      <c r="GH120" s="91"/>
      <c r="GI120" s="91"/>
      <c r="GJ120" s="91"/>
      <c r="GK120" s="91"/>
      <c r="GL120" s="91"/>
      <c r="GM120" s="91"/>
      <c r="GN120" s="91"/>
      <c r="GO120" s="91"/>
      <c r="GP120" s="91"/>
      <c r="GQ120" s="91"/>
      <c r="GR120" s="91"/>
    </row>
    <row r="121" spans="2:200" x14ac:dyDescent="0.15"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  <c r="X121" s="91"/>
      <c r="Y121" s="91"/>
      <c r="Z121" s="91"/>
      <c r="AA121" s="91"/>
      <c r="AB121" s="91"/>
      <c r="AC121" s="91"/>
      <c r="AD121" s="91"/>
      <c r="AE121" s="91"/>
      <c r="AF121" s="91"/>
      <c r="AG121" s="91"/>
      <c r="AH121" s="91"/>
      <c r="AI121" s="91"/>
      <c r="AJ121" s="91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C121" s="91"/>
      <c r="BD121" s="91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W121" s="91"/>
      <c r="BX121" s="91"/>
      <c r="BY121" s="91"/>
      <c r="BZ121" s="91"/>
      <c r="CA121" s="91"/>
      <c r="CB121" s="91"/>
      <c r="CC121" s="91"/>
      <c r="CD121" s="91"/>
      <c r="CE121" s="91"/>
      <c r="CF121" s="91"/>
      <c r="CG121" s="91"/>
      <c r="CH121" s="91"/>
      <c r="CI121" s="91"/>
      <c r="CJ121" s="91"/>
      <c r="CK121" s="91"/>
      <c r="CL121" s="91"/>
      <c r="CM121" s="91"/>
      <c r="CN121" s="91"/>
      <c r="CO121" s="91"/>
      <c r="CP121" s="91"/>
      <c r="CQ121" s="91"/>
      <c r="CR121" s="91"/>
      <c r="CS121" s="91"/>
      <c r="CT121" s="91"/>
      <c r="CU121" s="91"/>
      <c r="CV121" s="91"/>
      <c r="CW121" s="91"/>
      <c r="CX121" s="91"/>
      <c r="CY121" s="91"/>
      <c r="CZ121" s="91"/>
      <c r="DA121" s="91"/>
      <c r="DB121" s="91"/>
      <c r="DC121" s="91"/>
      <c r="DD121" s="91"/>
      <c r="DE121" s="91"/>
      <c r="DF121" s="91"/>
      <c r="DG121" s="91"/>
      <c r="DH121" s="91"/>
      <c r="DI121" s="91"/>
      <c r="DJ121" s="91"/>
      <c r="DK121" s="91"/>
      <c r="DL121" s="91"/>
      <c r="DM121" s="91"/>
      <c r="DN121" s="91"/>
      <c r="DO121" s="91"/>
      <c r="DP121" s="91"/>
      <c r="DQ121" s="91"/>
      <c r="DR121" s="91"/>
      <c r="DS121" s="91"/>
      <c r="DT121" s="91"/>
      <c r="DU121" s="91"/>
      <c r="DV121" s="91"/>
      <c r="DW121" s="91"/>
      <c r="DX121" s="91"/>
      <c r="DY121" s="91"/>
      <c r="DZ121" s="91"/>
      <c r="EA121" s="91"/>
      <c r="EB121" s="91"/>
      <c r="EC121" s="91"/>
      <c r="ED121" s="91"/>
      <c r="EE121" s="91"/>
      <c r="EF121" s="91"/>
      <c r="EG121" s="91"/>
      <c r="EH121" s="91"/>
      <c r="EI121" s="91"/>
      <c r="EJ121" s="91"/>
      <c r="EK121" s="91"/>
      <c r="EL121" s="91"/>
      <c r="EM121" s="91"/>
      <c r="EN121" s="91"/>
      <c r="EO121" s="91"/>
      <c r="EP121" s="91"/>
      <c r="EQ121" s="91"/>
      <c r="ER121" s="91"/>
      <c r="ES121" s="91"/>
      <c r="ET121" s="91"/>
      <c r="EU121" s="91"/>
      <c r="EV121" s="91"/>
      <c r="EW121" s="91"/>
      <c r="EX121" s="91"/>
      <c r="EY121" s="91"/>
      <c r="EZ121" s="91"/>
      <c r="FA121" s="91"/>
      <c r="FB121" s="91"/>
      <c r="FC121" s="91"/>
      <c r="FD121" s="91"/>
      <c r="FE121" s="91"/>
      <c r="FF121" s="91"/>
      <c r="FG121" s="91"/>
      <c r="FH121" s="91"/>
      <c r="FI121" s="91"/>
      <c r="FJ121" s="91"/>
      <c r="FK121" s="91"/>
      <c r="FL121" s="91"/>
      <c r="FM121" s="91"/>
      <c r="FN121" s="91"/>
      <c r="FO121" s="91"/>
      <c r="FP121" s="91"/>
      <c r="FQ121" s="91"/>
      <c r="FR121" s="91"/>
      <c r="FS121" s="91"/>
      <c r="FT121" s="91"/>
      <c r="FU121" s="91"/>
      <c r="FV121" s="91"/>
      <c r="FW121" s="91"/>
      <c r="FX121" s="91"/>
      <c r="FY121" s="91"/>
      <c r="FZ121" s="91"/>
      <c r="GA121" s="91"/>
      <c r="GB121" s="91"/>
      <c r="GC121" s="91"/>
      <c r="GD121" s="91"/>
      <c r="GE121" s="91"/>
      <c r="GF121" s="91"/>
      <c r="GG121" s="91"/>
      <c r="GH121" s="91"/>
      <c r="GI121" s="91"/>
      <c r="GJ121" s="91"/>
      <c r="GK121" s="91"/>
      <c r="GL121" s="91"/>
      <c r="GM121" s="91"/>
      <c r="GN121" s="91"/>
      <c r="GO121" s="91"/>
      <c r="GP121" s="91"/>
      <c r="GQ121" s="91"/>
      <c r="GR121" s="91"/>
    </row>
    <row r="122" spans="2:200" x14ac:dyDescent="0.15"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  <c r="X122" s="91"/>
      <c r="Y122" s="91"/>
      <c r="Z122" s="91"/>
      <c r="AA122" s="91"/>
      <c r="AB122" s="91"/>
      <c r="AC122" s="91"/>
      <c r="AD122" s="91"/>
      <c r="AE122" s="91"/>
      <c r="AF122" s="91"/>
      <c r="AG122" s="91"/>
      <c r="AH122" s="91"/>
      <c r="AI122" s="91"/>
      <c r="AJ122" s="91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C122" s="91"/>
      <c r="BD122" s="91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W122" s="91"/>
      <c r="BX122" s="91"/>
      <c r="BY122" s="91"/>
      <c r="BZ122" s="91"/>
      <c r="CA122" s="91"/>
      <c r="CB122" s="91"/>
      <c r="CC122" s="91"/>
      <c r="CD122" s="91"/>
      <c r="CE122" s="91"/>
      <c r="CF122" s="91"/>
      <c r="CG122" s="91"/>
      <c r="CH122" s="91"/>
      <c r="CI122" s="91"/>
      <c r="CJ122" s="91"/>
      <c r="CK122" s="91"/>
      <c r="CL122" s="91"/>
      <c r="CM122" s="91"/>
      <c r="CN122" s="91"/>
      <c r="CO122" s="91"/>
      <c r="CP122" s="91"/>
      <c r="CQ122" s="91"/>
      <c r="CR122" s="91"/>
      <c r="CS122" s="91"/>
      <c r="CT122" s="91"/>
      <c r="CU122" s="91"/>
      <c r="CV122" s="91"/>
      <c r="CW122" s="91"/>
      <c r="CX122" s="91"/>
      <c r="CY122" s="91"/>
      <c r="CZ122" s="91"/>
      <c r="DA122" s="91"/>
      <c r="DB122" s="91"/>
      <c r="DC122" s="91"/>
      <c r="DD122" s="91"/>
      <c r="DE122" s="91"/>
      <c r="DF122" s="91"/>
      <c r="DG122" s="91"/>
      <c r="DH122" s="91"/>
      <c r="DI122" s="91"/>
      <c r="DJ122" s="91"/>
      <c r="DK122" s="91"/>
      <c r="DL122" s="91"/>
      <c r="DM122" s="91"/>
      <c r="DN122" s="91"/>
      <c r="DO122" s="91"/>
      <c r="DP122" s="91"/>
      <c r="DQ122" s="91"/>
      <c r="DR122" s="91"/>
      <c r="DS122" s="91"/>
      <c r="DT122" s="91"/>
      <c r="DU122" s="91"/>
      <c r="DV122" s="91"/>
      <c r="DW122" s="91"/>
      <c r="DX122" s="91"/>
      <c r="DY122" s="91"/>
      <c r="DZ122" s="91"/>
      <c r="EA122" s="91"/>
      <c r="EB122" s="91"/>
      <c r="EC122" s="91"/>
      <c r="ED122" s="91"/>
      <c r="EE122" s="91"/>
      <c r="EF122" s="91"/>
      <c r="EG122" s="91"/>
      <c r="EH122" s="91"/>
      <c r="EI122" s="91"/>
      <c r="EJ122" s="91"/>
      <c r="EK122" s="91"/>
      <c r="EL122" s="91"/>
      <c r="EM122" s="91"/>
      <c r="EN122" s="91"/>
      <c r="EO122" s="91"/>
      <c r="EP122" s="91"/>
      <c r="EQ122" s="91"/>
      <c r="ER122" s="91"/>
      <c r="ES122" s="91"/>
      <c r="ET122" s="91"/>
      <c r="EU122" s="91"/>
      <c r="EV122" s="91"/>
      <c r="EW122" s="91"/>
      <c r="EX122" s="91"/>
      <c r="EY122" s="91"/>
      <c r="EZ122" s="91"/>
      <c r="FA122" s="91"/>
      <c r="FB122" s="91"/>
      <c r="FC122" s="91"/>
      <c r="FD122" s="91"/>
      <c r="FE122" s="91"/>
      <c r="FF122" s="91"/>
      <c r="FG122" s="91"/>
      <c r="FH122" s="91"/>
      <c r="FI122" s="91"/>
      <c r="FJ122" s="91"/>
      <c r="FK122" s="91"/>
      <c r="FL122" s="91"/>
      <c r="FM122" s="91"/>
      <c r="FN122" s="91"/>
      <c r="FO122" s="91"/>
      <c r="FP122" s="91"/>
      <c r="FQ122" s="91"/>
      <c r="FR122" s="91"/>
      <c r="FS122" s="91"/>
      <c r="FT122" s="91"/>
      <c r="FU122" s="91"/>
      <c r="FV122" s="91"/>
      <c r="FW122" s="91"/>
      <c r="FX122" s="91"/>
      <c r="FY122" s="91"/>
      <c r="FZ122" s="91"/>
      <c r="GA122" s="91"/>
      <c r="GB122" s="91"/>
      <c r="GC122" s="91"/>
      <c r="GD122" s="91"/>
      <c r="GE122" s="91"/>
      <c r="GF122" s="91"/>
      <c r="GG122" s="91"/>
      <c r="GH122" s="91"/>
      <c r="GI122" s="91"/>
      <c r="GJ122" s="91"/>
      <c r="GK122" s="91"/>
      <c r="GL122" s="91"/>
      <c r="GM122" s="91"/>
      <c r="GN122" s="91"/>
      <c r="GO122" s="91"/>
      <c r="GP122" s="91"/>
      <c r="GQ122" s="91"/>
      <c r="GR122" s="91"/>
    </row>
    <row r="123" spans="2:200" x14ac:dyDescent="0.15"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  <c r="X123" s="91"/>
      <c r="Y123" s="91"/>
      <c r="Z123" s="91"/>
      <c r="AA123" s="91"/>
      <c r="AB123" s="91"/>
      <c r="AC123" s="91"/>
      <c r="AD123" s="91"/>
      <c r="AE123" s="91"/>
      <c r="AF123" s="91"/>
      <c r="AG123" s="91"/>
      <c r="AH123" s="91"/>
      <c r="AI123" s="91"/>
      <c r="AJ123" s="91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C123" s="91"/>
      <c r="BD123" s="91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W123" s="91"/>
      <c r="BX123" s="91"/>
      <c r="BY123" s="91"/>
      <c r="BZ123" s="91"/>
      <c r="CA123" s="91"/>
      <c r="CB123" s="91"/>
      <c r="CC123" s="91"/>
      <c r="CD123" s="91"/>
      <c r="CE123" s="91"/>
      <c r="CF123" s="91"/>
      <c r="CG123" s="91"/>
      <c r="CH123" s="91"/>
      <c r="CI123" s="91"/>
      <c r="CJ123" s="91"/>
      <c r="CK123" s="91"/>
      <c r="CL123" s="91"/>
      <c r="CM123" s="91"/>
      <c r="CN123" s="91"/>
      <c r="CO123" s="91"/>
      <c r="CP123" s="91"/>
      <c r="CQ123" s="91"/>
      <c r="CR123" s="91"/>
      <c r="CS123" s="91"/>
      <c r="CT123" s="91"/>
      <c r="CU123" s="91"/>
      <c r="CV123" s="91"/>
      <c r="CW123" s="91"/>
      <c r="CX123" s="91"/>
      <c r="CY123" s="91"/>
      <c r="CZ123" s="91"/>
      <c r="DA123" s="91"/>
      <c r="DB123" s="91"/>
      <c r="DC123" s="91"/>
      <c r="DD123" s="91"/>
      <c r="DE123" s="91"/>
      <c r="DF123" s="91"/>
      <c r="DG123" s="91"/>
      <c r="DH123" s="91"/>
      <c r="DI123" s="91"/>
      <c r="DJ123" s="91"/>
      <c r="DK123" s="91"/>
      <c r="DL123" s="91"/>
      <c r="DM123" s="91"/>
      <c r="DN123" s="91"/>
      <c r="DO123" s="91"/>
      <c r="DP123" s="91"/>
      <c r="DQ123" s="91"/>
      <c r="DR123" s="91"/>
      <c r="DS123" s="91"/>
      <c r="DT123" s="91"/>
      <c r="DU123" s="91"/>
      <c r="DV123" s="91"/>
      <c r="DW123" s="91"/>
      <c r="DX123" s="91"/>
      <c r="DY123" s="91"/>
      <c r="DZ123" s="91"/>
      <c r="EA123" s="91"/>
      <c r="EB123" s="91"/>
      <c r="EC123" s="91"/>
      <c r="ED123" s="91"/>
      <c r="EE123" s="91"/>
      <c r="EF123" s="91"/>
      <c r="EG123" s="91"/>
      <c r="EH123" s="91"/>
      <c r="EI123" s="91"/>
      <c r="EJ123" s="91"/>
      <c r="EK123" s="91"/>
      <c r="EL123" s="91"/>
      <c r="EM123" s="91"/>
      <c r="EN123" s="91"/>
      <c r="EO123" s="91"/>
      <c r="EP123" s="91"/>
      <c r="EQ123" s="91"/>
      <c r="ER123" s="91"/>
      <c r="ES123" s="91"/>
      <c r="ET123" s="91"/>
      <c r="EU123" s="91"/>
      <c r="EV123" s="91"/>
      <c r="EW123" s="91"/>
      <c r="EX123" s="91"/>
      <c r="EY123" s="91"/>
      <c r="EZ123" s="91"/>
      <c r="FA123" s="91"/>
      <c r="FB123" s="91"/>
      <c r="FC123" s="91"/>
      <c r="FD123" s="91"/>
      <c r="FE123" s="91"/>
      <c r="FF123" s="91"/>
      <c r="FG123" s="91"/>
      <c r="FH123" s="91"/>
      <c r="FI123" s="91"/>
      <c r="FJ123" s="91"/>
      <c r="FK123" s="91"/>
      <c r="FL123" s="91"/>
      <c r="FM123" s="91"/>
      <c r="FN123" s="91"/>
      <c r="FO123" s="91"/>
      <c r="FP123" s="91"/>
      <c r="FQ123" s="91"/>
      <c r="FR123" s="91"/>
      <c r="FS123" s="91"/>
      <c r="FT123" s="91"/>
      <c r="FU123" s="91"/>
      <c r="FV123" s="91"/>
      <c r="FW123" s="91"/>
      <c r="FX123" s="91"/>
      <c r="FY123" s="91"/>
      <c r="FZ123" s="91"/>
      <c r="GA123" s="91"/>
      <c r="GB123" s="91"/>
      <c r="GC123" s="91"/>
      <c r="GD123" s="91"/>
      <c r="GE123" s="91"/>
      <c r="GF123" s="91"/>
      <c r="GG123" s="91"/>
      <c r="GH123" s="91"/>
      <c r="GI123" s="91"/>
      <c r="GJ123" s="91"/>
      <c r="GK123" s="91"/>
      <c r="GL123" s="91"/>
      <c r="GM123" s="91"/>
      <c r="GN123" s="91"/>
      <c r="GO123" s="91"/>
      <c r="GP123" s="91"/>
      <c r="GQ123" s="91"/>
      <c r="GR123" s="91"/>
    </row>
    <row r="124" spans="2:200" x14ac:dyDescent="0.15"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  <c r="X124" s="91"/>
      <c r="Y124" s="91"/>
      <c r="Z124" s="91"/>
      <c r="AA124" s="91"/>
      <c r="AB124" s="91"/>
      <c r="AC124" s="91"/>
      <c r="AD124" s="91"/>
      <c r="AE124" s="91"/>
      <c r="AF124" s="91"/>
      <c r="AG124" s="91"/>
      <c r="AH124" s="91"/>
      <c r="AI124" s="91"/>
      <c r="AJ124" s="91"/>
      <c r="AK124" s="91"/>
      <c r="AL124" s="91"/>
      <c r="AM124" s="91"/>
      <c r="AN124" s="91"/>
      <c r="AO124" s="91"/>
      <c r="AP124" s="91"/>
      <c r="AQ124" s="91"/>
      <c r="AR124" s="91"/>
      <c r="AS124" s="91"/>
      <c r="AT124" s="91"/>
      <c r="AU124" s="91"/>
      <c r="AV124" s="91"/>
      <c r="AW124" s="91"/>
      <c r="AX124" s="91"/>
      <c r="AY124" s="91"/>
      <c r="AZ124" s="91"/>
      <c r="BA124" s="91"/>
      <c r="BB124" s="91"/>
      <c r="BC124" s="91"/>
      <c r="BD124" s="91"/>
      <c r="BE124" s="91"/>
      <c r="BF124" s="91"/>
      <c r="BG124" s="91"/>
      <c r="BH124" s="91"/>
      <c r="BI124" s="91"/>
      <c r="BJ124" s="91"/>
      <c r="BK124" s="91"/>
      <c r="BL124" s="91"/>
      <c r="BM124" s="91"/>
      <c r="BN124" s="91"/>
      <c r="BO124" s="91"/>
      <c r="BP124" s="91"/>
      <c r="BQ124" s="91"/>
      <c r="BR124" s="91"/>
      <c r="BS124" s="91"/>
      <c r="BT124" s="91"/>
      <c r="BU124" s="91"/>
      <c r="BV124" s="91"/>
      <c r="BW124" s="91"/>
      <c r="BX124" s="91"/>
      <c r="BY124" s="91"/>
      <c r="BZ124" s="91"/>
      <c r="CA124" s="91"/>
      <c r="CB124" s="91"/>
      <c r="CC124" s="91"/>
      <c r="CD124" s="91"/>
      <c r="CE124" s="91"/>
      <c r="CF124" s="91"/>
      <c r="CG124" s="91"/>
      <c r="CH124" s="91"/>
      <c r="CI124" s="91"/>
      <c r="CJ124" s="91"/>
      <c r="CK124" s="91"/>
      <c r="CL124" s="91"/>
      <c r="CM124" s="91"/>
      <c r="CN124" s="91"/>
      <c r="CO124" s="91"/>
      <c r="CP124" s="91"/>
      <c r="CQ124" s="91"/>
      <c r="CR124" s="91"/>
      <c r="CS124" s="91"/>
      <c r="CT124" s="91"/>
      <c r="CU124" s="91"/>
      <c r="CV124" s="91"/>
      <c r="CW124" s="91"/>
      <c r="CX124" s="91"/>
      <c r="CY124" s="91"/>
      <c r="CZ124" s="91"/>
      <c r="DA124" s="91"/>
      <c r="DB124" s="91"/>
      <c r="DC124" s="91"/>
      <c r="DD124" s="91"/>
      <c r="DE124" s="91"/>
      <c r="DF124" s="91"/>
      <c r="DG124" s="91"/>
      <c r="DH124" s="91"/>
      <c r="DI124" s="91"/>
      <c r="DJ124" s="91"/>
      <c r="DK124" s="91"/>
      <c r="DL124" s="91"/>
      <c r="DM124" s="91"/>
      <c r="DN124" s="91"/>
      <c r="DO124" s="91"/>
      <c r="DP124" s="91"/>
      <c r="DQ124" s="91"/>
      <c r="DR124" s="91"/>
      <c r="DS124" s="91"/>
      <c r="DT124" s="91"/>
      <c r="DU124" s="91"/>
      <c r="DV124" s="91"/>
      <c r="DW124" s="91"/>
      <c r="DX124" s="91"/>
      <c r="DY124" s="91"/>
      <c r="DZ124" s="91"/>
      <c r="EA124" s="91"/>
      <c r="EB124" s="91"/>
      <c r="EC124" s="91"/>
      <c r="ED124" s="91"/>
      <c r="EE124" s="91"/>
      <c r="EF124" s="91"/>
      <c r="EG124" s="91"/>
      <c r="EH124" s="91"/>
      <c r="EI124" s="91"/>
      <c r="EJ124" s="91"/>
      <c r="EK124" s="91"/>
      <c r="EL124" s="91"/>
      <c r="EM124" s="91"/>
      <c r="EN124" s="91"/>
      <c r="EO124" s="91"/>
      <c r="EP124" s="91"/>
      <c r="EQ124" s="91"/>
      <c r="ER124" s="91"/>
      <c r="ES124" s="91"/>
      <c r="ET124" s="91"/>
      <c r="EU124" s="91"/>
      <c r="EV124" s="91"/>
      <c r="EW124" s="91"/>
      <c r="EX124" s="91"/>
      <c r="EY124" s="91"/>
      <c r="EZ124" s="91"/>
      <c r="FA124" s="91"/>
      <c r="FB124" s="91"/>
      <c r="FC124" s="91"/>
      <c r="FD124" s="91"/>
      <c r="FE124" s="91"/>
      <c r="FF124" s="91"/>
      <c r="FG124" s="91"/>
      <c r="FH124" s="91"/>
      <c r="FI124" s="91"/>
      <c r="FJ124" s="91"/>
      <c r="FK124" s="91"/>
      <c r="FL124" s="91"/>
      <c r="FM124" s="91"/>
      <c r="FN124" s="91"/>
      <c r="FO124" s="91"/>
      <c r="FP124" s="91"/>
      <c r="FQ124" s="91"/>
      <c r="FR124" s="91"/>
      <c r="FS124" s="91"/>
      <c r="FT124" s="91"/>
      <c r="FU124" s="91"/>
      <c r="FV124" s="91"/>
      <c r="FW124" s="91"/>
      <c r="FX124" s="91"/>
      <c r="FY124" s="91"/>
      <c r="FZ124" s="91"/>
      <c r="GA124" s="91"/>
      <c r="GB124" s="91"/>
      <c r="GC124" s="91"/>
      <c r="GD124" s="91"/>
      <c r="GE124" s="91"/>
      <c r="GF124" s="91"/>
      <c r="GG124" s="91"/>
      <c r="GH124" s="91"/>
      <c r="GI124" s="91"/>
      <c r="GJ124" s="91"/>
      <c r="GK124" s="91"/>
      <c r="GL124" s="91"/>
      <c r="GM124" s="91"/>
      <c r="GN124" s="91"/>
      <c r="GO124" s="91"/>
      <c r="GP124" s="91"/>
      <c r="GQ124" s="91"/>
      <c r="GR124" s="91"/>
    </row>
    <row r="125" spans="2:200" x14ac:dyDescent="0.15">
      <c r="B125" s="91"/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  <c r="X125" s="91"/>
      <c r="Y125" s="91"/>
      <c r="Z125" s="91"/>
      <c r="AA125" s="91"/>
      <c r="AB125" s="91"/>
      <c r="AC125" s="91"/>
      <c r="AD125" s="91"/>
      <c r="AE125" s="91"/>
      <c r="AF125" s="91"/>
      <c r="AG125" s="91"/>
      <c r="AH125" s="91"/>
      <c r="AI125" s="91"/>
      <c r="AJ125" s="91"/>
      <c r="AK125" s="91"/>
      <c r="AL125" s="91"/>
      <c r="AM125" s="91"/>
      <c r="AN125" s="91"/>
      <c r="AO125" s="91"/>
      <c r="AP125" s="91"/>
      <c r="AQ125" s="91"/>
      <c r="AR125" s="91"/>
      <c r="AS125" s="91"/>
      <c r="AT125" s="91"/>
      <c r="AU125" s="91"/>
      <c r="AV125" s="91"/>
      <c r="AW125" s="91"/>
      <c r="AX125" s="91"/>
      <c r="AY125" s="91"/>
      <c r="AZ125" s="91"/>
      <c r="BA125" s="91"/>
      <c r="BB125" s="91"/>
      <c r="BC125" s="91"/>
      <c r="BD125" s="91"/>
      <c r="BE125" s="91"/>
      <c r="BF125" s="91"/>
      <c r="BG125" s="91"/>
      <c r="BH125" s="91"/>
      <c r="BI125" s="91"/>
      <c r="BJ125" s="91"/>
      <c r="BK125" s="91"/>
      <c r="BL125" s="91"/>
      <c r="BM125" s="91"/>
      <c r="BN125" s="91"/>
      <c r="BO125" s="91"/>
      <c r="BP125" s="91"/>
      <c r="BQ125" s="91"/>
      <c r="BR125" s="91"/>
      <c r="BS125" s="91"/>
      <c r="BT125" s="91"/>
      <c r="BU125" s="91"/>
      <c r="BV125" s="91"/>
      <c r="BW125" s="91"/>
      <c r="BX125" s="91"/>
      <c r="BY125" s="91"/>
      <c r="BZ125" s="91"/>
      <c r="CA125" s="91"/>
      <c r="CB125" s="91"/>
      <c r="CC125" s="91"/>
      <c r="CD125" s="91"/>
      <c r="CE125" s="91"/>
      <c r="CF125" s="91"/>
      <c r="CG125" s="91"/>
      <c r="CH125" s="91"/>
      <c r="CI125" s="91"/>
      <c r="CJ125" s="91"/>
      <c r="CK125" s="91"/>
      <c r="CL125" s="91"/>
      <c r="CM125" s="91"/>
      <c r="CN125" s="91"/>
      <c r="CO125" s="91"/>
      <c r="CP125" s="91"/>
      <c r="CQ125" s="91"/>
      <c r="CR125" s="91"/>
      <c r="CS125" s="91"/>
      <c r="CT125" s="91"/>
      <c r="CU125" s="91"/>
      <c r="CV125" s="91"/>
      <c r="CW125" s="91"/>
      <c r="CX125" s="91"/>
      <c r="CY125" s="91"/>
      <c r="CZ125" s="91"/>
      <c r="DA125" s="91"/>
      <c r="DB125" s="91"/>
      <c r="DC125" s="91"/>
      <c r="DD125" s="91"/>
      <c r="DE125" s="91"/>
      <c r="DF125" s="91"/>
      <c r="DG125" s="91"/>
      <c r="DH125" s="91"/>
      <c r="DI125" s="91"/>
      <c r="DJ125" s="91"/>
      <c r="DK125" s="91"/>
      <c r="DL125" s="91"/>
      <c r="DM125" s="91"/>
      <c r="DN125" s="91"/>
      <c r="DO125" s="91"/>
      <c r="DP125" s="91"/>
      <c r="DQ125" s="91"/>
      <c r="DR125" s="91"/>
      <c r="DS125" s="91"/>
      <c r="DT125" s="91"/>
      <c r="DU125" s="91"/>
      <c r="DV125" s="91"/>
      <c r="DW125" s="91"/>
      <c r="DX125" s="91"/>
      <c r="DY125" s="91"/>
      <c r="DZ125" s="91"/>
      <c r="EA125" s="91"/>
      <c r="EB125" s="91"/>
      <c r="EC125" s="91"/>
      <c r="ED125" s="91"/>
      <c r="EE125" s="91"/>
      <c r="EF125" s="91"/>
      <c r="EG125" s="91"/>
      <c r="EH125" s="91"/>
      <c r="EI125" s="91"/>
      <c r="EJ125" s="91"/>
      <c r="EK125" s="91"/>
      <c r="EL125" s="91"/>
      <c r="EM125" s="91"/>
      <c r="EN125" s="91"/>
      <c r="EO125" s="91"/>
      <c r="EP125" s="91"/>
      <c r="EQ125" s="91"/>
      <c r="ER125" s="91"/>
      <c r="ES125" s="91"/>
      <c r="ET125" s="91"/>
      <c r="EU125" s="91"/>
      <c r="EV125" s="91"/>
      <c r="EW125" s="91"/>
      <c r="EX125" s="91"/>
      <c r="EY125" s="91"/>
      <c r="EZ125" s="91"/>
      <c r="FA125" s="91"/>
      <c r="FB125" s="91"/>
      <c r="FC125" s="91"/>
      <c r="FD125" s="91"/>
      <c r="FE125" s="91"/>
      <c r="FF125" s="91"/>
      <c r="FG125" s="91"/>
      <c r="FH125" s="91"/>
      <c r="FI125" s="91"/>
      <c r="FJ125" s="91"/>
      <c r="FK125" s="91"/>
      <c r="FL125" s="91"/>
      <c r="FM125" s="91"/>
      <c r="FN125" s="91"/>
      <c r="FO125" s="91"/>
      <c r="FP125" s="91"/>
      <c r="FQ125" s="91"/>
      <c r="FR125" s="91"/>
      <c r="FS125" s="91"/>
      <c r="FT125" s="91"/>
      <c r="FU125" s="91"/>
      <c r="FV125" s="91"/>
      <c r="FW125" s="91"/>
      <c r="FX125" s="91"/>
      <c r="FY125" s="91"/>
      <c r="FZ125" s="91"/>
      <c r="GA125" s="91"/>
      <c r="GB125" s="91"/>
      <c r="GC125" s="91"/>
      <c r="GD125" s="91"/>
      <c r="GE125" s="91"/>
      <c r="GF125" s="91"/>
      <c r="GG125" s="91"/>
      <c r="GH125" s="91"/>
      <c r="GI125" s="91"/>
      <c r="GJ125" s="91"/>
      <c r="GK125" s="91"/>
      <c r="GL125" s="91"/>
      <c r="GM125" s="91"/>
      <c r="GN125" s="91"/>
      <c r="GO125" s="91"/>
      <c r="GP125" s="91"/>
      <c r="GQ125" s="91"/>
      <c r="GR125" s="91"/>
    </row>
    <row r="126" spans="2:200" x14ac:dyDescent="0.15"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  <c r="X126" s="91"/>
      <c r="Y126" s="91"/>
      <c r="Z126" s="91"/>
      <c r="AA126" s="91"/>
      <c r="AB126" s="91"/>
      <c r="AC126" s="91"/>
      <c r="AD126" s="91"/>
      <c r="AE126" s="91"/>
      <c r="AF126" s="91"/>
      <c r="AG126" s="91"/>
      <c r="AH126" s="91"/>
      <c r="AI126" s="91"/>
      <c r="AJ126" s="91"/>
      <c r="AK126" s="91"/>
      <c r="AL126" s="91"/>
      <c r="AM126" s="91"/>
      <c r="AN126" s="91"/>
      <c r="AO126" s="91"/>
      <c r="AP126" s="91"/>
      <c r="AQ126" s="91"/>
      <c r="AR126" s="91"/>
      <c r="AS126" s="91"/>
      <c r="AT126" s="91"/>
      <c r="AU126" s="91"/>
      <c r="AV126" s="91"/>
      <c r="AW126" s="91"/>
      <c r="AX126" s="91"/>
      <c r="AY126" s="91"/>
      <c r="AZ126" s="91"/>
      <c r="BA126" s="91"/>
      <c r="BB126" s="91"/>
      <c r="BC126" s="91"/>
      <c r="BD126" s="91"/>
      <c r="BE126" s="91"/>
      <c r="BF126" s="91"/>
      <c r="BG126" s="91"/>
      <c r="BH126" s="91"/>
      <c r="BI126" s="91"/>
      <c r="BJ126" s="91"/>
      <c r="BK126" s="91"/>
      <c r="BL126" s="91"/>
      <c r="BM126" s="91"/>
      <c r="BN126" s="91"/>
      <c r="BO126" s="91"/>
      <c r="BP126" s="91"/>
      <c r="BQ126" s="91"/>
      <c r="BR126" s="91"/>
      <c r="BS126" s="91"/>
      <c r="BT126" s="91"/>
      <c r="BU126" s="91"/>
      <c r="BV126" s="91"/>
      <c r="BW126" s="91"/>
      <c r="BX126" s="91"/>
      <c r="BY126" s="91"/>
      <c r="BZ126" s="91"/>
      <c r="CA126" s="91"/>
      <c r="CB126" s="91"/>
      <c r="CC126" s="91"/>
      <c r="CD126" s="91"/>
      <c r="CE126" s="91"/>
      <c r="CF126" s="91"/>
      <c r="CG126" s="91"/>
      <c r="CH126" s="91"/>
      <c r="CI126" s="91"/>
      <c r="CJ126" s="91"/>
      <c r="CK126" s="91"/>
      <c r="CL126" s="91"/>
      <c r="CM126" s="91"/>
      <c r="CN126" s="91"/>
      <c r="CO126" s="91"/>
      <c r="CP126" s="91"/>
      <c r="CQ126" s="91"/>
      <c r="CR126" s="91"/>
      <c r="CS126" s="91"/>
      <c r="CT126" s="91"/>
      <c r="CU126" s="91"/>
      <c r="CV126" s="91"/>
      <c r="CW126" s="91"/>
      <c r="CX126" s="91"/>
      <c r="CY126" s="91"/>
      <c r="CZ126" s="91"/>
      <c r="DA126" s="91"/>
      <c r="DB126" s="91"/>
      <c r="DC126" s="91"/>
      <c r="DD126" s="91"/>
      <c r="DE126" s="91"/>
      <c r="DF126" s="91"/>
      <c r="DG126" s="91"/>
      <c r="DH126" s="91"/>
      <c r="DI126" s="91"/>
      <c r="DJ126" s="91"/>
      <c r="DK126" s="91"/>
      <c r="DL126" s="91"/>
      <c r="DM126" s="91"/>
      <c r="DN126" s="91"/>
      <c r="DO126" s="91"/>
      <c r="DP126" s="91"/>
      <c r="DQ126" s="91"/>
      <c r="DR126" s="91"/>
      <c r="DS126" s="91"/>
      <c r="DT126" s="91"/>
      <c r="DU126" s="91"/>
      <c r="DV126" s="91"/>
      <c r="DW126" s="91"/>
      <c r="DX126" s="91"/>
      <c r="DY126" s="91"/>
      <c r="DZ126" s="91"/>
      <c r="EA126" s="91"/>
      <c r="EB126" s="91"/>
      <c r="EC126" s="91"/>
      <c r="ED126" s="91"/>
      <c r="EE126" s="91"/>
      <c r="EF126" s="91"/>
      <c r="EG126" s="91"/>
      <c r="EH126" s="91"/>
      <c r="EI126" s="91"/>
      <c r="EJ126" s="91"/>
      <c r="EK126" s="91"/>
      <c r="EL126" s="91"/>
      <c r="EM126" s="91"/>
      <c r="EN126" s="91"/>
      <c r="EO126" s="91"/>
      <c r="EP126" s="91"/>
      <c r="EQ126" s="91"/>
      <c r="ER126" s="91"/>
      <c r="ES126" s="91"/>
      <c r="ET126" s="91"/>
      <c r="EU126" s="91"/>
      <c r="EV126" s="91"/>
      <c r="EW126" s="91"/>
      <c r="EX126" s="91"/>
      <c r="EY126" s="91"/>
      <c r="EZ126" s="91"/>
      <c r="FA126" s="91"/>
      <c r="FB126" s="91"/>
      <c r="FC126" s="91"/>
      <c r="FD126" s="91"/>
      <c r="FE126" s="91"/>
      <c r="FF126" s="91"/>
      <c r="FG126" s="91"/>
      <c r="FH126" s="91"/>
      <c r="FI126" s="91"/>
      <c r="FJ126" s="91"/>
      <c r="FK126" s="91"/>
      <c r="FL126" s="91"/>
      <c r="FM126" s="91"/>
      <c r="FN126" s="91"/>
      <c r="FO126" s="91"/>
      <c r="FP126" s="91"/>
      <c r="FQ126" s="91"/>
      <c r="FR126" s="91"/>
      <c r="FS126" s="91"/>
      <c r="FT126" s="91"/>
      <c r="FU126" s="91"/>
      <c r="FV126" s="91"/>
      <c r="FW126" s="91"/>
      <c r="FX126" s="91"/>
      <c r="FY126" s="91"/>
      <c r="FZ126" s="91"/>
      <c r="GA126" s="91"/>
      <c r="GB126" s="91"/>
      <c r="GC126" s="91"/>
      <c r="GD126" s="91"/>
      <c r="GE126" s="91"/>
      <c r="GF126" s="91"/>
      <c r="GG126" s="91"/>
      <c r="GH126" s="91"/>
      <c r="GI126" s="91"/>
      <c r="GJ126" s="91"/>
      <c r="GK126" s="91"/>
      <c r="GL126" s="91"/>
      <c r="GM126" s="91"/>
      <c r="GN126" s="91"/>
      <c r="GO126" s="91"/>
      <c r="GP126" s="91"/>
      <c r="GQ126" s="91"/>
      <c r="GR126" s="91"/>
    </row>
    <row r="127" spans="2:200" x14ac:dyDescent="0.15"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  <c r="X127" s="91"/>
      <c r="Y127" s="91"/>
      <c r="Z127" s="91"/>
      <c r="AA127" s="91"/>
      <c r="AB127" s="91"/>
      <c r="AC127" s="91"/>
      <c r="AD127" s="91"/>
      <c r="AE127" s="91"/>
      <c r="AF127" s="91"/>
      <c r="AG127" s="91"/>
      <c r="AH127" s="91"/>
      <c r="AI127" s="91"/>
      <c r="AJ127" s="91"/>
      <c r="AK127" s="91"/>
      <c r="AL127" s="91"/>
      <c r="AM127" s="91"/>
      <c r="AN127" s="91"/>
      <c r="AO127" s="91"/>
      <c r="AP127" s="91"/>
      <c r="AQ127" s="91"/>
      <c r="AR127" s="91"/>
      <c r="AS127" s="91"/>
      <c r="AT127" s="91"/>
      <c r="AU127" s="91"/>
      <c r="AV127" s="91"/>
      <c r="AW127" s="91"/>
      <c r="AX127" s="91"/>
      <c r="AY127" s="91"/>
      <c r="AZ127" s="91"/>
      <c r="BA127" s="91"/>
      <c r="BB127" s="91"/>
      <c r="BC127" s="91"/>
      <c r="BD127" s="91"/>
      <c r="BE127" s="91"/>
      <c r="BF127" s="91"/>
      <c r="BG127" s="91"/>
      <c r="BH127" s="91"/>
      <c r="BI127" s="91"/>
      <c r="BJ127" s="91"/>
      <c r="BK127" s="91"/>
      <c r="BL127" s="91"/>
      <c r="BM127" s="91"/>
      <c r="BN127" s="91"/>
      <c r="BO127" s="91"/>
      <c r="BP127" s="91"/>
      <c r="BQ127" s="91"/>
      <c r="BR127" s="91"/>
      <c r="BS127" s="91"/>
      <c r="BT127" s="91"/>
      <c r="BU127" s="91"/>
      <c r="BV127" s="91"/>
      <c r="BW127" s="91"/>
      <c r="BX127" s="91"/>
      <c r="BY127" s="91"/>
      <c r="BZ127" s="91"/>
      <c r="CA127" s="91"/>
      <c r="CB127" s="91"/>
      <c r="CC127" s="91"/>
      <c r="CD127" s="91"/>
      <c r="CE127" s="91"/>
      <c r="CF127" s="91"/>
      <c r="CG127" s="91"/>
      <c r="CH127" s="91"/>
      <c r="CI127" s="91"/>
      <c r="CJ127" s="91"/>
      <c r="CK127" s="91"/>
      <c r="CL127" s="91"/>
      <c r="CM127" s="91"/>
      <c r="CN127" s="91"/>
      <c r="CO127" s="91"/>
      <c r="CP127" s="91"/>
      <c r="CQ127" s="91"/>
      <c r="CR127" s="91"/>
      <c r="CS127" s="91"/>
      <c r="CT127" s="91"/>
      <c r="CU127" s="91"/>
      <c r="CV127" s="91"/>
      <c r="CW127" s="91"/>
      <c r="CX127" s="91"/>
      <c r="CY127" s="91"/>
      <c r="CZ127" s="91"/>
      <c r="DA127" s="91"/>
      <c r="DB127" s="91"/>
      <c r="DC127" s="91"/>
      <c r="DD127" s="91"/>
      <c r="DE127" s="91"/>
      <c r="DF127" s="91"/>
      <c r="DG127" s="91"/>
      <c r="DH127" s="91"/>
      <c r="DI127" s="91"/>
      <c r="DJ127" s="91"/>
      <c r="DK127" s="91"/>
      <c r="DL127" s="91"/>
      <c r="DM127" s="91"/>
      <c r="DN127" s="91"/>
      <c r="DO127" s="91"/>
      <c r="DP127" s="91"/>
      <c r="DQ127" s="91"/>
      <c r="DR127" s="91"/>
      <c r="DS127" s="91"/>
      <c r="DT127" s="91"/>
      <c r="DU127" s="91"/>
      <c r="DV127" s="91"/>
      <c r="DW127" s="91"/>
      <c r="DX127" s="91"/>
      <c r="DY127" s="91"/>
      <c r="DZ127" s="91"/>
      <c r="EA127" s="91"/>
      <c r="EB127" s="91"/>
      <c r="EC127" s="91"/>
      <c r="ED127" s="91"/>
      <c r="EE127" s="91"/>
      <c r="EF127" s="91"/>
      <c r="EG127" s="91"/>
      <c r="EH127" s="91"/>
      <c r="EI127" s="91"/>
      <c r="EJ127" s="91"/>
      <c r="EK127" s="91"/>
      <c r="EL127" s="91"/>
      <c r="EM127" s="91"/>
      <c r="EN127" s="91"/>
      <c r="EO127" s="91"/>
      <c r="EP127" s="91"/>
      <c r="EQ127" s="91"/>
      <c r="ER127" s="91"/>
      <c r="ES127" s="91"/>
      <c r="ET127" s="91"/>
      <c r="EU127" s="91"/>
      <c r="EV127" s="91"/>
      <c r="EW127" s="91"/>
      <c r="EX127" s="91"/>
      <c r="EY127" s="91"/>
      <c r="EZ127" s="91"/>
      <c r="FA127" s="91"/>
      <c r="FB127" s="91"/>
      <c r="FC127" s="91"/>
      <c r="FD127" s="91"/>
      <c r="FE127" s="91"/>
      <c r="FF127" s="91"/>
      <c r="FG127" s="91"/>
      <c r="FH127" s="91"/>
      <c r="FI127" s="91"/>
      <c r="FJ127" s="91"/>
      <c r="FK127" s="91"/>
      <c r="FL127" s="91"/>
      <c r="FM127" s="91"/>
      <c r="FN127" s="91"/>
      <c r="FO127" s="91"/>
      <c r="FP127" s="91"/>
      <c r="FQ127" s="91"/>
      <c r="FR127" s="91"/>
      <c r="FS127" s="91"/>
      <c r="FT127" s="91"/>
      <c r="FU127" s="91"/>
      <c r="FV127" s="91"/>
      <c r="FW127" s="91"/>
      <c r="FX127" s="91"/>
      <c r="FY127" s="91"/>
      <c r="FZ127" s="91"/>
      <c r="GA127" s="91"/>
      <c r="GB127" s="91"/>
      <c r="GC127" s="91"/>
      <c r="GD127" s="91"/>
      <c r="GE127" s="91"/>
      <c r="GF127" s="91"/>
      <c r="GG127" s="91"/>
      <c r="GH127" s="91"/>
      <c r="GI127" s="91"/>
      <c r="GJ127" s="91"/>
      <c r="GK127" s="91"/>
      <c r="GL127" s="91"/>
      <c r="GM127" s="91"/>
      <c r="GN127" s="91"/>
      <c r="GO127" s="91"/>
      <c r="GP127" s="91"/>
      <c r="GQ127" s="91"/>
      <c r="GR127" s="91"/>
    </row>
    <row r="128" spans="2:200" x14ac:dyDescent="0.15">
      <c r="B128" s="91"/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  <c r="X128" s="91"/>
      <c r="Y128" s="91"/>
      <c r="Z128" s="91"/>
      <c r="AA128" s="91"/>
      <c r="AB128" s="91"/>
      <c r="AC128" s="91"/>
      <c r="AD128" s="91"/>
      <c r="AE128" s="91"/>
      <c r="AF128" s="91"/>
      <c r="AG128" s="91"/>
      <c r="AH128" s="91"/>
      <c r="AI128" s="91"/>
      <c r="AJ128" s="91"/>
      <c r="AK128" s="91"/>
      <c r="AL128" s="91"/>
      <c r="AM128" s="91"/>
      <c r="AN128" s="91"/>
      <c r="AO128" s="91"/>
      <c r="AP128" s="91"/>
      <c r="AQ128" s="91"/>
      <c r="AR128" s="91"/>
      <c r="AS128" s="91"/>
      <c r="AT128" s="91"/>
      <c r="AU128" s="91"/>
      <c r="AV128" s="91"/>
      <c r="AW128" s="91"/>
      <c r="AX128" s="91"/>
      <c r="AY128" s="91"/>
      <c r="AZ128" s="91"/>
      <c r="BA128" s="91"/>
      <c r="BB128" s="91"/>
      <c r="BC128" s="91"/>
      <c r="BD128" s="91"/>
      <c r="BE128" s="91"/>
      <c r="BF128" s="91"/>
      <c r="BG128" s="91"/>
      <c r="BH128" s="91"/>
      <c r="BI128" s="91"/>
      <c r="BJ128" s="91"/>
      <c r="BK128" s="91"/>
      <c r="BL128" s="91"/>
      <c r="BM128" s="91"/>
      <c r="BN128" s="91"/>
      <c r="BO128" s="91"/>
      <c r="BP128" s="91"/>
      <c r="BQ128" s="91"/>
      <c r="BR128" s="91"/>
      <c r="BS128" s="91"/>
      <c r="BT128" s="91"/>
      <c r="BU128" s="91"/>
      <c r="BV128" s="91"/>
      <c r="BW128" s="91"/>
      <c r="BX128" s="91"/>
      <c r="BY128" s="91"/>
      <c r="BZ128" s="91"/>
      <c r="CA128" s="91"/>
      <c r="CB128" s="91"/>
      <c r="CC128" s="91"/>
      <c r="CD128" s="91"/>
      <c r="CE128" s="91"/>
      <c r="CF128" s="91"/>
      <c r="CG128" s="91"/>
      <c r="CH128" s="91"/>
      <c r="CI128" s="91"/>
      <c r="CJ128" s="91"/>
      <c r="CK128" s="91"/>
      <c r="CL128" s="91"/>
      <c r="CM128" s="91"/>
      <c r="CN128" s="91"/>
      <c r="CO128" s="91"/>
      <c r="CP128" s="91"/>
      <c r="CQ128" s="91"/>
      <c r="CR128" s="91"/>
      <c r="CS128" s="91"/>
      <c r="CT128" s="91"/>
      <c r="CU128" s="91"/>
      <c r="CV128" s="91"/>
      <c r="CW128" s="91"/>
      <c r="CX128" s="91"/>
      <c r="CY128" s="91"/>
      <c r="CZ128" s="91"/>
      <c r="DA128" s="91"/>
      <c r="DB128" s="91"/>
      <c r="DC128" s="91"/>
      <c r="DD128" s="91"/>
      <c r="DE128" s="91"/>
      <c r="DF128" s="91"/>
      <c r="DG128" s="91"/>
      <c r="DH128" s="91"/>
      <c r="DI128" s="91"/>
      <c r="DJ128" s="91"/>
      <c r="DK128" s="91"/>
      <c r="DL128" s="91"/>
      <c r="DM128" s="91"/>
      <c r="DN128" s="91"/>
      <c r="DO128" s="91"/>
      <c r="DP128" s="91"/>
      <c r="DQ128" s="91"/>
      <c r="DR128" s="91"/>
      <c r="DS128" s="91"/>
      <c r="DT128" s="91"/>
      <c r="DU128" s="91"/>
      <c r="DV128" s="91"/>
      <c r="DW128" s="91"/>
      <c r="DX128" s="91"/>
      <c r="DY128" s="91"/>
      <c r="DZ128" s="91"/>
      <c r="EA128" s="91"/>
      <c r="EB128" s="91"/>
      <c r="EC128" s="91"/>
      <c r="ED128" s="91"/>
      <c r="EE128" s="91"/>
      <c r="EF128" s="91"/>
      <c r="EG128" s="91"/>
      <c r="EH128" s="91"/>
      <c r="EI128" s="91"/>
      <c r="EJ128" s="91"/>
      <c r="EK128" s="91"/>
      <c r="EL128" s="91"/>
      <c r="EM128" s="91"/>
      <c r="EN128" s="91"/>
      <c r="EO128" s="91"/>
      <c r="EP128" s="91"/>
      <c r="EQ128" s="91"/>
      <c r="ER128" s="91"/>
      <c r="ES128" s="91"/>
      <c r="ET128" s="91"/>
      <c r="EU128" s="91"/>
      <c r="EV128" s="91"/>
      <c r="EW128" s="91"/>
      <c r="EX128" s="91"/>
      <c r="EY128" s="91"/>
      <c r="EZ128" s="91"/>
      <c r="FA128" s="91"/>
      <c r="FB128" s="91"/>
      <c r="FC128" s="91"/>
      <c r="FD128" s="91"/>
      <c r="FE128" s="91"/>
      <c r="FF128" s="91"/>
      <c r="FG128" s="91"/>
      <c r="FH128" s="91"/>
      <c r="FI128" s="91"/>
      <c r="FJ128" s="91"/>
      <c r="FK128" s="91"/>
      <c r="FL128" s="91"/>
      <c r="FM128" s="91"/>
      <c r="FN128" s="91"/>
      <c r="FO128" s="91"/>
      <c r="FP128" s="91"/>
      <c r="FQ128" s="91"/>
      <c r="FR128" s="91"/>
      <c r="FS128" s="91"/>
      <c r="FT128" s="91"/>
      <c r="FU128" s="91"/>
      <c r="FV128" s="91"/>
      <c r="FW128" s="91"/>
      <c r="FX128" s="91"/>
      <c r="FY128" s="91"/>
      <c r="FZ128" s="91"/>
      <c r="GA128" s="91"/>
      <c r="GB128" s="91"/>
      <c r="GC128" s="91"/>
      <c r="GD128" s="91"/>
      <c r="GE128" s="91"/>
      <c r="GF128" s="91"/>
      <c r="GG128" s="91"/>
      <c r="GH128" s="91"/>
      <c r="GI128" s="91"/>
      <c r="GJ128" s="91"/>
      <c r="GK128" s="91"/>
      <c r="GL128" s="91"/>
      <c r="GM128" s="91"/>
      <c r="GN128" s="91"/>
      <c r="GO128" s="91"/>
      <c r="GP128" s="91"/>
      <c r="GQ128" s="91"/>
      <c r="GR128" s="91"/>
    </row>
    <row r="129" spans="2:200" x14ac:dyDescent="0.15"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  <c r="X129" s="91"/>
      <c r="Y129" s="91"/>
      <c r="Z129" s="91"/>
      <c r="AA129" s="91"/>
      <c r="AB129" s="91"/>
      <c r="AC129" s="91"/>
      <c r="AD129" s="91"/>
      <c r="AE129" s="91"/>
      <c r="AF129" s="91"/>
      <c r="AG129" s="91"/>
      <c r="AH129" s="91"/>
      <c r="AI129" s="91"/>
      <c r="AJ129" s="91"/>
      <c r="AK129" s="91"/>
      <c r="AL129" s="91"/>
      <c r="AM129" s="91"/>
      <c r="AN129" s="91"/>
      <c r="AO129" s="91"/>
      <c r="AP129" s="91"/>
      <c r="AQ129" s="91"/>
      <c r="AR129" s="91"/>
      <c r="AS129" s="91"/>
      <c r="AT129" s="91"/>
      <c r="AU129" s="91"/>
      <c r="AV129" s="91"/>
      <c r="AW129" s="91"/>
      <c r="AX129" s="91"/>
      <c r="AY129" s="91"/>
      <c r="AZ129" s="91"/>
      <c r="BA129" s="91"/>
      <c r="BB129" s="91"/>
      <c r="BC129" s="91"/>
      <c r="BD129" s="91"/>
      <c r="BE129" s="91"/>
      <c r="BF129" s="91"/>
      <c r="BG129" s="91"/>
      <c r="BH129" s="91"/>
      <c r="BI129" s="91"/>
      <c r="BJ129" s="91"/>
      <c r="BK129" s="91"/>
      <c r="BL129" s="91"/>
      <c r="BM129" s="91"/>
      <c r="BN129" s="91"/>
      <c r="BO129" s="91"/>
      <c r="BP129" s="91"/>
      <c r="BQ129" s="91"/>
      <c r="BR129" s="91"/>
      <c r="BS129" s="91"/>
      <c r="BT129" s="91"/>
      <c r="BU129" s="91"/>
      <c r="BV129" s="91"/>
      <c r="BW129" s="91"/>
      <c r="BX129" s="91"/>
      <c r="BY129" s="91"/>
      <c r="BZ129" s="91"/>
      <c r="CA129" s="91"/>
      <c r="CB129" s="91"/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  <c r="CS129" s="91"/>
      <c r="CT129" s="91"/>
      <c r="CU129" s="91"/>
      <c r="CV129" s="91"/>
      <c r="CW129" s="91"/>
      <c r="CX129" s="91"/>
      <c r="CY129" s="91"/>
      <c r="CZ129" s="91"/>
      <c r="DA129" s="91"/>
      <c r="DB129" s="91"/>
      <c r="DC129" s="91"/>
      <c r="DD129" s="91"/>
      <c r="DE129" s="91"/>
      <c r="DF129" s="91"/>
      <c r="DG129" s="91"/>
      <c r="DH129" s="91"/>
      <c r="DI129" s="91"/>
      <c r="DJ129" s="91"/>
      <c r="DK129" s="91"/>
      <c r="DL129" s="91"/>
      <c r="DM129" s="91"/>
      <c r="DN129" s="91"/>
      <c r="DO129" s="91"/>
      <c r="DP129" s="91"/>
      <c r="DQ129" s="91"/>
      <c r="DR129" s="91"/>
      <c r="DS129" s="91"/>
      <c r="DT129" s="91"/>
      <c r="DU129" s="91"/>
      <c r="DV129" s="91"/>
      <c r="DW129" s="91"/>
      <c r="DX129" s="91"/>
      <c r="DY129" s="91"/>
      <c r="DZ129" s="91"/>
      <c r="EA129" s="91"/>
      <c r="EB129" s="91"/>
      <c r="EC129" s="91"/>
      <c r="ED129" s="91"/>
      <c r="EE129" s="91"/>
      <c r="EF129" s="91"/>
      <c r="EG129" s="91"/>
      <c r="EH129" s="91"/>
      <c r="EI129" s="91"/>
      <c r="EJ129" s="91"/>
      <c r="EK129" s="91"/>
      <c r="EL129" s="91"/>
      <c r="EM129" s="91"/>
      <c r="EN129" s="91"/>
      <c r="EO129" s="91"/>
      <c r="EP129" s="91"/>
      <c r="EQ129" s="91"/>
      <c r="ER129" s="91"/>
      <c r="ES129" s="91"/>
      <c r="ET129" s="91"/>
      <c r="EU129" s="91"/>
      <c r="EV129" s="91"/>
      <c r="EW129" s="91"/>
      <c r="EX129" s="91"/>
      <c r="EY129" s="91"/>
      <c r="EZ129" s="91"/>
      <c r="FA129" s="91"/>
      <c r="FB129" s="91"/>
      <c r="FC129" s="91"/>
      <c r="FD129" s="91"/>
      <c r="FE129" s="91"/>
      <c r="FF129" s="91"/>
      <c r="FG129" s="91"/>
      <c r="FH129" s="91"/>
      <c r="FI129" s="91"/>
      <c r="FJ129" s="91"/>
      <c r="FK129" s="91"/>
      <c r="FL129" s="91"/>
      <c r="FM129" s="91"/>
      <c r="FN129" s="91"/>
      <c r="FO129" s="91"/>
      <c r="FP129" s="91"/>
      <c r="FQ129" s="91"/>
      <c r="FR129" s="91"/>
      <c r="FS129" s="91"/>
      <c r="FT129" s="91"/>
      <c r="FU129" s="91"/>
      <c r="FV129" s="91"/>
      <c r="FW129" s="91"/>
      <c r="FX129" s="91"/>
      <c r="FY129" s="91"/>
      <c r="FZ129" s="91"/>
      <c r="GA129" s="91"/>
      <c r="GB129" s="91"/>
      <c r="GC129" s="91"/>
      <c r="GD129" s="91"/>
      <c r="GE129" s="91"/>
      <c r="GF129" s="91"/>
      <c r="GG129" s="91"/>
      <c r="GH129" s="91"/>
      <c r="GI129" s="91"/>
      <c r="GJ129" s="91"/>
      <c r="GK129" s="91"/>
      <c r="GL129" s="91"/>
      <c r="GM129" s="91"/>
      <c r="GN129" s="91"/>
      <c r="GO129" s="91"/>
      <c r="GP129" s="91"/>
      <c r="GQ129" s="91"/>
      <c r="GR129" s="91"/>
    </row>
    <row r="130" spans="2:200" x14ac:dyDescent="0.15"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  <c r="X130" s="91"/>
      <c r="Y130" s="91"/>
      <c r="Z130" s="91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91"/>
      <c r="AL130" s="91"/>
      <c r="AM130" s="91"/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C130" s="91"/>
      <c r="BD130" s="91"/>
      <c r="BE130" s="91"/>
      <c r="BF130" s="91"/>
      <c r="BG130" s="91"/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W130" s="91"/>
      <c r="BX130" s="91"/>
      <c r="BY130" s="91"/>
      <c r="BZ130" s="91"/>
      <c r="CA130" s="91"/>
      <c r="CB130" s="91"/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  <c r="CS130" s="91"/>
      <c r="CT130" s="91"/>
      <c r="CU130" s="91"/>
      <c r="CV130" s="91"/>
      <c r="CW130" s="91"/>
      <c r="CX130" s="91"/>
      <c r="CY130" s="91"/>
      <c r="CZ130" s="91"/>
      <c r="DA130" s="91"/>
      <c r="DB130" s="91"/>
      <c r="DC130" s="91"/>
      <c r="DD130" s="91"/>
      <c r="DE130" s="91"/>
      <c r="DF130" s="91"/>
      <c r="DG130" s="91"/>
      <c r="DH130" s="91"/>
      <c r="DI130" s="91"/>
      <c r="DJ130" s="91"/>
      <c r="DK130" s="91"/>
      <c r="DL130" s="91"/>
      <c r="DM130" s="91"/>
      <c r="DN130" s="91"/>
      <c r="DO130" s="91"/>
      <c r="DP130" s="91"/>
      <c r="DQ130" s="91"/>
      <c r="DR130" s="91"/>
      <c r="DS130" s="91"/>
      <c r="DT130" s="91"/>
      <c r="DU130" s="91"/>
      <c r="DV130" s="91"/>
      <c r="DW130" s="91"/>
      <c r="DX130" s="91"/>
      <c r="DY130" s="91"/>
      <c r="DZ130" s="91"/>
      <c r="EA130" s="91"/>
      <c r="EB130" s="91"/>
      <c r="EC130" s="91"/>
      <c r="ED130" s="91"/>
      <c r="EE130" s="91"/>
      <c r="EF130" s="91"/>
      <c r="EG130" s="91"/>
      <c r="EH130" s="91"/>
      <c r="EI130" s="91"/>
      <c r="EJ130" s="91"/>
      <c r="EK130" s="91"/>
      <c r="EL130" s="91"/>
      <c r="EM130" s="91"/>
      <c r="EN130" s="91"/>
      <c r="EO130" s="91"/>
      <c r="EP130" s="91"/>
      <c r="EQ130" s="91"/>
      <c r="ER130" s="91"/>
      <c r="ES130" s="91"/>
      <c r="ET130" s="91"/>
      <c r="EU130" s="91"/>
      <c r="EV130" s="91"/>
      <c r="EW130" s="91"/>
      <c r="EX130" s="91"/>
      <c r="EY130" s="91"/>
      <c r="EZ130" s="91"/>
      <c r="FA130" s="91"/>
      <c r="FB130" s="91"/>
      <c r="FC130" s="91"/>
      <c r="FD130" s="91"/>
      <c r="FE130" s="91"/>
      <c r="FF130" s="91"/>
      <c r="FG130" s="91"/>
      <c r="FH130" s="91"/>
      <c r="FI130" s="91"/>
      <c r="FJ130" s="91"/>
      <c r="FK130" s="91"/>
      <c r="FL130" s="91"/>
      <c r="FM130" s="91"/>
      <c r="FN130" s="91"/>
      <c r="FO130" s="91"/>
      <c r="FP130" s="91"/>
      <c r="FQ130" s="91"/>
      <c r="FR130" s="91"/>
      <c r="FS130" s="91"/>
      <c r="FT130" s="91"/>
      <c r="FU130" s="91"/>
      <c r="FV130" s="91"/>
      <c r="FW130" s="91"/>
      <c r="FX130" s="91"/>
      <c r="FY130" s="91"/>
      <c r="FZ130" s="91"/>
      <c r="GA130" s="91"/>
      <c r="GB130" s="91"/>
      <c r="GC130" s="91"/>
      <c r="GD130" s="91"/>
      <c r="GE130" s="91"/>
      <c r="GF130" s="91"/>
      <c r="GG130" s="91"/>
      <c r="GH130" s="91"/>
      <c r="GI130" s="91"/>
      <c r="GJ130" s="91"/>
      <c r="GK130" s="91"/>
      <c r="GL130" s="91"/>
      <c r="GM130" s="91"/>
      <c r="GN130" s="91"/>
      <c r="GO130" s="91"/>
      <c r="GP130" s="91"/>
      <c r="GQ130" s="91"/>
      <c r="GR130" s="91"/>
    </row>
    <row r="131" spans="2:200" x14ac:dyDescent="0.15"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  <c r="X131" s="91"/>
      <c r="Y131" s="91"/>
      <c r="Z131" s="91"/>
      <c r="AA131" s="91"/>
      <c r="AB131" s="91"/>
      <c r="AC131" s="91"/>
      <c r="AD131" s="91"/>
      <c r="AE131" s="91"/>
      <c r="AF131" s="91"/>
      <c r="AG131" s="91"/>
      <c r="AH131" s="91"/>
      <c r="AI131" s="91"/>
      <c r="AJ131" s="91"/>
      <c r="AK131" s="91"/>
      <c r="AL131" s="91"/>
      <c r="AM131" s="91"/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C131" s="91"/>
      <c r="BD131" s="91"/>
      <c r="BE131" s="91"/>
      <c r="BF131" s="91"/>
      <c r="BG131" s="91"/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W131" s="91"/>
      <c r="BX131" s="91"/>
      <c r="BY131" s="91"/>
      <c r="BZ131" s="91"/>
      <c r="CA131" s="91"/>
      <c r="CB131" s="91"/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  <c r="CS131" s="91"/>
      <c r="CT131" s="91"/>
      <c r="CU131" s="91"/>
      <c r="CV131" s="91"/>
      <c r="CW131" s="91"/>
      <c r="CX131" s="91"/>
      <c r="CY131" s="91"/>
      <c r="CZ131" s="91"/>
      <c r="DA131" s="91"/>
      <c r="DB131" s="91"/>
      <c r="DC131" s="91"/>
      <c r="DD131" s="91"/>
      <c r="DE131" s="91"/>
      <c r="DF131" s="91"/>
      <c r="DG131" s="91"/>
      <c r="DH131" s="91"/>
      <c r="DI131" s="91"/>
      <c r="DJ131" s="91"/>
      <c r="DK131" s="91"/>
      <c r="DL131" s="91"/>
      <c r="DM131" s="91"/>
      <c r="DN131" s="91"/>
      <c r="DO131" s="91"/>
      <c r="DP131" s="91"/>
      <c r="DQ131" s="91"/>
      <c r="DR131" s="91"/>
      <c r="DS131" s="91"/>
      <c r="DT131" s="91"/>
      <c r="DU131" s="91"/>
      <c r="DV131" s="91"/>
      <c r="DW131" s="91"/>
      <c r="DX131" s="91"/>
      <c r="DY131" s="91"/>
      <c r="DZ131" s="91"/>
      <c r="EA131" s="91"/>
      <c r="EB131" s="91"/>
      <c r="EC131" s="91"/>
      <c r="ED131" s="91"/>
      <c r="EE131" s="91"/>
      <c r="EF131" s="91"/>
      <c r="EG131" s="91"/>
      <c r="EH131" s="91"/>
      <c r="EI131" s="91"/>
      <c r="EJ131" s="91"/>
      <c r="EK131" s="91"/>
      <c r="EL131" s="91"/>
      <c r="EM131" s="91"/>
      <c r="EN131" s="91"/>
      <c r="EO131" s="91"/>
      <c r="EP131" s="91"/>
      <c r="EQ131" s="91"/>
      <c r="ER131" s="91"/>
      <c r="ES131" s="91"/>
      <c r="ET131" s="91"/>
      <c r="EU131" s="91"/>
      <c r="EV131" s="91"/>
      <c r="EW131" s="91"/>
      <c r="EX131" s="91"/>
      <c r="EY131" s="91"/>
      <c r="EZ131" s="91"/>
      <c r="FA131" s="91"/>
      <c r="FB131" s="91"/>
      <c r="FC131" s="91"/>
      <c r="FD131" s="91"/>
      <c r="FE131" s="91"/>
      <c r="FF131" s="91"/>
      <c r="FG131" s="91"/>
      <c r="FH131" s="91"/>
      <c r="FI131" s="91"/>
      <c r="FJ131" s="91"/>
      <c r="FK131" s="91"/>
      <c r="FL131" s="91"/>
      <c r="FM131" s="91"/>
      <c r="FN131" s="91"/>
      <c r="FO131" s="91"/>
      <c r="FP131" s="91"/>
      <c r="FQ131" s="91"/>
      <c r="FR131" s="91"/>
      <c r="FS131" s="91"/>
      <c r="FT131" s="91"/>
      <c r="FU131" s="91"/>
      <c r="FV131" s="91"/>
      <c r="FW131" s="91"/>
      <c r="FX131" s="91"/>
      <c r="FY131" s="91"/>
      <c r="FZ131" s="91"/>
      <c r="GA131" s="91"/>
      <c r="GB131" s="91"/>
      <c r="GC131" s="91"/>
      <c r="GD131" s="91"/>
      <c r="GE131" s="91"/>
      <c r="GF131" s="91"/>
      <c r="GG131" s="91"/>
      <c r="GH131" s="91"/>
      <c r="GI131" s="91"/>
      <c r="GJ131" s="91"/>
      <c r="GK131" s="91"/>
      <c r="GL131" s="91"/>
      <c r="GM131" s="91"/>
      <c r="GN131" s="91"/>
      <c r="GO131" s="91"/>
      <c r="GP131" s="91"/>
      <c r="GQ131" s="91"/>
      <c r="GR131" s="91"/>
    </row>
    <row r="132" spans="2:200" x14ac:dyDescent="0.15">
      <c r="B132" s="91"/>
      <c r="C132" s="91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  <c r="X132" s="91"/>
      <c r="Y132" s="91"/>
      <c r="Z132" s="91"/>
      <c r="AA132" s="91"/>
      <c r="AB132" s="91"/>
      <c r="AC132" s="91"/>
      <c r="AD132" s="91"/>
      <c r="AE132" s="91"/>
      <c r="AF132" s="91"/>
      <c r="AG132" s="91"/>
      <c r="AH132" s="91"/>
      <c r="AI132" s="91"/>
      <c r="AJ132" s="91"/>
      <c r="AK132" s="91"/>
      <c r="AL132" s="91"/>
      <c r="AM132" s="91"/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C132" s="91"/>
      <c r="BD132" s="91"/>
      <c r="BE132" s="91"/>
      <c r="BF132" s="91"/>
      <c r="BG132" s="91"/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W132" s="91"/>
      <c r="BX132" s="91"/>
      <c r="BY132" s="91"/>
      <c r="BZ132" s="91"/>
      <c r="CA132" s="91"/>
      <c r="CB132" s="91"/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  <c r="CS132" s="91"/>
      <c r="CT132" s="91"/>
      <c r="CU132" s="91"/>
      <c r="CV132" s="91"/>
      <c r="CW132" s="91"/>
      <c r="CX132" s="91"/>
      <c r="CY132" s="91"/>
      <c r="CZ132" s="91"/>
      <c r="DA132" s="91"/>
      <c r="DB132" s="91"/>
      <c r="DC132" s="91"/>
      <c r="DD132" s="91"/>
      <c r="DE132" s="91"/>
      <c r="DF132" s="91"/>
      <c r="DG132" s="91"/>
      <c r="DH132" s="91"/>
      <c r="DI132" s="91"/>
      <c r="DJ132" s="91"/>
      <c r="DK132" s="91"/>
      <c r="DL132" s="91"/>
      <c r="DM132" s="91"/>
      <c r="DN132" s="91"/>
      <c r="DO132" s="91"/>
      <c r="DP132" s="91"/>
      <c r="DQ132" s="91"/>
      <c r="DR132" s="91"/>
      <c r="DS132" s="91"/>
      <c r="DT132" s="91"/>
      <c r="DU132" s="91"/>
      <c r="DV132" s="91"/>
      <c r="DW132" s="91"/>
      <c r="DX132" s="91"/>
      <c r="DY132" s="91"/>
      <c r="DZ132" s="91"/>
      <c r="EA132" s="91"/>
      <c r="EB132" s="91"/>
      <c r="EC132" s="91"/>
      <c r="ED132" s="91"/>
      <c r="EE132" s="91"/>
      <c r="EF132" s="91"/>
      <c r="EG132" s="91"/>
      <c r="EH132" s="91"/>
      <c r="EI132" s="91"/>
      <c r="EJ132" s="91"/>
      <c r="EK132" s="91"/>
      <c r="EL132" s="91"/>
      <c r="EM132" s="91"/>
      <c r="EN132" s="91"/>
      <c r="EO132" s="91"/>
      <c r="EP132" s="91"/>
      <c r="EQ132" s="91"/>
      <c r="ER132" s="91"/>
      <c r="ES132" s="91"/>
      <c r="ET132" s="91"/>
      <c r="EU132" s="91"/>
      <c r="EV132" s="91"/>
      <c r="EW132" s="91"/>
      <c r="EX132" s="91"/>
      <c r="EY132" s="91"/>
      <c r="EZ132" s="91"/>
      <c r="FA132" s="91"/>
      <c r="FB132" s="91"/>
      <c r="FC132" s="91"/>
      <c r="FD132" s="91"/>
      <c r="FE132" s="91"/>
      <c r="FF132" s="91"/>
      <c r="FG132" s="91"/>
      <c r="FH132" s="91"/>
      <c r="FI132" s="91"/>
      <c r="FJ132" s="91"/>
      <c r="FK132" s="91"/>
      <c r="FL132" s="91"/>
      <c r="FM132" s="91"/>
      <c r="FN132" s="91"/>
      <c r="FO132" s="91"/>
      <c r="FP132" s="91"/>
      <c r="FQ132" s="91"/>
      <c r="FR132" s="91"/>
      <c r="FS132" s="91"/>
      <c r="FT132" s="91"/>
      <c r="FU132" s="91"/>
      <c r="FV132" s="91"/>
      <c r="FW132" s="91"/>
      <c r="FX132" s="91"/>
      <c r="FY132" s="91"/>
      <c r="FZ132" s="91"/>
      <c r="GA132" s="91"/>
      <c r="GB132" s="91"/>
      <c r="GC132" s="91"/>
      <c r="GD132" s="91"/>
      <c r="GE132" s="91"/>
      <c r="GF132" s="91"/>
      <c r="GG132" s="91"/>
      <c r="GH132" s="91"/>
      <c r="GI132" s="91"/>
      <c r="GJ132" s="91"/>
      <c r="GK132" s="91"/>
      <c r="GL132" s="91"/>
      <c r="GM132" s="91"/>
      <c r="GN132" s="91"/>
      <c r="GO132" s="91"/>
      <c r="GP132" s="91"/>
      <c r="GQ132" s="91"/>
      <c r="GR132" s="91"/>
    </row>
    <row r="133" spans="2:200" x14ac:dyDescent="0.15">
      <c r="B133" s="91"/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  <c r="X133" s="91"/>
      <c r="Y133" s="91"/>
      <c r="Z133" s="91"/>
      <c r="AA133" s="91"/>
      <c r="AB133" s="91"/>
      <c r="AC133" s="91"/>
      <c r="AD133" s="91"/>
      <c r="AE133" s="91"/>
      <c r="AF133" s="91"/>
      <c r="AG133" s="91"/>
      <c r="AH133" s="91"/>
      <c r="AI133" s="91"/>
      <c r="AJ133" s="91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C133" s="91"/>
      <c r="BD133" s="91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W133" s="91"/>
      <c r="BX133" s="91"/>
      <c r="BY133" s="91"/>
      <c r="BZ133" s="91"/>
      <c r="CA133" s="91"/>
      <c r="CB133" s="91"/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  <c r="CS133" s="91"/>
      <c r="CT133" s="91"/>
      <c r="CU133" s="91"/>
      <c r="CV133" s="91"/>
      <c r="CW133" s="91"/>
      <c r="CX133" s="91"/>
      <c r="CY133" s="91"/>
      <c r="CZ133" s="91"/>
      <c r="DA133" s="91"/>
      <c r="DB133" s="91"/>
      <c r="DC133" s="91"/>
      <c r="DD133" s="91"/>
      <c r="DE133" s="91"/>
      <c r="DF133" s="91"/>
      <c r="DG133" s="91"/>
      <c r="DH133" s="91"/>
      <c r="DI133" s="91"/>
      <c r="DJ133" s="91"/>
      <c r="DK133" s="91"/>
      <c r="DL133" s="91"/>
      <c r="DM133" s="91"/>
      <c r="DN133" s="91"/>
      <c r="DO133" s="91"/>
      <c r="DP133" s="91"/>
      <c r="DQ133" s="91"/>
      <c r="DR133" s="91"/>
      <c r="DS133" s="91"/>
      <c r="DT133" s="91"/>
      <c r="DU133" s="91"/>
      <c r="DV133" s="91"/>
      <c r="DW133" s="91"/>
      <c r="DX133" s="91"/>
      <c r="DY133" s="91"/>
      <c r="DZ133" s="91"/>
      <c r="EA133" s="91"/>
      <c r="EB133" s="91"/>
      <c r="EC133" s="91"/>
      <c r="ED133" s="91"/>
      <c r="EE133" s="91"/>
      <c r="EF133" s="91"/>
      <c r="EG133" s="91"/>
      <c r="EH133" s="91"/>
      <c r="EI133" s="91"/>
      <c r="EJ133" s="91"/>
      <c r="EK133" s="91"/>
      <c r="EL133" s="91"/>
      <c r="EM133" s="91"/>
      <c r="EN133" s="91"/>
      <c r="EO133" s="91"/>
      <c r="EP133" s="91"/>
      <c r="EQ133" s="91"/>
      <c r="ER133" s="91"/>
      <c r="ES133" s="91"/>
      <c r="ET133" s="91"/>
      <c r="EU133" s="91"/>
      <c r="EV133" s="91"/>
      <c r="EW133" s="91"/>
      <c r="EX133" s="91"/>
      <c r="EY133" s="91"/>
      <c r="EZ133" s="91"/>
      <c r="FA133" s="91"/>
      <c r="FB133" s="91"/>
      <c r="FC133" s="91"/>
      <c r="FD133" s="91"/>
      <c r="FE133" s="91"/>
      <c r="FF133" s="91"/>
      <c r="FG133" s="91"/>
      <c r="FH133" s="91"/>
      <c r="FI133" s="91"/>
      <c r="FJ133" s="91"/>
      <c r="FK133" s="91"/>
      <c r="FL133" s="91"/>
      <c r="FM133" s="91"/>
      <c r="FN133" s="91"/>
      <c r="FO133" s="91"/>
      <c r="FP133" s="91"/>
      <c r="FQ133" s="91"/>
      <c r="FR133" s="91"/>
      <c r="FS133" s="91"/>
      <c r="FT133" s="91"/>
      <c r="FU133" s="91"/>
      <c r="FV133" s="91"/>
      <c r="FW133" s="91"/>
      <c r="FX133" s="91"/>
      <c r="FY133" s="91"/>
      <c r="FZ133" s="91"/>
      <c r="GA133" s="91"/>
      <c r="GB133" s="91"/>
      <c r="GC133" s="91"/>
      <c r="GD133" s="91"/>
      <c r="GE133" s="91"/>
      <c r="GF133" s="91"/>
      <c r="GG133" s="91"/>
      <c r="GH133" s="91"/>
      <c r="GI133" s="91"/>
      <c r="GJ133" s="91"/>
      <c r="GK133" s="91"/>
      <c r="GL133" s="91"/>
      <c r="GM133" s="91"/>
      <c r="GN133" s="91"/>
      <c r="GO133" s="91"/>
      <c r="GP133" s="91"/>
      <c r="GQ133" s="91"/>
      <c r="GR133" s="91"/>
    </row>
    <row r="134" spans="2:200" x14ac:dyDescent="0.15"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Z134" s="91"/>
      <c r="AA134" s="91"/>
      <c r="AB134" s="91"/>
      <c r="AC134" s="91"/>
      <c r="AD134" s="91"/>
      <c r="AE134" s="91"/>
      <c r="AF134" s="91"/>
      <c r="AG134" s="91"/>
      <c r="AH134" s="91"/>
      <c r="AI134" s="91"/>
      <c r="AJ134" s="91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C134" s="91"/>
      <c r="BD134" s="91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W134" s="91"/>
      <c r="BX134" s="91"/>
      <c r="BY134" s="91"/>
      <c r="BZ134" s="91"/>
      <c r="CA134" s="91"/>
      <c r="CB134" s="91"/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  <c r="CS134" s="91"/>
      <c r="CT134" s="91"/>
      <c r="CU134" s="91"/>
      <c r="CV134" s="91"/>
      <c r="CW134" s="91"/>
      <c r="CX134" s="91"/>
      <c r="CY134" s="91"/>
      <c r="CZ134" s="91"/>
      <c r="DA134" s="91"/>
      <c r="DB134" s="91"/>
      <c r="DC134" s="91"/>
      <c r="DD134" s="91"/>
      <c r="DE134" s="91"/>
      <c r="DF134" s="91"/>
      <c r="DG134" s="91"/>
      <c r="DH134" s="91"/>
      <c r="DI134" s="91"/>
      <c r="DJ134" s="91"/>
      <c r="DK134" s="91"/>
      <c r="DL134" s="91"/>
      <c r="DM134" s="91"/>
      <c r="DN134" s="91"/>
      <c r="DO134" s="91"/>
      <c r="DP134" s="91"/>
      <c r="DQ134" s="91"/>
      <c r="DR134" s="91"/>
      <c r="DS134" s="91"/>
      <c r="DT134" s="91"/>
      <c r="DU134" s="91"/>
      <c r="DV134" s="91"/>
      <c r="DW134" s="91"/>
      <c r="DX134" s="91"/>
      <c r="DY134" s="91"/>
      <c r="DZ134" s="91"/>
      <c r="EA134" s="91"/>
      <c r="EB134" s="91"/>
      <c r="EC134" s="91"/>
      <c r="ED134" s="91"/>
      <c r="EE134" s="91"/>
      <c r="EF134" s="91"/>
      <c r="EG134" s="91"/>
      <c r="EH134" s="91"/>
      <c r="EI134" s="91"/>
      <c r="EJ134" s="91"/>
      <c r="EK134" s="91"/>
      <c r="EL134" s="91"/>
      <c r="EM134" s="91"/>
      <c r="EN134" s="91"/>
      <c r="EO134" s="91"/>
      <c r="EP134" s="91"/>
      <c r="EQ134" s="91"/>
      <c r="ER134" s="91"/>
      <c r="ES134" s="91"/>
      <c r="ET134" s="91"/>
      <c r="EU134" s="91"/>
      <c r="EV134" s="91"/>
      <c r="EW134" s="91"/>
      <c r="EX134" s="91"/>
      <c r="EY134" s="91"/>
      <c r="EZ134" s="91"/>
      <c r="FA134" s="91"/>
      <c r="FB134" s="91"/>
      <c r="FC134" s="91"/>
      <c r="FD134" s="91"/>
      <c r="FE134" s="91"/>
      <c r="FF134" s="91"/>
      <c r="FG134" s="91"/>
      <c r="FH134" s="91"/>
      <c r="FI134" s="91"/>
      <c r="FJ134" s="91"/>
      <c r="FK134" s="91"/>
      <c r="FL134" s="91"/>
      <c r="FM134" s="91"/>
      <c r="FN134" s="91"/>
      <c r="FO134" s="91"/>
      <c r="FP134" s="91"/>
      <c r="FQ134" s="91"/>
      <c r="FR134" s="91"/>
      <c r="FS134" s="91"/>
      <c r="FT134" s="91"/>
      <c r="FU134" s="91"/>
      <c r="FV134" s="91"/>
      <c r="FW134" s="91"/>
      <c r="FX134" s="91"/>
      <c r="FY134" s="91"/>
      <c r="FZ134" s="91"/>
      <c r="GA134" s="91"/>
      <c r="GB134" s="91"/>
      <c r="GC134" s="91"/>
      <c r="GD134" s="91"/>
      <c r="GE134" s="91"/>
      <c r="GF134" s="91"/>
      <c r="GG134" s="91"/>
      <c r="GH134" s="91"/>
      <c r="GI134" s="91"/>
      <c r="GJ134" s="91"/>
      <c r="GK134" s="91"/>
      <c r="GL134" s="91"/>
      <c r="GM134" s="91"/>
      <c r="GN134" s="91"/>
      <c r="GO134" s="91"/>
      <c r="GP134" s="91"/>
      <c r="GQ134" s="91"/>
      <c r="GR134" s="91"/>
    </row>
    <row r="135" spans="2:200" x14ac:dyDescent="0.15"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C135" s="91"/>
      <c r="BD135" s="91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W135" s="91"/>
      <c r="BX135" s="91"/>
      <c r="BY135" s="91"/>
      <c r="BZ135" s="91"/>
      <c r="CA135" s="91"/>
      <c r="CB135" s="91"/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  <c r="CS135" s="91"/>
      <c r="CT135" s="91"/>
      <c r="CU135" s="91"/>
      <c r="CV135" s="91"/>
      <c r="CW135" s="91"/>
      <c r="CX135" s="91"/>
      <c r="CY135" s="91"/>
      <c r="CZ135" s="91"/>
      <c r="DA135" s="91"/>
      <c r="DB135" s="91"/>
      <c r="DC135" s="91"/>
      <c r="DD135" s="91"/>
      <c r="DE135" s="91"/>
      <c r="DF135" s="91"/>
      <c r="DG135" s="91"/>
      <c r="DH135" s="91"/>
      <c r="DI135" s="91"/>
      <c r="DJ135" s="91"/>
      <c r="DK135" s="91"/>
      <c r="DL135" s="91"/>
      <c r="DM135" s="91"/>
      <c r="DN135" s="91"/>
      <c r="DO135" s="91"/>
      <c r="DP135" s="91"/>
      <c r="DQ135" s="91"/>
      <c r="DR135" s="91"/>
      <c r="DS135" s="91"/>
      <c r="DT135" s="91"/>
      <c r="DU135" s="91"/>
      <c r="DV135" s="91"/>
      <c r="DW135" s="91"/>
      <c r="DX135" s="91"/>
      <c r="DY135" s="91"/>
      <c r="DZ135" s="91"/>
      <c r="EA135" s="91"/>
      <c r="EB135" s="91"/>
      <c r="EC135" s="91"/>
      <c r="ED135" s="91"/>
      <c r="EE135" s="91"/>
      <c r="EF135" s="91"/>
      <c r="EG135" s="91"/>
      <c r="EH135" s="91"/>
      <c r="EI135" s="91"/>
      <c r="EJ135" s="91"/>
      <c r="EK135" s="91"/>
      <c r="EL135" s="91"/>
      <c r="EM135" s="91"/>
      <c r="EN135" s="91"/>
      <c r="EO135" s="91"/>
      <c r="EP135" s="91"/>
      <c r="EQ135" s="91"/>
      <c r="ER135" s="91"/>
      <c r="ES135" s="91"/>
      <c r="ET135" s="91"/>
      <c r="EU135" s="91"/>
      <c r="EV135" s="91"/>
      <c r="EW135" s="91"/>
      <c r="EX135" s="91"/>
      <c r="EY135" s="91"/>
      <c r="EZ135" s="91"/>
      <c r="FA135" s="91"/>
      <c r="FB135" s="91"/>
      <c r="FC135" s="91"/>
      <c r="FD135" s="91"/>
      <c r="FE135" s="91"/>
      <c r="FF135" s="91"/>
      <c r="FG135" s="91"/>
      <c r="FH135" s="91"/>
      <c r="FI135" s="91"/>
      <c r="FJ135" s="91"/>
      <c r="FK135" s="91"/>
      <c r="FL135" s="91"/>
      <c r="FM135" s="91"/>
      <c r="FN135" s="91"/>
      <c r="FO135" s="91"/>
      <c r="FP135" s="91"/>
      <c r="FQ135" s="91"/>
      <c r="FR135" s="91"/>
      <c r="FS135" s="91"/>
      <c r="FT135" s="91"/>
      <c r="FU135" s="91"/>
      <c r="FV135" s="91"/>
      <c r="FW135" s="91"/>
      <c r="FX135" s="91"/>
      <c r="FY135" s="91"/>
      <c r="FZ135" s="91"/>
      <c r="GA135" s="91"/>
      <c r="GB135" s="91"/>
      <c r="GC135" s="91"/>
      <c r="GD135" s="91"/>
      <c r="GE135" s="91"/>
      <c r="GF135" s="91"/>
      <c r="GG135" s="91"/>
      <c r="GH135" s="91"/>
      <c r="GI135" s="91"/>
      <c r="GJ135" s="91"/>
      <c r="GK135" s="91"/>
      <c r="GL135" s="91"/>
      <c r="GM135" s="91"/>
      <c r="GN135" s="91"/>
      <c r="GO135" s="91"/>
      <c r="GP135" s="91"/>
      <c r="GQ135" s="91"/>
      <c r="GR135" s="91"/>
    </row>
    <row r="136" spans="2:200" x14ac:dyDescent="0.15"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  <c r="AD136" s="91"/>
      <c r="AE136" s="91"/>
      <c r="AF136" s="91"/>
      <c r="AG136" s="91"/>
      <c r="AH136" s="91"/>
      <c r="AI136" s="91"/>
      <c r="AJ136" s="91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C136" s="91"/>
      <c r="BD136" s="91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W136" s="91"/>
      <c r="BX136" s="91"/>
      <c r="BY136" s="91"/>
      <c r="BZ136" s="91"/>
      <c r="CA136" s="91"/>
      <c r="CB136" s="91"/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  <c r="CS136" s="91"/>
      <c r="CT136" s="91"/>
      <c r="CU136" s="91"/>
      <c r="CV136" s="91"/>
      <c r="CW136" s="91"/>
      <c r="CX136" s="91"/>
      <c r="CY136" s="91"/>
      <c r="CZ136" s="91"/>
      <c r="DA136" s="91"/>
      <c r="DB136" s="91"/>
      <c r="DC136" s="91"/>
      <c r="DD136" s="91"/>
      <c r="DE136" s="91"/>
      <c r="DF136" s="91"/>
      <c r="DG136" s="91"/>
      <c r="DH136" s="91"/>
      <c r="DI136" s="91"/>
      <c r="DJ136" s="91"/>
      <c r="DK136" s="91"/>
      <c r="DL136" s="91"/>
      <c r="DM136" s="91"/>
      <c r="DN136" s="91"/>
      <c r="DO136" s="91"/>
      <c r="DP136" s="91"/>
      <c r="DQ136" s="91"/>
      <c r="DR136" s="91"/>
      <c r="DS136" s="91"/>
      <c r="DT136" s="91"/>
      <c r="DU136" s="91"/>
      <c r="DV136" s="91"/>
      <c r="DW136" s="91"/>
      <c r="DX136" s="91"/>
      <c r="DY136" s="91"/>
      <c r="DZ136" s="91"/>
      <c r="EA136" s="91"/>
      <c r="EB136" s="91"/>
      <c r="EC136" s="91"/>
      <c r="ED136" s="91"/>
      <c r="EE136" s="91"/>
      <c r="EF136" s="91"/>
      <c r="EG136" s="91"/>
      <c r="EH136" s="91"/>
      <c r="EI136" s="91"/>
      <c r="EJ136" s="91"/>
      <c r="EK136" s="91"/>
      <c r="EL136" s="91"/>
      <c r="EM136" s="91"/>
      <c r="EN136" s="91"/>
      <c r="EO136" s="91"/>
      <c r="EP136" s="91"/>
      <c r="EQ136" s="91"/>
      <c r="ER136" s="91"/>
      <c r="ES136" s="91"/>
      <c r="ET136" s="91"/>
      <c r="EU136" s="91"/>
      <c r="EV136" s="91"/>
      <c r="EW136" s="91"/>
      <c r="EX136" s="91"/>
      <c r="EY136" s="91"/>
      <c r="EZ136" s="91"/>
      <c r="FA136" s="91"/>
      <c r="FB136" s="91"/>
      <c r="FC136" s="91"/>
      <c r="FD136" s="91"/>
      <c r="FE136" s="91"/>
      <c r="FF136" s="91"/>
      <c r="FG136" s="91"/>
      <c r="FH136" s="91"/>
      <c r="FI136" s="91"/>
      <c r="FJ136" s="91"/>
      <c r="FK136" s="91"/>
      <c r="FL136" s="91"/>
      <c r="FM136" s="91"/>
      <c r="FN136" s="91"/>
      <c r="FO136" s="91"/>
      <c r="FP136" s="91"/>
      <c r="FQ136" s="91"/>
      <c r="FR136" s="91"/>
      <c r="FS136" s="91"/>
      <c r="FT136" s="91"/>
      <c r="FU136" s="91"/>
      <c r="FV136" s="91"/>
      <c r="FW136" s="91"/>
      <c r="FX136" s="91"/>
      <c r="FY136" s="91"/>
      <c r="FZ136" s="91"/>
      <c r="GA136" s="91"/>
      <c r="GB136" s="91"/>
      <c r="GC136" s="91"/>
      <c r="GD136" s="91"/>
      <c r="GE136" s="91"/>
      <c r="GF136" s="91"/>
      <c r="GG136" s="91"/>
      <c r="GH136" s="91"/>
      <c r="GI136" s="91"/>
      <c r="GJ136" s="91"/>
      <c r="GK136" s="91"/>
      <c r="GL136" s="91"/>
      <c r="GM136" s="91"/>
      <c r="GN136" s="91"/>
      <c r="GO136" s="91"/>
      <c r="GP136" s="91"/>
      <c r="GQ136" s="91"/>
      <c r="GR136" s="91"/>
    </row>
    <row r="137" spans="2:200" x14ac:dyDescent="0.15"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Z137" s="91"/>
      <c r="AA137" s="91"/>
      <c r="AB137" s="91"/>
      <c r="AC137" s="91"/>
      <c r="AD137" s="91"/>
      <c r="AE137" s="91"/>
      <c r="AF137" s="91"/>
      <c r="AG137" s="91"/>
      <c r="AH137" s="91"/>
      <c r="AI137" s="91"/>
      <c r="AJ137" s="91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C137" s="91"/>
      <c r="BD137" s="91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W137" s="91"/>
      <c r="BX137" s="91"/>
      <c r="BY137" s="91"/>
      <c r="BZ137" s="91"/>
      <c r="CA137" s="91"/>
      <c r="CB137" s="91"/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  <c r="CS137" s="91"/>
      <c r="CT137" s="91"/>
      <c r="CU137" s="91"/>
      <c r="CV137" s="91"/>
      <c r="CW137" s="91"/>
      <c r="CX137" s="91"/>
      <c r="CY137" s="91"/>
      <c r="CZ137" s="91"/>
      <c r="DA137" s="91"/>
      <c r="DB137" s="91"/>
      <c r="DC137" s="91"/>
      <c r="DD137" s="91"/>
      <c r="DE137" s="91"/>
      <c r="DF137" s="91"/>
      <c r="DG137" s="91"/>
      <c r="DH137" s="91"/>
      <c r="DI137" s="91"/>
      <c r="DJ137" s="91"/>
      <c r="DK137" s="91"/>
      <c r="DL137" s="91"/>
      <c r="DM137" s="91"/>
      <c r="DN137" s="91"/>
      <c r="DO137" s="91"/>
      <c r="DP137" s="91"/>
      <c r="DQ137" s="91"/>
      <c r="DR137" s="91"/>
      <c r="DS137" s="91"/>
      <c r="DT137" s="91"/>
      <c r="DU137" s="91"/>
      <c r="DV137" s="91"/>
      <c r="DW137" s="91"/>
      <c r="DX137" s="91"/>
      <c r="DY137" s="91"/>
      <c r="DZ137" s="91"/>
      <c r="EA137" s="91"/>
      <c r="EB137" s="91"/>
      <c r="EC137" s="91"/>
      <c r="ED137" s="91"/>
      <c r="EE137" s="91"/>
      <c r="EF137" s="91"/>
      <c r="EG137" s="91"/>
      <c r="EH137" s="91"/>
      <c r="EI137" s="91"/>
      <c r="EJ137" s="91"/>
      <c r="EK137" s="91"/>
      <c r="EL137" s="91"/>
      <c r="EM137" s="91"/>
      <c r="EN137" s="91"/>
      <c r="EO137" s="91"/>
      <c r="EP137" s="91"/>
      <c r="EQ137" s="91"/>
      <c r="ER137" s="91"/>
      <c r="ES137" s="91"/>
      <c r="ET137" s="91"/>
      <c r="EU137" s="91"/>
      <c r="EV137" s="91"/>
      <c r="EW137" s="91"/>
      <c r="EX137" s="91"/>
      <c r="EY137" s="91"/>
      <c r="EZ137" s="91"/>
      <c r="FA137" s="91"/>
      <c r="FB137" s="91"/>
      <c r="FC137" s="91"/>
      <c r="FD137" s="91"/>
      <c r="FE137" s="91"/>
      <c r="FF137" s="91"/>
      <c r="FG137" s="91"/>
      <c r="FH137" s="91"/>
      <c r="FI137" s="91"/>
      <c r="FJ137" s="91"/>
      <c r="FK137" s="91"/>
      <c r="FL137" s="91"/>
      <c r="FM137" s="91"/>
      <c r="FN137" s="91"/>
      <c r="FO137" s="91"/>
      <c r="FP137" s="91"/>
      <c r="FQ137" s="91"/>
      <c r="FR137" s="91"/>
      <c r="FS137" s="91"/>
      <c r="FT137" s="91"/>
      <c r="FU137" s="91"/>
      <c r="FV137" s="91"/>
      <c r="FW137" s="91"/>
      <c r="FX137" s="91"/>
      <c r="FY137" s="91"/>
      <c r="FZ137" s="91"/>
      <c r="GA137" s="91"/>
      <c r="GB137" s="91"/>
      <c r="GC137" s="91"/>
      <c r="GD137" s="91"/>
      <c r="GE137" s="91"/>
      <c r="GF137" s="91"/>
      <c r="GG137" s="91"/>
      <c r="GH137" s="91"/>
      <c r="GI137" s="91"/>
      <c r="GJ137" s="91"/>
      <c r="GK137" s="91"/>
      <c r="GL137" s="91"/>
      <c r="GM137" s="91"/>
      <c r="GN137" s="91"/>
      <c r="GO137" s="91"/>
      <c r="GP137" s="91"/>
      <c r="GQ137" s="91"/>
      <c r="GR137" s="91"/>
    </row>
    <row r="138" spans="2:200" x14ac:dyDescent="0.15">
      <c r="B138" s="91"/>
      <c r="C138" s="91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Z138" s="91"/>
      <c r="AA138" s="91"/>
      <c r="AB138" s="91"/>
      <c r="AC138" s="91"/>
      <c r="AD138" s="91"/>
      <c r="AE138" s="91"/>
      <c r="AF138" s="91"/>
      <c r="AG138" s="91"/>
      <c r="AH138" s="91"/>
      <c r="AI138" s="91"/>
      <c r="AJ138" s="91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C138" s="91"/>
      <c r="BD138" s="91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W138" s="91"/>
      <c r="BX138" s="91"/>
      <c r="BY138" s="91"/>
      <c r="BZ138" s="91"/>
      <c r="CA138" s="91"/>
      <c r="CB138" s="91"/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  <c r="CS138" s="91"/>
      <c r="CT138" s="91"/>
      <c r="CU138" s="91"/>
      <c r="CV138" s="91"/>
      <c r="CW138" s="91"/>
      <c r="CX138" s="91"/>
      <c r="CY138" s="91"/>
      <c r="CZ138" s="91"/>
      <c r="DA138" s="91"/>
      <c r="DB138" s="91"/>
      <c r="DC138" s="91"/>
      <c r="DD138" s="91"/>
      <c r="DE138" s="91"/>
      <c r="DF138" s="91"/>
      <c r="DG138" s="91"/>
      <c r="DH138" s="91"/>
      <c r="DI138" s="91"/>
      <c r="DJ138" s="91"/>
      <c r="DK138" s="91"/>
      <c r="DL138" s="91"/>
      <c r="DM138" s="91"/>
      <c r="DN138" s="91"/>
      <c r="DO138" s="91"/>
      <c r="DP138" s="91"/>
      <c r="DQ138" s="91"/>
      <c r="DR138" s="91"/>
      <c r="DS138" s="91"/>
      <c r="DT138" s="91"/>
      <c r="DU138" s="91"/>
      <c r="DV138" s="91"/>
      <c r="DW138" s="91"/>
      <c r="DX138" s="91"/>
      <c r="DY138" s="91"/>
      <c r="DZ138" s="91"/>
      <c r="EA138" s="91"/>
      <c r="EB138" s="91"/>
      <c r="EC138" s="91"/>
      <c r="ED138" s="91"/>
      <c r="EE138" s="91"/>
      <c r="EF138" s="91"/>
      <c r="EG138" s="91"/>
      <c r="EH138" s="91"/>
      <c r="EI138" s="91"/>
      <c r="EJ138" s="91"/>
      <c r="EK138" s="91"/>
      <c r="EL138" s="91"/>
      <c r="EM138" s="91"/>
      <c r="EN138" s="91"/>
      <c r="EO138" s="91"/>
      <c r="EP138" s="91"/>
      <c r="EQ138" s="91"/>
      <c r="ER138" s="91"/>
      <c r="ES138" s="91"/>
      <c r="ET138" s="91"/>
      <c r="EU138" s="91"/>
      <c r="EV138" s="91"/>
      <c r="EW138" s="91"/>
      <c r="EX138" s="91"/>
      <c r="EY138" s="91"/>
      <c r="EZ138" s="91"/>
      <c r="FA138" s="91"/>
      <c r="FB138" s="91"/>
      <c r="FC138" s="91"/>
      <c r="FD138" s="91"/>
      <c r="FE138" s="91"/>
      <c r="FF138" s="91"/>
      <c r="FG138" s="91"/>
      <c r="FH138" s="91"/>
      <c r="FI138" s="91"/>
      <c r="FJ138" s="91"/>
      <c r="FK138" s="91"/>
      <c r="FL138" s="91"/>
      <c r="FM138" s="91"/>
      <c r="FN138" s="91"/>
      <c r="FO138" s="91"/>
      <c r="FP138" s="91"/>
      <c r="FQ138" s="91"/>
      <c r="FR138" s="91"/>
      <c r="FS138" s="91"/>
      <c r="FT138" s="91"/>
      <c r="FU138" s="91"/>
      <c r="FV138" s="91"/>
      <c r="FW138" s="91"/>
      <c r="FX138" s="91"/>
      <c r="FY138" s="91"/>
      <c r="FZ138" s="91"/>
      <c r="GA138" s="91"/>
      <c r="GB138" s="91"/>
      <c r="GC138" s="91"/>
      <c r="GD138" s="91"/>
      <c r="GE138" s="91"/>
      <c r="GF138" s="91"/>
      <c r="GG138" s="91"/>
      <c r="GH138" s="91"/>
      <c r="GI138" s="91"/>
      <c r="GJ138" s="91"/>
      <c r="GK138" s="91"/>
      <c r="GL138" s="91"/>
      <c r="GM138" s="91"/>
      <c r="GN138" s="91"/>
      <c r="GO138" s="91"/>
      <c r="GP138" s="91"/>
      <c r="GQ138" s="91"/>
      <c r="GR138" s="91"/>
    </row>
    <row r="139" spans="2:200" x14ac:dyDescent="0.15"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  <c r="X139" s="91"/>
      <c r="Y139" s="91"/>
      <c r="Z139" s="91"/>
      <c r="AA139" s="91"/>
      <c r="AB139" s="91"/>
      <c r="AC139" s="91"/>
      <c r="AD139" s="91"/>
      <c r="AE139" s="91"/>
      <c r="AF139" s="91"/>
      <c r="AG139" s="91"/>
      <c r="AH139" s="91"/>
      <c r="AI139" s="91"/>
      <c r="AJ139" s="91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C139" s="91"/>
      <c r="BD139" s="91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W139" s="91"/>
      <c r="BX139" s="91"/>
      <c r="BY139" s="91"/>
      <c r="BZ139" s="91"/>
      <c r="CA139" s="91"/>
      <c r="CB139" s="91"/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  <c r="CS139" s="91"/>
      <c r="CT139" s="91"/>
      <c r="CU139" s="91"/>
      <c r="CV139" s="91"/>
      <c r="CW139" s="91"/>
      <c r="CX139" s="91"/>
      <c r="CY139" s="91"/>
      <c r="CZ139" s="91"/>
      <c r="DA139" s="91"/>
      <c r="DB139" s="91"/>
      <c r="DC139" s="91"/>
      <c r="DD139" s="91"/>
      <c r="DE139" s="91"/>
      <c r="DF139" s="91"/>
      <c r="DG139" s="91"/>
      <c r="DH139" s="91"/>
      <c r="DI139" s="91"/>
      <c r="DJ139" s="91"/>
      <c r="DK139" s="91"/>
      <c r="DL139" s="91"/>
      <c r="DM139" s="91"/>
      <c r="DN139" s="91"/>
      <c r="DO139" s="91"/>
      <c r="DP139" s="91"/>
      <c r="DQ139" s="91"/>
      <c r="DR139" s="91"/>
      <c r="DS139" s="91"/>
      <c r="DT139" s="91"/>
      <c r="DU139" s="91"/>
      <c r="DV139" s="91"/>
      <c r="DW139" s="91"/>
      <c r="DX139" s="91"/>
      <c r="DY139" s="91"/>
      <c r="DZ139" s="91"/>
      <c r="EA139" s="91"/>
      <c r="EB139" s="91"/>
      <c r="EC139" s="91"/>
      <c r="ED139" s="91"/>
      <c r="EE139" s="91"/>
      <c r="EF139" s="91"/>
      <c r="EG139" s="91"/>
      <c r="EH139" s="91"/>
      <c r="EI139" s="91"/>
      <c r="EJ139" s="91"/>
      <c r="EK139" s="91"/>
      <c r="EL139" s="91"/>
      <c r="EM139" s="91"/>
      <c r="EN139" s="91"/>
      <c r="EO139" s="91"/>
      <c r="EP139" s="91"/>
      <c r="EQ139" s="91"/>
      <c r="ER139" s="91"/>
      <c r="ES139" s="91"/>
      <c r="ET139" s="91"/>
      <c r="EU139" s="91"/>
      <c r="EV139" s="91"/>
      <c r="EW139" s="91"/>
      <c r="EX139" s="91"/>
      <c r="EY139" s="91"/>
      <c r="EZ139" s="91"/>
      <c r="FA139" s="91"/>
      <c r="FB139" s="91"/>
      <c r="FC139" s="91"/>
      <c r="FD139" s="91"/>
      <c r="FE139" s="91"/>
      <c r="FF139" s="91"/>
      <c r="FG139" s="91"/>
      <c r="FH139" s="91"/>
      <c r="FI139" s="91"/>
      <c r="FJ139" s="91"/>
      <c r="FK139" s="91"/>
      <c r="FL139" s="91"/>
      <c r="FM139" s="91"/>
      <c r="FN139" s="91"/>
      <c r="FO139" s="91"/>
      <c r="FP139" s="91"/>
      <c r="FQ139" s="91"/>
      <c r="FR139" s="91"/>
      <c r="FS139" s="91"/>
      <c r="FT139" s="91"/>
      <c r="FU139" s="91"/>
      <c r="FV139" s="91"/>
      <c r="FW139" s="91"/>
      <c r="FX139" s="91"/>
      <c r="FY139" s="91"/>
      <c r="FZ139" s="91"/>
      <c r="GA139" s="91"/>
      <c r="GB139" s="91"/>
      <c r="GC139" s="91"/>
      <c r="GD139" s="91"/>
      <c r="GE139" s="91"/>
      <c r="GF139" s="91"/>
      <c r="GG139" s="91"/>
      <c r="GH139" s="91"/>
      <c r="GI139" s="91"/>
      <c r="GJ139" s="91"/>
      <c r="GK139" s="91"/>
      <c r="GL139" s="91"/>
      <c r="GM139" s="91"/>
      <c r="GN139" s="91"/>
      <c r="GO139" s="91"/>
      <c r="GP139" s="91"/>
      <c r="GQ139" s="91"/>
      <c r="GR139" s="91"/>
    </row>
    <row r="140" spans="2:200" x14ac:dyDescent="0.15"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  <c r="X140" s="91"/>
      <c r="Y140" s="91"/>
      <c r="Z140" s="91"/>
      <c r="AA140" s="91"/>
      <c r="AB140" s="91"/>
      <c r="AC140" s="91"/>
      <c r="AD140" s="91"/>
      <c r="AE140" s="91"/>
      <c r="AF140" s="91"/>
      <c r="AG140" s="91"/>
      <c r="AH140" s="91"/>
      <c r="AI140" s="91"/>
      <c r="AJ140" s="91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C140" s="91"/>
      <c r="BD140" s="91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W140" s="91"/>
      <c r="BX140" s="91"/>
      <c r="BY140" s="91"/>
      <c r="BZ140" s="91"/>
      <c r="CA140" s="91"/>
      <c r="CB140" s="91"/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  <c r="CS140" s="91"/>
      <c r="CT140" s="91"/>
      <c r="CU140" s="91"/>
      <c r="CV140" s="91"/>
      <c r="CW140" s="91"/>
      <c r="CX140" s="91"/>
      <c r="CY140" s="91"/>
      <c r="CZ140" s="91"/>
      <c r="DA140" s="91"/>
      <c r="DB140" s="91"/>
      <c r="DC140" s="91"/>
      <c r="DD140" s="91"/>
      <c r="DE140" s="91"/>
      <c r="DF140" s="91"/>
      <c r="DG140" s="91"/>
      <c r="DH140" s="91"/>
      <c r="DI140" s="91"/>
      <c r="DJ140" s="91"/>
      <c r="DK140" s="91"/>
      <c r="DL140" s="91"/>
      <c r="DM140" s="91"/>
      <c r="DN140" s="91"/>
      <c r="DO140" s="91"/>
      <c r="DP140" s="91"/>
      <c r="DQ140" s="91"/>
      <c r="DR140" s="91"/>
      <c r="DS140" s="91"/>
      <c r="DT140" s="91"/>
      <c r="DU140" s="91"/>
      <c r="DV140" s="91"/>
      <c r="DW140" s="91"/>
      <c r="DX140" s="91"/>
      <c r="DY140" s="91"/>
      <c r="DZ140" s="91"/>
      <c r="EA140" s="91"/>
      <c r="EB140" s="91"/>
      <c r="EC140" s="91"/>
      <c r="ED140" s="91"/>
      <c r="EE140" s="91"/>
      <c r="EF140" s="91"/>
      <c r="EG140" s="91"/>
      <c r="EH140" s="91"/>
      <c r="EI140" s="91"/>
      <c r="EJ140" s="91"/>
      <c r="EK140" s="91"/>
      <c r="EL140" s="91"/>
      <c r="EM140" s="91"/>
      <c r="EN140" s="91"/>
      <c r="EO140" s="91"/>
      <c r="EP140" s="91"/>
      <c r="EQ140" s="91"/>
      <c r="ER140" s="91"/>
      <c r="ES140" s="91"/>
      <c r="ET140" s="91"/>
      <c r="EU140" s="91"/>
      <c r="EV140" s="91"/>
      <c r="EW140" s="91"/>
      <c r="EX140" s="91"/>
      <c r="EY140" s="91"/>
      <c r="EZ140" s="91"/>
      <c r="FA140" s="91"/>
      <c r="FB140" s="91"/>
      <c r="FC140" s="91"/>
      <c r="FD140" s="91"/>
      <c r="FE140" s="91"/>
      <c r="FF140" s="91"/>
      <c r="FG140" s="91"/>
      <c r="FH140" s="91"/>
      <c r="FI140" s="91"/>
      <c r="FJ140" s="91"/>
      <c r="FK140" s="91"/>
      <c r="FL140" s="91"/>
      <c r="FM140" s="91"/>
      <c r="FN140" s="91"/>
      <c r="FO140" s="91"/>
      <c r="FP140" s="91"/>
      <c r="FQ140" s="91"/>
      <c r="FR140" s="91"/>
      <c r="FS140" s="91"/>
      <c r="FT140" s="91"/>
      <c r="FU140" s="91"/>
      <c r="FV140" s="91"/>
      <c r="FW140" s="91"/>
      <c r="FX140" s="91"/>
      <c r="FY140" s="91"/>
      <c r="FZ140" s="91"/>
      <c r="GA140" s="91"/>
      <c r="GB140" s="91"/>
      <c r="GC140" s="91"/>
      <c r="GD140" s="91"/>
      <c r="GE140" s="91"/>
      <c r="GF140" s="91"/>
      <c r="GG140" s="91"/>
      <c r="GH140" s="91"/>
      <c r="GI140" s="91"/>
      <c r="GJ140" s="91"/>
      <c r="GK140" s="91"/>
      <c r="GL140" s="91"/>
      <c r="GM140" s="91"/>
      <c r="GN140" s="91"/>
      <c r="GO140" s="91"/>
      <c r="GP140" s="91"/>
      <c r="GQ140" s="91"/>
      <c r="GR140" s="91"/>
    </row>
    <row r="141" spans="2:200" x14ac:dyDescent="0.15"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  <c r="X141" s="91"/>
      <c r="Y141" s="91"/>
      <c r="Z141" s="91"/>
      <c r="AA141" s="91"/>
      <c r="AB141" s="91"/>
      <c r="AC141" s="91"/>
      <c r="AD141" s="91"/>
      <c r="AE141" s="91"/>
      <c r="AF141" s="91"/>
      <c r="AG141" s="91"/>
      <c r="AH141" s="91"/>
      <c r="AI141" s="91"/>
      <c r="AJ141" s="91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C141" s="91"/>
      <c r="BD141" s="91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W141" s="91"/>
      <c r="BX141" s="91"/>
      <c r="BY141" s="91"/>
      <c r="BZ141" s="91"/>
      <c r="CA141" s="91"/>
      <c r="CB141" s="91"/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  <c r="CS141" s="91"/>
      <c r="CT141" s="91"/>
      <c r="CU141" s="91"/>
      <c r="CV141" s="91"/>
      <c r="CW141" s="91"/>
      <c r="CX141" s="91"/>
      <c r="CY141" s="91"/>
      <c r="CZ141" s="91"/>
      <c r="DA141" s="91"/>
      <c r="DB141" s="91"/>
      <c r="DC141" s="91"/>
      <c r="DD141" s="91"/>
      <c r="DE141" s="91"/>
      <c r="DF141" s="91"/>
      <c r="DG141" s="91"/>
      <c r="DH141" s="91"/>
      <c r="DI141" s="91"/>
      <c r="DJ141" s="91"/>
      <c r="DK141" s="91"/>
      <c r="DL141" s="91"/>
      <c r="DM141" s="91"/>
      <c r="DN141" s="91"/>
      <c r="DO141" s="91"/>
      <c r="DP141" s="91"/>
      <c r="DQ141" s="91"/>
      <c r="DR141" s="91"/>
      <c r="DS141" s="91"/>
      <c r="DT141" s="91"/>
      <c r="DU141" s="91"/>
      <c r="DV141" s="91"/>
      <c r="DW141" s="91"/>
      <c r="DX141" s="91"/>
      <c r="DY141" s="91"/>
      <c r="DZ141" s="91"/>
      <c r="EA141" s="91"/>
      <c r="EB141" s="91"/>
      <c r="EC141" s="91"/>
      <c r="ED141" s="91"/>
      <c r="EE141" s="91"/>
      <c r="EF141" s="91"/>
      <c r="EG141" s="91"/>
      <c r="EH141" s="91"/>
      <c r="EI141" s="91"/>
      <c r="EJ141" s="91"/>
      <c r="EK141" s="91"/>
      <c r="EL141" s="91"/>
      <c r="EM141" s="91"/>
      <c r="EN141" s="91"/>
      <c r="EO141" s="91"/>
      <c r="EP141" s="91"/>
      <c r="EQ141" s="91"/>
      <c r="ER141" s="91"/>
      <c r="ES141" s="91"/>
      <c r="ET141" s="91"/>
      <c r="EU141" s="91"/>
      <c r="EV141" s="91"/>
      <c r="EW141" s="91"/>
      <c r="EX141" s="91"/>
      <c r="EY141" s="91"/>
      <c r="EZ141" s="91"/>
      <c r="FA141" s="91"/>
      <c r="FB141" s="91"/>
      <c r="FC141" s="91"/>
      <c r="FD141" s="91"/>
      <c r="FE141" s="91"/>
      <c r="FF141" s="91"/>
      <c r="FG141" s="91"/>
      <c r="FH141" s="91"/>
      <c r="FI141" s="91"/>
      <c r="FJ141" s="91"/>
      <c r="FK141" s="91"/>
      <c r="FL141" s="91"/>
      <c r="FM141" s="91"/>
      <c r="FN141" s="91"/>
      <c r="FO141" s="91"/>
      <c r="FP141" s="91"/>
      <c r="FQ141" s="91"/>
      <c r="FR141" s="91"/>
      <c r="FS141" s="91"/>
      <c r="FT141" s="91"/>
      <c r="FU141" s="91"/>
      <c r="FV141" s="91"/>
      <c r="FW141" s="91"/>
      <c r="FX141" s="91"/>
      <c r="FY141" s="91"/>
      <c r="FZ141" s="91"/>
      <c r="GA141" s="91"/>
      <c r="GB141" s="91"/>
      <c r="GC141" s="91"/>
      <c r="GD141" s="91"/>
      <c r="GE141" s="91"/>
      <c r="GF141" s="91"/>
      <c r="GG141" s="91"/>
      <c r="GH141" s="91"/>
      <c r="GI141" s="91"/>
      <c r="GJ141" s="91"/>
      <c r="GK141" s="91"/>
      <c r="GL141" s="91"/>
      <c r="GM141" s="91"/>
      <c r="GN141" s="91"/>
      <c r="GO141" s="91"/>
      <c r="GP141" s="91"/>
      <c r="GQ141" s="91"/>
      <c r="GR141" s="91"/>
    </row>
    <row r="142" spans="2:200" x14ac:dyDescent="0.15">
      <c r="B142" s="91"/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  <c r="X142" s="91"/>
      <c r="Y142" s="91"/>
      <c r="Z142" s="91"/>
      <c r="AA142" s="91"/>
      <c r="AB142" s="91"/>
      <c r="AC142" s="91"/>
      <c r="AD142" s="91"/>
      <c r="AE142" s="91"/>
      <c r="AF142" s="91"/>
      <c r="AG142" s="91"/>
      <c r="AH142" s="91"/>
      <c r="AI142" s="91"/>
      <c r="AJ142" s="91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C142" s="91"/>
      <c r="BD142" s="91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W142" s="91"/>
      <c r="BX142" s="91"/>
      <c r="BY142" s="91"/>
      <c r="BZ142" s="91"/>
      <c r="CA142" s="91"/>
      <c r="CB142" s="91"/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  <c r="CS142" s="91"/>
      <c r="CT142" s="91"/>
      <c r="CU142" s="91"/>
      <c r="CV142" s="91"/>
      <c r="CW142" s="91"/>
      <c r="CX142" s="91"/>
      <c r="CY142" s="91"/>
      <c r="CZ142" s="91"/>
      <c r="DA142" s="91"/>
      <c r="DB142" s="91"/>
      <c r="DC142" s="91"/>
      <c r="DD142" s="91"/>
      <c r="DE142" s="91"/>
      <c r="DF142" s="91"/>
      <c r="DG142" s="91"/>
      <c r="DH142" s="91"/>
      <c r="DI142" s="91"/>
      <c r="DJ142" s="91"/>
      <c r="DK142" s="91"/>
      <c r="DL142" s="91"/>
      <c r="DM142" s="91"/>
      <c r="DN142" s="91"/>
      <c r="DO142" s="91"/>
      <c r="DP142" s="91"/>
      <c r="DQ142" s="91"/>
      <c r="DR142" s="91"/>
      <c r="DS142" s="91"/>
      <c r="DT142" s="91"/>
      <c r="DU142" s="91"/>
      <c r="DV142" s="91"/>
      <c r="DW142" s="91"/>
      <c r="DX142" s="91"/>
      <c r="DY142" s="91"/>
      <c r="DZ142" s="91"/>
      <c r="EA142" s="91"/>
      <c r="EB142" s="91"/>
      <c r="EC142" s="91"/>
      <c r="ED142" s="91"/>
      <c r="EE142" s="91"/>
      <c r="EF142" s="91"/>
      <c r="EG142" s="91"/>
      <c r="EH142" s="91"/>
      <c r="EI142" s="91"/>
      <c r="EJ142" s="91"/>
      <c r="EK142" s="91"/>
      <c r="EL142" s="91"/>
      <c r="EM142" s="91"/>
      <c r="EN142" s="91"/>
      <c r="EO142" s="91"/>
      <c r="EP142" s="91"/>
      <c r="EQ142" s="91"/>
      <c r="ER142" s="91"/>
      <c r="ES142" s="91"/>
      <c r="ET142" s="91"/>
      <c r="EU142" s="91"/>
      <c r="EV142" s="91"/>
      <c r="EW142" s="91"/>
      <c r="EX142" s="91"/>
      <c r="EY142" s="91"/>
      <c r="EZ142" s="91"/>
      <c r="FA142" s="91"/>
      <c r="FB142" s="91"/>
      <c r="FC142" s="91"/>
      <c r="FD142" s="91"/>
      <c r="FE142" s="91"/>
      <c r="FF142" s="91"/>
      <c r="FG142" s="91"/>
      <c r="FH142" s="91"/>
      <c r="FI142" s="91"/>
      <c r="FJ142" s="91"/>
      <c r="FK142" s="91"/>
      <c r="FL142" s="91"/>
      <c r="FM142" s="91"/>
      <c r="FN142" s="91"/>
      <c r="FO142" s="91"/>
      <c r="FP142" s="91"/>
      <c r="FQ142" s="91"/>
      <c r="FR142" s="91"/>
      <c r="FS142" s="91"/>
      <c r="FT142" s="91"/>
      <c r="FU142" s="91"/>
      <c r="FV142" s="91"/>
      <c r="FW142" s="91"/>
      <c r="FX142" s="91"/>
      <c r="FY142" s="91"/>
      <c r="FZ142" s="91"/>
      <c r="GA142" s="91"/>
      <c r="GB142" s="91"/>
      <c r="GC142" s="91"/>
      <c r="GD142" s="91"/>
      <c r="GE142" s="91"/>
      <c r="GF142" s="91"/>
      <c r="GG142" s="91"/>
      <c r="GH142" s="91"/>
      <c r="GI142" s="91"/>
      <c r="GJ142" s="91"/>
      <c r="GK142" s="91"/>
      <c r="GL142" s="91"/>
      <c r="GM142" s="91"/>
      <c r="GN142" s="91"/>
      <c r="GO142" s="91"/>
      <c r="GP142" s="91"/>
      <c r="GQ142" s="91"/>
      <c r="GR142" s="91"/>
    </row>
    <row r="143" spans="2:200" x14ac:dyDescent="0.15"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  <c r="X143" s="91"/>
      <c r="Y143" s="91"/>
      <c r="Z143" s="91"/>
      <c r="AA143" s="91"/>
      <c r="AB143" s="91"/>
      <c r="AC143" s="91"/>
      <c r="AD143" s="91"/>
      <c r="AE143" s="91"/>
      <c r="AF143" s="91"/>
      <c r="AG143" s="91"/>
      <c r="AH143" s="91"/>
      <c r="AI143" s="91"/>
      <c r="AJ143" s="91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C143" s="91"/>
      <c r="BD143" s="91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W143" s="91"/>
      <c r="BX143" s="91"/>
      <c r="BY143" s="91"/>
      <c r="BZ143" s="91"/>
      <c r="CA143" s="91"/>
      <c r="CB143" s="91"/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  <c r="CS143" s="91"/>
      <c r="CT143" s="91"/>
      <c r="CU143" s="91"/>
      <c r="CV143" s="91"/>
      <c r="CW143" s="91"/>
      <c r="CX143" s="91"/>
      <c r="CY143" s="91"/>
      <c r="CZ143" s="91"/>
      <c r="DA143" s="91"/>
      <c r="DB143" s="91"/>
      <c r="DC143" s="91"/>
      <c r="DD143" s="91"/>
      <c r="DE143" s="91"/>
      <c r="DF143" s="91"/>
      <c r="DG143" s="91"/>
      <c r="DH143" s="91"/>
      <c r="DI143" s="91"/>
      <c r="DJ143" s="91"/>
      <c r="DK143" s="91"/>
      <c r="DL143" s="91"/>
      <c r="DM143" s="91"/>
      <c r="DN143" s="91"/>
      <c r="DO143" s="91"/>
      <c r="DP143" s="91"/>
      <c r="DQ143" s="91"/>
      <c r="DR143" s="91"/>
      <c r="DS143" s="91"/>
      <c r="DT143" s="91"/>
      <c r="DU143" s="91"/>
      <c r="DV143" s="91"/>
      <c r="DW143" s="91"/>
      <c r="DX143" s="91"/>
      <c r="DY143" s="91"/>
      <c r="DZ143" s="91"/>
      <c r="EA143" s="91"/>
      <c r="EB143" s="91"/>
      <c r="EC143" s="91"/>
      <c r="ED143" s="91"/>
      <c r="EE143" s="91"/>
      <c r="EF143" s="91"/>
      <c r="EG143" s="91"/>
      <c r="EH143" s="91"/>
      <c r="EI143" s="91"/>
      <c r="EJ143" s="91"/>
      <c r="EK143" s="91"/>
      <c r="EL143" s="91"/>
      <c r="EM143" s="91"/>
      <c r="EN143" s="91"/>
      <c r="EO143" s="91"/>
      <c r="EP143" s="91"/>
      <c r="EQ143" s="91"/>
      <c r="ER143" s="91"/>
      <c r="ES143" s="91"/>
      <c r="ET143" s="91"/>
      <c r="EU143" s="91"/>
      <c r="EV143" s="91"/>
      <c r="EW143" s="91"/>
      <c r="EX143" s="91"/>
      <c r="EY143" s="91"/>
      <c r="EZ143" s="91"/>
      <c r="FA143" s="91"/>
      <c r="FB143" s="91"/>
      <c r="FC143" s="91"/>
      <c r="FD143" s="91"/>
      <c r="FE143" s="91"/>
      <c r="FF143" s="91"/>
      <c r="FG143" s="91"/>
      <c r="FH143" s="91"/>
      <c r="FI143" s="91"/>
      <c r="FJ143" s="91"/>
      <c r="FK143" s="91"/>
      <c r="FL143" s="91"/>
      <c r="FM143" s="91"/>
      <c r="FN143" s="91"/>
      <c r="FO143" s="91"/>
      <c r="FP143" s="91"/>
      <c r="FQ143" s="91"/>
      <c r="FR143" s="91"/>
      <c r="FS143" s="91"/>
      <c r="FT143" s="91"/>
      <c r="FU143" s="91"/>
      <c r="FV143" s="91"/>
      <c r="FW143" s="91"/>
      <c r="FX143" s="91"/>
      <c r="FY143" s="91"/>
      <c r="FZ143" s="91"/>
      <c r="GA143" s="91"/>
      <c r="GB143" s="91"/>
      <c r="GC143" s="91"/>
      <c r="GD143" s="91"/>
      <c r="GE143" s="91"/>
      <c r="GF143" s="91"/>
      <c r="GG143" s="91"/>
      <c r="GH143" s="91"/>
      <c r="GI143" s="91"/>
      <c r="GJ143" s="91"/>
      <c r="GK143" s="91"/>
      <c r="GL143" s="91"/>
      <c r="GM143" s="91"/>
      <c r="GN143" s="91"/>
      <c r="GO143" s="91"/>
      <c r="GP143" s="91"/>
      <c r="GQ143" s="91"/>
      <c r="GR143" s="91"/>
    </row>
    <row r="144" spans="2:200" x14ac:dyDescent="0.15">
      <c r="B144" s="91"/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  <c r="X144" s="91"/>
      <c r="Y144" s="91"/>
      <c r="Z144" s="91"/>
      <c r="AA144" s="91"/>
      <c r="AB144" s="91"/>
      <c r="AC144" s="91"/>
      <c r="AD144" s="91"/>
      <c r="AE144" s="91"/>
      <c r="AF144" s="91"/>
      <c r="AG144" s="91"/>
      <c r="AH144" s="91"/>
      <c r="AI144" s="91"/>
      <c r="AJ144" s="91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C144" s="91"/>
      <c r="BD144" s="91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W144" s="91"/>
      <c r="BX144" s="91"/>
      <c r="BY144" s="91"/>
      <c r="BZ144" s="91"/>
      <c r="CA144" s="91"/>
      <c r="CB144" s="91"/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  <c r="CS144" s="91"/>
      <c r="CT144" s="91"/>
      <c r="CU144" s="91"/>
      <c r="CV144" s="91"/>
      <c r="CW144" s="91"/>
      <c r="CX144" s="91"/>
      <c r="CY144" s="91"/>
      <c r="CZ144" s="91"/>
      <c r="DA144" s="91"/>
      <c r="DB144" s="91"/>
      <c r="DC144" s="91"/>
      <c r="DD144" s="91"/>
      <c r="DE144" s="91"/>
      <c r="DF144" s="91"/>
      <c r="DG144" s="91"/>
      <c r="DH144" s="91"/>
      <c r="DI144" s="91"/>
      <c r="DJ144" s="91"/>
      <c r="DK144" s="91"/>
      <c r="DL144" s="91"/>
      <c r="DM144" s="91"/>
      <c r="DN144" s="91"/>
      <c r="DO144" s="91"/>
      <c r="DP144" s="91"/>
      <c r="DQ144" s="91"/>
      <c r="DR144" s="91"/>
      <c r="DS144" s="91"/>
      <c r="DT144" s="91"/>
      <c r="DU144" s="91"/>
      <c r="DV144" s="91"/>
      <c r="DW144" s="91"/>
      <c r="DX144" s="91"/>
      <c r="DY144" s="91"/>
      <c r="DZ144" s="91"/>
      <c r="EA144" s="91"/>
      <c r="EB144" s="91"/>
      <c r="EC144" s="91"/>
      <c r="ED144" s="91"/>
      <c r="EE144" s="91"/>
      <c r="EF144" s="91"/>
      <c r="EG144" s="91"/>
      <c r="EH144" s="91"/>
      <c r="EI144" s="91"/>
      <c r="EJ144" s="91"/>
      <c r="EK144" s="91"/>
      <c r="EL144" s="91"/>
      <c r="EM144" s="91"/>
      <c r="EN144" s="91"/>
      <c r="EO144" s="91"/>
      <c r="EP144" s="91"/>
      <c r="EQ144" s="91"/>
      <c r="ER144" s="91"/>
      <c r="ES144" s="91"/>
      <c r="ET144" s="91"/>
      <c r="EU144" s="91"/>
      <c r="EV144" s="91"/>
      <c r="EW144" s="91"/>
      <c r="EX144" s="91"/>
      <c r="EY144" s="91"/>
      <c r="EZ144" s="91"/>
      <c r="FA144" s="91"/>
      <c r="FB144" s="91"/>
      <c r="FC144" s="91"/>
      <c r="FD144" s="91"/>
      <c r="FE144" s="91"/>
      <c r="FF144" s="91"/>
      <c r="FG144" s="91"/>
      <c r="FH144" s="91"/>
      <c r="FI144" s="91"/>
      <c r="FJ144" s="91"/>
      <c r="FK144" s="91"/>
      <c r="FL144" s="91"/>
      <c r="FM144" s="91"/>
      <c r="FN144" s="91"/>
      <c r="FO144" s="91"/>
      <c r="FP144" s="91"/>
      <c r="FQ144" s="91"/>
      <c r="FR144" s="91"/>
      <c r="FS144" s="91"/>
      <c r="FT144" s="91"/>
      <c r="FU144" s="91"/>
      <c r="FV144" s="91"/>
      <c r="FW144" s="91"/>
      <c r="FX144" s="91"/>
      <c r="FY144" s="91"/>
      <c r="FZ144" s="91"/>
      <c r="GA144" s="91"/>
      <c r="GB144" s="91"/>
      <c r="GC144" s="91"/>
      <c r="GD144" s="91"/>
      <c r="GE144" s="91"/>
      <c r="GF144" s="91"/>
      <c r="GG144" s="91"/>
      <c r="GH144" s="91"/>
      <c r="GI144" s="91"/>
      <c r="GJ144" s="91"/>
      <c r="GK144" s="91"/>
      <c r="GL144" s="91"/>
      <c r="GM144" s="91"/>
      <c r="GN144" s="91"/>
      <c r="GO144" s="91"/>
      <c r="GP144" s="91"/>
      <c r="GQ144" s="91"/>
      <c r="GR144" s="91"/>
    </row>
    <row r="145" spans="2:200" x14ac:dyDescent="0.15"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  <c r="X145" s="91"/>
      <c r="Y145" s="91"/>
      <c r="Z145" s="91"/>
      <c r="AA145" s="91"/>
      <c r="AB145" s="91"/>
      <c r="AC145" s="91"/>
      <c r="AD145" s="91"/>
      <c r="AE145" s="91"/>
      <c r="AF145" s="91"/>
      <c r="AG145" s="91"/>
      <c r="AH145" s="91"/>
      <c r="AI145" s="91"/>
      <c r="AJ145" s="91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C145" s="91"/>
      <c r="BD145" s="91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W145" s="91"/>
      <c r="BX145" s="91"/>
      <c r="BY145" s="91"/>
      <c r="BZ145" s="91"/>
      <c r="CA145" s="91"/>
      <c r="CB145" s="91"/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  <c r="CS145" s="91"/>
      <c r="CT145" s="91"/>
      <c r="CU145" s="91"/>
      <c r="CV145" s="91"/>
      <c r="CW145" s="91"/>
      <c r="CX145" s="91"/>
      <c r="CY145" s="91"/>
      <c r="CZ145" s="91"/>
      <c r="DA145" s="91"/>
      <c r="DB145" s="91"/>
      <c r="DC145" s="91"/>
      <c r="DD145" s="91"/>
      <c r="DE145" s="91"/>
      <c r="DF145" s="91"/>
      <c r="DG145" s="91"/>
      <c r="DH145" s="91"/>
      <c r="DI145" s="91"/>
      <c r="DJ145" s="91"/>
      <c r="DK145" s="91"/>
      <c r="DL145" s="91"/>
      <c r="DM145" s="91"/>
      <c r="DN145" s="91"/>
      <c r="DO145" s="91"/>
      <c r="DP145" s="91"/>
      <c r="DQ145" s="91"/>
      <c r="DR145" s="91"/>
      <c r="DS145" s="91"/>
      <c r="DT145" s="91"/>
      <c r="DU145" s="91"/>
      <c r="DV145" s="91"/>
      <c r="DW145" s="91"/>
      <c r="DX145" s="91"/>
      <c r="DY145" s="91"/>
      <c r="DZ145" s="91"/>
      <c r="EA145" s="91"/>
      <c r="EB145" s="91"/>
      <c r="EC145" s="91"/>
      <c r="ED145" s="91"/>
      <c r="EE145" s="91"/>
      <c r="EF145" s="91"/>
      <c r="EG145" s="91"/>
      <c r="EH145" s="91"/>
      <c r="EI145" s="91"/>
      <c r="EJ145" s="91"/>
      <c r="EK145" s="91"/>
      <c r="EL145" s="91"/>
      <c r="EM145" s="91"/>
      <c r="EN145" s="91"/>
      <c r="EO145" s="91"/>
      <c r="EP145" s="91"/>
      <c r="EQ145" s="91"/>
      <c r="ER145" s="91"/>
      <c r="ES145" s="91"/>
      <c r="ET145" s="91"/>
      <c r="EU145" s="91"/>
      <c r="EV145" s="91"/>
      <c r="EW145" s="91"/>
      <c r="EX145" s="91"/>
      <c r="EY145" s="91"/>
      <c r="EZ145" s="91"/>
      <c r="FA145" s="91"/>
      <c r="FB145" s="91"/>
      <c r="FC145" s="91"/>
      <c r="FD145" s="91"/>
      <c r="FE145" s="91"/>
      <c r="FF145" s="91"/>
      <c r="FG145" s="91"/>
      <c r="FH145" s="91"/>
      <c r="FI145" s="91"/>
      <c r="FJ145" s="91"/>
      <c r="FK145" s="91"/>
      <c r="FL145" s="91"/>
      <c r="FM145" s="91"/>
      <c r="FN145" s="91"/>
      <c r="FO145" s="91"/>
      <c r="FP145" s="91"/>
      <c r="FQ145" s="91"/>
      <c r="FR145" s="91"/>
      <c r="FS145" s="91"/>
      <c r="FT145" s="91"/>
      <c r="FU145" s="91"/>
      <c r="FV145" s="91"/>
      <c r="FW145" s="91"/>
      <c r="FX145" s="91"/>
      <c r="FY145" s="91"/>
      <c r="FZ145" s="91"/>
      <c r="GA145" s="91"/>
      <c r="GB145" s="91"/>
      <c r="GC145" s="91"/>
      <c r="GD145" s="91"/>
      <c r="GE145" s="91"/>
      <c r="GF145" s="91"/>
      <c r="GG145" s="91"/>
      <c r="GH145" s="91"/>
      <c r="GI145" s="91"/>
      <c r="GJ145" s="91"/>
      <c r="GK145" s="91"/>
      <c r="GL145" s="91"/>
      <c r="GM145" s="91"/>
      <c r="GN145" s="91"/>
      <c r="GO145" s="91"/>
      <c r="GP145" s="91"/>
      <c r="GQ145" s="91"/>
      <c r="GR145" s="91"/>
    </row>
    <row r="146" spans="2:200" x14ac:dyDescent="0.15">
      <c r="B146" s="91"/>
      <c r="C146" s="91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  <c r="AD146" s="91"/>
      <c r="AE146" s="91"/>
      <c r="AF146" s="91"/>
      <c r="AG146" s="91"/>
      <c r="AH146" s="91"/>
      <c r="AI146" s="91"/>
      <c r="AJ146" s="91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C146" s="91"/>
      <c r="BD146" s="91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W146" s="91"/>
      <c r="BX146" s="91"/>
      <c r="BY146" s="91"/>
      <c r="BZ146" s="91"/>
      <c r="CA146" s="91"/>
      <c r="CB146" s="91"/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  <c r="CS146" s="91"/>
      <c r="CT146" s="91"/>
      <c r="CU146" s="91"/>
      <c r="CV146" s="91"/>
      <c r="CW146" s="91"/>
      <c r="CX146" s="91"/>
      <c r="CY146" s="91"/>
      <c r="CZ146" s="91"/>
      <c r="DA146" s="91"/>
      <c r="DB146" s="91"/>
      <c r="DC146" s="91"/>
      <c r="DD146" s="91"/>
      <c r="DE146" s="91"/>
      <c r="DF146" s="91"/>
      <c r="DG146" s="91"/>
      <c r="DH146" s="91"/>
      <c r="DI146" s="91"/>
      <c r="DJ146" s="91"/>
      <c r="DK146" s="91"/>
      <c r="DL146" s="91"/>
      <c r="DM146" s="91"/>
      <c r="DN146" s="91"/>
      <c r="DO146" s="91"/>
      <c r="DP146" s="91"/>
      <c r="DQ146" s="91"/>
      <c r="DR146" s="91"/>
      <c r="DS146" s="91"/>
      <c r="DT146" s="91"/>
      <c r="DU146" s="91"/>
      <c r="DV146" s="91"/>
      <c r="DW146" s="91"/>
      <c r="DX146" s="91"/>
      <c r="DY146" s="91"/>
      <c r="DZ146" s="91"/>
      <c r="EA146" s="91"/>
      <c r="EB146" s="91"/>
      <c r="EC146" s="91"/>
      <c r="ED146" s="91"/>
      <c r="EE146" s="91"/>
      <c r="EF146" s="91"/>
      <c r="EG146" s="91"/>
      <c r="EH146" s="91"/>
      <c r="EI146" s="91"/>
      <c r="EJ146" s="91"/>
      <c r="EK146" s="91"/>
      <c r="EL146" s="91"/>
      <c r="EM146" s="91"/>
      <c r="EN146" s="91"/>
      <c r="EO146" s="91"/>
      <c r="EP146" s="91"/>
      <c r="EQ146" s="91"/>
      <c r="ER146" s="91"/>
      <c r="ES146" s="91"/>
      <c r="ET146" s="91"/>
      <c r="EU146" s="91"/>
      <c r="EV146" s="91"/>
      <c r="EW146" s="91"/>
      <c r="EX146" s="91"/>
      <c r="EY146" s="91"/>
      <c r="EZ146" s="91"/>
      <c r="FA146" s="91"/>
      <c r="FB146" s="91"/>
      <c r="FC146" s="91"/>
      <c r="FD146" s="91"/>
      <c r="FE146" s="91"/>
      <c r="FF146" s="91"/>
      <c r="FG146" s="91"/>
      <c r="FH146" s="91"/>
      <c r="FI146" s="91"/>
      <c r="FJ146" s="91"/>
      <c r="FK146" s="91"/>
      <c r="FL146" s="91"/>
      <c r="FM146" s="91"/>
      <c r="FN146" s="91"/>
      <c r="FO146" s="91"/>
      <c r="FP146" s="91"/>
      <c r="FQ146" s="91"/>
      <c r="FR146" s="91"/>
      <c r="FS146" s="91"/>
      <c r="FT146" s="91"/>
      <c r="FU146" s="91"/>
      <c r="FV146" s="91"/>
      <c r="FW146" s="91"/>
      <c r="FX146" s="91"/>
      <c r="FY146" s="91"/>
      <c r="FZ146" s="91"/>
      <c r="GA146" s="91"/>
      <c r="GB146" s="91"/>
      <c r="GC146" s="91"/>
      <c r="GD146" s="91"/>
      <c r="GE146" s="91"/>
      <c r="GF146" s="91"/>
      <c r="GG146" s="91"/>
      <c r="GH146" s="91"/>
      <c r="GI146" s="91"/>
      <c r="GJ146" s="91"/>
      <c r="GK146" s="91"/>
      <c r="GL146" s="91"/>
      <c r="GM146" s="91"/>
      <c r="GN146" s="91"/>
      <c r="GO146" s="91"/>
      <c r="GP146" s="91"/>
      <c r="GQ146" s="91"/>
      <c r="GR146" s="91"/>
    </row>
    <row r="147" spans="2:200" x14ac:dyDescent="0.15">
      <c r="B147" s="91"/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  <c r="X147" s="91"/>
      <c r="Y147" s="91"/>
      <c r="Z147" s="91"/>
      <c r="AA147" s="91"/>
      <c r="AB147" s="91"/>
      <c r="AC147" s="91"/>
      <c r="AD147" s="91"/>
      <c r="AE147" s="91"/>
      <c r="AF147" s="91"/>
      <c r="AG147" s="91"/>
      <c r="AH147" s="91"/>
      <c r="AI147" s="91"/>
      <c r="AJ147" s="91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C147" s="91"/>
      <c r="BD147" s="91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W147" s="91"/>
      <c r="BX147" s="91"/>
      <c r="BY147" s="91"/>
      <c r="BZ147" s="91"/>
      <c r="CA147" s="91"/>
      <c r="CB147" s="91"/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  <c r="CS147" s="91"/>
      <c r="CT147" s="91"/>
      <c r="CU147" s="91"/>
      <c r="CV147" s="91"/>
      <c r="CW147" s="91"/>
      <c r="CX147" s="91"/>
      <c r="CY147" s="91"/>
      <c r="CZ147" s="91"/>
      <c r="DA147" s="91"/>
      <c r="DB147" s="91"/>
      <c r="DC147" s="91"/>
      <c r="DD147" s="91"/>
      <c r="DE147" s="91"/>
      <c r="DF147" s="91"/>
      <c r="DG147" s="91"/>
      <c r="DH147" s="91"/>
      <c r="DI147" s="91"/>
      <c r="DJ147" s="91"/>
      <c r="DK147" s="91"/>
      <c r="DL147" s="91"/>
      <c r="DM147" s="91"/>
      <c r="DN147" s="91"/>
      <c r="DO147" s="91"/>
      <c r="DP147" s="91"/>
      <c r="DQ147" s="91"/>
      <c r="DR147" s="91"/>
      <c r="DS147" s="91"/>
      <c r="DT147" s="91"/>
      <c r="DU147" s="91"/>
      <c r="DV147" s="91"/>
      <c r="DW147" s="91"/>
      <c r="DX147" s="91"/>
      <c r="DY147" s="91"/>
      <c r="DZ147" s="91"/>
      <c r="EA147" s="91"/>
      <c r="EB147" s="91"/>
      <c r="EC147" s="91"/>
      <c r="ED147" s="91"/>
      <c r="EE147" s="91"/>
      <c r="EF147" s="91"/>
      <c r="EG147" s="91"/>
      <c r="EH147" s="91"/>
      <c r="EI147" s="91"/>
      <c r="EJ147" s="91"/>
      <c r="EK147" s="91"/>
      <c r="EL147" s="91"/>
      <c r="EM147" s="91"/>
      <c r="EN147" s="91"/>
      <c r="EO147" s="91"/>
      <c r="EP147" s="91"/>
      <c r="EQ147" s="91"/>
      <c r="ER147" s="91"/>
      <c r="ES147" s="91"/>
      <c r="ET147" s="91"/>
      <c r="EU147" s="91"/>
      <c r="EV147" s="91"/>
      <c r="EW147" s="91"/>
      <c r="EX147" s="91"/>
      <c r="EY147" s="91"/>
      <c r="EZ147" s="91"/>
      <c r="FA147" s="91"/>
      <c r="FB147" s="91"/>
      <c r="FC147" s="91"/>
      <c r="FD147" s="91"/>
      <c r="FE147" s="91"/>
      <c r="FF147" s="91"/>
      <c r="FG147" s="91"/>
      <c r="FH147" s="91"/>
      <c r="FI147" s="91"/>
      <c r="FJ147" s="91"/>
      <c r="FK147" s="91"/>
      <c r="FL147" s="91"/>
      <c r="FM147" s="91"/>
      <c r="FN147" s="91"/>
      <c r="FO147" s="91"/>
      <c r="FP147" s="91"/>
      <c r="FQ147" s="91"/>
      <c r="FR147" s="91"/>
      <c r="FS147" s="91"/>
      <c r="FT147" s="91"/>
      <c r="FU147" s="91"/>
      <c r="FV147" s="91"/>
      <c r="FW147" s="91"/>
      <c r="FX147" s="91"/>
      <c r="FY147" s="91"/>
      <c r="FZ147" s="91"/>
      <c r="GA147" s="91"/>
      <c r="GB147" s="91"/>
      <c r="GC147" s="91"/>
      <c r="GD147" s="91"/>
      <c r="GE147" s="91"/>
      <c r="GF147" s="91"/>
      <c r="GG147" s="91"/>
      <c r="GH147" s="91"/>
      <c r="GI147" s="91"/>
      <c r="GJ147" s="91"/>
      <c r="GK147" s="91"/>
      <c r="GL147" s="91"/>
      <c r="GM147" s="91"/>
      <c r="GN147" s="91"/>
      <c r="GO147" s="91"/>
      <c r="GP147" s="91"/>
      <c r="GQ147" s="91"/>
      <c r="GR147" s="91"/>
    </row>
    <row r="148" spans="2:200" x14ac:dyDescent="0.15">
      <c r="B148" s="91"/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  <c r="X148" s="91"/>
      <c r="Y148" s="91"/>
      <c r="Z148" s="91"/>
      <c r="AA148" s="91"/>
      <c r="AB148" s="91"/>
      <c r="AC148" s="91"/>
      <c r="AD148" s="91"/>
      <c r="AE148" s="91"/>
      <c r="AF148" s="91"/>
      <c r="AG148" s="91"/>
      <c r="AH148" s="91"/>
      <c r="AI148" s="91"/>
      <c r="AJ148" s="91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C148" s="91"/>
      <c r="BD148" s="91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W148" s="91"/>
      <c r="BX148" s="91"/>
      <c r="BY148" s="91"/>
      <c r="BZ148" s="91"/>
      <c r="CA148" s="91"/>
      <c r="CB148" s="91"/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  <c r="CS148" s="91"/>
      <c r="CT148" s="91"/>
      <c r="CU148" s="91"/>
      <c r="CV148" s="91"/>
      <c r="CW148" s="91"/>
      <c r="CX148" s="91"/>
      <c r="CY148" s="91"/>
      <c r="CZ148" s="91"/>
      <c r="DA148" s="91"/>
      <c r="DB148" s="91"/>
      <c r="DC148" s="91"/>
      <c r="DD148" s="91"/>
      <c r="DE148" s="91"/>
      <c r="DF148" s="91"/>
      <c r="DG148" s="91"/>
      <c r="DH148" s="91"/>
      <c r="DI148" s="91"/>
      <c r="DJ148" s="91"/>
      <c r="DK148" s="91"/>
      <c r="DL148" s="91"/>
      <c r="DM148" s="91"/>
      <c r="DN148" s="91"/>
      <c r="DO148" s="91"/>
      <c r="DP148" s="91"/>
      <c r="DQ148" s="91"/>
      <c r="DR148" s="91"/>
      <c r="DS148" s="91"/>
      <c r="DT148" s="91"/>
      <c r="DU148" s="91"/>
      <c r="DV148" s="91"/>
      <c r="DW148" s="91"/>
      <c r="DX148" s="91"/>
      <c r="DY148" s="91"/>
      <c r="DZ148" s="91"/>
      <c r="EA148" s="91"/>
      <c r="EB148" s="91"/>
      <c r="EC148" s="91"/>
      <c r="ED148" s="91"/>
      <c r="EE148" s="91"/>
      <c r="EF148" s="91"/>
      <c r="EG148" s="91"/>
      <c r="EH148" s="91"/>
      <c r="EI148" s="91"/>
      <c r="EJ148" s="91"/>
      <c r="EK148" s="91"/>
      <c r="EL148" s="91"/>
      <c r="EM148" s="91"/>
      <c r="EN148" s="91"/>
      <c r="EO148" s="91"/>
      <c r="EP148" s="91"/>
      <c r="EQ148" s="91"/>
      <c r="ER148" s="91"/>
      <c r="ES148" s="91"/>
      <c r="ET148" s="91"/>
      <c r="EU148" s="91"/>
      <c r="EV148" s="91"/>
      <c r="EW148" s="91"/>
      <c r="EX148" s="91"/>
      <c r="EY148" s="91"/>
      <c r="EZ148" s="91"/>
      <c r="FA148" s="91"/>
      <c r="FB148" s="91"/>
      <c r="FC148" s="91"/>
      <c r="FD148" s="91"/>
      <c r="FE148" s="91"/>
      <c r="FF148" s="91"/>
      <c r="FG148" s="91"/>
      <c r="FH148" s="91"/>
      <c r="FI148" s="91"/>
      <c r="FJ148" s="91"/>
      <c r="FK148" s="91"/>
      <c r="FL148" s="91"/>
      <c r="FM148" s="91"/>
      <c r="FN148" s="91"/>
      <c r="FO148" s="91"/>
      <c r="FP148" s="91"/>
      <c r="FQ148" s="91"/>
      <c r="FR148" s="91"/>
      <c r="FS148" s="91"/>
      <c r="FT148" s="91"/>
      <c r="FU148" s="91"/>
      <c r="FV148" s="91"/>
      <c r="FW148" s="91"/>
      <c r="FX148" s="91"/>
      <c r="FY148" s="91"/>
      <c r="FZ148" s="91"/>
      <c r="GA148" s="91"/>
      <c r="GB148" s="91"/>
      <c r="GC148" s="91"/>
      <c r="GD148" s="91"/>
      <c r="GE148" s="91"/>
      <c r="GF148" s="91"/>
      <c r="GG148" s="91"/>
      <c r="GH148" s="91"/>
      <c r="GI148" s="91"/>
      <c r="GJ148" s="91"/>
      <c r="GK148" s="91"/>
      <c r="GL148" s="91"/>
      <c r="GM148" s="91"/>
      <c r="GN148" s="91"/>
      <c r="GO148" s="91"/>
      <c r="GP148" s="91"/>
      <c r="GQ148" s="91"/>
      <c r="GR148" s="91"/>
    </row>
    <row r="149" spans="2:200" x14ac:dyDescent="0.15"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  <c r="Z149" s="91"/>
      <c r="AA149" s="91"/>
      <c r="AB149" s="91"/>
      <c r="AC149" s="91"/>
      <c r="AD149" s="91"/>
      <c r="AE149" s="91"/>
      <c r="AF149" s="91"/>
      <c r="AG149" s="91"/>
      <c r="AH149" s="91"/>
      <c r="AI149" s="91"/>
      <c r="AJ149" s="91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C149" s="91"/>
      <c r="BD149" s="91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W149" s="91"/>
      <c r="BX149" s="91"/>
      <c r="BY149" s="91"/>
      <c r="BZ149" s="91"/>
      <c r="CA149" s="91"/>
      <c r="CB149" s="91"/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  <c r="CS149" s="91"/>
      <c r="CT149" s="91"/>
      <c r="CU149" s="91"/>
      <c r="CV149" s="91"/>
      <c r="CW149" s="91"/>
      <c r="CX149" s="91"/>
      <c r="CY149" s="91"/>
      <c r="CZ149" s="91"/>
      <c r="DA149" s="91"/>
      <c r="DB149" s="91"/>
      <c r="DC149" s="91"/>
      <c r="DD149" s="91"/>
      <c r="DE149" s="91"/>
      <c r="DF149" s="91"/>
      <c r="DG149" s="91"/>
      <c r="DH149" s="91"/>
      <c r="DI149" s="91"/>
      <c r="DJ149" s="91"/>
      <c r="DK149" s="91"/>
      <c r="DL149" s="91"/>
      <c r="DM149" s="91"/>
      <c r="DN149" s="91"/>
      <c r="DO149" s="91"/>
      <c r="DP149" s="91"/>
      <c r="DQ149" s="91"/>
      <c r="DR149" s="91"/>
      <c r="DS149" s="91"/>
      <c r="DT149" s="91"/>
      <c r="DU149" s="91"/>
      <c r="DV149" s="91"/>
      <c r="DW149" s="91"/>
      <c r="DX149" s="91"/>
      <c r="DY149" s="91"/>
      <c r="DZ149" s="91"/>
      <c r="EA149" s="91"/>
      <c r="EB149" s="91"/>
      <c r="EC149" s="91"/>
      <c r="ED149" s="91"/>
      <c r="EE149" s="91"/>
      <c r="EF149" s="91"/>
      <c r="EG149" s="91"/>
      <c r="EH149" s="91"/>
      <c r="EI149" s="91"/>
      <c r="EJ149" s="91"/>
      <c r="EK149" s="91"/>
      <c r="EL149" s="91"/>
      <c r="EM149" s="91"/>
      <c r="EN149" s="91"/>
      <c r="EO149" s="91"/>
      <c r="EP149" s="91"/>
      <c r="EQ149" s="91"/>
      <c r="ER149" s="91"/>
      <c r="ES149" s="91"/>
      <c r="ET149" s="91"/>
      <c r="EU149" s="91"/>
      <c r="EV149" s="91"/>
      <c r="EW149" s="91"/>
      <c r="EX149" s="91"/>
      <c r="EY149" s="91"/>
      <c r="EZ149" s="91"/>
      <c r="FA149" s="91"/>
      <c r="FB149" s="91"/>
      <c r="FC149" s="91"/>
      <c r="FD149" s="91"/>
      <c r="FE149" s="91"/>
      <c r="FF149" s="91"/>
      <c r="FG149" s="91"/>
      <c r="FH149" s="91"/>
      <c r="FI149" s="91"/>
      <c r="FJ149" s="91"/>
      <c r="FK149" s="91"/>
      <c r="FL149" s="91"/>
      <c r="FM149" s="91"/>
      <c r="FN149" s="91"/>
      <c r="FO149" s="91"/>
      <c r="FP149" s="91"/>
      <c r="FQ149" s="91"/>
      <c r="FR149" s="91"/>
      <c r="FS149" s="91"/>
      <c r="FT149" s="91"/>
      <c r="FU149" s="91"/>
      <c r="FV149" s="91"/>
      <c r="FW149" s="91"/>
      <c r="FX149" s="91"/>
      <c r="FY149" s="91"/>
      <c r="FZ149" s="91"/>
      <c r="GA149" s="91"/>
      <c r="GB149" s="91"/>
      <c r="GC149" s="91"/>
      <c r="GD149" s="91"/>
      <c r="GE149" s="91"/>
      <c r="GF149" s="91"/>
      <c r="GG149" s="91"/>
      <c r="GH149" s="91"/>
      <c r="GI149" s="91"/>
      <c r="GJ149" s="91"/>
      <c r="GK149" s="91"/>
      <c r="GL149" s="91"/>
      <c r="GM149" s="91"/>
      <c r="GN149" s="91"/>
      <c r="GO149" s="91"/>
      <c r="GP149" s="91"/>
      <c r="GQ149" s="91"/>
      <c r="GR149" s="91"/>
    </row>
    <row r="150" spans="2:200" x14ac:dyDescent="0.15"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  <c r="AD150" s="91"/>
      <c r="AE150" s="91"/>
      <c r="AF150" s="91"/>
      <c r="AG150" s="91"/>
      <c r="AH150" s="91"/>
      <c r="AI150" s="91"/>
      <c r="AJ150" s="91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C150" s="91"/>
      <c r="BD150" s="91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W150" s="91"/>
      <c r="BX150" s="91"/>
      <c r="BY150" s="91"/>
      <c r="BZ150" s="91"/>
      <c r="CA150" s="91"/>
      <c r="CB150" s="91"/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  <c r="CS150" s="91"/>
      <c r="CT150" s="91"/>
      <c r="CU150" s="91"/>
      <c r="CV150" s="91"/>
      <c r="CW150" s="91"/>
      <c r="CX150" s="91"/>
      <c r="CY150" s="91"/>
      <c r="CZ150" s="91"/>
      <c r="DA150" s="91"/>
      <c r="DB150" s="91"/>
      <c r="DC150" s="91"/>
      <c r="DD150" s="91"/>
      <c r="DE150" s="91"/>
      <c r="DF150" s="91"/>
      <c r="DG150" s="91"/>
      <c r="DH150" s="91"/>
      <c r="DI150" s="91"/>
      <c r="DJ150" s="91"/>
      <c r="DK150" s="91"/>
      <c r="DL150" s="91"/>
      <c r="DM150" s="91"/>
      <c r="DN150" s="91"/>
      <c r="DO150" s="91"/>
      <c r="DP150" s="91"/>
      <c r="DQ150" s="91"/>
      <c r="DR150" s="91"/>
      <c r="DS150" s="91"/>
      <c r="DT150" s="91"/>
      <c r="DU150" s="91"/>
      <c r="DV150" s="91"/>
      <c r="DW150" s="91"/>
      <c r="DX150" s="91"/>
      <c r="DY150" s="91"/>
      <c r="DZ150" s="91"/>
      <c r="EA150" s="91"/>
      <c r="EB150" s="91"/>
      <c r="EC150" s="91"/>
      <c r="ED150" s="91"/>
      <c r="EE150" s="91"/>
      <c r="EF150" s="91"/>
      <c r="EG150" s="91"/>
      <c r="EH150" s="91"/>
      <c r="EI150" s="91"/>
      <c r="EJ150" s="91"/>
      <c r="EK150" s="91"/>
      <c r="EL150" s="91"/>
      <c r="EM150" s="91"/>
      <c r="EN150" s="91"/>
      <c r="EO150" s="91"/>
      <c r="EP150" s="91"/>
      <c r="EQ150" s="91"/>
      <c r="ER150" s="91"/>
      <c r="ES150" s="91"/>
      <c r="ET150" s="91"/>
      <c r="EU150" s="91"/>
      <c r="EV150" s="91"/>
      <c r="EW150" s="91"/>
      <c r="EX150" s="91"/>
      <c r="EY150" s="91"/>
      <c r="EZ150" s="91"/>
      <c r="FA150" s="91"/>
      <c r="FB150" s="91"/>
      <c r="FC150" s="91"/>
      <c r="FD150" s="91"/>
      <c r="FE150" s="91"/>
      <c r="FF150" s="91"/>
      <c r="FG150" s="91"/>
      <c r="FH150" s="91"/>
      <c r="FI150" s="91"/>
      <c r="FJ150" s="91"/>
      <c r="FK150" s="91"/>
      <c r="FL150" s="91"/>
      <c r="FM150" s="91"/>
      <c r="FN150" s="91"/>
      <c r="FO150" s="91"/>
      <c r="FP150" s="91"/>
      <c r="FQ150" s="91"/>
      <c r="FR150" s="91"/>
      <c r="FS150" s="91"/>
      <c r="FT150" s="91"/>
      <c r="FU150" s="91"/>
      <c r="FV150" s="91"/>
      <c r="FW150" s="91"/>
      <c r="FX150" s="91"/>
      <c r="FY150" s="91"/>
      <c r="FZ150" s="91"/>
      <c r="GA150" s="91"/>
      <c r="GB150" s="91"/>
      <c r="GC150" s="91"/>
      <c r="GD150" s="91"/>
      <c r="GE150" s="91"/>
      <c r="GF150" s="91"/>
      <c r="GG150" s="91"/>
      <c r="GH150" s="91"/>
      <c r="GI150" s="91"/>
      <c r="GJ150" s="91"/>
      <c r="GK150" s="91"/>
      <c r="GL150" s="91"/>
      <c r="GM150" s="91"/>
      <c r="GN150" s="91"/>
      <c r="GO150" s="91"/>
      <c r="GP150" s="91"/>
      <c r="GQ150" s="91"/>
      <c r="GR150" s="91"/>
    </row>
    <row r="151" spans="2:200" x14ac:dyDescent="0.15"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  <c r="Z151" s="91"/>
      <c r="AA151" s="91"/>
      <c r="AB151" s="91"/>
      <c r="AC151" s="91"/>
      <c r="AD151" s="91"/>
      <c r="AE151" s="91"/>
      <c r="AF151" s="91"/>
      <c r="AG151" s="91"/>
      <c r="AH151" s="91"/>
      <c r="AI151" s="91"/>
      <c r="AJ151" s="91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C151" s="91"/>
      <c r="BD151" s="91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W151" s="91"/>
      <c r="BX151" s="91"/>
      <c r="BY151" s="91"/>
      <c r="BZ151" s="91"/>
      <c r="CA151" s="91"/>
      <c r="CB151" s="91"/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  <c r="CS151" s="91"/>
      <c r="CT151" s="91"/>
      <c r="CU151" s="91"/>
      <c r="CV151" s="91"/>
      <c r="CW151" s="91"/>
      <c r="CX151" s="91"/>
      <c r="CY151" s="91"/>
      <c r="CZ151" s="91"/>
      <c r="DA151" s="91"/>
      <c r="DB151" s="91"/>
      <c r="DC151" s="91"/>
      <c r="DD151" s="91"/>
      <c r="DE151" s="91"/>
      <c r="DF151" s="91"/>
      <c r="DG151" s="91"/>
      <c r="DH151" s="91"/>
      <c r="DI151" s="91"/>
      <c r="DJ151" s="91"/>
      <c r="DK151" s="91"/>
      <c r="DL151" s="91"/>
      <c r="DM151" s="91"/>
      <c r="DN151" s="91"/>
      <c r="DO151" s="91"/>
      <c r="DP151" s="91"/>
      <c r="DQ151" s="91"/>
      <c r="DR151" s="91"/>
      <c r="DS151" s="91"/>
      <c r="DT151" s="91"/>
      <c r="DU151" s="91"/>
      <c r="DV151" s="91"/>
      <c r="DW151" s="91"/>
      <c r="DX151" s="91"/>
      <c r="DY151" s="91"/>
      <c r="DZ151" s="91"/>
      <c r="EA151" s="91"/>
      <c r="EB151" s="91"/>
      <c r="EC151" s="91"/>
      <c r="ED151" s="91"/>
      <c r="EE151" s="91"/>
      <c r="EF151" s="91"/>
      <c r="EG151" s="91"/>
      <c r="EH151" s="91"/>
      <c r="EI151" s="91"/>
      <c r="EJ151" s="91"/>
      <c r="EK151" s="91"/>
      <c r="EL151" s="91"/>
      <c r="EM151" s="91"/>
      <c r="EN151" s="91"/>
      <c r="EO151" s="91"/>
      <c r="EP151" s="91"/>
      <c r="EQ151" s="91"/>
      <c r="ER151" s="91"/>
      <c r="ES151" s="91"/>
      <c r="ET151" s="91"/>
      <c r="EU151" s="91"/>
      <c r="EV151" s="91"/>
      <c r="EW151" s="91"/>
      <c r="EX151" s="91"/>
      <c r="EY151" s="91"/>
      <c r="EZ151" s="91"/>
      <c r="FA151" s="91"/>
      <c r="FB151" s="91"/>
      <c r="FC151" s="91"/>
      <c r="FD151" s="91"/>
      <c r="FE151" s="91"/>
      <c r="FF151" s="91"/>
      <c r="FG151" s="91"/>
      <c r="FH151" s="91"/>
      <c r="FI151" s="91"/>
      <c r="FJ151" s="91"/>
      <c r="FK151" s="91"/>
      <c r="FL151" s="91"/>
      <c r="FM151" s="91"/>
      <c r="FN151" s="91"/>
      <c r="FO151" s="91"/>
      <c r="FP151" s="91"/>
      <c r="FQ151" s="91"/>
      <c r="FR151" s="91"/>
      <c r="FS151" s="91"/>
      <c r="FT151" s="91"/>
      <c r="FU151" s="91"/>
      <c r="FV151" s="91"/>
      <c r="FW151" s="91"/>
      <c r="FX151" s="91"/>
      <c r="FY151" s="91"/>
      <c r="FZ151" s="91"/>
      <c r="GA151" s="91"/>
      <c r="GB151" s="91"/>
      <c r="GC151" s="91"/>
      <c r="GD151" s="91"/>
      <c r="GE151" s="91"/>
      <c r="GF151" s="91"/>
      <c r="GG151" s="91"/>
      <c r="GH151" s="91"/>
      <c r="GI151" s="91"/>
      <c r="GJ151" s="91"/>
      <c r="GK151" s="91"/>
      <c r="GL151" s="91"/>
      <c r="GM151" s="91"/>
      <c r="GN151" s="91"/>
      <c r="GO151" s="91"/>
      <c r="GP151" s="91"/>
      <c r="GQ151" s="91"/>
      <c r="GR151" s="91"/>
    </row>
    <row r="152" spans="2:200" x14ac:dyDescent="0.15">
      <c r="B152" s="91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  <c r="AA152" s="91"/>
      <c r="AB152" s="91"/>
      <c r="AC152" s="91"/>
      <c r="AD152" s="91"/>
      <c r="AE152" s="91"/>
      <c r="AF152" s="91"/>
      <c r="AG152" s="91"/>
      <c r="AH152" s="91"/>
      <c r="AI152" s="91"/>
      <c r="AJ152" s="91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C152" s="91"/>
      <c r="BD152" s="91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W152" s="91"/>
      <c r="BX152" s="91"/>
      <c r="BY152" s="91"/>
      <c r="BZ152" s="91"/>
      <c r="CA152" s="91"/>
      <c r="CB152" s="91"/>
      <c r="CC152" s="91"/>
      <c r="CD152" s="91"/>
      <c r="CE152" s="91"/>
      <c r="CF152" s="91"/>
      <c r="CG152" s="91"/>
      <c r="CH152" s="91"/>
      <c r="CI152" s="91"/>
      <c r="CJ152" s="91"/>
      <c r="CK152" s="91"/>
      <c r="CL152" s="91"/>
      <c r="CM152" s="91"/>
      <c r="CN152" s="91"/>
      <c r="CO152" s="91"/>
      <c r="CP152" s="91"/>
      <c r="CQ152" s="91"/>
      <c r="CR152" s="91"/>
      <c r="CS152" s="91"/>
      <c r="CT152" s="91"/>
      <c r="CU152" s="91"/>
      <c r="CV152" s="91"/>
      <c r="CW152" s="91"/>
      <c r="CX152" s="91"/>
      <c r="CY152" s="91"/>
      <c r="CZ152" s="91"/>
      <c r="DA152" s="91"/>
      <c r="DB152" s="91"/>
      <c r="DC152" s="91"/>
      <c r="DD152" s="91"/>
      <c r="DE152" s="91"/>
      <c r="DF152" s="91"/>
      <c r="DG152" s="91"/>
      <c r="DH152" s="91"/>
      <c r="DI152" s="91"/>
      <c r="DJ152" s="91"/>
      <c r="DK152" s="91"/>
      <c r="DL152" s="91"/>
      <c r="DM152" s="91"/>
      <c r="DN152" s="91"/>
      <c r="DO152" s="91"/>
      <c r="DP152" s="91"/>
      <c r="DQ152" s="91"/>
      <c r="DR152" s="91"/>
      <c r="DS152" s="91"/>
      <c r="DT152" s="91"/>
      <c r="DU152" s="91"/>
      <c r="DV152" s="91"/>
      <c r="DW152" s="91"/>
      <c r="DX152" s="91"/>
      <c r="DY152" s="91"/>
      <c r="DZ152" s="91"/>
      <c r="EA152" s="91"/>
      <c r="EB152" s="91"/>
      <c r="EC152" s="91"/>
      <c r="ED152" s="91"/>
      <c r="EE152" s="91"/>
      <c r="EF152" s="91"/>
      <c r="EG152" s="91"/>
      <c r="EH152" s="91"/>
      <c r="EI152" s="91"/>
      <c r="EJ152" s="91"/>
      <c r="EK152" s="91"/>
      <c r="EL152" s="91"/>
      <c r="EM152" s="91"/>
      <c r="EN152" s="91"/>
      <c r="EO152" s="91"/>
      <c r="EP152" s="91"/>
      <c r="EQ152" s="91"/>
      <c r="ER152" s="91"/>
      <c r="ES152" s="91"/>
      <c r="ET152" s="91"/>
      <c r="EU152" s="91"/>
      <c r="EV152" s="91"/>
      <c r="EW152" s="91"/>
      <c r="EX152" s="91"/>
      <c r="EY152" s="91"/>
      <c r="EZ152" s="91"/>
      <c r="FA152" s="91"/>
      <c r="FB152" s="91"/>
      <c r="FC152" s="91"/>
      <c r="FD152" s="91"/>
      <c r="FE152" s="91"/>
      <c r="FF152" s="91"/>
      <c r="FG152" s="91"/>
      <c r="FH152" s="91"/>
      <c r="FI152" s="91"/>
      <c r="FJ152" s="91"/>
      <c r="FK152" s="91"/>
      <c r="FL152" s="91"/>
      <c r="FM152" s="91"/>
      <c r="FN152" s="91"/>
      <c r="FO152" s="91"/>
      <c r="FP152" s="91"/>
      <c r="FQ152" s="91"/>
      <c r="FR152" s="91"/>
      <c r="FS152" s="91"/>
      <c r="FT152" s="91"/>
      <c r="FU152" s="91"/>
      <c r="FV152" s="91"/>
      <c r="FW152" s="91"/>
      <c r="FX152" s="91"/>
      <c r="FY152" s="91"/>
      <c r="FZ152" s="91"/>
      <c r="GA152" s="91"/>
      <c r="GB152" s="91"/>
      <c r="GC152" s="91"/>
      <c r="GD152" s="91"/>
      <c r="GE152" s="91"/>
      <c r="GF152" s="91"/>
      <c r="GG152" s="91"/>
      <c r="GH152" s="91"/>
      <c r="GI152" s="91"/>
      <c r="GJ152" s="91"/>
      <c r="GK152" s="91"/>
      <c r="GL152" s="91"/>
      <c r="GM152" s="91"/>
      <c r="GN152" s="91"/>
      <c r="GO152" s="91"/>
      <c r="GP152" s="91"/>
      <c r="GQ152" s="91"/>
      <c r="GR152" s="91"/>
    </row>
    <row r="153" spans="2:200" x14ac:dyDescent="0.15"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  <c r="AA153" s="91"/>
      <c r="AB153" s="91"/>
      <c r="AC153" s="91"/>
      <c r="AD153" s="91"/>
      <c r="AE153" s="91"/>
      <c r="AF153" s="91"/>
      <c r="AG153" s="91"/>
      <c r="AH153" s="91"/>
      <c r="AI153" s="91"/>
      <c r="AJ153" s="91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C153" s="91"/>
      <c r="BD153" s="91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W153" s="91"/>
      <c r="BX153" s="91"/>
      <c r="BY153" s="91"/>
      <c r="BZ153" s="91"/>
      <c r="CA153" s="91"/>
      <c r="CB153" s="91"/>
      <c r="CC153" s="91"/>
      <c r="CD153" s="91"/>
      <c r="CE153" s="91"/>
      <c r="CF153" s="91"/>
      <c r="CG153" s="91"/>
      <c r="CH153" s="91"/>
      <c r="CI153" s="91"/>
      <c r="CJ153" s="91"/>
      <c r="CK153" s="91"/>
      <c r="CL153" s="91"/>
      <c r="CM153" s="91"/>
      <c r="CN153" s="91"/>
      <c r="CO153" s="91"/>
      <c r="CP153" s="91"/>
      <c r="CQ153" s="91"/>
      <c r="CR153" s="91"/>
      <c r="CS153" s="91"/>
      <c r="CT153" s="91"/>
      <c r="CU153" s="91"/>
      <c r="CV153" s="91"/>
      <c r="CW153" s="91"/>
      <c r="CX153" s="91"/>
      <c r="CY153" s="91"/>
      <c r="CZ153" s="91"/>
      <c r="DA153" s="91"/>
      <c r="DB153" s="91"/>
      <c r="DC153" s="91"/>
      <c r="DD153" s="91"/>
      <c r="DE153" s="91"/>
      <c r="DF153" s="91"/>
      <c r="DG153" s="91"/>
      <c r="DH153" s="91"/>
      <c r="DI153" s="91"/>
      <c r="DJ153" s="91"/>
      <c r="DK153" s="91"/>
      <c r="DL153" s="91"/>
      <c r="DM153" s="91"/>
      <c r="DN153" s="91"/>
      <c r="DO153" s="91"/>
      <c r="DP153" s="91"/>
      <c r="DQ153" s="91"/>
      <c r="DR153" s="91"/>
      <c r="DS153" s="91"/>
      <c r="DT153" s="91"/>
      <c r="DU153" s="91"/>
      <c r="DV153" s="91"/>
      <c r="DW153" s="91"/>
      <c r="DX153" s="91"/>
      <c r="DY153" s="91"/>
      <c r="DZ153" s="91"/>
      <c r="EA153" s="91"/>
      <c r="EB153" s="91"/>
      <c r="EC153" s="91"/>
      <c r="ED153" s="91"/>
      <c r="EE153" s="91"/>
      <c r="EF153" s="91"/>
      <c r="EG153" s="91"/>
      <c r="EH153" s="91"/>
      <c r="EI153" s="91"/>
      <c r="EJ153" s="91"/>
      <c r="EK153" s="91"/>
      <c r="EL153" s="91"/>
      <c r="EM153" s="91"/>
      <c r="EN153" s="91"/>
      <c r="EO153" s="91"/>
      <c r="EP153" s="91"/>
      <c r="EQ153" s="91"/>
      <c r="ER153" s="91"/>
      <c r="ES153" s="91"/>
      <c r="ET153" s="91"/>
      <c r="EU153" s="91"/>
      <c r="EV153" s="91"/>
      <c r="EW153" s="91"/>
      <c r="EX153" s="91"/>
      <c r="EY153" s="91"/>
      <c r="EZ153" s="91"/>
      <c r="FA153" s="91"/>
      <c r="FB153" s="91"/>
      <c r="FC153" s="91"/>
      <c r="FD153" s="91"/>
      <c r="FE153" s="91"/>
      <c r="FF153" s="91"/>
      <c r="FG153" s="91"/>
      <c r="FH153" s="91"/>
      <c r="FI153" s="91"/>
      <c r="FJ153" s="91"/>
      <c r="FK153" s="91"/>
      <c r="FL153" s="91"/>
      <c r="FM153" s="91"/>
      <c r="FN153" s="91"/>
      <c r="FO153" s="91"/>
      <c r="FP153" s="91"/>
      <c r="FQ153" s="91"/>
      <c r="FR153" s="91"/>
      <c r="FS153" s="91"/>
      <c r="FT153" s="91"/>
      <c r="FU153" s="91"/>
      <c r="FV153" s="91"/>
      <c r="FW153" s="91"/>
      <c r="FX153" s="91"/>
      <c r="FY153" s="91"/>
      <c r="FZ153" s="91"/>
      <c r="GA153" s="91"/>
      <c r="GB153" s="91"/>
      <c r="GC153" s="91"/>
      <c r="GD153" s="91"/>
      <c r="GE153" s="91"/>
      <c r="GF153" s="91"/>
      <c r="GG153" s="91"/>
      <c r="GH153" s="91"/>
      <c r="GI153" s="91"/>
      <c r="GJ153" s="91"/>
      <c r="GK153" s="91"/>
      <c r="GL153" s="91"/>
      <c r="GM153" s="91"/>
      <c r="GN153" s="91"/>
      <c r="GO153" s="91"/>
      <c r="GP153" s="91"/>
      <c r="GQ153" s="91"/>
      <c r="GR153" s="91"/>
    </row>
    <row r="154" spans="2:200" x14ac:dyDescent="0.15"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  <c r="AA154" s="91"/>
      <c r="AB154" s="91"/>
      <c r="AC154" s="91"/>
      <c r="AD154" s="91"/>
      <c r="AE154" s="91"/>
      <c r="AF154" s="91"/>
      <c r="AG154" s="91"/>
      <c r="AH154" s="91"/>
      <c r="AI154" s="91"/>
      <c r="AJ154" s="91"/>
      <c r="AK154" s="91"/>
      <c r="AL154" s="91"/>
      <c r="AM154" s="91"/>
      <c r="AN154" s="91"/>
      <c r="AO154" s="91"/>
      <c r="AP154" s="91"/>
      <c r="AQ154" s="91"/>
      <c r="AR154" s="91"/>
      <c r="AS154" s="91"/>
      <c r="AT154" s="91"/>
      <c r="AU154" s="91"/>
      <c r="AV154" s="91"/>
      <c r="AW154" s="91"/>
      <c r="AX154" s="91"/>
      <c r="AY154" s="91"/>
      <c r="AZ154" s="91"/>
      <c r="BA154" s="91"/>
      <c r="BB154" s="91"/>
      <c r="BC154" s="91"/>
      <c r="BD154" s="91"/>
      <c r="BE154" s="91"/>
      <c r="BF154" s="91"/>
      <c r="BG154" s="91"/>
      <c r="BH154" s="91"/>
      <c r="BI154" s="91"/>
      <c r="BJ154" s="91"/>
      <c r="BK154" s="91"/>
      <c r="BL154" s="91"/>
      <c r="BM154" s="91"/>
      <c r="BN154" s="91"/>
      <c r="BO154" s="91"/>
      <c r="BP154" s="91"/>
      <c r="BQ154" s="91"/>
      <c r="BR154" s="91"/>
      <c r="BS154" s="91"/>
      <c r="BT154" s="91"/>
      <c r="BU154" s="91"/>
      <c r="BV154" s="91"/>
      <c r="BW154" s="91"/>
      <c r="BX154" s="91"/>
      <c r="BY154" s="91"/>
      <c r="BZ154" s="91"/>
      <c r="CA154" s="91"/>
      <c r="CB154" s="91"/>
      <c r="CC154" s="91"/>
      <c r="CD154" s="91"/>
      <c r="CE154" s="91"/>
      <c r="CF154" s="91"/>
      <c r="CG154" s="91"/>
      <c r="CH154" s="91"/>
      <c r="CI154" s="91"/>
      <c r="CJ154" s="91"/>
      <c r="CK154" s="91"/>
      <c r="CL154" s="91"/>
      <c r="CM154" s="91"/>
      <c r="CN154" s="91"/>
      <c r="CO154" s="91"/>
      <c r="CP154" s="91"/>
      <c r="CQ154" s="91"/>
      <c r="CR154" s="91"/>
      <c r="CS154" s="91"/>
      <c r="CT154" s="91"/>
      <c r="CU154" s="91"/>
      <c r="CV154" s="91"/>
      <c r="CW154" s="91"/>
      <c r="CX154" s="91"/>
      <c r="CY154" s="91"/>
      <c r="CZ154" s="91"/>
      <c r="DA154" s="91"/>
      <c r="DB154" s="91"/>
      <c r="DC154" s="91"/>
      <c r="DD154" s="91"/>
      <c r="DE154" s="91"/>
      <c r="DF154" s="91"/>
      <c r="DG154" s="91"/>
      <c r="DH154" s="91"/>
      <c r="DI154" s="91"/>
      <c r="DJ154" s="91"/>
      <c r="DK154" s="91"/>
      <c r="DL154" s="91"/>
      <c r="DM154" s="91"/>
      <c r="DN154" s="91"/>
      <c r="DO154" s="91"/>
      <c r="DP154" s="91"/>
      <c r="DQ154" s="91"/>
      <c r="DR154" s="91"/>
      <c r="DS154" s="91"/>
      <c r="DT154" s="91"/>
      <c r="DU154" s="91"/>
      <c r="DV154" s="91"/>
      <c r="DW154" s="91"/>
      <c r="DX154" s="91"/>
      <c r="DY154" s="91"/>
      <c r="DZ154" s="91"/>
      <c r="EA154" s="91"/>
      <c r="EB154" s="91"/>
      <c r="EC154" s="91"/>
      <c r="ED154" s="91"/>
      <c r="EE154" s="91"/>
      <c r="EF154" s="91"/>
      <c r="EG154" s="91"/>
      <c r="EH154" s="91"/>
      <c r="EI154" s="91"/>
      <c r="EJ154" s="91"/>
      <c r="EK154" s="91"/>
      <c r="EL154" s="91"/>
      <c r="EM154" s="91"/>
      <c r="EN154" s="91"/>
      <c r="EO154" s="91"/>
      <c r="EP154" s="91"/>
      <c r="EQ154" s="91"/>
      <c r="ER154" s="91"/>
      <c r="ES154" s="91"/>
      <c r="ET154" s="91"/>
      <c r="EU154" s="91"/>
      <c r="EV154" s="91"/>
      <c r="EW154" s="91"/>
      <c r="EX154" s="91"/>
      <c r="EY154" s="91"/>
      <c r="EZ154" s="91"/>
      <c r="FA154" s="91"/>
      <c r="FB154" s="91"/>
      <c r="FC154" s="91"/>
      <c r="FD154" s="91"/>
      <c r="FE154" s="91"/>
      <c r="FF154" s="91"/>
      <c r="FG154" s="91"/>
      <c r="FH154" s="91"/>
      <c r="FI154" s="91"/>
      <c r="FJ154" s="91"/>
      <c r="FK154" s="91"/>
      <c r="FL154" s="91"/>
      <c r="FM154" s="91"/>
      <c r="FN154" s="91"/>
      <c r="FO154" s="91"/>
      <c r="FP154" s="91"/>
      <c r="FQ154" s="91"/>
      <c r="FR154" s="91"/>
      <c r="FS154" s="91"/>
      <c r="FT154" s="91"/>
      <c r="FU154" s="91"/>
      <c r="FV154" s="91"/>
      <c r="FW154" s="91"/>
      <c r="FX154" s="91"/>
      <c r="FY154" s="91"/>
      <c r="FZ154" s="91"/>
      <c r="GA154" s="91"/>
      <c r="GB154" s="91"/>
      <c r="GC154" s="91"/>
      <c r="GD154" s="91"/>
      <c r="GE154" s="91"/>
      <c r="GF154" s="91"/>
      <c r="GG154" s="91"/>
      <c r="GH154" s="91"/>
      <c r="GI154" s="91"/>
      <c r="GJ154" s="91"/>
      <c r="GK154" s="91"/>
      <c r="GL154" s="91"/>
      <c r="GM154" s="91"/>
      <c r="GN154" s="91"/>
      <c r="GO154" s="91"/>
      <c r="GP154" s="91"/>
      <c r="GQ154" s="91"/>
      <c r="GR154" s="91"/>
    </row>
    <row r="155" spans="2:200" x14ac:dyDescent="0.15"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  <c r="AA155" s="91"/>
      <c r="AB155" s="91"/>
      <c r="AC155" s="91"/>
      <c r="AD155" s="91"/>
      <c r="AE155" s="91"/>
      <c r="AF155" s="91"/>
      <c r="AG155" s="91"/>
      <c r="AH155" s="91"/>
      <c r="AI155" s="91"/>
      <c r="AJ155" s="91"/>
      <c r="AK155" s="91"/>
      <c r="AL155" s="91"/>
      <c r="AM155" s="91"/>
      <c r="AN155" s="91"/>
      <c r="AO155" s="91"/>
      <c r="AP155" s="91"/>
      <c r="AQ155" s="91"/>
      <c r="AR155" s="91"/>
      <c r="AS155" s="91"/>
      <c r="AT155" s="91"/>
      <c r="AU155" s="91"/>
      <c r="AV155" s="91"/>
      <c r="AW155" s="91"/>
      <c r="AX155" s="91"/>
      <c r="AY155" s="91"/>
      <c r="AZ155" s="91"/>
      <c r="BA155" s="91"/>
      <c r="BB155" s="91"/>
      <c r="BC155" s="91"/>
      <c r="BD155" s="91"/>
      <c r="BE155" s="91"/>
      <c r="BF155" s="91"/>
      <c r="BG155" s="91"/>
      <c r="BH155" s="91"/>
      <c r="BI155" s="91"/>
      <c r="BJ155" s="91"/>
      <c r="BK155" s="91"/>
      <c r="BL155" s="91"/>
      <c r="BM155" s="91"/>
      <c r="BN155" s="91"/>
      <c r="BO155" s="91"/>
      <c r="BP155" s="91"/>
      <c r="BQ155" s="91"/>
      <c r="BR155" s="91"/>
      <c r="BS155" s="91"/>
      <c r="BT155" s="91"/>
      <c r="BU155" s="91"/>
      <c r="BV155" s="91"/>
      <c r="BW155" s="91"/>
      <c r="BX155" s="91"/>
      <c r="BY155" s="91"/>
      <c r="BZ155" s="91"/>
      <c r="CA155" s="91"/>
      <c r="CB155" s="91"/>
      <c r="CC155" s="91"/>
      <c r="CD155" s="91"/>
      <c r="CE155" s="91"/>
      <c r="CF155" s="91"/>
      <c r="CG155" s="91"/>
      <c r="CH155" s="91"/>
      <c r="CI155" s="91"/>
      <c r="CJ155" s="91"/>
      <c r="CK155" s="91"/>
      <c r="CL155" s="91"/>
      <c r="CM155" s="91"/>
      <c r="CN155" s="91"/>
      <c r="CO155" s="91"/>
      <c r="CP155" s="91"/>
      <c r="CQ155" s="91"/>
      <c r="CR155" s="91"/>
      <c r="CS155" s="91"/>
      <c r="CT155" s="91"/>
      <c r="CU155" s="91"/>
      <c r="CV155" s="91"/>
      <c r="CW155" s="91"/>
      <c r="CX155" s="91"/>
      <c r="CY155" s="91"/>
      <c r="CZ155" s="91"/>
      <c r="DA155" s="91"/>
      <c r="DB155" s="91"/>
      <c r="DC155" s="91"/>
      <c r="DD155" s="91"/>
      <c r="DE155" s="91"/>
      <c r="DF155" s="91"/>
      <c r="DG155" s="91"/>
      <c r="DH155" s="91"/>
      <c r="DI155" s="91"/>
      <c r="DJ155" s="91"/>
      <c r="DK155" s="91"/>
      <c r="DL155" s="91"/>
      <c r="DM155" s="91"/>
      <c r="DN155" s="91"/>
      <c r="DO155" s="91"/>
      <c r="DP155" s="91"/>
      <c r="DQ155" s="91"/>
      <c r="DR155" s="91"/>
      <c r="DS155" s="91"/>
      <c r="DT155" s="91"/>
      <c r="DU155" s="91"/>
      <c r="DV155" s="91"/>
      <c r="DW155" s="91"/>
      <c r="DX155" s="91"/>
      <c r="DY155" s="91"/>
      <c r="DZ155" s="91"/>
      <c r="EA155" s="91"/>
      <c r="EB155" s="91"/>
      <c r="EC155" s="91"/>
      <c r="ED155" s="91"/>
      <c r="EE155" s="91"/>
      <c r="EF155" s="91"/>
      <c r="EG155" s="91"/>
      <c r="EH155" s="91"/>
      <c r="EI155" s="91"/>
      <c r="EJ155" s="91"/>
      <c r="EK155" s="91"/>
      <c r="EL155" s="91"/>
      <c r="EM155" s="91"/>
      <c r="EN155" s="91"/>
      <c r="EO155" s="91"/>
      <c r="EP155" s="91"/>
      <c r="EQ155" s="91"/>
      <c r="ER155" s="91"/>
      <c r="ES155" s="91"/>
      <c r="ET155" s="91"/>
      <c r="EU155" s="91"/>
      <c r="EV155" s="91"/>
      <c r="EW155" s="91"/>
      <c r="EX155" s="91"/>
      <c r="EY155" s="91"/>
      <c r="EZ155" s="91"/>
      <c r="FA155" s="91"/>
      <c r="FB155" s="91"/>
      <c r="FC155" s="91"/>
      <c r="FD155" s="91"/>
      <c r="FE155" s="91"/>
      <c r="FF155" s="91"/>
      <c r="FG155" s="91"/>
      <c r="FH155" s="91"/>
      <c r="FI155" s="91"/>
      <c r="FJ155" s="91"/>
      <c r="FK155" s="91"/>
      <c r="FL155" s="91"/>
      <c r="FM155" s="91"/>
      <c r="FN155" s="91"/>
      <c r="FO155" s="91"/>
      <c r="FP155" s="91"/>
      <c r="FQ155" s="91"/>
      <c r="FR155" s="91"/>
      <c r="FS155" s="91"/>
      <c r="FT155" s="91"/>
      <c r="FU155" s="91"/>
      <c r="FV155" s="91"/>
      <c r="FW155" s="91"/>
      <c r="FX155" s="91"/>
      <c r="FY155" s="91"/>
      <c r="FZ155" s="91"/>
      <c r="GA155" s="91"/>
      <c r="GB155" s="91"/>
      <c r="GC155" s="91"/>
      <c r="GD155" s="91"/>
      <c r="GE155" s="91"/>
      <c r="GF155" s="91"/>
      <c r="GG155" s="91"/>
      <c r="GH155" s="91"/>
      <c r="GI155" s="91"/>
      <c r="GJ155" s="91"/>
      <c r="GK155" s="91"/>
      <c r="GL155" s="91"/>
      <c r="GM155" s="91"/>
      <c r="GN155" s="91"/>
      <c r="GO155" s="91"/>
      <c r="GP155" s="91"/>
      <c r="GQ155" s="91"/>
      <c r="GR155" s="91"/>
    </row>
    <row r="156" spans="2:200" x14ac:dyDescent="0.15"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  <c r="AA156" s="91"/>
      <c r="AB156" s="91"/>
      <c r="AC156" s="91"/>
      <c r="AD156" s="91"/>
      <c r="AE156" s="91"/>
      <c r="AF156" s="91"/>
      <c r="AG156" s="91"/>
      <c r="AH156" s="91"/>
      <c r="AI156" s="91"/>
      <c r="AJ156" s="91"/>
      <c r="AK156" s="91"/>
      <c r="AL156" s="91"/>
      <c r="AM156" s="91"/>
      <c r="AN156" s="91"/>
      <c r="AO156" s="91"/>
      <c r="AP156" s="91"/>
      <c r="AQ156" s="91"/>
      <c r="AR156" s="91"/>
      <c r="AS156" s="91"/>
      <c r="AT156" s="91"/>
      <c r="AU156" s="91"/>
      <c r="AV156" s="91"/>
      <c r="AW156" s="91"/>
      <c r="AX156" s="91"/>
      <c r="AY156" s="91"/>
      <c r="AZ156" s="91"/>
      <c r="BA156" s="91"/>
      <c r="BB156" s="91"/>
      <c r="BC156" s="91"/>
      <c r="BD156" s="91"/>
      <c r="BE156" s="91"/>
      <c r="BF156" s="91"/>
      <c r="BG156" s="91"/>
      <c r="BH156" s="91"/>
      <c r="BI156" s="91"/>
      <c r="BJ156" s="91"/>
      <c r="BK156" s="91"/>
      <c r="BL156" s="91"/>
      <c r="BM156" s="91"/>
      <c r="BN156" s="91"/>
      <c r="BO156" s="91"/>
      <c r="BP156" s="91"/>
      <c r="BQ156" s="91"/>
      <c r="BR156" s="91"/>
      <c r="BS156" s="91"/>
      <c r="BT156" s="91"/>
      <c r="BU156" s="91"/>
      <c r="BV156" s="91"/>
      <c r="BW156" s="91"/>
      <c r="BX156" s="91"/>
      <c r="BY156" s="91"/>
      <c r="BZ156" s="91"/>
      <c r="CA156" s="91"/>
      <c r="CB156" s="91"/>
      <c r="CC156" s="91"/>
      <c r="CD156" s="91"/>
      <c r="CE156" s="91"/>
      <c r="CF156" s="91"/>
      <c r="CG156" s="91"/>
      <c r="CH156" s="91"/>
      <c r="CI156" s="91"/>
      <c r="CJ156" s="91"/>
      <c r="CK156" s="91"/>
      <c r="CL156" s="91"/>
      <c r="CM156" s="91"/>
      <c r="CN156" s="91"/>
      <c r="CO156" s="91"/>
      <c r="CP156" s="91"/>
      <c r="CQ156" s="91"/>
      <c r="CR156" s="91"/>
      <c r="CS156" s="91"/>
      <c r="CT156" s="91"/>
      <c r="CU156" s="91"/>
      <c r="CV156" s="91"/>
      <c r="CW156" s="91"/>
      <c r="CX156" s="91"/>
      <c r="CY156" s="91"/>
      <c r="CZ156" s="91"/>
      <c r="DA156" s="91"/>
      <c r="DB156" s="91"/>
      <c r="DC156" s="91"/>
      <c r="DD156" s="91"/>
      <c r="DE156" s="91"/>
      <c r="DF156" s="91"/>
      <c r="DG156" s="91"/>
      <c r="DH156" s="91"/>
      <c r="DI156" s="91"/>
      <c r="DJ156" s="91"/>
      <c r="DK156" s="91"/>
      <c r="DL156" s="91"/>
      <c r="DM156" s="91"/>
      <c r="DN156" s="91"/>
      <c r="DO156" s="91"/>
      <c r="DP156" s="91"/>
      <c r="DQ156" s="91"/>
      <c r="DR156" s="91"/>
      <c r="DS156" s="91"/>
      <c r="DT156" s="91"/>
      <c r="DU156" s="91"/>
      <c r="DV156" s="91"/>
      <c r="DW156" s="91"/>
      <c r="DX156" s="91"/>
      <c r="DY156" s="91"/>
      <c r="DZ156" s="91"/>
      <c r="EA156" s="91"/>
      <c r="EB156" s="91"/>
      <c r="EC156" s="91"/>
      <c r="ED156" s="91"/>
      <c r="EE156" s="91"/>
      <c r="EF156" s="91"/>
      <c r="EG156" s="91"/>
      <c r="EH156" s="91"/>
      <c r="EI156" s="91"/>
      <c r="EJ156" s="91"/>
      <c r="EK156" s="91"/>
      <c r="EL156" s="91"/>
      <c r="EM156" s="91"/>
      <c r="EN156" s="91"/>
      <c r="EO156" s="91"/>
      <c r="EP156" s="91"/>
      <c r="EQ156" s="91"/>
      <c r="ER156" s="91"/>
      <c r="ES156" s="91"/>
      <c r="ET156" s="91"/>
      <c r="EU156" s="91"/>
      <c r="EV156" s="91"/>
      <c r="EW156" s="91"/>
      <c r="EX156" s="91"/>
      <c r="EY156" s="91"/>
      <c r="EZ156" s="91"/>
      <c r="FA156" s="91"/>
      <c r="FB156" s="91"/>
      <c r="FC156" s="91"/>
      <c r="FD156" s="91"/>
      <c r="FE156" s="91"/>
      <c r="FF156" s="91"/>
      <c r="FG156" s="91"/>
      <c r="FH156" s="91"/>
      <c r="FI156" s="91"/>
      <c r="FJ156" s="91"/>
      <c r="FK156" s="91"/>
      <c r="FL156" s="91"/>
      <c r="FM156" s="91"/>
      <c r="FN156" s="91"/>
      <c r="FO156" s="91"/>
      <c r="FP156" s="91"/>
      <c r="FQ156" s="91"/>
      <c r="FR156" s="91"/>
      <c r="FS156" s="91"/>
      <c r="FT156" s="91"/>
      <c r="FU156" s="91"/>
      <c r="FV156" s="91"/>
      <c r="FW156" s="91"/>
      <c r="FX156" s="91"/>
      <c r="FY156" s="91"/>
      <c r="FZ156" s="91"/>
      <c r="GA156" s="91"/>
      <c r="GB156" s="91"/>
      <c r="GC156" s="91"/>
      <c r="GD156" s="91"/>
      <c r="GE156" s="91"/>
      <c r="GF156" s="91"/>
      <c r="GG156" s="91"/>
      <c r="GH156" s="91"/>
      <c r="GI156" s="91"/>
      <c r="GJ156" s="91"/>
      <c r="GK156" s="91"/>
      <c r="GL156" s="91"/>
      <c r="GM156" s="91"/>
      <c r="GN156" s="91"/>
      <c r="GO156" s="91"/>
      <c r="GP156" s="91"/>
      <c r="GQ156" s="91"/>
      <c r="GR156" s="91"/>
    </row>
    <row r="157" spans="2:200" x14ac:dyDescent="0.15"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  <c r="AD157" s="91"/>
      <c r="AE157" s="91"/>
      <c r="AF157" s="91"/>
      <c r="AG157" s="91"/>
      <c r="AH157" s="91"/>
      <c r="AI157" s="91"/>
      <c r="AJ157" s="91"/>
      <c r="AK157" s="91"/>
      <c r="AL157" s="91"/>
      <c r="AM157" s="91"/>
      <c r="AN157" s="91"/>
      <c r="AO157" s="91"/>
      <c r="AP157" s="91"/>
      <c r="AQ157" s="91"/>
      <c r="AR157" s="91"/>
      <c r="AS157" s="91"/>
      <c r="AT157" s="91"/>
      <c r="AU157" s="91"/>
      <c r="AV157" s="91"/>
      <c r="AW157" s="91"/>
      <c r="AX157" s="91"/>
      <c r="AY157" s="91"/>
      <c r="AZ157" s="91"/>
      <c r="BA157" s="91"/>
      <c r="BB157" s="91"/>
      <c r="BC157" s="91"/>
      <c r="BD157" s="91"/>
      <c r="BE157" s="91"/>
      <c r="BF157" s="91"/>
      <c r="BG157" s="91"/>
      <c r="BH157" s="91"/>
      <c r="BI157" s="91"/>
      <c r="BJ157" s="91"/>
      <c r="BK157" s="91"/>
      <c r="BL157" s="91"/>
      <c r="BM157" s="91"/>
      <c r="BN157" s="91"/>
      <c r="BO157" s="91"/>
      <c r="BP157" s="91"/>
      <c r="BQ157" s="91"/>
      <c r="BR157" s="91"/>
      <c r="BS157" s="91"/>
      <c r="BT157" s="91"/>
      <c r="BU157" s="91"/>
      <c r="BV157" s="91"/>
      <c r="BW157" s="91"/>
      <c r="BX157" s="91"/>
      <c r="BY157" s="91"/>
      <c r="BZ157" s="91"/>
      <c r="CA157" s="91"/>
      <c r="CB157" s="91"/>
      <c r="CC157" s="91"/>
      <c r="CD157" s="91"/>
      <c r="CE157" s="91"/>
      <c r="CF157" s="91"/>
      <c r="CG157" s="91"/>
      <c r="CH157" s="91"/>
      <c r="CI157" s="91"/>
      <c r="CJ157" s="91"/>
      <c r="CK157" s="91"/>
      <c r="CL157" s="91"/>
      <c r="CM157" s="91"/>
      <c r="CN157" s="91"/>
      <c r="CO157" s="91"/>
      <c r="CP157" s="91"/>
      <c r="CQ157" s="91"/>
      <c r="CR157" s="91"/>
      <c r="CS157" s="91"/>
      <c r="CT157" s="91"/>
      <c r="CU157" s="91"/>
      <c r="CV157" s="91"/>
      <c r="CW157" s="91"/>
      <c r="CX157" s="91"/>
      <c r="CY157" s="91"/>
      <c r="CZ157" s="91"/>
      <c r="DA157" s="91"/>
      <c r="DB157" s="91"/>
      <c r="DC157" s="91"/>
      <c r="DD157" s="91"/>
      <c r="DE157" s="91"/>
      <c r="DF157" s="91"/>
      <c r="DG157" s="91"/>
      <c r="DH157" s="91"/>
      <c r="DI157" s="91"/>
      <c r="DJ157" s="91"/>
      <c r="DK157" s="91"/>
      <c r="DL157" s="91"/>
      <c r="DM157" s="91"/>
      <c r="DN157" s="91"/>
      <c r="DO157" s="91"/>
      <c r="DP157" s="91"/>
      <c r="DQ157" s="91"/>
      <c r="DR157" s="91"/>
      <c r="DS157" s="91"/>
      <c r="DT157" s="91"/>
      <c r="DU157" s="91"/>
      <c r="DV157" s="91"/>
      <c r="DW157" s="91"/>
      <c r="DX157" s="91"/>
      <c r="DY157" s="91"/>
      <c r="DZ157" s="91"/>
      <c r="EA157" s="91"/>
      <c r="EB157" s="91"/>
      <c r="EC157" s="91"/>
      <c r="ED157" s="91"/>
      <c r="EE157" s="91"/>
      <c r="EF157" s="91"/>
      <c r="EG157" s="91"/>
      <c r="EH157" s="91"/>
      <c r="EI157" s="91"/>
      <c r="EJ157" s="91"/>
      <c r="EK157" s="91"/>
      <c r="EL157" s="91"/>
      <c r="EM157" s="91"/>
      <c r="EN157" s="91"/>
      <c r="EO157" s="91"/>
      <c r="EP157" s="91"/>
      <c r="EQ157" s="91"/>
      <c r="ER157" s="91"/>
      <c r="ES157" s="91"/>
      <c r="ET157" s="91"/>
      <c r="EU157" s="91"/>
      <c r="EV157" s="91"/>
      <c r="EW157" s="91"/>
      <c r="EX157" s="91"/>
      <c r="EY157" s="91"/>
      <c r="EZ157" s="91"/>
      <c r="FA157" s="91"/>
      <c r="FB157" s="91"/>
      <c r="FC157" s="91"/>
      <c r="FD157" s="91"/>
      <c r="FE157" s="91"/>
      <c r="FF157" s="91"/>
      <c r="FG157" s="91"/>
      <c r="FH157" s="91"/>
      <c r="FI157" s="91"/>
      <c r="FJ157" s="91"/>
      <c r="FK157" s="91"/>
      <c r="FL157" s="91"/>
      <c r="FM157" s="91"/>
      <c r="FN157" s="91"/>
      <c r="FO157" s="91"/>
      <c r="FP157" s="91"/>
      <c r="FQ157" s="91"/>
      <c r="FR157" s="91"/>
      <c r="FS157" s="91"/>
      <c r="FT157" s="91"/>
      <c r="FU157" s="91"/>
      <c r="FV157" s="91"/>
      <c r="FW157" s="91"/>
      <c r="FX157" s="91"/>
      <c r="FY157" s="91"/>
      <c r="FZ157" s="91"/>
      <c r="GA157" s="91"/>
      <c r="GB157" s="91"/>
      <c r="GC157" s="91"/>
      <c r="GD157" s="91"/>
      <c r="GE157" s="91"/>
      <c r="GF157" s="91"/>
      <c r="GG157" s="91"/>
      <c r="GH157" s="91"/>
      <c r="GI157" s="91"/>
      <c r="GJ157" s="91"/>
      <c r="GK157" s="91"/>
      <c r="GL157" s="91"/>
      <c r="GM157" s="91"/>
      <c r="GN157" s="91"/>
      <c r="GO157" s="91"/>
      <c r="GP157" s="91"/>
      <c r="GQ157" s="91"/>
      <c r="GR157" s="91"/>
    </row>
    <row r="158" spans="2:200" x14ac:dyDescent="0.15"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  <c r="Z158" s="91"/>
      <c r="AA158" s="91"/>
      <c r="AB158" s="91"/>
      <c r="AC158" s="91"/>
      <c r="AD158" s="91"/>
      <c r="AE158" s="91"/>
      <c r="AF158" s="91"/>
      <c r="AG158" s="91"/>
      <c r="AH158" s="91"/>
      <c r="AI158" s="91"/>
      <c r="AJ158" s="91"/>
      <c r="AK158" s="91"/>
      <c r="AL158" s="91"/>
      <c r="AM158" s="91"/>
      <c r="AN158" s="91"/>
      <c r="AO158" s="91"/>
      <c r="AP158" s="91"/>
      <c r="AQ158" s="91"/>
      <c r="AR158" s="91"/>
      <c r="AS158" s="91"/>
      <c r="AT158" s="91"/>
      <c r="AU158" s="91"/>
      <c r="AV158" s="91"/>
      <c r="AW158" s="91"/>
      <c r="AX158" s="91"/>
      <c r="AY158" s="91"/>
      <c r="AZ158" s="91"/>
      <c r="BA158" s="91"/>
      <c r="BB158" s="91"/>
      <c r="BC158" s="91"/>
      <c r="BD158" s="91"/>
      <c r="BE158" s="91"/>
      <c r="BF158" s="91"/>
      <c r="BG158" s="91"/>
      <c r="BH158" s="91"/>
      <c r="BI158" s="91"/>
      <c r="BJ158" s="91"/>
      <c r="BK158" s="91"/>
      <c r="BL158" s="91"/>
      <c r="BM158" s="91"/>
      <c r="BN158" s="91"/>
      <c r="BO158" s="91"/>
      <c r="BP158" s="91"/>
      <c r="BQ158" s="91"/>
      <c r="BR158" s="91"/>
      <c r="BS158" s="91"/>
      <c r="BT158" s="91"/>
      <c r="BU158" s="91"/>
      <c r="BV158" s="91"/>
      <c r="BW158" s="91"/>
      <c r="BX158" s="91"/>
      <c r="BY158" s="91"/>
      <c r="BZ158" s="91"/>
      <c r="CA158" s="91"/>
      <c r="CB158" s="91"/>
      <c r="CC158" s="91"/>
      <c r="CD158" s="91"/>
      <c r="CE158" s="91"/>
      <c r="CF158" s="91"/>
      <c r="CG158" s="91"/>
      <c r="CH158" s="91"/>
      <c r="CI158" s="91"/>
      <c r="CJ158" s="91"/>
      <c r="CK158" s="91"/>
      <c r="CL158" s="91"/>
      <c r="CM158" s="91"/>
      <c r="CN158" s="91"/>
      <c r="CO158" s="91"/>
      <c r="CP158" s="91"/>
      <c r="CQ158" s="91"/>
      <c r="CR158" s="91"/>
      <c r="CS158" s="91"/>
      <c r="CT158" s="91"/>
      <c r="CU158" s="91"/>
      <c r="CV158" s="91"/>
      <c r="CW158" s="91"/>
      <c r="CX158" s="91"/>
      <c r="CY158" s="91"/>
      <c r="CZ158" s="91"/>
      <c r="DA158" s="91"/>
      <c r="DB158" s="91"/>
      <c r="DC158" s="91"/>
      <c r="DD158" s="91"/>
      <c r="DE158" s="91"/>
      <c r="DF158" s="91"/>
      <c r="DG158" s="91"/>
      <c r="DH158" s="91"/>
      <c r="DI158" s="91"/>
      <c r="DJ158" s="91"/>
      <c r="DK158" s="91"/>
      <c r="DL158" s="91"/>
      <c r="DM158" s="91"/>
      <c r="DN158" s="91"/>
      <c r="DO158" s="91"/>
      <c r="DP158" s="91"/>
      <c r="DQ158" s="91"/>
      <c r="DR158" s="91"/>
      <c r="DS158" s="91"/>
      <c r="DT158" s="91"/>
      <c r="DU158" s="91"/>
      <c r="DV158" s="91"/>
      <c r="DW158" s="91"/>
      <c r="DX158" s="91"/>
      <c r="DY158" s="91"/>
      <c r="DZ158" s="91"/>
      <c r="EA158" s="91"/>
      <c r="EB158" s="91"/>
      <c r="EC158" s="91"/>
      <c r="ED158" s="91"/>
      <c r="EE158" s="91"/>
      <c r="EF158" s="91"/>
      <c r="EG158" s="91"/>
      <c r="EH158" s="91"/>
      <c r="EI158" s="91"/>
      <c r="EJ158" s="91"/>
      <c r="EK158" s="91"/>
      <c r="EL158" s="91"/>
      <c r="EM158" s="91"/>
      <c r="EN158" s="91"/>
      <c r="EO158" s="91"/>
      <c r="EP158" s="91"/>
      <c r="EQ158" s="91"/>
      <c r="ER158" s="91"/>
      <c r="ES158" s="91"/>
      <c r="ET158" s="91"/>
      <c r="EU158" s="91"/>
      <c r="EV158" s="91"/>
      <c r="EW158" s="91"/>
      <c r="EX158" s="91"/>
      <c r="EY158" s="91"/>
      <c r="EZ158" s="91"/>
      <c r="FA158" s="91"/>
      <c r="FB158" s="91"/>
      <c r="FC158" s="91"/>
      <c r="FD158" s="91"/>
      <c r="FE158" s="91"/>
      <c r="FF158" s="91"/>
      <c r="FG158" s="91"/>
      <c r="FH158" s="91"/>
      <c r="FI158" s="91"/>
      <c r="FJ158" s="91"/>
      <c r="FK158" s="91"/>
      <c r="FL158" s="91"/>
      <c r="FM158" s="91"/>
      <c r="FN158" s="91"/>
      <c r="FO158" s="91"/>
      <c r="FP158" s="91"/>
      <c r="FQ158" s="91"/>
      <c r="FR158" s="91"/>
      <c r="FS158" s="91"/>
      <c r="FT158" s="91"/>
      <c r="FU158" s="91"/>
      <c r="FV158" s="91"/>
      <c r="FW158" s="91"/>
      <c r="FX158" s="91"/>
      <c r="FY158" s="91"/>
      <c r="FZ158" s="91"/>
      <c r="GA158" s="91"/>
      <c r="GB158" s="91"/>
      <c r="GC158" s="91"/>
      <c r="GD158" s="91"/>
      <c r="GE158" s="91"/>
      <c r="GF158" s="91"/>
      <c r="GG158" s="91"/>
      <c r="GH158" s="91"/>
      <c r="GI158" s="91"/>
      <c r="GJ158" s="91"/>
      <c r="GK158" s="91"/>
      <c r="GL158" s="91"/>
      <c r="GM158" s="91"/>
      <c r="GN158" s="91"/>
      <c r="GO158" s="91"/>
      <c r="GP158" s="91"/>
      <c r="GQ158" s="91"/>
      <c r="GR158" s="91"/>
    </row>
    <row r="159" spans="2:200" x14ac:dyDescent="0.15"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  <c r="AA159" s="91"/>
      <c r="AB159" s="91"/>
      <c r="AC159" s="91"/>
      <c r="AD159" s="91"/>
      <c r="AE159" s="91"/>
      <c r="AF159" s="91"/>
      <c r="AG159" s="91"/>
      <c r="AH159" s="91"/>
      <c r="AI159" s="91"/>
      <c r="AJ159" s="91"/>
      <c r="AK159" s="91"/>
      <c r="AL159" s="91"/>
      <c r="AM159" s="91"/>
      <c r="AN159" s="91"/>
      <c r="AO159" s="91"/>
      <c r="AP159" s="91"/>
      <c r="AQ159" s="91"/>
      <c r="AR159" s="91"/>
      <c r="AS159" s="91"/>
      <c r="AT159" s="91"/>
      <c r="AU159" s="91"/>
      <c r="AV159" s="91"/>
      <c r="AW159" s="91"/>
      <c r="AX159" s="91"/>
      <c r="AY159" s="91"/>
      <c r="AZ159" s="91"/>
      <c r="BA159" s="91"/>
      <c r="BB159" s="91"/>
      <c r="BC159" s="91"/>
      <c r="BD159" s="91"/>
      <c r="BE159" s="91"/>
      <c r="BF159" s="91"/>
      <c r="BG159" s="91"/>
      <c r="BH159" s="91"/>
      <c r="BI159" s="91"/>
      <c r="BJ159" s="91"/>
      <c r="BK159" s="91"/>
      <c r="BL159" s="91"/>
      <c r="BM159" s="91"/>
      <c r="BN159" s="91"/>
      <c r="BO159" s="91"/>
      <c r="BP159" s="91"/>
      <c r="BQ159" s="91"/>
      <c r="BR159" s="91"/>
      <c r="BS159" s="91"/>
      <c r="BT159" s="91"/>
      <c r="BU159" s="91"/>
      <c r="BV159" s="91"/>
      <c r="BW159" s="91"/>
      <c r="BX159" s="91"/>
      <c r="BY159" s="91"/>
      <c r="BZ159" s="91"/>
      <c r="CA159" s="91"/>
      <c r="CB159" s="91"/>
      <c r="CC159" s="91"/>
      <c r="CD159" s="91"/>
      <c r="CE159" s="91"/>
      <c r="CF159" s="91"/>
      <c r="CG159" s="91"/>
      <c r="CH159" s="91"/>
      <c r="CI159" s="91"/>
      <c r="CJ159" s="91"/>
      <c r="CK159" s="91"/>
      <c r="CL159" s="91"/>
      <c r="CM159" s="91"/>
      <c r="CN159" s="91"/>
      <c r="CO159" s="91"/>
      <c r="CP159" s="91"/>
      <c r="CQ159" s="91"/>
      <c r="CR159" s="91"/>
      <c r="CS159" s="91"/>
      <c r="CT159" s="91"/>
      <c r="CU159" s="91"/>
      <c r="CV159" s="91"/>
      <c r="CW159" s="91"/>
      <c r="CX159" s="91"/>
      <c r="CY159" s="91"/>
      <c r="CZ159" s="91"/>
      <c r="DA159" s="91"/>
      <c r="DB159" s="91"/>
      <c r="DC159" s="91"/>
      <c r="DD159" s="91"/>
      <c r="DE159" s="91"/>
      <c r="DF159" s="91"/>
      <c r="DG159" s="91"/>
      <c r="DH159" s="91"/>
      <c r="DI159" s="91"/>
      <c r="DJ159" s="91"/>
      <c r="DK159" s="91"/>
      <c r="DL159" s="91"/>
      <c r="DM159" s="91"/>
      <c r="DN159" s="91"/>
      <c r="DO159" s="91"/>
      <c r="DP159" s="91"/>
      <c r="DQ159" s="91"/>
      <c r="DR159" s="91"/>
      <c r="DS159" s="91"/>
      <c r="DT159" s="91"/>
      <c r="DU159" s="91"/>
      <c r="DV159" s="91"/>
      <c r="DW159" s="91"/>
      <c r="DX159" s="91"/>
      <c r="DY159" s="91"/>
      <c r="DZ159" s="91"/>
      <c r="EA159" s="91"/>
      <c r="EB159" s="91"/>
      <c r="EC159" s="91"/>
      <c r="ED159" s="91"/>
      <c r="EE159" s="91"/>
      <c r="EF159" s="91"/>
      <c r="EG159" s="91"/>
      <c r="EH159" s="91"/>
      <c r="EI159" s="91"/>
      <c r="EJ159" s="91"/>
      <c r="EK159" s="91"/>
      <c r="EL159" s="91"/>
      <c r="EM159" s="91"/>
      <c r="EN159" s="91"/>
      <c r="EO159" s="91"/>
      <c r="EP159" s="91"/>
      <c r="EQ159" s="91"/>
      <c r="ER159" s="91"/>
      <c r="ES159" s="91"/>
      <c r="ET159" s="91"/>
      <c r="EU159" s="91"/>
      <c r="EV159" s="91"/>
      <c r="EW159" s="91"/>
      <c r="EX159" s="91"/>
      <c r="EY159" s="91"/>
      <c r="EZ159" s="91"/>
      <c r="FA159" s="91"/>
      <c r="FB159" s="91"/>
      <c r="FC159" s="91"/>
      <c r="FD159" s="91"/>
      <c r="FE159" s="91"/>
      <c r="FF159" s="91"/>
      <c r="FG159" s="91"/>
      <c r="FH159" s="91"/>
      <c r="FI159" s="91"/>
      <c r="FJ159" s="91"/>
      <c r="FK159" s="91"/>
      <c r="FL159" s="91"/>
      <c r="FM159" s="91"/>
      <c r="FN159" s="91"/>
      <c r="FO159" s="91"/>
      <c r="FP159" s="91"/>
      <c r="FQ159" s="91"/>
      <c r="FR159" s="91"/>
      <c r="FS159" s="91"/>
      <c r="FT159" s="91"/>
      <c r="FU159" s="91"/>
      <c r="FV159" s="91"/>
      <c r="FW159" s="91"/>
      <c r="FX159" s="91"/>
      <c r="FY159" s="91"/>
      <c r="FZ159" s="91"/>
      <c r="GA159" s="91"/>
      <c r="GB159" s="91"/>
      <c r="GC159" s="91"/>
      <c r="GD159" s="91"/>
      <c r="GE159" s="91"/>
      <c r="GF159" s="91"/>
      <c r="GG159" s="91"/>
      <c r="GH159" s="91"/>
      <c r="GI159" s="91"/>
      <c r="GJ159" s="91"/>
      <c r="GK159" s="91"/>
      <c r="GL159" s="91"/>
      <c r="GM159" s="91"/>
      <c r="GN159" s="91"/>
      <c r="GO159" s="91"/>
      <c r="GP159" s="91"/>
      <c r="GQ159" s="91"/>
      <c r="GR159" s="91"/>
    </row>
    <row r="160" spans="2:200" x14ac:dyDescent="0.15"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  <c r="AA160" s="91"/>
      <c r="AB160" s="91"/>
      <c r="AC160" s="91"/>
      <c r="AD160" s="91"/>
      <c r="AE160" s="91"/>
      <c r="AF160" s="91"/>
      <c r="AG160" s="91"/>
      <c r="AH160" s="91"/>
      <c r="AI160" s="91"/>
      <c r="AJ160" s="91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C160" s="91"/>
      <c r="BD160" s="91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W160" s="91"/>
      <c r="BX160" s="91"/>
      <c r="BY160" s="91"/>
      <c r="BZ160" s="91"/>
      <c r="CA160" s="91"/>
      <c r="CB160" s="91"/>
      <c r="CC160" s="91"/>
      <c r="CD160" s="91"/>
      <c r="CE160" s="91"/>
      <c r="CF160" s="91"/>
      <c r="CG160" s="91"/>
      <c r="CH160" s="91"/>
      <c r="CI160" s="91"/>
      <c r="CJ160" s="91"/>
      <c r="CK160" s="91"/>
      <c r="CL160" s="91"/>
      <c r="CM160" s="91"/>
      <c r="CN160" s="91"/>
      <c r="CO160" s="91"/>
      <c r="CP160" s="91"/>
      <c r="CQ160" s="91"/>
      <c r="CR160" s="91"/>
      <c r="CS160" s="91"/>
      <c r="CT160" s="91"/>
      <c r="CU160" s="91"/>
      <c r="CV160" s="91"/>
      <c r="CW160" s="91"/>
      <c r="CX160" s="91"/>
      <c r="CY160" s="91"/>
      <c r="CZ160" s="91"/>
      <c r="DA160" s="91"/>
      <c r="DB160" s="91"/>
      <c r="DC160" s="91"/>
      <c r="DD160" s="91"/>
      <c r="DE160" s="91"/>
      <c r="DF160" s="91"/>
      <c r="DG160" s="91"/>
      <c r="DH160" s="91"/>
      <c r="DI160" s="91"/>
      <c r="DJ160" s="91"/>
      <c r="DK160" s="91"/>
      <c r="DL160" s="91"/>
      <c r="DM160" s="91"/>
      <c r="DN160" s="91"/>
      <c r="DO160" s="91"/>
      <c r="DP160" s="91"/>
      <c r="DQ160" s="91"/>
      <c r="DR160" s="91"/>
      <c r="DS160" s="91"/>
      <c r="DT160" s="91"/>
      <c r="DU160" s="91"/>
      <c r="DV160" s="91"/>
      <c r="DW160" s="91"/>
      <c r="DX160" s="91"/>
      <c r="DY160" s="91"/>
      <c r="DZ160" s="91"/>
      <c r="EA160" s="91"/>
      <c r="EB160" s="91"/>
      <c r="EC160" s="91"/>
      <c r="ED160" s="91"/>
      <c r="EE160" s="91"/>
      <c r="EF160" s="91"/>
      <c r="EG160" s="91"/>
      <c r="EH160" s="91"/>
      <c r="EI160" s="91"/>
      <c r="EJ160" s="91"/>
      <c r="EK160" s="91"/>
      <c r="EL160" s="91"/>
      <c r="EM160" s="91"/>
      <c r="EN160" s="91"/>
      <c r="EO160" s="91"/>
      <c r="EP160" s="91"/>
      <c r="EQ160" s="91"/>
      <c r="ER160" s="91"/>
      <c r="ES160" s="91"/>
      <c r="ET160" s="91"/>
      <c r="EU160" s="91"/>
      <c r="EV160" s="91"/>
      <c r="EW160" s="91"/>
      <c r="EX160" s="91"/>
      <c r="EY160" s="91"/>
      <c r="EZ160" s="91"/>
      <c r="FA160" s="91"/>
      <c r="FB160" s="91"/>
      <c r="FC160" s="91"/>
      <c r="FD160" s="91"/>
      <c r="FE160" s="91"/>
      <c r="FF160" s="91"/>
      <c r="FG160" s="91"/>
      <c r="FH160" s="91"/>
      <c r="FI160" s="91"/>
      <c r="FJ160" s="91"/>
      <c r="FK160" s="91"/>
      <c r="FL160" s="91"/>
      <c r="FM160" s="91"/>
      <c r="FN160" s="91"/>
      <c r="FO160" s="91"/>
      <c r="FP160" s="91"/>
      <c r="FQ160" s="91"/>
      <c r="FR160" s="91"/>
      <c r="FS160" s="91"/>
      <c r="FT160" s="91"/>
      <c r="FU160" s="91"/>
      <c r="FV160" s="91"/>
      <c r="FW160" s="91"/>
      <c r="FX160" s="91"/>
      <c r="FY160" s="91"/>
      <c r="FZ160" s="91"/>
      <c r="GA160" s="91"/>
      <c r="GB160" s="91"/>
      <c r="GC160" s="91"/>
      <c r="GD160" s="91"/>
      <c r="GE160" s="91"/>
      <c r="GF160" s="91"/>
      <c r="GG160" s="91"/>
      <c r="GH160" s="91"/>
      <c r="GI160" s="91"/>
      <c r="GJ160" s="91"/>
      <c r="GK160" s="91"/>
      <c r="GL160" s="91"/>
      <c r="GM160" s="91"/>
      <c r="GN160" s="91"/>
      <c r="GO160" s="91"/>
      <c r="GP160" s="91"/>
      <c r="GQ160" s="91"/>
      <c r="GR160" s="91"/>
    </row>
    <row r="161" spans="2:200" x14ac:dyDescent="0.15"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C161" s="91"/>
      <c r="BD161" s="91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W161" s="91"/>
      <c r="BX161" s="91"/>
      <c r="BY161" s="91"/>
      <c r="BZ161" s="91"/>
      <c r="CA161" s="91"/>
      <c r="CB161" s="91"/>
      <c r="CC161" s="91"/>
      <c r="CD161" s="91"/>
      <c r="CE161" s="91"/>
      <c r="CF161" s="91"/>
      <c r="CG161" s="91"/>
      <c r="CH161" s="91"/>
      <c r="CI161" s="91"/>
      <c r="CJ161" s="91"/>
      <c r="CK161" s="91"/>
      <c r="CL161" s="91"/>
      <c r="CM161" s="91"/>
      <c r="CN161" s="91"/>
      <c r="CO161" s="91"/>
      <c r="CP161" s="91"/>
      <c r="CQ161" s="91"/>
      <c r="CR161" s="91"/>
      <c r="CS161" s="91"/>
      <c r="CT161" s="91"/>
      <c r="CU161" s="91"/>
      <c r="CV161" s="91"/>
      <c r="CW161" s="91"/>
      <c r="CX161" s="91"/>
      <c r="CY161" s="91"/>
      <c r="CZ161" s="91"/>
      <c r="DA161" s="91"/>
      <c r="DB161" s="91"/>
      <c r="DC161" s="91"/>
      <c r="DD161" s="91"/>
      <c r="DE161" s="91"/>
      <c r="DF161" s="91"/>
      <c r="DG161" s="91"/>
      <c r="DH161" s="91"/>
      <c r="DI161" s="91"/>
      <c r="DJ161" s="91"/>
      <c r="DK161" s="91"/>
      <c r="DL161" s="91"/>
      <c r="DM161" s="91"/>
      <c r="DN161" s="91"/>
      <c r="DO161" s="91"/>
      <c r="DP161" s="91"/>
      <c r="DQ161" s="91"/>
      <c r="DR161" s="91"/>
      <c r="DS161" s="91"/>
      <c r="DT161" s="91"/>
      <c r="DU161" s="91"/>
      <c r="DV161" s="91"/>
      <c r="DW161" s="91"/>
      <c r="DX161" s="91"/>
      <c r="DY161" s="91"/>
      <c r="DZ161" s="91"/>
      <c r="EA161" s="91"/>
      <c r="EB161" s="91"/>
      <c r="EC161" s="91"/>
      <c r="ED161" s="91"/>
      <c r="EE161" s="91"/>
      <c r="EF161" s="91"/>
      <c r="EG161" s="91"/>
      <c r="EH161" s="91"/>
      <c r="EI161" s="91"/>
      <c r="EJ161" s="91"/>
      <c r="EK161" s="91"/>
      <c r="EL161" s="91"/>
      <c r="EM161" s="91"/>
      <c r="EN161" s="91"/>
      <c r="EO161" s="91"/>
      <c r="EP161" s="91"/>
      <c r="EQ161" s="91"/>
      <c r="ER161" s="91"/>
      <c r="ES161" s="91"/>
      <c r="ET161" s="91"/>
      <c r="EU161" s="91"/>
      <c r="EV161" s="91"/>
      <c r="EW161" s="91"/>
      <c r="EX161" s="91"/>
      <c r="EY161" s="91"/>
      <c r="EZ161" s="91"/>
      <c r="FA161" s="91"/>
      <c r="FB161" s="91"/>
      <c r="FC161" s="91"/>
      <c r="FD161" s="91"/>
      <c r="FE161" s="91"/>
      <c r="FF161" s="91"/>
      <c r="FG161" s="91"/>
      <c r="FH161" s="91"/>
      <c r="FI161" s="91"/>
      <c r="FJ161" s="91"/>
      <c r="FK161" s="91"/>
      <c r="FL161" s="91"/>
      <c r="FM161" s="91"/>
      <c r="FN161" s="91"/>
      <c r="FO161" s="91"/>
      <c r="FP161" s="91"/>
      <c r="FQ161" s="91"/>
      <c r="FR161" s="91"/>
      <c r="FS161" s="91"/>
      <c r="FT161" s="91"/>
      <c r="FU161" s="91"/>
      <c r="FV161" s="91"/>
      <c r="FW161" s="91"/>
      <c r="FX161" s="91"/>
      <c r="FY161" s="91"/>
      <c r="FZ161" s="91"/>
      <c r="GA161" s="91"/>
      <c r="GB161" s="91"/>
      <c r="GC161" s="91"/>
      <c r="GD161" s="91"/>
      <c r="GE161" s="91"/>
      <c r="GF161" s="91"/>
      <c r="GG161" s="91"/>
      <c r="GH161" s="91"/>
      <c r="GI161" s="91"/>
      <c r="GJ161" s="91"/>
      <c r="GK161" s="91"/>
      <c r="GL161" s="91"/>
      <c r="GM161" s="91"/>
      <c r="GN161" s="91"/>
      <c r="GO161" s="91"/>
      <c r="GP161" s="91"/>
      <c r="GQ161" s="91"/>
      <c r="GR161" s="91"/>
    </row>
    <row r="162" spans="2:200" x14ac:dyDescent="0.15"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  <c r="AD162" s="91"/>
      <c r="AE162" s="91"/>
      <c r="AF162" s="91"/>
      <c r="AG162" s="91"/>
      <c r="AH162" s="91"/>
      <c r="AI162" s="91"/>
      <c r="AJ162" s="91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C162" s="91"/>
      <c r="BD162" s="91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W162" s="91"/>
      <c r="BX162" s="91"/>
      <c r="BY162" s="91"/>
      <c r="BZ162" s="91"/>
      <c r="CA162" s="91"/>
      <c r="CB162" s="91"/>
      <c r="CC162" s="91"/>
      <c r="CD162" s="91"/>
      <c r="CE162" s="91"/>
      <c r="CF162" s="91"/>
      <c r="CG162" s="91"/>
      <c r="CH162" s="91"/>
      <c r="CI162" s="91"/>
      <c r="CJ162" s="91"/>
      <c r="CK162" s="91"/>
      <c r="CL162" s="91"/>
      <c r="CM162" s="91"/>
      <c r="CN162" s="91"/>
      <c r="CO162" s="91"/>
      <c r="CP162" s="91"/>
      <c r="CQ162" s="91"/>
      <c r="CR162" s="91"/>
      <c r="CS162" s="91"/>
      <c r="CT162" s="91"/>
      <c r="CU162" s="91"/>
      <c r="CV162" s="91"/>
      <c r="CW162" s="91"/>
      <c r="CX162" s="91"/>
      <c r="CY162" s="91"/>
      <c r="CZ162" s="91"/>
      <c r="DA162" s="91"/>
      <c r="DB162" s="91"/>
      <c r="DC162" s="91"/>
      <c r="DD162" s="91"/>
      <c r="DE162" s="91"/>
      <c r="DF162" s="91"/>
      <c r="DG162" s="91"/>
      <c r="DH162" s="91"/>
      <c r="DI162" s="91"/>
      <c r="DJ162" s="91"/>
      <c r="DK162" s="91"/>
      <c r="DL162" s="91"/>
      <c r="DM162" s="91"/>
      <c r="DN162" s="91"/>
      <c r="DO162" s="91"/>
      <c r="DP162" s="91"/>
      <c r="DQ162" s="91"/>
      <c r="DR162" s="91"/>
      <c r="DS162" s="91"/>
      <c r="DT162" s="91"/>
      <c r="DU162" s="91"/>
      <c r="DV162" s="91"/>
      <c r="DW162" s="91"/>
      <c r="DX162" s="91"/>
      <c r="DY162" s="91"/>
      <c r="DZ162" s="91"/>
      <c r="EA162" s="91"/>
      <c r="EB162" s="91"/>
      <c r="EC162" s="91"/>
      <c r="ED162" s="91"/>
      <c r="EE162" s="91"/>
      <c r="EF162" s="91"/>
      <c r="EG162" s="91"/>
      <c r="EH162" s="91"/>
      <c r="EI162" s="91"/>
      <c r="EJ162" s="91"/>
      <c r="EK162" s="91"/>
      <c r="EL162" s="91"/>
      <c r="EM162" s="91"/>
      <c r="EN162" s="91"/>
      <c r="EO162" s="91"/>
      <c r="EP162" s="91"/>
      <c r="EQ162" s="91"/>
      <c r="ER162" s="91"/>
      <c r="ES162" s="91"/>
      <c r="ET162" s="91"/>
      <c r="EU162" s="91"/>
      <c r="EV162" s="91"/>
      <c r="EW162" s="91"/>
      <c r="EX162" s="91"/>
      <c r="EY162" s="91"/>
      <c r="EZ162" s="91"/>
      <c r="FA162" s="91"/>
      <c r="FB162" s="91"/>
      <c r="FC162" s="91"/>
      <c r="FD162" s="91"/>
      <c r="FE162" s="91"/>
      <c r="FF162" s="91"/>
      <c r="FG162" s="91"/>
      <c r="FH162" s="91"/>
      <c r="FI162" s="91"/>
      <c r="FJ162" s="91"/>
      <c r="FK162" s="91"/>
      <c r="FL162" s="91"/>
      <c r="FM162" s="91"/>
      <c r="FN162" s="91"/>
      <c r="FO162" s="91"/>
      <c r="FP162" s="91"/>
      <c r="FQ162" s="91"/>
      <c r="FR162" s="91"/>
      <c r="FS162" s="91"/>
      <c r="FT162" s="91"/>
      <c r="FU162" s="91"/>
      <c r="FV162" s="91"/>
      <c r="FW162" s="91"/>
      <c r="FX162" s="91"/>
      <c r="FY162" s="91"/>
      <c r="FZ162" s="91"/>
      <c r="GA162" s="91"/>
      <c r="GB162" s="91"/>
      <c r="GC162" s="91"/>
      <c r="GD162" s="91"/>
      <c r="GE162" s="91"/>
      <c r="GF162" s="91"/>
      <c r="GG162" s="91"/>
      <c r="GH162" s="91"/>
      <c r="GI162" s="91"/>
      <c r="GJ162" s="91"/>
      <c r="GK162" s="91"/>
      <c r="GL162" s="91"/>
      <c r="GM162" s="91"/>
      <c r="GN162" s="91"/>
      <c r="GO162" s="91"/>
      <c r="GP162" s="91"/>
      <c r="GQ162" s="91"/>
      <c r="GR162" s="91"/>
    </row>
    <row r="163" spans="2:200" x14ac:dyDescent="0.15"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C163" s="91"/>
      <c r="BD163" s="91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W163" s="91"/>
      <c r="BX163" s="91"/>
      <c r="BY163" s="91"/>
      <c r="BZ163" s="91"/>
      <c r="CA163" s="91"/>
      <c r="CB163" s="91"/>
      <c r="CC163" s="91"/>
      <c r="CD163" s="91"/>
      <c r="CE163" s="91"/>
      <c r="CF163" s="91"/>
      <c r="CG163" s="91"/>
      <c r="CH163" s="91"/>
      <c r="CI163" s="91"/>
      <c r="CJ163" s="91"/>
      <c r="CK163" s="91"/>
      <c r="CL163" s="91"/>
      <c r="CM163" s="91"/>
      <c r="CN163" s="91"/>
      <c r="CO163" s="91"/>
      <c r="CP163" s="91"/>
      <c r="CQ163" s="91"/>
      <c r="CR163" s="91"/>
      <c r="CS163" s="91"/>
      <c r="CT163" s="91"/>
      <c r="CU163" s="91"/>
      <c r="CV163" s="91"/>
      <c r="CW163" s="91"/>
      <c r="CX163" s="91"/>
      <c r="CY163" s="91"/>
      <c r="CZ163" s="91"/>
      <c r="DA163" s="91"/>
      <c r="DB163" s="91"/>
      <c r="DC163" s="91"/>
      <c r="DD163" s="91"/>
      <c r="DE163" s="91"/>
      <c r="DF163" s="91"/>
      <c r="DG163" s="91"/>
      <c r="DH163" s="91"/>
      <c r="DI163" s="91"/>
      <c r="DJ163" s="91"/>
      <c r="DK163" s="91"/>
      <c r="DL163" s="91"/>
      <c r="DM163" s="91"/>
      <c r="DN163" s="91"/>
      <c r="DO163" s="91"/>
      <c r="DP163" s="91"/>
      <c r="DQ163" s="91"/>
      <c r="DR163" s="91"/>
      <c r="DS163" s="91"/>
      <c r="DT163" s="91"/>
      <c r="DU163" s="91"/>
      <c r="DV163" s="91"/>
      <c r="DW163" s="91"/>
      <c r="DX163" s="91"/>
      <c r="DY163" s="91"/>
      <c r="DZ163" s="91"/>
      <c r="EA163" s="91"/>
      <c r="EB163" s="91"/>
      <c r="EC163" s="91"/>
      <c r="ED163" s="91"/>
      <c r="EE163" s="91"/>
      <c r="EF163" s="91"/>
      <c r="EG163" s="91"/>
      <c r="EH163" s="91"/>
      <c r="EI163" s="91"/>
      <c r="EJ163" s="91"/>
      <c r="EK163" s="91"/>
      <c r="EL163" s="91"/>
      <c r="EM163" s="91"/>
      <c r="EN163" s="91"/>
      <c r="EO163" s="91"/>
      <c r="EP163" s="91"/>
      <c r="EQ163" s="91"/>
      <c r="ER163" s="91"/>
      <c r="ES163" s="91"/>
      <c r="ET163" s="91"/>
      <c r="EU163" s="91"/>
      <c r="EV163" s="91"/>
      <c r="EW163" s="91"/>
      <c r="EX163" s="91"/>
      <c r="EY163" s="91"/>
      <c r="EZ163" s="91"/>
      <c r="FA163" s="91"/>
      <c r="FB163" s="91"/>
      <c r="FC163" s="91"/>
      <c r="FD163" s="91"/>
      <c r="FE163" s="91"/>
      <c r="FF163" s="91"/>
      <c r="FG163" s="91"/>
      <c r="FH163" s="91"/>
      <c r="FI163" s="91"/>
      <c r="FJ163" s="91"/>
      <c r="FK163" s="91"/>
      <c r="FL163" s="91"/>
      <c r="FM163" s="91"/>
      <c r="FN163" s="91"/>
      <c r="FO163" s="91"/>
      <c r="FP163" s="91"/>
      <c r="FQ163" s="91"/>
      <c r="FR163" s="91"/>
      <c r="FS163" s="91"/>
      <c r="FT163" s="91"/>
      <c r="FU163" s="91"/>
      <c r="FV163" s="91"/>
      <c r="FW163" s="91"/>
      <c r="FX163" s="91"/>
      <c r="FY163" s="91"/>
      <c r="FZ163" s="91"/>
      <c r="GA163" s="91"/>
      <c r="GB163" s="91"/>
      <c r="GC163" s="91"/>
      <c r="GD163" s="91"/>
      <c r="GE163" s="91"/>
      <c r="GF163" s="91"/>
      <c r="GG163" s="91"/>
      <c r="GH163" s="91"/>
      <c r="GI163" s="91"/>
      <c r="GJ163" s="91"/>
      <c r="GK163" s="91"/>
      <c r="GL163" s="91"/>
      <c r="GM163" s="91"/>
      <c r="GN163" s="91"/>
      <c r="GO163" s="91"/>
      <c r="GP163" s="91"/>
      <c r="GQ163" s="91"/>
      <c r="GR163" s="91"/>
    </row>
    <row r="164" spans="2:200" x14ac:dyDescent="0.15"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C164" s="91"/>
      <c r="BD164" s="91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W164" s="91"/>
      <c r="BX164" s="91"/>
      <c r="BY164" s="91"/>
      <c r="BZ164" s="91"/>
      <c r="CA164" s="91"/>
      <c r="CB164" s="91"/>
      <c r="CC164" s="91"/>
      <c r="CD164" s="91"/>
      <c r="CE164" s="91"/>
      <c r="CF164" s="91"/>
      <c r="CG164" s="91"/>
      <c r="CH164" s="91"/>
      <c r="CI164" s="91"/>
      <c r="CJ164" s="91"/>
      <c r="CK164" s="91"/>
      <c r="CL164" s="91"/>
      <c r="CM164" s="91"/>
      <c r="CN164" s="91"/>
      <c r="CO164" s="91"/>
      <c r="CP164" s="91"/>
      <c r="CQ164" s="91"/>
      <c r="CR164" s="91"/>
      <c r="CS164" s="91"/>
      <c r="CT164" s="91"/>
      <c r="CU164" s="91"/>
      <c r="CV164" s="91"/>
      <c r="CW164" s="91"/>
      <c r="CX164" s="91"/>
      <c r="CY164" s="91"/>
      <c r="CZ164" s="91"/>
      <c r="DA164" s="91"/>
      <c r="DB164" s="91"/>
      <c r="DC164" s="91"/>
      <c r="DD164" s="91"/>
      <c r="DE164" s="91"/>
      <c r="DF164" s="91"/>
      <c r="DG164" s="91"/>
      <c r="DH164" s="91"/>
      <c r="DI164" s="91"/>
      <c r="DJ164" s="91"/>
      <c r="DK164" s="91"/>
      <c r="DL164" s="91"/>
      <c r="DM164" s="91"/>
      <c r="DN164" s="91"/>
      <c r="DO164" s="91"/>
      <c r="DP164" s="91"/>
      <c r="DQ164" s="91"/>
      <c r="DR164" s="91"/>
      <c r="DS164" s="91"/>
      <c r="DT164" s="91"/>
      <c r="DU164" s="91"/>
      <c r="DV164" s="91"/>
      <c r="DW164" s="91"/>
      <c r="DX164" s="91"/>
      <c r="DY164" s="91"/>
      <c r="DZ164" s="91"/>
      <c r="EA164" s="91"/>
      <c r="EB164" s="91"/>
      <c r="EC164" s="91"/>
      <c r="ED164" s="91"/>
      <c r="EE164" s="91"/>
      <c r="EF164" s="91"/>
      <c r="EG164" s="91"/>
      <c r="EH164" s="91"/>
      <c r="EI164" s="91"/>
      <c r="EJ164" s="91"/>
      <c r="EK164" s="91"/>
      <c r="EL164" s="91"/>
      <c r="EM164" s="91"/>
      <c r="EN164" s="91"/>
      <c r="EO164" s="91"/>
      <c r="EP164" s="91"/>
      <c r="EQ164" s="91"/>
      <c r="ER164" s="91"/>
      <c r="ES164" s="91"/>
      <c r="ET164" s="91"/>
      <c r="EU164" s="91"/>
      <c r="EV164" s="91"/>
      <c r="EW164" s="91"/>
      <c r="EX164" s="91"/>
      <c r="EY164" s="91"/>
      <c r="EZ164" s="91"/>
      <c r="FA164" s="91"/>
      <c r="FB164" s="91"/>
      <c r="FC164" s="91"/>
      <c r="FD164" s="91"/>
      <c r="FE164" s="91"/>
      <c r="FF164" s="91"/>
      <c r="FG164" s="91"/>
      <c r="FH164" s="91"/>
      <c r="FI164" s="91"/>
      <c r="FJ164" s="91"/>
      <c r="FK164" s="91"/>
      <c r="FL164" s="91"/>
      <c r="FM164" s="91"/>
      <c r="FN164" s="91"/>
      <c r="FO164" s="91"/>
      <c r="FP164" s="91"/>
      <c r="FQ164" s="91"/>
      <c r="FR164" s="91"/>
      <c r="FS164" s="91"/>
      <c r="FT164" s="91"/>
      <c r="FU164" s="91"/>
      <c r="FV164" s="91"/>
      <c r="FW164" s="91"/>
      <c r="FX164" s="91"/>
      <c r="FY164" s="91"/>
      <c r="FZ164" s="91"/>
      <c r="GA164" s="91"/>
      <c r="GB164" s="91"/>
      <c r="GC164" s="91"/>
      <c r="GD164" s="91"/>
      <c r="GE164" s="91"/>
      <c r="GF164" s="91"/>
      <c r="GG164" s="91"/>
      <c r="GH164" s="91"/>
      <c r="GI164" s="91"/>
      <c r="GJ164" s="91"/>
      <c r="GK164" s="91"/>
      <c r="GL164" s="91"/>
      <c r="GM164" s="91"/>
      <c r="GN164" s="91"/>
      <c r="GO164" s="91"/>
      <c r="GP164" s="91"/>
      <c r="GQ164" s="91"/>
      <c r="GR164" s="91"/>
    </row>
    <row r="165" spans="2:200" x14ac:dyDescent="0.15"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C165" s="91"/>
      <c r="BD165" s="91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W165" s="91"/>
      <c r="BX165" s="91"/>
      <c r="BY165" s="91"/>
      <c r="BZ165" s="91"/>
      <c r="CA165" s="91"/>
      <c r="CB165" s="91"/>
      <c r="CC165" s="91"/>
      <c r="CD165" s="91"/>
      <c r="CE165" s="91"/>
      <c r="CF165" s="91"/>
      <c r="CG165" s="91"/>
      <c r="CH165" s="91"/>
      <c r="CI165" s="91"/>
      <c r="CJ165" s="91"/>
      <c r="CK165" s="91"/>
      <c r="CL165" s="91"/>
      <c r="CM165" s="91"/>
      <c r="CN165" s="91"/>
      <c r="CO165" s="91"/>
      <c r="CP165" s="91"/>
      <c r="CQ165" s="91"/>
      <c r="CR165" s="91"/>
      <c r="CS165" s="91"/>
      <c r="CT165" s="91"/>
      <c r="CU165" s="91"/>
      <c r="CV165" s="91"/>
      <c r="CW165" s="91"/>
      <c r="CX165" s="91"/>
      <c r="CY165" s="91"/>
      <c r="CZ165" s="91"/>
      <c r="DA165" s="91"/>
      <c r="DB165" s="91"/>
      <c r="DC165" s="91"/>
      <c r="DD165" s="91"/>
      <c r="DE165" s="91"/>
      <c r="DF165" s="91"/>
      <c r="DG165" s="91"/>
      <c r="DH165" s="91"/>
      <c r="DI165" s="91"/>
      <c r="DJ165" s="91"/>
      <c r="DK165" s="91"/>
      <c r="DL165" s="91"/>
      <c r="DM165" s="91"/>
      <c r="DN165" s="91"/>
      <c r="DO165" s="91"/>
      <c r="DP165" s="91"/>
      <c r="DQ165" s="91"/>
      <c r="DR165" s="91"/>
      <c r="DS165" s="91"/>
      <c r="DT165" s="91"/>
      <c r="DU165" s="91"/>
      <c r="DV165" s="91"/>
      <c r="DW165" s="91"/>
      <c r="DX165" s="91"/>
      <c r="DY165" s="91"/>
      <c r="DZ165" s="91"/>
      <c r="EA165" s="91"/>
      <c r="EB165" s="91"/>
      <c r="EC165" s="91"/>
      <c r="ED165" s="91"/>
      <c r="EE165" s="91"/>
      <c r="EF165" s="91"/>
      <c r="EG165" s="91"/>
      <c r="EH165" s="91"/>
      <c r="EI165" s="91"/>
      <c r="EJ165" s="91"/>
      <c r="EK165" s="91"/>
      <c r="EL165" s="91"/>
      <c r="EM165" s="91"/>
      <c r="EN165" s="91"/>
      <c r="EO165" s="91"/>
      <c r="EP165" s="91"/>
      <c r="EQ165" s="91"/>
      <c r="ER165" s="91"/>
      <c r="ES165" s="91"/>
      <c r="ET165" s="91"/>
      <c r="EU165" s="91"/>
      <c r="EV165" s="91"/>
      <c r="EW165" s="91"/>
      <c r="EX165" s="91"/>
      <c r="EY165" s="91"/>
      <c r="EZ165" s="91"/>
      <c r="FA165" s="91"/>
      <c r="FB165" s="91"/>
      <c r="FC165" s="91"/>
      <c r="FD165" s="91"/>
      <c r="FE165" s="91"/>
      <c r="FF165" s="91"/>
      <c r="FG165" s="91"/>
      <c r="FH165" s="91"/>
      <c r="FI165" s="91"/>
      <c r="FJ165" s="91"/>
      <c r="FK165" s="91"/>
      <c r="FL165" s="91"/>
      <c r="FM165" s="91"/>
      <c r="FN165" s="91"/>
      <c r="FO165" s="91"/>
      <c r="FP165" s="91"/>
      <c r="FQ165" s="91"/>
      <c r="FR165" s="91"/>
      <c r="FS165" s="91"/>
      <c r="FT165" s="91"/>
      <c r="FU165" s="91"/>
      <c r="FV165" s="91"/>
      <c r="FW165" s="91"/>
      <c r="FX165" s="91"/>
      <c r="FY165" s="91"/>
      <c r="FZ165" s="91"/>
      <c r="GA165" s="91"/>
      <c r="GB165" s="91"/>
      <c r="GC165" s="91"/>
      <c r="GD165" s="91"/>
      <c r="GE165" s="91"/>
      <c r="GF165" s="91"/>
      <c r="GG165" s="91"/>
      <c r="GH165" s="91"/>
      <c r="GI165" s="91"/>
      <c r="GJ165" s="91"/>
      <c r="GK165" s="91"/>
      <c r="GL165" s="91"/>
      <c r="GM165" s="91"/>
      <c r="GN165" s="91"/>
      <c r="GO165" s="91"/>
      <c r="GP165" s="91"/>
      <c r="GQ165" s="91"/>
      <c r="GR165" s="91"/>
    </row>
    <row r="166" spans="2:200" x14ac:dyDescent="0.15">
      <c r="B166" s="91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C166" s="91"/>
      <c r="BD166" s="91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W166" s="91"/>
      <c r="BX166" s="91"/>
      <c r="BY166" s="91"/>
      <c r="BZ166" s="91"/>
      <c r="CA166" s="91"/>
      <c r="CB166" s="91"/>
      <c r="CC166" s="91"/>
      <c r="CD166" s="91"/>
      <c r="CE166" s="91"/>
      <c r="CF166" s="91"/>
      <c r="CG166" s="91"/>
      <c r="CH166" s="91"/>
      <c r="CI166" s="91"/>
      <c r="CJ166" s="91"/>
      <c r="CK166" s="91"/>
      <c r="CL166" s="91"/>
      <c r="CM166" s="91"/>
      <c r="CN166" s="91"/>
      <c r="CO166" s="91"/>
      <c r="CP166" s="91"/>
      <c r="CQ166" s="91"/>
      <c r="CR166" s="91"/>
      <c r="CS166" s="91"/>
      <c r="CT166" s="91"/>
      <c r="CU166" s="91"/>
      <c r="CV166" s="91"/>
      <c r="CW166" s="91"/>
      <c r="CX166" s="91"/>
      <c r="CY166" s="91"/>
      <c r="CZ166" s="91"/>
      <c r="DA166" s="91"/>
      <c r="DB166" s="91"/>
      <c r="DC166" s="91"/>
      <c r="DD166" s="91"/>
      <c r="DE166" s="91"/>
      <c r="DF166" s="91"/>
      <c r="DG166" s="91"/>
      <c r="DH166" s="91"/>
      <c r="DI166" s="91"/>
      <c r="DJ166" s="91"/>
      <c r="DK166" s="91"/>
      <c r="DL166" s="91"/>
      <c r="DM166" s="91"/>
      <c r="DN166" s="91"/>
      <c r="DO166" s="91"/>
      <c r="DP166" s="91"/>
      <c r="DQ166" s="91"/>
      <c r="DR166" s="91"/>
      <c r="DS166" s="91"/>
      <c r="DT166" s="91"/>
      <c r="DU166" s="91"/>
      <c r="DV166" s="91"/>
      <c r="DW166" s="91"/>
      <c r="DX166" s="91"/>
      <c r="DY166" s="91"/>
      <c r="DZ166" s="91"/>
      <c r="EA166" s="91"/>
      <c r="EB166" s="91"/>
      <c r="EC166" s="91"/>
      <c r="ED166" s="91"/>
      <c r="EE166" s="91"/>
      <c r="EF166" s="91"/>
      <c r="EG166" s="91"/>
      <c r="EH166" s="91"/>
      <c r="EI166" s="91"/>
      <c r="EJ166" s="91"/>
      <c r="EK166" s="91"/>
      <c r="EL166" s="91"/>
      <c r="EM166" s="91"/>
      <c r="EN166" s="91"/>
      <c r="EO166" s="91"/>
      <c r="EP166" s="91"/>
      <c r="EQ166" s="91"/>
      <c r="ER166" s="91"/>
      <c r="ES166" s="91"/>
      <c r="ET166" s="91"/>
      <c r="EU166" s="91"/>
      <c r="EV166" s="91"/>
      <c r="EW166" s="91"/>
      <c r="EX166" s="91"/>
      <c r="EY166" s="91"/>
      <c r="EZ166" s="91"/>
      <c r="FA166" s="91"/>
      <c r="FB166" s="91"/>
      <c r="FC166" s="91"/>
      <c r="FD166" s="91"/>
      <c r="FE166" s="91"/>
      <c r="FF166" s="91"/>
      <c r="FG166" s="91"/>
      <c r="FH166" s="91"/>
      <c r="FI166" s="91"/>
      <c r="FJ166" s="91"/>
      <c r="FK166" s="91"/>
      <c r="FL166" s="91"/>
      <c r="FM166" s="91"/>
      <c r="FN166" s="91"/>
      <c r="FO166" s="91"/>
      <c r="FP166" s="91"/>
      <c r="FQ166" s="91"/>
      <c r="FR166" s="91"/>
      <c r="FS166" s="91"/>
      <c r="FT166" s="91"/>
      <c r="FU166" s="91"/>
      <c r="FV166" s="91"/>
      <c r="FW166" s="91"/>
      <c r="FX166" s="91"/>
      <c r="FY166" s="91"/>
      <c r="FZ166" s="91"/>
      <c r="GA166" s="91"/>
      <c r="GB166" s="91"/>
      <c r="GC166" s="91"/>
      <c r="GD166" s="91"/>
      <c r="GE166" s="91"/>
      <c r="GF166" s="91"/>
      <c r="GG166" s="91"/>
      <c r="GH166" s="91"/>
      <c r="GI166" s="91"/>
      <c r="GJ166" s="91"/>
      <c r="GK166" s="91"/>
      <c r="GL166" s="91"/>
      <c r="GM166" s="91"/>
      <c r="GN166" s="91"/>
      <c r="GO166" s="91"/>
      <c r="GP166" s="91"/>
      <c r="GQ166" s="91"/>
      <c r="GR166" s="91"/>
    </row>
    <row r="167" spans="2:200" x14ac:dyDescent="0.15"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  <c r="AI167" s="91"/>
      <c r="AJ167" s="91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C167" s="91"/>
      <c r="BD167" s="91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W167" s="91"/>
      <c r="BX167" s="91"/>
      <c r="BY167" s="91"/>
      <c r="BZ167" s="91"/>
      <c r="CA167" s="91"/>
      <c r="CB167" s="91"/>
      <c r="CC167" s="91"/>
      <c r="CD167" s="91"/>
      <c r="CE167" s="91"/>
      <c r="CF167" s="91"/>
      <c r="CG167" s="91"/>
      <c r="CH167" s="91"/>
      <c r="CI167" s="91"/>
      <c r="CJ167" s="91"/>
      <c r="CK167" s="91"/>
      <c r="CL167" s="91"/>
      <c r="CM167" s="91"/>
      <c r="CN167" s="91"/>
      <c r="CO167" s="91"/>
      <c r="CP167" s="91"/>
      <c r="CQ167" s="91"/>
      <c r="CR167" s="91"/>
      <c r="CS167" s="91"/>
      <c r="CT167" s="91"/>
      <c r="CU167" s="91"/>
      <c r="CV167" s="91"/>
      <c r="CW167" s="91"/>
      <c r="CX167" s="91"/>
      <c r="CY167" s="91"/>
      <c r="CZ167" s="91"/>
      <c r="DA167" s="91"/>
      <c r="DB167" s="91"/>
      <c r="DC167" s="91"/>
      <c r="DD167" s="91"/>
      <c r="DE167" s="91"/>
      <c r="DF167" s="91"/>
      <c r="DG167" s="91"/>
      <c r="DH167" s="91"/>
      <c r="DI167" s="91"/>
      <c r="DJ167" s="91"/>
      <c r="DK167" s="91"/>
      <c r="DL167" s="91"/>
      <c r="DM167" s="91"/>
      <c r="DN167" s="91"/>
      <c r="DO167" s="91"/>
      <c r="DP167" s="91"/>
      <c r="DQ167" s="91"/>
      <c r="DR167" s="91"/>
      <c r="DS167" s="91"/>
      <c r="DT167" s="91"/>
      <c r="DU167" s="91"/>
      <c r="DV167" s="91"/>
      <c r="DW167" s="91"/>
      <c r="DX167" s="91"/>
      <c r="DY167" s="91"/>
      <c r="DZ167" s="91"/>
      <c r="EA167" s="91"/>
      <c r="EB167" s="91"/>
      <c r="EC167" s="91"/>
      <c r="ED167" s="91"/>
      <c r="EE167" s="91"/>
      <c r="EF167" s="91"/>
      <c r="EG167" s="91"/>
      <c r="EH167" s="91"/>
      <c r="EI167" s="91"/>
      <c r="EJ167" s="91"/>
      <c r="EK167" s="91"/>
      <c r="EL167" s="91"/>
      <c r="EM167" s="91"/>
      <c r="EN167" s="91"/>
      <c r="EO167" s="91"/>
      <c r="EP167" s="91"/>
      <c r="EQ167" s="91"/>
      <c r="ER167" s="91"/>
      <c r="ES167" s="91"/>
      <c r="ET167" s="91"/>
      <c r="EU167" s="91"/>
      <c r="EV167" s="91"/>
      <c r="EW167" s="91"/>
      <c r="EX167" s="91"/>
      <c r="EY167" s="91"/>
      <c r="EZ167" s="91"/>
      <c r="FA167" s="91"/>
      <c r="FB167" s="91"/>
      <c r="FC167" s="91"/>
      <c r="FD167" s="91"/>
      <c r="FE167" s="91"/>
      <c r="FF167" s="91"/>
      <c r="FG167" s="91"/>
      <c r="FH167" s="91"/>
      <c r="FI167" s="91"/>
      <c r="FJ167" s="91"/>
      <c r="FK167" s="91"/>
      <c r="FL167" s="91"/>
      <c r="FM167" s="91"/>
      <c r="FN167" s="91"/>
      <c r="FO167" s="91"/>
      <c r="FP167" s="91"/>
      <c r="FQ167" s="91"/>
      <c r="FR167" s="91"/>
      <c r="FS167" s="91"/>
      <c r="FT167" s="91"/>
      <c r="FU167" s="91"/>
      <c r="FV167" s="91"/>
      <c r="FW167" s="91"/>
      <c r="FX167" s="91"/>
      <c r="FY167" s="91"/>
      <c r="FZ167" s="91"/>
      <c r="GA167" s="91"/>
      <c r="GB167" s="91"/>
      <c r="GC167" s="91"/>
      <c r="GD167" s="91"/>
      <c r="GE167" s="91"/>
      <c r="GF167" s="91"/>
      <c r="GG167" s="91"/>
      <c r="GH167" s="91"/>
      <c r="GI167" s="91"/>
      <c r="GJ167" s="91"/>
      <c r="GK167" s="91"/>
      <c r="GL167" s="91"/>
      <c r="GM167" s="91"/>
      <c r="GN167" s="91"/>
      <c r="GO167" s="91"/>
      <c r="GP167" s="91"/>
      <c r="GQ167" s="91"/>
      <c r="GR167" s="91"/>
    </row>
    <row r="168" spans="2:200" x14ac:dyDescent="0.15"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91"/>
      <c r="AD168" s="91"/>
      <c r="AE168" s="91"/>
      <c r="AF168" s="91"/>
      <c r="AG168" s="91"/>
      <c r="AH168" s="91"/>
      <c r="AI168" s="91"/>
      <c r="AJ168" s="91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C168" s="91"/>
      <c r="BD168" s="91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W168" s="91"/>
      <c r="BX168" s="91"/>
      <c r="BY168" s="91"/>
      <c r="BZ168" s="91"/>
      <c r="CA168" s="91"/>
      <c r="CB168" s="91"/>
      <c r="CC168" s="91"/>
      <c r="CD168" s="91"/>
      <c r="CE168" s="91"/>
      <c r="CF168" s="91"/>
      <c r="CG168" s="91"/>
      <c r="CH168" s="91"/>
      <c r="CI168" s="91"/>
      <c r="CJ168" s="91"/>
      <c r="CK168" s="91"/>
      <c r="CL168" s="91"/>
      <c r="CM168" s="91"/>
      <c r="CN168" s="91"/>
      <c r="CO168" s="91"/>
      <c r="CP168" s="91"/>
      <c r="CQ168" s="91"/>
      <c r="CR168" s="91"/>
      <c r="CS168" s="91"/>
      <c r="CT168" s="91"/>
      <c r="CU168" s="91"/>
      <c r="CV168" s="91"/>
      <c r="CW168" s="91"/>
      <c r="CX168" s="91"/>
      <c r="CY168" s="91"/>
      <c r="CZ168" s="91"/>
      <c r="DA168" s="91"/>
      <c r="DB168" s="91"/>
      <c r="DC168" s="91"/>
      <c r="DD168" s="91"/>
      <c r="DE168" s="91"/>
      <c r="DF168" s="91"/>
      <c r="DG168" s="91"/>
      <c r="DH168" s="91"/>
      <c r="DI168" s="91"/>
      <c r="DJ168" s="91"/>
      <c r="DK168" s="91"/>
      <c r="DL168" s="91"/>
      <c r="DM168" s="91"/>
      <c r="DN168" s="91"/>
      <c r="DO168" s="91"/>
      <c r="DP168" s="91"/>
      <c r="DQ168" s="91"/>
      <c r="DR168" s="91"/>
      <c r="DS168" s="91"/>
      <c r="DT168" s="91"/>
      <c r="DU168" s="91"/>
      <c r="DV168" s="91"/>
      <c r="DW168" s="91"/>
      <c r="DX168" s="91"/>
      <c r="DY168" s="91"/>
      <c r="DZ168" s="91"/>
      <c r="EA168" s="91"/>
      <c r="EB168" s="91"/>
      <c r="EC168" s="91"/>
      <c r="ED168" s="91"/>
      <c r="EE168" s="91"/>
      <c r="EF168" s="91"/>
      <c r="EG168" s="91"/>
      <c r="EH168" s="91"/>
      <c r="EI168" s="91"/>
      <c r="EJ168" s="91"/>
      <c r="EK168" s="91"/>
      <c r="EL168" s="91"/>
      <c r="EM168" s="91"/>
      <c r="EN168" s="91"/>
      <c r="EO168" s="91"/>
      <c r="EP168" s="91"/>
      <c r="EQ168" s="91"/>
      <c r="ER168" s="91"/>
      <c r="ES168" s="91"/>
      <c r="ET168" s="91"/>
      <c r="EU168" s="91"/>
      <c r="EV168" s="91"/>
      <c r="EW168" s="91"/>
      <c r="EX168" s="91"/>
      <c r="EY168" s="91"/>
      <c r="EZ168" s="91"/>
      <c r="FA168" s="91"/>
      <c r="FB168" s="91"/>
      <c r="FC168" s="91"/>
      <c r="FD168" s="91"/>
      <c r="FE168" s="91"/>
      <c r="FF168" s="91"/>
      <c r="FG168" s="91"/>
      <c r="FH168" s="91"/>
      <c r="FI168" s="91"/>
      <c r="FJ168" s="91"/>
      <c r="FK168" s="91"/>
      <c r="FL168" s="91"/>
      <c r="FM168" s="91"/>
      <c r="FN168" s="91"/>
      <c r="FO168" s="91"/>
      <c r="FP168" s="91"/>
      <c r="FQ168" s="91"/>
      <c r="FR168" s="91"/>
      <c r="FS168" s="91"/>
      <c r="FT168" s="91"/>
      <c r="FU168" s="91"/>
      <c r="FV168" s="91"/>
      <c r="FW168" s="91"/>
      <c r="FX168" s="91"/>
      <c r="FY168" s="91"/>
      <c r="FZ168" s="91"/>
      <c r="GA168" s="91"/>
      <c r="GB168" s="91"/>
      <c r="GC168" s="91"/>
      <c r="GD168" s="91"/>
      <c r="GE168" s="91"/>
      <c r="GF168" s="91"/>
      <c r="GG168" s="91"/>
      <c r="GH168" s="91"/>
      <c r="GI168" s="91"/>
      <c r="GJ168" s="91"/>
      <c r="GK168" s="91"/>
      <c r="GL168" s="91"/>
      <c r="GM168" s="91"/>
      <c r="GN168" s="91"/>
      <c r="GO168" s="91"/>
      <c r="GP168" s="91"/>
      <c r="GQ168" s="91"/>
      <c r="GR168" s="91"/>
    </row>
    <row r="169" spans="2:200" x14ac:dyDescent="0.15"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  <c r="AD169" s="91"/>
      <c r="AE169" s="91"/>
      <c r="AF169" s="91"/>
      <c r="AG169" s="91"/>
      <c r="AH169" s="91"/>
      <c r="AI169" s="91"/>
      <c r="AJ169" s="91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C169" s="91"/>
      <c r="BD169" s="91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W169" s="91"/>
      <c r="BX169" s="91"/>
      <c r="BY169" s="91"/>
      <c r="BZ169" s="91"/>
      <c r="CA169" s="91"/>
      <c r="CB169" s="91"/>
      <c r="CC169" s="91"/>
      <c r="CD169" s="91"/>
      <c r="CE169" s="91"/>
      <c r="CF169" s="91"/>
      <c r="CG169" s="91"/>
      <c r="CH169" s="91"/>
      <c r="CI169" s="91"/>
      <c r="CJ169" s="91"/>
      <c r="CK169" s="91"/>
      <c r="CL169" s="91"/>
      <c r="CM169" s="91"/>
      <c r="CN169" s="91"/>
      <c r="CO169" s="91"/>
      <c r="CP169" s="91"/>
      <c r="CQ169" s="91"/>
      <c r="CR169" s="91"/>
      <c r="CS169" s="91"/>
      <c r="CT169" s="91"/>
      <c r="CU169" s="91"/>
      <c r="CV169" s="91"/>
      <c r="CW169" s="91"/>
      <c r="CX169" s="91"/>
      <c r="CY169" s="91"/>
      <c r="CZ169" s="91"/>
      <c r="DA169" s="91"/>
      <c r="DB169" s="91"/>
      <c r="DC169" s="91"/>
      <c r="DD169" s="91"/>
      <c r="DE169" s="91"/>
      <c r="DF169" s="91"/>
      <c r="DG169" s="91"/>
      <c r="DH169" s="91"/>
      <c r="DI169" s="91"/>
      <c r="DJ169" s="91"/>
      <c r="DK169" s="91"/>
      <c r="DL169" s="91"/>
      <c r="DM169" s="91"/>
      <c r="DN169" s="91"/>
      <c r="DO169" s="91"/>
      <c r="DP169" s="91"/>
      <c r="DQ169" s="91"/>
      <c r="DR169" s="91"/>
      <c r="DS169" s="91"/>
      <c r="DT169" s="91"/>
      <c r="DU169" s="91"/>
      <c r="DV169" s="91"/>
      <c r="DW169" s="91"/>
      <c r="DX169" s="91"/>
      <c r="DY169" s="91"/>
      <c r="DZ169" s="91"/>
      <c r="EA169" s="91"/>
      <c r="EB169" s="91"/>
      <c r="EC169" s="91"/>
      <c r="ED169" s="91"/>
      <c r="EE169" s="91"/>
      <c r="EF169" s="91"/>
      <c r="EG169" s="91"/>
      <c r="EH169" s="91"/>
      <c r="EI169" s="91"/>
      <c r="EJ169" s="91"/>
      <c r="EK169" s="91"/>
      <c r="EL169" s="91"/>
      <c r="EM169" s="91"/>
      <c r="EN169" s="91"/>
      <c r="EO169" s="91"/>
      <c r="EP169" s="91"/>
      <c r="EQ169" s="91"/>
      <c r="ER169" s="91"/>
      <c r="ES169" s="91"/>
      <c r="ET169" s="91"/>
      <c r="EU169" s="91"/>
      <c r="EV169" s="91"/>
      <c r="EW169" s="91"/>
      <c r="EX169" s="91"/>
      <c r="EY169" s="91"/>
      <c r="EZ169" s="91"/>
      <c r="FA169" s="91"/>
      <c r="FB169" s="91"/>
      <c r="FC169" s="91"/>
      <c r="FD169" s="91"/>
      <c r="FE169" s="91"/>
      <c r="FF169" s="91"/>
      <c r="FG169" s="91"/>
      <c r="FH169" s="91"/>
      <c r="FI169" s="91"/>
      <c r="FJ169" s="91"/>
      <c r="FK169" s="91"/>
      <c r="FL169" s="91"/>
      <c r="FM169" s="91"/>
      <c r="FN169" s="91"/>
      <c r="FO169" s="91"/>
      <c r="FP169" s="91"/>
      <c r="FQ169" s="91"/>
      <c r="FR169" s="91"/>
      <c r="FS169" s="91"/>
      <c r="FT169" s="91"/>
      <c r="FU169" s="91"/>
      <c r="FV169" s="91"/>
      <c r="FW169" s="91"/>
      <c r="FX169" s="91"/>
      <c r="FY169" s="91"/>
      <c r="FZ169" s="91"/>
      <c r="GA169" s="91"/>
      <c r="GB169" s="91"/>
      <c r="GC169" s="91"/>
      <c r="GD169" s="91"/>
      <c r="GE169" s="91"/>
      <c r="GF169" s="91"/>
      <c r="GG169" s="91"/>
      <c r="GH169" s="91"/>
      <c r="GI169" s="91"/>
      <c r="GJ169" s="91"/>
      <c r="GK169" s="91"/>
      <c r="GL169" s="91"/>
      <c r="GM169" s="91"/>
      <c r="GN169" s="91"/>
      <c r="GO169" s="91"/>
      <c r="GP169" s="91"/>
      <c r="GQ169" s="91"/>
      <c r="GR169" s="91"/>
    </row>
    <row r="170" spans="2:200" x14ac:dyDescent="0.15"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  <c r="AD170" s="91"/>
      <c r="AE170" s="91"/>
      <c r="AF170" s="91"/>
      <c r="AG170" s="91"/>
      <c r="AH170" s="91"/>
      <c r="AI170" s="91"/>
      <c r="AJ170" s="91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C170" s="91"/>
      <c r="BD170" s="91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W170" s="91"/>
      <c r="BX170" s="91"/>
      <c r="BY170" s="91"/>
      <c r="BZ170" s="91"/>
      <c r="CA170" s="91"/>
      <c r="CB170" s="91"/>
      <c r="CC170" s="91"/>
      <c r="CD170" s="91"/>
      <c r="CE170" s="91"/>
      <c r="CF170" s="91"/>
      <c r="CG170" s="91"/>
      <c r="CH170" s="91"/>
      <c r="CI170" s="91"/>
      <c r="CJ170" s="91"/>
      <c r="CK170" s="91"/>
      <c r="CL170" s="91"/>
      <c r="CM170" s="91"/>
      <c r="CN170" s="91"/>
      <c r="CO170" s="91"/>
      <c r="CP170" s="91"/>
      <c r="CQ170" s="91"/>
      <c r="CR170" s="91"/>
      <c r="CS170" s="91"/>
      <c r="CT170" s="91"/>
      <c r="CU170" s="91"/>
      <c r="CV170" s="91"/>
      <c r="CW170" s="91"/>
      <c r="CX170" s="91"/>
      <c r="CY170" s="91"/>
      <c r="CZ170" s="91"/>
      <c r="DA170" s="91"/>
      <c r="DB170" s="91"/>
      <c r="DC170" s="91"/>
      <c r="DD170" s="91"/>
      <c r="DE170" s="91"/>
      <c r="DF170" s="91"/>
      <c r="DG170" s="91"/>
      <c r="DH170" s="91"/>
      <c r="DI170" s="91"/>
      <c r="DJ170" s="91"/>
      <c r="DK170" s="91"/>
      <c r="DL170" s="91"/>
      <c r="DM170" s="91"/>
      <c r="DN170" s="91"/>
      <c r="DO170" s="91"/>
      <c r="DP170" s="91"/>
      <c r="DQ170" s="91"/>
      <c r="DR170" s="91"/>
      <c r="DS170" s="91"/>
      <c r="DT170" s="91"/>
      <c r="DU170" s="91"/>
      <c r="DV170" s="91"/>
      <c r="DW170" s="91"/>
      <c r="DX170" s="91"/>
      <c r="DY170" s="91"/>
      <c r="DZ170" s="91"/>
      <c r="EA170" s="91"/>
      <c r="EB170" s="91"/>
      <c r="EC170" s="91"/>
      <c r="ED170" s="91"/>
      <c r="EE170" s="91"/>
      <c r="EF170" s="91"/>
      <c r="EG170" s="91"/>
      <c r="EH170" s="91"/>
      <c r="EI170" s="91"/>
      <c r="EJ170" s="91"/>
      <c r="EK170" s="91"/>
      <c r="EL170" s="91"/>
      <c r="EM170" s="91"/>
      <c r="EN170" s="91"/>
      <c r="EO170" s="91"/>
      <c r="EP170" s="91"/>
      <c r="EQ170" s="91"/>
      <c r="ER170" s="91"/>
      <c r="ES170" s="91"/>
      <c r="ET170" s="91"/>
      <c r="EU170" s="91"/>
      <c r="EV170" s="91"/>
      <c r="EW170" s="91"/>
      <c r="EX170" s="91"/>
      <c r="EY170" s="91"/>
      <c r="EZ170" s="91"/>
      <c r="FA170" s="91"/>
      <c r="FB170" s="91"/>
      <c r="FC170" s="91"/>
      <c r="FD170" s="91"/>
      <c r="FE170" s="91"/>
      <c r="FF170" s="91"/>
      <c r="FG170" s="91"/>
      <c r="FH170" s="91"/>
      <c r="FI170" s="91"/>
      <c r="FJ170" s="91"/>
      <c r="FK170" s="91"/>
      <c r="FL170" s="91"/>
      <c r="FM170" s="91"/>
      <c r="FN170" s="91"/>
      <c r="FO170" s="91"/>
      <c r="FP170" s="91"/>
      <c r="FQ170" s="91"/>
      <c r="FR170" s="91"/>
      <c r="FS170" s="91"/>
      <c r="FT170" s="91"/>
      <c r="FU170" s="91"/>
      <c r="FV170" s="91"/>
      <c r="FW170" s="91"/>
      <c r="FX170" s="91"/>
      <c r="FY170" s="91"/>
      <c r="FZ170" s="91"/>
      <c r="GA170" s="91"/>
      <c r="GB170" s="91"/>
      <c r="GC170" s="91"/>
      <c r="GD170" s="91"/>
      <c r="GE170" s="91"/>
      <c r="GF170" s="91"/>
      <c r="GG170" s="91"/>
      <c r="GH170" s="91"/>
      <c r="GI170" s="91"/>
      <c r="GJ170" s="91"/>
      <c r="GK170" s="91"/>
      <c r="GL170" s="91"/>
      <c r="GM170" s="91"/>
      <c r="GN170" s="91"/>
      <c r="GO170" s="91"/>
      <c r="GP170" s="91"/>
      <c r="GQ170" s="91"/>
      <c r="GR170" s="91"/>
    </row>
    <row r="171" spans="2:200" x14ac:dyDescent="0.15"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91"/>
      <c r="AD171" s="91"/>
      <c r="AE171" s="91"/>
      <c r="AF171" s="91"/>
      <c r="AG171" s="91"/>
      <c r="AH171" s="91"/>
      <c r="AI171" s="91"/>
      <c r="AJ171" s="91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C171" s="91"/>
      <c r="BD171" s="91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W171" s="91"/>
      <c r="BX171" s="91"/>
      <c r="BY171" s="91"/>
      <c r="BZ171" s="91"/>
      <c r="CA171" s="91"/>
      <c r="CB171" s="91"/>
      <c r="CC171" s="91"/>
      <c r="CD171" s="91"/>
      <c r="CE171" s="91"/>
      <c r="CF171" s="91"/>
      <c r="CG171" s="91"/>
      <c r="CH171" s="91"/>
      <c r="CI171" s="91"/>
      <c r="CJ171" s="91"/>
      <c r="CK171" s="91"/>
      <c r="CL171" s="91"/>
      <c r="CM171" s="91"/>
      <c r="CN171" s="91"/>
      <c r="CO171" s="91"/>
      <c r="CP171" s="91"/>
      <c r="CQ171" s="91"/>
      <c r="CR171" s="91"/>
      <c r="CS171" s="91"/>
      <c r="CT171" s="91"/>
      <c r="CU171" s="91"/>
      <c r="CV171" s="91"/>
      <c r="CW171" s="91"/>
      <c r="CX171" s="91"/>
      <c r="CY171" s="91"/>
      <c r="CZ171" s="91"/>
      <c r="DA171" s="91"/>
      <c r="DB171" s="91"/>
      <c r="DC171" s="91"/>
      <c r="DD171" s="91"/>
      <c r="DE171" s="91"/>
      <c r="DF171" s="91"/>
      <c r="DG171" s="91"/>
      <c r="DH171" s="91"/>
      <c r="DI171" s="91"/>
      <c r="DJ171" s="91"/>
      <c r="DK171" s="91"/>
      <c r="DL171" s="91"/>
      <c r="DM171" s="91"/>
      <c r="DN171" s="91"/>
      <c r="DO171" s="91"/>
      <c r="DP171" s="91"/>
      <c r="DQ171" s="91"/>
      <c r="DR171" s="91"/>
      <c r="DS171" s="91"/>
      <c r="DT171" s="91"/>
      <c r="DU171" s="91"/>
      <c r="DV171" s="91"/>
      <c r="DW171" s="91"/>
      <c r="DX171" s="91"/>
      <c r="DY171" s="91"/>
      <c r="DZ171" s="91"/>
      <c r="EA171" s="91"/>
      <c r="EB171" s="91"/>
      <c r="EC171" s="91"/>
      <c r="ED171" s="91"/>
      <c r="EE171" s="91"/>
      <c r="EF171" s="91"/>
      <c r="EG171" s="91"/>
      <c r="EH171" s="91"/>
      <c r="EI171" s="91"/>
      <c r="EJ171" s="91"/>
      <c r="EK171" s="91"/>
      <c r="EL171" s="91"/>
      <c r="EM171" s="91"/>
      <c r="EN171" s="91"/>
      <c r="EO171" s="91"/>
      <c r="EP171" s="91"/>
      <c r="EQ171" s="91"/>
      <c r="ER171" s="91"/>
      <c r="ES171" s="91"/>
      <c r="ET171" s="91"/>
      <c r="EU171" s="91"/>
      <c r="EV171" s="91"/>
      <c r="EW171" s="91"/>
      <c r="EX171" s="91"/>
      <c r="EY171" s="91"/>
      <c r="EZ171" s="91"/>
      <c r="FA171" s="91"/>
      <c r="FB171" s="91"/>
      <c r="FC171" s="91"/>
      <c r="FD171" s="91"/>
      <c r="FE171" s="91"/>
      <c r="FF171" s="91"/>
      <c r="FG171" s="91"/>
      <c r="FH171" s="91"/>
      <c r="FI171" s="91"/>
      <c r="FJ171" s="91"/>
      <c r="FK171" s="91"/>
      <c r="FL171" s="91"/>
      <c r="FM171" s="91"/>
      <c r="FN171" s="91"/>
      <c r="FO171" s="91"/>
      <c r="FP171" s="91"/>
      <c r="FQ171" s="91"/>
      <c r="FR171" s="91"/>
      <c r="FS171" s="91"/>
      <c r="FT171" s="91"/>
      <c r="FU171" s="91"/>
      <c r="FV171" s="91"/>
      <c r="FW171" s="91"/>
      <c r="FX171" s="91"/>
      <c r="FY171" s="91"/>
      <c r="FZ171" s="91"/>
      <c r="GA171" s="91"/>
      <c r="GB171" s="91"/>
      <c r="GC171" s="91"/>
      <c r="GD171" s="91"/>
      <c r="GE171" s="91"/>
      <c r="GF171" s="91"/>
      <c r="GG171" s="91"/>
      <c r="GH171" s="91"/>
      <c r="GI171" s="91"/>
      <c r="GJ171" s="91"/>
      <c r="GK171" s="91"/>
      <c r="GL171" s="91"/>
      <c r="GM171" s="91"/>
      <c r="GN171" s="91"/>
      <c r="GO171" s="91"/>
      <c r="GP171" s="91"/>
      <c r="GQ171" s="91"/>
      <c r="GR171" s="91"/>
    </row>
    <row r="172" spans="2:200" x14ac:dyDescent="0.15"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C172" s="91"/>
      <c r="BD172" s="91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W172" s="91"/>
      <c r="BX172" s="91"/>
      <c r="BY172" s="91"/>
      <c r="BZ172" s="91"/>
      <c r="CA172" s="91"/>
      <c r="CB172" s="91"/>
      <c r="CC172" s="91"/>
      <c r="CD172" s="91"/>
      <c r="CE172" s="91"/>
      <c r="CF172" s="91"/>
      <c r="CG172" s="91"/>
      <c r="CH172" s="91"/>
      <c r="CI172" s="91"/>
      <c r="CJ172" s="91"/>
      <c r="CK172" s="91"/>
      <c r="CL172" s="91"/>
      <c r="CM172" s="91"/>
      <c r="CN172" s="91"/>
      <c r="CO172" s="91"/>
      <c r="CP172" s="91"/>
      <c r="CQ172" s="91"/>
      <c r="CR172" s="91"/>
      <c r="CS172" s="91"/>
      <c r="CT172" s="91"/>
      <c r="CU172" s="91"/>
      <c r="CV172" s="91"/>
      <c r="CW172" s="91"/>
      <c r="CX172" s="91"/>
      <c r="CY172" s="91"/>
      <c r="CZ172" s="91"/>
      <c r="DA172" s="91"/>
      <c r="DB172" s="91"/>
      <c r="DC172" s="91"/>
      <c r="DD172" s="91"/>
      <c r="DE172" s="91"/>
      <c r="DF172" s="91"/>
      <c r="DG172" s="91"/>
      <c r="DH172" s="91"/>
      <c r="DI172" s="91"/>
      <c r="DJ172" s="91"/>
      <c r="DK172" s="91"/>
      <c r="DL172" s="91"/>
      <c r="DM172" s="91"/>
      <c r="DN172" s="91"/>
      <c r="DO172" s="91"/>
      <c r="DP172" s="91"/>
      <c r="DQ172" s="91"/>
      <c r="DR172" s="91"/>
      <c r="DS172" s="91"/>
      <c r="DT172" s="91"/>
      <c r="DU172" s="91"/>
      <c r="DV172" s="91"/>
      <c r="DW172" s="91"/>
      <c r="DX172" s="91"/>
      <c r="DY172" s="91"/>
      <c r="DZ172" s="91"/>
      <c r="EA172" s="91"/>
      <c r="EB172" s="91"/>
      <c r="EC172" s="91"/>
      <c r="ED172" s="91"/>
      <c r="EE172" s="91"/>
      <c r="EF172" s="91"/>
      <c r="EG172" s="91"/>
      <c r="EH172" s="91"/>
      <c r="EI172" s="91"/>
      <c r="EJ172" s="91"/>
      <c r="EK172" s="91"/>
      <c r="EL172" s="91"/>
      <c r="EM172" s="91"/>
      <c r="EN172" s="91"/>
      <c r="EO172" s="91"/>
      <c r="EP172" s="91"/>
      <c r="EQ172" s="91"/>
      <c r="ER172" s="91"/>
      <c r="ES172" s="91"/>
      <c r="ET172" s="91"/>
      <c r="EU172" s="91"/>
      <c r="EV172" s="91"/>
      <c r="EW172" s="91"/>
      <c r="EX172" s="91"/>
      <c r="EY172" s="91"/>
      <c r="EZ172" s="91"/>
      <c r="FA172" s="91"/>
      <c r="FB172" s="91"/>
      <c r="FC172" s="91"/>
      <c r="FD172" s="91"/>
      <c r="FE172" s="91"/>
      <c r="FF172" s="91"/>
      <c r="FG172" s="91"/>
      <c r="FH172" s="91"/>
      <c r="FI172" s="91"/>
      <c r="FJ172" s="91"/>
      <c r="FK172" s="91"/>
      <c r="FL172" s="91"/>
      <c r="FM172" s="91"/>
      <c r="FN172" s="91"/>
      <c r="FO172" s="91"/>
      <c r="FP172" s="91"/>
      <c r="FQ172" s="91"/>
      <c r="FR172" s="91"/>
      <c r="FS172" s="91"/>
      <c r="FT172" s="91"/>
      <c r="FU172" s="91"/>
      <c r="FV172" s="91"/>
      <c r="FW172" s="91"/>
      <c r="FX172" s="91"/>
      <c r="FY172" s="91"/>
      <c r="FZ172" s="91"/>
      <c r="GA172" s="91"/>
      <c r="GB172" s="91"/>
      <c r="GC172" s="91"/>
      <c r="GD172" s="91"/>
      <c r="GE172" s="91"/>
      <c r="GF172" s="91"/>
      <c r="GG172" s="91"/>
      <c r="GH172" s="91"/>
      <c r="GI172" s="91"/>
      <c r="GJ172" s="91"/>
      <c r="GK172" s="91"/>
      <c r="GL172" s="91"/>
      <c r="GM172" s="91"/>
      <c r="GN172" s="91"/>
      <c r="GO172" s="91"/>
      <c r="GP172" s="91"/>
      <c r="GQ172" s="91"/>
      <c r="GR172" s="91"/>
    </row>
    <row r="173" spans="2:200" x14ac:dyDescent="0.15"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C173" s="91"/>
      <c r="BD173" s="91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W173" s="91"/>
      <c r="BX173" s="91"/>
      <c r="BY173" s="91"/>
      <c r="BZ173" s="91"/>
      <c r="CA173" s="91"/>
      <c r="CB173" s="91"/>
      <c r="CC173" s="91"/>
      <c r="CD173" s="91"/>
      <c r="CE173" s="91"/>
      <c r="CF173" s="91"/>
      <c r="CG173" s="91"/>
      <c r="CH173" s="91"/>
      <c r="CI173" s="91"/>
      <c r="CJ173" s="91"/>
      <c r="CK173" s="91"/>
      <c r="CL173" s="91"/>
      <c r="CM173" s="91"/>
      <c r="CN173" s="91"/>
      <c r="CO173" s="91"/>
      <c r="CP173" s="91"/>
      <c r="CQ173" s="91"/>
      <c r="CR173" s="91"/>
      <c r="CS173" s="91"/>
      <c r="CT173" s="91"/>
      <c r="CU173" s="91"/>
      <c r="CV173" s="91"/>
      <c r="CW173" s="91"/>
      <c r="CX173" s="91"/>
      <c r="CY173" s="91"/>
      <c r="CZ173" s="91"/>
      <c r="DA173" s="91"/>
      <c r="DB173" s="91"/>
      <c r="DC173" s="91"/>
      <c r="DD173" s="91"/>
      <c r="DE173" s="91"/>
      <c r="DF173" s="91"/>
      <c r="DG173" s="91"/>
      <c r="DH173" s="91"/>
      <c r="DI173" s="91"/>
      <c r="DJ173" s="91"/>
      <c r="DK173" s="91"/>
      <c r="DL173" s="91"/>
      <c r="DM173" s="91"/>
      <c r="DN173" s="91"/>
      <c r="DO173" s="91"/>
      <c r="DP173" s="91"/>
      <c r="DQ173" s="91"/>
      <c r="DR173" s="91"/>
      <c r="DS173" s="91"/>
      <c r="DT173" s="91"/>
      <c r="DU173" s="91"/>
      <c r="DV173" s="91"/>
      <c r="DW173" s="91"/>
      <c r="DX173" s="91"/>
      <c r="DY173" s="91"/>
      <c r="DZ173" s="91"/>
      <c r="EA173" s="91"/>
      <c r="EB173" s="91"/>
      <c r="EC173" s="91"/>
      <c r="ED173" s="91"/>
      <c r="EE173" s="91"/>
      <c r="EF173" s="91"/>
      <c r="EG173" s="91"/>
      <c r="EH173" s="91"/>
      <c r="EI173" s="91"/>
      <c r="EJ173" s="91"/>
      <c r="EK173" s="91"/>
      <c r="EL173" s="91"/>
      <c r="EM173" s="91"/>
      <c r="EN173" s="91"/>
      <c r="EO173" s="91"/>
      <c r="EP173" s="91"/>
      <c r="EQ173" s="91"/>
      <c r="ER173" s="91"/>
      <c r="ES173" s="91"/>
      <c r="ET173" s="91"/>
      <c r="EU173" s="91"/>
      <c r="EV173" s="91"/>
      <c r="EW173" s="91"/>
      <c r="EX173" s="91"/>
      <c r="EY173" s="91"/>
      <c r="EZ173" s="91"/>
      <c r="FA173" s="91"/>
      <c r="FB173" s="91"/>
      <c r="FC173" s="91"/>
      <c r="FD173" s="91"/>
      <c r="FE173" s="91"/>
      <c r="FF173" s="91"/>
      <c r="FG173" s="91"/>
      <c r="FH173" s="91"/>
      <c r="FI173" s="91"/>
      <c r="FJ173" s="91"/>
      <c r="FK173" s="91"/>
      <c r="FL173" s="91"/>
      <c r="FM173" s="91"/>
      <c r="FN173" s="91"/>
      <c r="FO173" s="91"/>
      <c r="FP173" s="91"/>
      <c r="FQ173" s="91"/>
      <c r="FR173" s="91"/>
      <c r="FS173" s="91"/>
      <c r="FT173" s="91"/>
      <c r="FU173" s="91"/>
      <c r="FV173" s="91"/>
      <c r="FW173" s="91"/>
      <c r="FX173" s="91"/>
      <c r="FY173" s="91"/>
      <c r="FZ173" s="91"/>
      <c r="GA173" s="91"/>
      <c r="GB173" s="91"/>
      <c r="GC173" s="91"/>
      <c r="GD173" s="91"/>
      <c r="GE173" s="91"/>
      <c r="GF173" s="91"/>
      <c r="GG173" s="91"/>
      <c r="GH173" s="91"/>
      <c r="GI173" s="91"/>
      <c r="GJ173" s="91"/>
      <c r="GK173" s="91"/>
      <c r="GL173" s="91"/>
      <c r="GM173" s="91"/>
      <c r="GN173" s="91"/>
      <c r="GO173" s="91"/>
      <c r="GP173" s="91"/>
      <c r="GQ173" s="91"/>
      <c r="GR173" s="91"/>
    </row>
    <row r="174" spans="2:200" x14ac:dyDescent="0.15"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C174" s="91"/>
      <c r="BD174" s="91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W174" s="91"/>
      <c r="BX174" s="91"/>
      <c r="BY174" s="91"/>
      <c r="BZ174" s="91"/>
      <c r="CA174" s="91"/>
      <c r="CB174" s="91"/>
      <c r="CC174" s="91"/>
      <c r="CD174" s="91"/>
      <c r="CE174" s="91"/>
      <c r="CF174" s="91"/>
      <c r="CG174" s="91"/>
      <c r="CH174" s="91"/>
      <c r="CI174" s="91"/>
      <c r="CJ174" s="91"/>
      <c r="CK174" s="91"/>
      <c r="CL174" s="91"/>
      <c r="CM174" s="91"/>
      <c r="CN174" s="91"/>
      <c r="CO174" s="91"/>
      <c r="CP174" s="91"/>
      <c r="CQ174" s="91"/>
      <c r="CR174" s="91"/>
      <c r="CS174" s="91"/>
      <c r="CT174" s="91"/>
      <c r="CU174" s="91"/>
      <c r="CV174" s="91"/>
      <c r="CW174" s="91"/>
      <c r="CX174" s="91"/>
      <c r="CY174" s="91"/>
      <c r="CZ174" s="91"/>
      <c r="DA174" s="91"/>
      <c r="DB174" s="91"/>
      <c r="DC174" s="91"/>
      <c r="DD174" s="91"/>
      <c r="DE174" s="91"/>
      <c r="DF174" s="91"/>
      <c r="DG174" s="91"/>
      <c r="DH174" s="91"/>
      <c r="DI174" s="91"/>
      <c r="DJ174" s="91"/>
      <c r="DK174" s="91"/>
      <c r="DL174" s="91"/>
      <c r="DM174" s="91"/>
      <c r="DN174" s="91"/>
      <c r="DO174" s="91"/>
      <c r="DP174" s="91"/>
      <c r="DQ174" s="91"/>
      <c r="DR174" s="91"/>
      <c r="DS174" s="91"/>
      <c r="DT174" s="91"/>
      <c r="DU174" s="91"/>
      <c r="DV174" s="91"/>
      <c r="DW174" s="91"/>
      <c r="DX174" s="91"/>
      <c r="DY174" s="91"/>
      <c r="DZ174" s="91"/>
      <c r="EA174" s="91"/>
      <c r="EB174" s="91"/>
      <c r="EC174" s="91"/>
      <c r="ED174" s="91"/>
      <c r="EE174" s="91"/>
      <c r="EF174" s="91"/>
      <c r="EG174" s="91"/>
      <c r="EH174" s="91"/>
      <c r="EI174" s="91"/>
      <c r="EJ174" s="91"/>
      <c r="EK174" s="91"/>
      <c r="EL174" s="91"/>
      <c r="EM174" s="91"/>
      <c r="EN174" s="91"/>
      <c r="EO174" s="91"/>
      <c r="EP174" s="91"/>
      <c r="EQ174" s="91"/>
      <c r="ER174" s="91"/>
      <c r="ES174" s="91"/>
      <c r="ET174" s="91"/>
      <c r="EU174" s="91"/>
      <c r="EV174" s="91"/>
      <c r="EW174" s="91"/>
      <c r="EX174" s="91"/>
      <c r="EY174" s="91"/>
      <c r="EZ174" s="91"/>
      <c r="FA174" s="91"/>
      <c r="FB174" s="91"/>
      <c r="FC174" s="91"/>
      <c r="FD174" s="91"/>
      <c r="FE174" s="91"/>
      <c r="FF174" s="91"/>
      <c r="FG174" s="91"/>
      <c r="FH174" s="91"/>
      <c r="FI174" s="91"/>
      <c r="FJ174" s="91"/>
      <c r="FK174" s="91"/>
      <c r="FL174" s="91"/>
      <c r="FM174" s="91"/>
      <c r="FN174" s="91"/>
      <c r="FO174" s="91"/>
      <c r="FP174" s="91"/>
      <c r="FQ174" s="91"/>
      <c r="FR174" s="91"/>
      <c r="FS174" s="91"/>
      <c r="FT174" s="91"/>
      <c r="FU174" s="91"/>
      <c r="FV174" s="91"/>
      <c r="FW174" s="91"/>
      <c r="FX174" s="91"/>
      <c r="FY174" s="91"/>
      <c r="FZ174" s="91"/>
      <c r="GA174" s="91"/>
      <c r="GB174" s="91"/>
      <c r="GC174" s="91"/>
      <c r="GD174" s="91"/>
      <c r="GE174" s="91"/>
      <c r="GF174" s="91"/>
      <c r="GG174" s="91"/>
      <c r="GH174" s="91"/>
      <c r="GI174" s="91"/>
      <c r="GJ174" s="91"/>
      <c r="GK174" s="91"/>
      <c r="GL174" s="91"/>
      <c r="GM174" s="91"/>
      <c r="GN174" s="91"/>
      <c r="GO174" s="91"/>
      <c r="GP174" s="91"/>
      <c r="GQ174" s="91"/>
      <c r="GR174" s="91"/>
    </row>
    <row r="175" spans="2:200" x14ac:dyDescent="0.15"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C175" s="91"/>
      <c r="BD175" s="91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W175" s="91"/>
      <c r="BX175" s="91"/>
      <c r="BY175" s="91"/>
      <c r="BZ175" s="91"/>
      <c r="CA175" s="91"/>
      <c r="CB175" s="91"/>
      <c r="CC175" s="91"/>
      <c r="CD175" s="91"/>
      <c r="CE175" s="91"/>
      <c r="CF175" s="91"/>
      <c r="CG175" s="91"/>
      <c r="CH175" s="91"/>
      <c r="CI175" s="91"/>
      <c r="CJ175" s="91"/>
      <c r="CK175" s="91"/>
      <c r="CL175" s="91"/>
      <c r="CM175" s="91"/>
      <c r="CN175" s="91"/>
      <c r="CO175" s="91"/>
      <c r="CP175" s="91"/>
      <c r="CQ175" s="91"/>
      <c r="CR175" s="91"/>
      <c r="CS175" s="91"/>
      <c r="CT175" s="91"/>
      <c r="CU175" s="91"/>
      <c r="CV175" s="91"/>
      <c r="CW175" s="91"/>
      <c r="CX175" s="91"/>
      <c r="CY175" s="91"/>
      <c r="CZ175" s="91"/>
      <c r="DA175" s="91"/>
      <c r="DB175" s="91"/>
      <c r="DC175" s="91"/>
      <c r="DD175" s="91"/>
      <c r="DE175" s="91"/>
      <c r="DF175" s="91"/>
      <c r="DG175" s="91"/>
      <c r="DH175" s="91"/>
      <c r="DI175" s="91"/>
      <c r="DJ175" s="91"/>
      <c r="DK175" s="91"/>
      <c r="DL175" s="91"/>
      <c r="DM175" s="91"/>
      <c r="DN175" s="91"/>
      <c r="DO175" s="91"/>
      <c r="DP175" s="91"/>
      <c r="DQ175" s="91"/>
      <c r="DR175" s="91"/>
      <c r="DS175" s="91"/>
      <c r="DT175" s="91"/>
      <c r="DU175" s="91"/>
      <c r="DV175" s="91"/>
      <c r="DW175" s="91"/>
      <c r="DX175" s="91"/>
      <c r="DY175" s="91"/>
      <c r="DZ175" s="91"/>
      <c r="EA175" s="91"/>
      <c r="EB175" s="91"/>
      <c r="EC175" s="91"/>
      <c r="ED175" s="91"/>
      <c r="EE175" s="91"/>
      <c r="EF175" s="91"/>
      <c r="EG175" s="91"/>
      <c r="EH175" s="91"/>
      <c r="EI175" s="91"/>
      <c r="EJ175" s="91"/>
      <c r="EK175" s="91"/>
      <c r="EL175" s="91"/>
      <c r="EM175" s="91"/>
      <c r="EN175" s="91"/>
      <c r="EO175" s="91"/>
      <c r="EP175" s="91"/>
      <c r="EQ175" s="91"/>
      <c r="ER175" s="91"/>
      <c r="ES175" s="91"/>
      <c r="ET175" s="91"/>
      <c r="EU175" s="91"/>
      <c r="EV175" s="91"/>
      <c r="EW175" s="91"/>
      <c r="EX175" s="91"/>
      <c r="EY175" s="91"/>
      <c r="EZ175" s="91"/>
      <c r="FA175" s="91"/>
      <c r="FB175" s="91"/>
      <c r="FC175" s="91"/>
      <c r="FD175" s="91"/>
      <c r="FE175" s="91"/>
      <c r="FF175" s="91"/>
      <c r="FG175" s="91"/>
      <c r="FH175" s="91"/>
      <c r="FI175" s="91"/>
      <c r="FJ175" s="91"/>
      <c r="FK175" s="91"/>
      <c r="FL175" s="91"/>
      <c r="FM175" s="91"/>
      <c r="FN175" s="91"/>
      <c r="FO175" s="91"/>
      <c r="FP175" s="91"/>
      <c r="FQ175" s="91"/>
      <c r="FR175" s="91"/>
      <c r="FS175" s="91"/>
      <c r="FT175" s="91"/>
      <c r="FU175" s="91"/>
      <c r="FV175" s="91"/>
      <c r="FW175" s="91"/>
      <c r="FX175" s="91"/>
      <c r="FY175" s="91"/>
      <c r="FZ175" s="91"/>
      <c r="GA175" s="91"/>
      <c r="GB175" s="91"/>
      <c r="GC175" s="91"/>
      <c r="GD175" s="91"/>
      <c r="GE175" s="91"/>
      <c r="GF175" s="91"/>
      <c r="GG175" s="91"/>
      <c r="GH175" s="91"/>
      <c r="GI175" s="91"/>
      <c r="GJ175" s="91"/>
      <c r="GK175" s="91"/>
      <c r="GL175" s="91"/>
      <c r="GM175" s="91"/>
      <c r="GN175" s="91"/>
      <c r="GO175" s="91"/>
      <c r="GP175" s="91"/>
      <c r="GQ175" s="91"/>
      <c r="GR175" s="91"/>
    </row>
    <row r="176" spans="2:200" x14ac:dyDescent="0.15"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C176" s="91"/>
      <c r="BD176" s="91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W176" s="91"/>
      <c r="BX176" s="91"/>
      <c r="BY176" s="91"/>
      <c r="BZ176" s="91"/>
      <c r="CA176" s="91"/>
      <c r="CB176" s="91"/>
      <c r="CC176" s="91"/>
      <c r="CD176" s="91"/>
      <c r="CE176" s="91"/>
      <c r="CF176" s="91"/>
      <c r="CG176" s="91"/>
      <c r="CH176" s="91"/>
      <c r="CI176" s="91"/>
      <c r="CJ176" s="91"/>
      <c r="CK176" s="91"/>
      <c r="CL176" s="91"/>
      <c r="CM176" s="91"/>
      <c r="CN176" s="91"/>
      <c r="CO176" s="91"/>
      <c r="CP176" s="91"/>
      <c r="CQ176" s="91"/>
      <c r="CR176" s="91"/>
      <c r="CS176" s="91"/>
      <c r="CT176" s="91"/>
      <c r="CU176" s="91"/>
      <c r="CV176" s="91"/>
      <c r="CW176" s="91"/>
      <c r="CX176" s="91"/>
      <c r="CY176" s="91"/>
      <c r="CZ176" s="91"/>
      <c r="DA176" s="91"/>
      <c r="DB176" s="91"/>
      <c r="DC176" s="91"/>
      <c r="DD176" s="91"/>
      <c r="DE176" s="91"/>
      <c r="DF176" s="91"/>
      <c r="DG176" s="91"/>
      <c r="DH176" s="91"/>
      <c r="DI176" s="91"/>
      <c r="DJ176" s="91"/>
      <c r="DK176" s="91"/>
      <c r="DL176" s="91"/>
      <c r="DM176" s="91"/>
      <c r="DN176" s="91"/>
      <c r="DO176" s="91"/>
      <c r="DP176" s="91"/>
      <c r="DQ176" s="91"/>
      <c r="DR176" s="91"/>
      <c r="DS176" s="91"/>
      <c r="DT176" s="91"/>
      <c r="DU176" s="91"/>
      <c r="DV176" s="91"/>
      <c r="DW176" s="91"/>
      <c r="DX176" s="91"/>
      <c r="DY176" s="91"/>
      <c r="DZ176" s="91"/>
      <c r="EA176" s="91"/>
      <c r="EB176" s="91"/>
      <c r="EC176" s="91"/>
      <c r="ED176" s="91"/>
      <c r="EE176" s="91"/>
      <c r="EF176" s="91"/>
      <c r="EG176" s="91"/>
      <c r="EH176" s="91"/>
      <c r="EI176" s="91"/>
      <c r="EJ176" s="91"/>
      <c r="EK176" s="91"/>
      <c r="EL176" s="91"/>
      <c r="EM176" s="91"/>
      <c r="EN176" s="91"/>
      <c r="EO176" s="91"/>
      <c r="EP176" s="91"/>
      <c r="EQ176" s="91"/>
      <c r="ER176" s="91"/>
      <c r="ES176" s="91"/>
      <c r="ET176" s="91"/>
      <c r="EU176" s="91"/>
      <c r="EV176" s="91"/>
      <c r="EW176" s="91"/>
      <c r="EX176" s="91"/>
      <c r="EY176" s="91"/>
      <c r="EZ176" s="91"/>
      <c r="FA176" s="91"/>
      <c r="FB176" s="91"/>
      <c r="FC176" s="91"/>
      <c r="FD176" s="91"/>
      <c r="FE176" s="91"/>
      <c r="FF176" s="91"/>
      <c r="FG176" s="91"/>
      <c r="FH176" s="91"/>
      <c r="FI176" s="91"/>
      <c r="FJ176" s="91"/>
      <c r="FK176" s="91"/>
      <c r="FL176" s="91"/>
      <c r="FM176" s="91"/>
      <c r="FN176" s="91"/>
      <c r="FO176" s="91"/>
      <c r="FP176" s="91"/>
      <c r="FQ176" s="91"/>
      <c r="FR176" s="91"/>
      <c r="FS176" s="91"/>
      <c r="FT176" s="91"/>
      <c r="FU176" s="91"/>
      <c r="FV176" s="91"/>
      <c r="FW176" s="91"/>
      <c r="FX176" s="91"/>
      <c r="FY176" s="91"/>
      <c r="FZ176" s="91"/>
      <c r="GA176" s="91"/>
      <c r="GB176" s="91"/>
      <c r="GC176" s="91"/>
      <c r="GD176" s="91"/>
      <c r="GE176" s="91"/>
      <c r="GF176" s="91"/>
      <c r="GG176" s="91"/>
      <c r="GH176" s="91"/>
      <c r="GI176" s="91"/>
      <c r="GJ176" s="91"/>
      <c r="GK176" s="91"/>
      <c r="GL176" s="91"/>
      <c r="GM176" s="91"/>
      <c r="GN176" s="91"/>
      <c r="GO176" s="91"/>
      <c r="GP176" s="91"/>
      <c r="GQ176" s="91"/>
      <c r="GR176" s="91"/>
    </row>
    <row r="177" spans="2:200" x14ac:dyDescent="0.15"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C177" s="91"/>
      <c r="BD177" s="91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W177" s="91"/>
      <c r="BX177" s="91"/>
      <c r="BY177" s="91"/>
      <c r="BZ177" s="91"/>
      <c r="CA177" s="91"/>
      <c r="CB177" s="91"/>
      <c r="CC177" s="91"/>
      <c r="CD177" s="91"/>
      <c r="CE177" s="91"/>
      <c r="CF177" s="91"/>
      <c r="CG177" s="91"/>
      <c r="CH177" s="91"/>
      <c r="CI177" s="91"/>
      <c r="CJ177" s="91"/>
      <c r="CK177" s="91"/>
      <c r="CL177" s="91"/>
      <c r="CM177" s="91"/>
      <c r="CN177" s="91"/>
      <c r="CO177" s="91"/>
      <c r="CP177" s="91"/>
      <c r="CQ177" s="91"/>
      <c r="CR177" s="91"/>
      <c r="CS177" s="91"/>
      <c r="CT177" s="91"/>
      <c r="CU177" s="91"/>
      <c r="CV177" s="91"/>
      <c r="CW177" s="91"/>
      <c r="CX177" s="91"/>
      <c r="CY177" s="91"/>
      <c r="CZ177" s="91"/>
      <c r="DA177" s="91"/>
      <c r="DB177" s="91"/>
      <c r="DC177" s="91"/>
      <c r="DD177" s="91"/>
      <c r="DE177" s="91"/>
      <c r="DF177" s="91"/>
      <c r="DG177" s="91"/>
      <c r="DH177" s="91"/>
      <c r="DI177" s="91"/>
      <c r="DJ177" s="91"/>
      <c r="DK177" s="91"/>
      <c r="DL177" s="91"/>
      <c r="DM177" s="91"/>
      <c r="DN177" s="91"/>
      <c r="DO177" s="91"/>
      <c r="DP177" s="91"/>
      <c r="DQ177" s="91"/>
      <c r="DR177" s="91"/>
      <c r="DS177" s="91"/>
      <c r="DT177" s="91"/>
      <c r="DU177" s="91"/>
      <c r="DV177" s="91"/>
      <c r="DW177" s="91"/>
      <c r="DX177" s="91"/>
      <c r="DY177" s="91"/>
      <c r="DZ177" s="91"/>
      <c r="EA177" s="91"/>
      <c r="EB177" s="91"/>
      <c r="EC177" s="91"/>
      <c r="ED177" s="91"/>
      <c r="EE177" s="91"/>
      <c r="EF177" s="91"/>
      <c r="EG177" s="91"/>
      <c r="EH177" s="91"/>
      <c r="EI177" s="91"/>
      <c r="EJ177" s="91"/>
      <c r="EK177" s="91"/>
      <c r="EL177" s="91"/>
      <c r="EM177" s="91"/>
      <c r="EN177" s="91"/>
      <c r="EO177" s="91"/>
      <c r="EP177" s="91"/>
      <c r="EQ177" s="91"/>
      <c r="ER177" s="91"/>
      <c r="ES177" s="91"/>
      <c r="ET177" s="91"/>
      <c r="EU177" s="91"/>
      <c r="EV177" s="91"/>
      <c r="EW177" s="91"/>
      <c r="EX177" s="91"/>
      <c r="EY177" s="91"/>
      <c r="EZ177" s="91"/>
      <c r="FA177" s="91"/>
      <c r="FB177" s="91"/>
      <c r="FC177" s="91"/>
      <c r="FD177" s="91"/>
      <c r="FE177" s="91"/>
      <c r="FF177" s="91"/>
      <c r="FG177" s="91"/>
      <c r="FH177" s="91"/>
      <c r="FI177" s="91"/>
      <c r="FJ177" s="91"/>
      <c r="FK177" s="91"/>
      <c r="FL177" s="91"/>
      <c r="FM177" s="91"/>
      <c r="FN177" s="91"/>
      <c r="FO177" s="91"/>
      <c r="FP177" s="91"/>
      <c r="FQ177" s="91"/>
      <c r="FR177" s="91"/>
      <c r="FS177" s="91"/>
      <c r="FT177" s="91"/>
      <c r="FU177" s="91"/>
      <c r="FV177" s="91"/>
      <c r="FW177" s="91"/>
      <c r="FX177" s="91"/>
      <c r="FY177" s="91"/>
      <c r="FZ177" s="91"/>
      <c r="GA177" s="91"/>
      <c r="GB177" s="91"/>
      <c r="GC177" s="91"/>
      <c r="GD177" s="91"/>
      <c r="GE177" s="91"/>
      <c r="GF177" s="91"/>
      <c r="GG177" s="91"/>
      <c r="GH177" s="91"/>
      <c r="GI177" s="91"/>
      <c r="GJ177" s="91"/>
      <c r="GK177" s="91"/>
      <c r="GL177" s="91"/>
      <c r="GM177" s="91"/>
      <c r="GN177" s="91"/>
      <c r="GO177" s="91"/>
      <c r="GP177" s="91"/>
      <c r="GQ177" s="91"/>
      <c r="GR177" s="91"/>
    </row>
    <row r="178" spans="2:200" x14ac:dyDescent="0.15"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C178" s="91"/>
      <c r="BD178" s="91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W178" s="91"/>
      <c r="BX178" s="91"/>
      <c r="BY178" s="91"/>
      <c r="BZ178" s="91"/>
      <c r="CA178" s="91"/>
      <c r="CB178" s="91"/>
      <c r="CC178" s="91"/>
      <c r="CD178" s="91"/>
      <c r="CE178" s="91"/>
      <c r="CF178" s="91"/>
      <c r="CG178" s="91"/>
      <c r="CH178" s="91"/>
      <c r="CI178" s="91"/>
      <c r="CJ178" s="91"/>
      <c r="CK178" s="91"/>
      <c r="CL178" s="91"/>
      <c r="CM178" s="91"/>
      <c r="CN178" s="91"/>
      <c r="CO178" s="91"/>
      <c r="CP178" s="91"/>
      <c r="CQ178" s="91"/>
      <c r="CR178" s="91"/>
      <c r="CS178" s="91"/>
      <c r="CT178" s="91"/>
      <c r="CU178" s="91"/>
      <c r="CV178" s="91"/>
      <c r="CW178" s="91"/>
      <c r="CX178" s="91"/>
      <c r="CY178" s="91"/>
      <c r="CZ178" s="91"/>
      <c r="DA178" s="91"/>
      <c r="DB178" s="91"/>
      <c r="DC178" s="91"/>
      <c r="DD178" s="91"/>
      <c r="DE178" s="91"/>
      <c r="DF178" s="91"/>
      <c r="DG178" s="91"/>
      <c r="DH178" s="91"/>
      <c r="DI178" s="91"/>
      <c r="DJ178" s="91"/>
      <c r="DK178" s="91"/>
      <c r="DL178" s="91"/>
      <c r="DM178" s="91"/>
      <c r="DN178" s="91"/>
      <c r="DO178" s="91"/>
      <c r="DP178" s="91"/>
      <c r="DQ178" s="91"/>
      <c r="DR178" s="91"/>
      <c r="DS178" s="91"/>
      <c r="DT178" s="91"/>
      <c r="DU178" s="91"/>
      <c r="DV178" s="91"/>
      <c r="DW178" s="91"/>
      <c r="DX178" s="91"/>
      <c r="DY178" s="91"/>
      <c r="DZ178" s="91"/>
      <c r="EA178" s="91"/>
      <c r="EB178" s="91"/>
      <c r="EC178" s="91"/>
      <c r="ED178" s="91"/>
      <c r="EE178" s="91"/>
      <c r="EF178" s="91"/>
      <c r="EG178" s="91"/>
      <c r="EH178" s="91"/>
      <c r="EI178" s="91"/>
      <c r="EJ178" s="91"/>
      <c r="EK178" s="91"/>
      <c r="EL178" s="91"/>
      <c r="EM178" s="91"/>
      <c r="EN178" s="91"/>
      <c r="EO178" s="91"/>
      <c r="EP178" s="91"/>
      <c r="EQ178" s="91"/>
      <c r="ER178" s="91"/>
      <c r="ES178" s="91"/>
      <c r="ET178" s="91"/>
      <c r="EU178" s="91"/>
      <c r="EV178" s="91"/>
      <c r="EW178" s="91"/>
      <c r="EX178" s="91"/>
      <c r="EY178" s="91"/>
      <c r="EZ178" s="91"/>
      <c r="FA178" s="91"/>
      <c r="FB178" s="91"/>
      <c r="FC178" s="91"/>
      <c r="FD178" s="91"/>
      <c r="FE178" s="91"/>
      <c r="FF178" s="91"/>
      <c r="FG178" s="91"/>
      <c r="FH178" s="91"/>
      <c r="FI178" s="91"/>
      <c r="FJ178" s="91"/>
      <c r="FK178" s="91"/>
      <c r="FL178" s="91"/>
      <c r="FM178" s="91"/>
      <c r="FN178" s="91"/>
      <c r="FO178" s="91"/>
      <c r="FP178" s="91"/>
      <c r="FQ178" s="91"/>
      <c r="FR178" s="91"/>
      <c r="FS178" s="91"/>
      <c r="FT178" s="91"/>
      <c r="FU178" s="91"/>
      <c r="FV178" s="91"/>
      <c r="FW178" s="91"/>
      <c r="FX178" s="91"/>
      <c r="FY178" s="91"/>
      <c r="FZ178" s="91"/>
      <c r="GA178" s="91"/>
      <c r="GB178" s="91"/>
      <c r="GC178" s="91"/>
      <c r="GD178" s="91"/>
      <c r="GE178" s="91"/>
      <c r="GF178" s="91"/>
      <c r="GG178" s="91"/>
      <c r="GH178" s="91"/>
      <c r="GI178" s="91"/>
      <c r="GJ178" s="91"/>
      <c r="GK178" s="91"/>
      <c r="GL178" s="91"/>
      <c r="GM178" s="91"/>
      <c r="GN178" s="91"/>
      <c r="GO178" s="91"/>
      <c r="GP178" s="91"/>
      <c r="GQ178" s="91"/>
      <c r="GR178" s="91"/>
    </row>
    <row r="179" spans="2:200" x14ac:dyDescent="0.15"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C179" s="91"/>
      <c r="BD179" s="91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W179" s="91"/>
      <c r="BX179" s="91"/>
      <c r="BY179" s="91"/>
      <c r="BZ179" s="91"/>
      <c r="CA179" s="91"/>
      <c r="CB179" s="91"/>
      <c r="CC179" s="91"/>
      <c r="CD179" s="91"/>
      <c r="CE179" s="91"/>
      <c r="CF179" s="91"/>
      <c r="CG179" s="91"/>
      <c r="CH179" s="91"/>
      <c r="CI179" s="91"/>
      <c r="CJ179" s="91"/>
      <c r="CK179" s="91"/>
      <c r="CL179" s="91"/>
      <c r="CM179" s="91"/>
      <c r="CN179" s="91"/>
      <c r="CO179" s="91"/>
      <c r="CP179" s="91"/>
      <c r="CQ179" s="91"/>
      <c r="CR179" s="91"/>
      <c r="CS179" s="91"/>
      <c r="CT179" s="91"/>
      <c r="CU179" s="91"/>
      <c r="CV179" s="91"/>
      <c r="CW179" s="91"/>
      <c r="CX179" s="91"/>
      <c r="CY179" s="91"/>
      <c r="CZ179" s="91"/>
      <c r="DA179" s="91"/>
      <c r="DB179" s="91"/>
      <c r="DC179" s="91"/>
      <c r="DD179" s="91"/>
      <c r="DE179" s="91"/>
      <c r="DF179" s="91"/>
      <c r="DG179" s="91"/>
      <c r="DH179" s="91"/>
      <c r="DI179" s="91"/>
      <c r="DJ179" s="91"/>
      <c r="DK179" s="91"/>
      <c r="DL179" s="91"/>
      <c r="DM179" s="91"/>
      <c r="DN179" s="91"/>
      <c r="DO179" s="91"/>
      <c r="DP179" s="91"/>
      <c r="DQ179" s="91"/>
      <c r="DR179" s="91"/>
      <c r="DS179" s="91"/>
      <c r="DT179" s="91"/>
      <c r="DU179" s="91"/>
      <c r="DV179" s="91"/>
      <c r="DW179" s="91"/>
      <c r="DX179" s="91"/>
      <c r="DY179" s="91"/>
      <c r="DZ179" s="91"/>
      <c r="EA179" s="91"/>
      <c r="EB179" s="91"/>
      <c r="EC179" s="91"/>
      <c r="ED179" s="91"/>
      <c r="EE179" s="91"/>
      <c r="EF179" s="91"/>
      <c r="EG179" s="91"/>
      <c r="EH179" s="91"/>
      <c r="EI179" s="91"/>
      <c r="EJ179" s="91"/>
      <c r="EK179" s="91"/>
      <c r="EL179" s="91"/>
      <c r="EM179" s="91"/>
      <c r="EN179" s="91"/>
      <c r="EO179" s="91"/>
      <c r="EP179" s="91"/>
      <c r="EQ179" s="91"/>
      <c r="ER179" s="91"/>
      <c r="ES179" s="91"/>
      <c r="ET179" s="91"/>
      <c r="EU179" s="91"/>
      <c r="EV179" s="91"/>
      <c r="EW179" s="91"/>
      <c r="EX179" s="91"/>
      <c r="EY179" s="91"/>
      <c r="EZ179" s="91"/>
      <c r="FA179" s="91"/>
      <c r="FB179" s="91"/>
      <c r="FC179" s="91"/>
      <c r="FD179" s="91"/>
      <c r="FE179" s="91"/>
      <c r="FF179" s="91"/>
      <c r="FG179" s="91"/>
      <c r="FH179" s="91"/>
      <c r="FI179" s="91"/>
      <c r="FJ179" s="91"/>
      <c r="FK179" s="91"/>
      <c r="FL179" s="91"/>
      <c r="FM179" s="91"/>
      <c r="FN179" s="91"/>
      <c r="FO179" s="91"/>
      <c r="FP179" s="91"/>
      <c r="FQ179" s="91"/>
      <c r="FR179" s="91"/>
      <c r="FS179" s="91"/>
      <c r="FT179" s="91"/>
      <c r="FU179" s="91"/>
      <c r="FV179" s="91"/>
      <c r="FW179" s="91"/>
      <c r="FX179" s="91"/>
      <c r="FY179" s="91"/>
      <c r="FZ179" s="91"/>
      <c r="GA179" s="91"/>
      <c r="GB179" s="91"/>
      <c r="GC179" s="91"/>
      <c r="GD179" s="91"/>
      <c r="GE179" s="91"/>
      <c r="GF179" s="91"/>
      <c r="GG179" s="91"/>
      <c r="GH179" s="91"/>
      <c r="GI179" s="91"/>
      <c r="GJ179" s="91"/>
      <c r="GK179" s="91"/>
      <c r="GL179" s="91"/>
      <c r="GM179" s="91"/>
      <c r="GN179" s="91"/>
      <c r="GO179" s="91"/>
      <c r="GP179" s="91"/>
      <c r="GQ179" s="91"/>
      <c r="GR179" s="91"/>
    </row>
    <row r="180" spans="2:200" x14ac:dyDescent="0.15"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C180" s="91"/>
      <c r="BD180" s="91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W180" s="91"/>
      <c r="BX180" s="91"/>
      <c r="BY180" s="91"/>
      <c r="BZ180" s="91"/>
      <c r="CA180" s="91"/>
      <c r="CB180" s="91"/>
      <c r="CC180" s="91"/>
      <c r="CD180" s="91"/>
      <c r="CE180" s="91"/>
      <c r="CF180" s="91"/>
      <c r="CG180" s="91"/>
      <c r="CH180" s="91"/>
      <c r="CI180" s="91"/>
      <c r="CJ180" s="91"/>
      <c r="CK180" s="91"/>
      <c r="CL180" s="91"/>
      <c r="CM180" s="91"/>
      <c r="CN180" s="91"/>
      <c r="CO180" s="91"/>
      <c r="CP180" s="91"/>
      <c r="CQ180" s="91"/>
      <c r="CR180" s="91"/>
      <c r="CS180" s="91"/>
      <c r="CT180" s="91"/>
      <c r="CU180" s="91"/>
      <c r="CV180" s="91"/>
      <c r="CW180" s="91"/>
      <c r="CX180" s="91"/>
      <c r="CY180" s="91"/>
      <c r="CZ180" s="91"/>
      <c r="DA180" s="91"/>
      <c r="DB180" s="91"/>
      <c r="DC180" s="91"/>
      <c r="DD180" s="91"/>
      <c r="DE180" s="91"/>
      <c r="DF180" s="91"/>
      <c r="DG180" s="91"/>
      <c r="DH180" s="91"/>
      <c r="DI180" s="91"/>
      <c r="DJ180" s="91"/>
      <c r="DK180" s="91"/>
      <c r="DL180" s="91"/>
      <c r="DM180" s="91"/>
      <c r="DN180" s="91"/>
      <c r="DO180" s="91"/>
      <c r="DP180" s="91"/>
      <c r="DQ180" s="91"/>
      <c r="DR180" s="91"/>
      <c r="DS180" s="91"/>
      <c r="DT180" s="91"/>
      <c r="DU180" s="91"/>
      <c r="DV180" s="91"/>
      <c r="DW180" s="91"/>
      <c r="DX180" s="91"/>
      <c r="DY180" s="91"/>
      <c r="DZ180" s="91"/>
      <c r="EA180" s="91"/>
      <c r="EB180" s="91"/>
      <c r="EC180" s="91"/>
      <c r="ED180" s="91"/>
      <c r="EE180" s="91"/>
      <c r="EF180" s="91"/>
      <c r="EG180" s="91"/>
      <c r="EH180" s="91"/>
      <c r="EI180" s="91"/>
      <c r="EJ180" s="91"/>
      <c r="EK180" s="91"/>
      <c r="EL180" s="91"/>
      <c r="EM180" s="91"/>
      <c r="EN180" s="91"/>
      <c r="EO180" s="91"/>
      <c r="EP180" s="91"/>
      <c r="EQ180" s="91"/>
      <c r="ER180" s="91"/>
      <c r="ES180" s="91"/>
      <c r="ET180" s="91"/>
      <c r="EU180" s="91"/>
      <c r="EV180" s="91"/>
      <c r="EW180" s="91"/>
      <c r="EX180" s="91"/>
      <c r="EY180" s="91"/>
      <c r="EZ180" s="91"/>
      <c r="FA180" s="91"/>
      <c r="FB180" s="91"/>
      <c r="FC180" s="91"/>
      <c r="FD180" s="91"/>
      <c r="FE180" s="91"/>
      <c r="FF180" s="91"/>
      <c r="FG180" s="91"/>
      <c r="FH180" s="91"/>
      <c r="FI180" s="91"/>
      <c r="FJ180" s="91"/>
      <c r="FK180" s="91"/>
      <c r="FL180" s="91"/>
      <c r="FM180" s="91"/>
      <c r="FN180" s="91"/>
      <c r="FO180" s="91"/>
      <c r="FP180" s="91"/>
      <c r="FQ180" s="91"/>
      <c r="FR180" s="91"/>
      <c r="FS180" s="91"/>
      <c r="FT180" s="91"/>
      <c r="FU180" s="91"/>
      <c r="FV180" s="91"/>
      <c r="FW180" s="91"/>
      <c r="FX180" s="91"/>
      <c r="FY180" s="91"/>
      <c r="FZ180" s="91"/>
      <c r="GA180" s="91"/>
      <c r="GB180" s="91"/>
      <c r="GC180" s="91"/>
      <c r="GD180" s="91"/>
      <c r="GE180" s="91"/>
      <c r="GF180" s="91"/>
      <c r="GG180" s="91"/>
      <c r="GH180" s="91"/>
      <c r="GI180" s="91"/>
      <c r="GJ180" s="91"/>
      <c r="GK180" s="91"/>
      <c r="GL180" s="91"/>
      <c r="GM180" s="91"/>
      <c r="GN180" s="91"/>
      <c r="GO180" s="91"/>
      <c r="GP180" s="91"/>
      <c r="GQ180" s="91"/>
      <c r="GR180" s="91"/>
    </row>
    <row r="181" spans="2:200" x14ac:dyDescent="0.15"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91"/>
      <c r="AD181" s="91"/>
      <c r="AE181" s="91"/>
      <c r="AF181" s="91"/>
      <c r="AG181" s="91"/>
      <c r="AH181" s="91"/>
      <c r="AI181" s="91"/>
      <c r="AJ181" s="91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C181" s="91"/>
      <c r="BD181" s="91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W181" s="91"/>
      <c r="BX181" s="91"/>
      <c r="BY181" s="91"/>
      <c r="BZ181" s="91"/>
      <c r="CA181" s="91"/>
      <c r="CB181" s="91"/>
      <c r="CC181" s="91"/>
      <c r="CD181" s="91"/>
      <c r="CE181" s="91"/>
      <c r="CF181" s="91"/>
      <c r="CG181" s="91"/>
      <c r="CH181" s="91"/>
      <c r="CI181" s="91"/>
      <c r="CJ181" s="91"/>
      <c r="CK181" s="91"/>
      <c r="CL181" s="91"/>
      <c r="CM181" s="91"/>
      <c r="CN181" s="91"/>
      <c r="CO181" s="91"/>
      <c r="CP181" s="91"/>
      <c r="CQ181" s="91"/>
      <c r="CR181" s="91"/>
      <c r="CS181" s="91"/>
      <c r="CT181" s="91"/>
      <c r="CU181" s="91"/>
      <c r="CV181" s="91"/>
      <c r="CW181" s="91"/>
      <c r="CX181" s="91"/>
      <c r="CY181" s="91"/>
      <c r="CZ181" s="91"/>
      <c r="DA181" s="91"/>
      <c r="DB181" s="91"/>
      <c r="DC181" s="91"/>
      <c r="DD181" s="91"/>
      <c r="DE181" s="91"/>
      <c r="DF181" s="91"/>
      <c r="DG181" s="91"/>
      <c r="DH181" s="91"/>
      <c r="DI181" s="91"/>
      <c r="DJ181" s="91"/>
      <c r="DK181" s="91"/>
      <c r="DL181" s="91"/>
      <c r="DM181" s="91"/>
      <c r="DN181" s="91"/>
      <c r="DO181" s="91"/>
      <c r="DP181" s="91"/>
      <c r="DQ181" s="91"/>
      <c r="DR181" s="91"/>
      <c r="DS181" s="91"/>
      <c r="DT181" s="91"/>
      <c r="DU181" s="91"/>
      <c r="DV181" s="91"/>
      <c r="DW181" s="91"/>
      <c r="DX181" s="91"/>
      <c r="DY181" s="91"/>
      <c r="DZ181" s="91"/>
      <c r="EA181" s="91"/>
      <c r="EB181" s="91"/>
      <c r="EC181" s="91"/>
      <c r="ED181" s="91"/>
      <c r="EE181" s="91"/>
      <c r="EF181" s="91"/>
      <c r="EG181" s="91"/>
      <c r="EH181" s="91"/>
      <c r="EI181" s="91"/>
      <c r="EJ181" s="91"/>
      <c r="EK181" s="91"/>
      <c r="EL181" s="91"/>
      <c r="EM181" s="91"/>
      <c r="EN181" s="91"/>
      <c r="EO181" s="91"/>
      <c r="EP181" s="91"/>
      <c r="EQ181" s="91"/>
      <c r="ER181" s="91"/>
      <c r="ES181" s="91"/>
      <c r="ET181" s="91"/>
      <c r="EU181" s="91"/>
      <c r="EV181" s="91"/>
      <c r="EW181" s="91"/>
      <c r="EX181" s="91"/>
      <c r="EY181" s="91"/>
      <c r="EZ181" s="91"/>
      <c r="FA181" s="91"/>
      <c r="FB181" s="91"/>
      <c r="FC181" s="91"/>
      <c r="FD181" s="91"/>
      <c r="FE181" s="91"/>
      <c r="FF181" s="91"/>
      <c r="FG181" s="91"/>
      <c r="FH181" s="91"/>
      <c r="FI181" s="91"/>
      <c r="FJ181" s="91"/>
      <c r="FK181" s="91"/>
      <c r="FL181" s="91"/>
      <c r="FM181" s="91"/>
      <c r="FN181" s="91"/>
      <c r="FO181" s="91"/>
      <c r="FP181" s="91"/>
      <c r="FQ181" s="91"/>
      <c r="FR181" s="91"/>
      <c r="FS181" s="91"/>
      <c r="FT181" s="91"/>
      <c r="FU181" s="91"/>
      <c r="FV181" s="91"/>
      <c r="FW181" s="91"/>
      <c r="FX181" s="91"/>
      <c r="FY181" s="91"/>
      <c r="FZ181" s="91"/>
      <c r="GA181" s="91"/>
      <c r="GB181" s="91"/>
      <c r="GC181" s="91"/>
      <c r="GD181" s="91"/>
      <c r="GE181" s="91"/>
      <c r="GF181" s="91"/>
      <c r="GG181" s="91"/>
      <c r="GH181" s="91"/>
      <c r="GI181" s="91"/>
      <c r="GJ181" s="91"/>
      <c r="GK181" s="91"/>
      <c r="GL181" s="91"/>
      <c r="GM181" s="91"/>
      <c r="GN181" s="91"/>
      <c r="GO181" s="91"/>
      <c r="GP181" s="91"/>
      <c r="GQ181" s="91"/>
      <c r="GR181" s="91"/>
    </row>
    <row r="182" spans="2:200" x14ac:dyDescent="0.15"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91"/>
      <c r="AD182" s="91"/>
      <c r="AE182" s="91"/>
      <c r="AF182" s="91"/>
      <c r="AG182" s="91"/>
      <c r="AH182" s="91"/>
      <c r="AI182" s="91"/>
      <c r="AJ182" s="91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C182" s="91"/>
      <c r="BD182" s="91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W182" s="91"/>
      <c r="BX182" s="91"/>
      <c r="BY182" s="91"/>
      <c r="BZ182" s="91"/>
      <c r="CA182" s="91"/>
      <c r="CB182" s="91"/>
      <c r="CC182" s="91"/>
      <c r="CD182" s="91"/>
      <c r="CE182" s="91"/>
      <c r="CF182" s="91"/>
      <c r="CG182" s="91"/>
      <c r="CH182" s="91"/>
      <c r="CI182" s="91"/>
      <c r="CJ182" s="91"/>
      <c r="CK182" s="91"/>
      <c r="CL182" s="91"/>
      <c r="CM182" s="91"/>
      <c r="CN182" s="91"/>
      <c r="CO182" s="91"/>
      <c r="CP182" s="91"/>
      <c r="CQ182" s="91"/>
      <c r="CR182" s="91"/>
      <c r="CS182" s="91"/>
      <c r="CT182" s="91"/>
      <c r="CU182" s="91"/>
      <c r="CV182" s="91"/>
      <c r="CW182" s="91"/>
      <c r="CX182" s="91"/>
      <c r="CY182" s="91"/>
      <c r="CZ182" s="91"/>
      <c r="DA182" s="91"/>
      <c r="DB182" s="91"/>
      <c r="DC182" s="91"/>
      <c r="DD182" s="91"/>
      <c r="DE182" s="91"/>
      <c r="DF182" s="91"/>
      <c r="DG182" s="91"/>
      <c r="DH182" s="91"/>
      <c r="DI182" s="91"/>
      <c r="DJ182" s="91"/>
      <c r="DK182" s="91"/>
      <c r="DL182" s="91"/>
      <c r="DM182" s="91"/>
      <c r="DN182" s="91"/>
      <c r="DO182" s="91"/>
      <c r="DP182" s="91"/>
      <c r="DQ182" s="91"/>
      <c r="DR182" s="91"/>
      <c r="DS182" s="91"/>
      <c r="DT182" s="91"/>
      <c r="DU182" s="91"/>
      <c r="DV182" s="91"/>
      <c r="DW182" s="91"/>
      <c r="DX182" s="91"/>
      <c r="DY182" s="91"/>
      <c r="DZ182" s="91"/>
      <c r="EA182" s="91"/>
      <c r="EB182" s="91"/>
      <c r="EC182" s="91"/>
      <c r="ED182" s="91"/>
      <c r="EE182" s="91"/>
      <c r="EF182" s="91"/>
      <c r="EG182" s="91"/>
      <c r="EH182" s="91"/>
      <c r="EI182" s="91"/>
      <c r="EJ182" s="91"/>
      <c r="EK182" s="91"/>
      <c r="EL182" s="91"/>
      <c r="EM182" s="91"/>
      <c r="EN182" s="91"/>
      <c r="EO182" s="91"/>
      <c r="EP182" s="91"/>
      <c r="EQ182" s="91"/>
      <c r="ER182" s="91"/>
      <c r="ES182" s="91"/>
      <c r="ET182" s="91"/>
      <c r="EU182" s="91"/>
      <c r="EV182" s="91"/>
      <c r="EW182" s="91"/>
      <c r="EX182" s="91"/>
      <c r="EY182" s="91"/>
      <c r="EZ182" s="91"/>
      <c r="FA182" s="91"/>
      <c r="FB182" s="91"/>
      <c r="FC182" s="91"/>
      <c r="FD182" s="91"/>
      <c r="FE182" s="91"/>
      <c r="FF182" s="91"/>
      <c r="FG182" s="91"/>
      <c r="FH182" s="91"/>
      <c r="FI182" s="91"/>
      <c r="FJ182" s="91"/>
      <c r="FK182" s="91"/>
      <c r="FL182" s="91"/>
      <c r="FM182" s="91"/>
      <c r="FN182" s="91"/>
      <c r="FO182" s="91"/>
      <c r="FP182" s="91"/>
      <c r="FQ182" s="91"/>
      <c r="FR182" s="91"/>
      <c r="FS182" s="91"/>
      <c r="FT182" s="91"/>
      <c r="FU182" s="91"/>
      <c r="FV182" s="91"/>
      <c r="FW182" s="91"/>
      <c r="FX182" s="91"/>
      <c r="FY182" s="91"/>
      <c r="FZ182" s="91"/>
      <c r="GA182" s="91"/>
      <c r="GB182" s="91"/>
      <c r="GC182" s="91"/>
      <c r="GD182" s="91"/>
      <c r="GE182" s="91"/>
      <c r="GF182" s="91"/>
      <c r="GG182" s="91"/>
      <c r="GH182" s="91"/>
      <c r="GI182" s="91"/>
      <c r="GJ182" s="91"/>
      <c r="GK182" s="91"/>
      <c r="GL182" s="91"/>
      <c r="GM182" s="91"/>
      <c r="GN182" s="91"/>
      <c r="GO182" s="91"/>
      <c r="GP182" s="91"/>
      <c r="GQ182" s="91"/>
      <c r="GR182" s="91"/>
    </row>
    <row r="183" spans="2:200" x14ac:dyDescent="0.15"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1"/>
      <c r="AB183" s="91"/>
      <c r="AC183" s="91"/>
      <c r="AD183" s="91"/>
      <c r="AE183" s="91"/>
      <c r="AF183" s="91"/>
      <c r="AG183" s="91"/>
      <c r="AH183" s="91"/>
      <c r="AI183" s="91"/>
      <c r="AJ183" s="91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C183" s="91"/>
      <c r="BD183" s="91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W183" s="91"/>
      <c r="BX183" s="91"/>
      <c r="BY183" s="91"/>
      <c r="BZ183" s="91"/>
      <c r="CA183" s="91"/>
      <c r="CB183" s="91"/>
      <c r="CC183" s="91"/>
      <c r="CD183" s="91"/>
      <c r="CE183" s="91"/>
      <c r="CF183" s="91"/>
      <c r="CG183" s="91"/>
      <c r="CH183" s="91"/>
      <c r="CI183" s="91"/>
      <c r="CJ183" s="91"/>
      <c r="CK183" s="91"/>
      <c r="CL183" s="91"/>
      <c r="CM183" s="91"/>
      <c r="CN183" s="91"/>
      <c r="CO183" s="91"/>
      <c r="CP183" s="91"/>
      <c r="CQ183" s="91"/>
      <c r="CR183" s="91"/>
      <c r="CS183" s="91"/>
      <c r="CT183" s="91"/>
      <c r="CU183" s="91"/>
      <c r="CV183" s="91"/>
      <c r="CW183" s="91"/>
      <c r="CX183" s="91"/>
      <c r="CY183" s="91"/>
      <c r="CZ183" s="91"/>
      <c r="DA183" s="91"/>
      <c r="DB183" s="91"/>
      <c r="DC183" s="91"/>
      <c r="DD183" s="91"/>
      <c r="DE183" s="91"/>
      <c r="DF183" s="91"/>
      <c r="DG183" s="91"/>
      <c r="DH183" s="91"/>
      <c r="DI183" s="91"/>
      <c r="DJ183" s="91"/>
      <c r="DK183" s="91"/>
      <c r="DL183" s="91"/>
      <c r="DM183" s="91"/>
      <c r="DN183" s="91"/>
      <c r="DO183" s="91"/>
      <c r="DP183" s="91"/>
      <c r="DQ183" s="91"/>
      <c r="DR183" s="91"/>
      <c r="DS183" s="91"/>
      <c r="DT183" s="91"/>
      <c r="DU183" s="91"/>
      <c r="DV183" s="91"/>
      <c r="DW183" s="91"/>
      <c r="DX183" s="91"/>
      <c r="DY183" s="91"/>
      <c r="DZ183" s="91"/>
      <c r="EA183" s="91"/>
      <c r="EB183" s="91"/>
      <c r="EC183" s="91"/>
      <c r="ED183" s="91"/>
      <c r="EE183" s="91"/>
      <c r="EF183" s="91"/>
      <c r="EG183" s="91"/>
      <c r="EH183" s="91"/>
      <c r="EI183" s="91"/>
      <c r="EJ183" s="91"/>
      <c r="EK183" s="91"/>
      <c r="EL183" s="91"/>
      <c r="EM183" s="91"/>
      <c r="EN183" s="91"/>
      <c r="EO183" s="91"/>
      <c r="EP183" s="91"/>
      <c r="EQ183" s="91"/>
      <c r="ER183" s="91"/>
      <c r="ES183" s="91"/>
      <c r="ET183" s="91"/>
      <c r="EU183" s="91"/>
      <c r="EV183" s="91"/>
      <c r="EW183" s="91"/>
      <c r="EX183" s="91"/>
      <c r="EY183" s="91"/>
      <c r="EZ183" s="91"/>
      <c r="FA183" s="91"/>
      <c r="FB183" s="91"/>
      <c r="FC183" s="91"/>
      <c r="FD183" s="91"/>
      <c r="FE183" s="91"/>
      <c r="FF183" s="91"/>
      <c r="FG183" s="91"/>
      <c r="FH183" s="91"/>
      <c r="FI183" s="91"/>
      <c r="FJ183" s="91"/>
      <c r="FK183" s="91"/>
      <c r="FL183" s="91"/>
      <c r="FM183" s="91"/>
      <c r="FN183" s="91"/>
      <c r="FO183" s="91"/>
      <c r="FP183" s="91"/>
      <c r="FQ183" s="91"/>
      <c r="FR183" s="91"/>
      <c r="FS183" s="91"/>
      <c r="FT183" s="91"/>
      <c r="FU183" s="91"/>
      <c r="FV183" s="91"/>
      <c r="FW183" s="91"/>
      <c r="FX183" s="91"/>
      <c r="FY183" s="91"/>
      <c r="FZ183" s="91"/>
      <c r="GA183" s="91"/>
      <c r="GB183" s="91"/>
      <c r="GC183" s="91"/>
      <c r="GD183" s="91"/>
      <c r="GE183" s="91"/>
      <c r="GF183" s="91"/>
      <c r="GG183" s="91"/>
      <c r="GH183" s="91"/>
      <c r="GI183" s="91"/>
      <c r="GJ183" s="91"/>
      <c r="GK183" s="91"/>
      <c r="GL183" s="91"/>
      <c r="GM183" s="91"/>
      <c r="GN183" s="91"/>
      <c r="GO183" s="91"/>
      <c r="GP183" s="91"/>
      <c r="GQ183" s="91"/>
      <c r="GR183" s="91"/>
    </row>
    <row r="184" spans="2:200" x14ac:dyDescent="0.15"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1"/>
      <c r="AB184" s="91"/>
      <c r="AC184" s="91"/>
      <c r="AD184" s="91"/>
      <c r="AE184" s="91"/>
      <c r="AF184" s="91"/>
      <c r="AG184" s="91"/>
      <c r="AH184" s="91"/>
      <c r="AI184" s="91"/>
      <c r="AJ184" s="91"/>
      <c r="AK184" s="91"/>
      <c r="AL184" s="91"/>
      <c r="AM184" s="91"/>
      <c r="AN184" s="91"/>
      <c r="AO184" s="91"/>
      <c r="AP184" s="91"/>
      <c r="AQ184" s="91"/>
      <c r="AR184" s="91"/>
      <c r="AS184" s="91"/>
      <c r="AT184" s="91"/>
      <c r="AU184" s="91"/>
      <c r="AV184" s="91"/>
      <c r="AW184" s="91"/>
      <c r="AX184" s="91"/>
      <c r="AY184" s="91"/>
      <c r="AZ184" s="91"/>
      <c r="BA184" s="91"/>
      <c r="BB184" s="91"/>
      <c r="BC184" s="91"/>
      <c r="BD184" s="91"/>
      <c r="BE184" s="91"/>
      <c r="BF184" s="91"/>
      <c r="BG184" s="91"/>
      <c r="BH184" s="91"/>
      <c r="BI184" s="91"/>
      <c r="BJ184" s="91"/>
      <c r="BK184" s="91"/>
      <c r="BL184" s="91"/>
      <c r="BM184" s="91"/>
      <c r="BN184" s="91"/>
      <c r="BO184" s="91"/>
      <c r="BP184" s="91"/>
      <c r="BQ184" s="91"/>
      <c r="BR184" s="91"/>
      <c r="BS184" s="91"/>
      <c r="BT184" s="91"/>
      <c r="BU184" s="91"/>
      <c r="BV184" s="91"/>
      <c r="BW184" s="91"/>
      <c r="BX184" s="91"/>
      <c r="BY184" s="91"/>
      <c r="BZ184" s="91"/>
      <c r="CA184" s="91"/>
      <c r="CB184" s="91"/>
      <c r="CC184" s="91"/>
      <c r="CD184" s="91"/>
      <c r="CE184" s="91"/>
      <c r="CF184" s="91"/>
      <c r="CG184" s="91"/>
      <c r="CH184" s="91"/>
      <c r="CI184" s="91"/>
      <c r="CJ184" s="91"/>
      <c r="CK184" s="91"/>
      <c r="CL184" s="91"/>
      <c r="CM184" s="91"/>
      <c r="CN184" s="91"/>
      <c r="CO184" s="91"/>
      <c r="CP184" s="91"/>
      <c r="CQ184" s="91"/>
      <c r="CR184" s="91"/>
      <c r="CS184" s="91"/>
      <c r="CT184" s="91"/>
      <c r="CU184" s="91"/>
      <c r="CV184" s="91"/>
      <c r="CW184" s="91"/>
      <c r="CX184" s="91"/>
      <c r="CY184" s="91"/>
      <c r="CZ184" s="91"/>
      <c r="DA184" s="91"/>
      <c r="DB184" s="91"/>
      <c r="DC184" s="91"/>
      <c r="DD184" s="91"/>
      <c r="DE184" s="91"/>
      <c r="DF184" s="91"/>
      <c r="DG184" s="91"/>
      <c r="DH184" s="91"/>
      <c r="DI184" s="91"/>
      <c r="DJ184" s="91"/>
      <c r="DK184" s="91"/>
      <c r="DL184" s="91"/>
      <c r="DM184" s="91"/>
      <c r="DN184" s="91"/>
      <c r="DO184" s="91"/>
      <c r="DP184" s="91"/>
      <c r="DQ184" s="91"/>
      <c r="DR184" s="91"/>
      <c r="DS184" s="91"/>
      <c r="DT184" s="91"/>
      <c r="DU184" s="91"/>
      <c r="DV184" s="91"/>
      <c r="DW184" s="91"/>
      <c r="DX184" s="91"/>
      <c r="DY184" s="91"/>
      <c r="DZ184" s="91"/>
      <c r="EA184" s="91"/>
      <c r="EB184" s="91"/>
      <c r="EC184" s="91"/>
      <c r="ED184" s="91"/>
      <c r="EE184" s="91"/>
      <c r="EF184" s="91"/>
      <c r="EG184" s="91"/>
      <c r="EH184" s="91"/>
      <c r="EI184" s="91"/>
      <c r="EJ184" s="91"/>
      <c r="EK184" s="91"/>
      <c r="EL184" s="91"/>
      <c r="EM184" s="91"/>
      <c r="EN184" s="91"/>
      <c r="EO184" s="91"/>
      <c r="EP184" s="91"/>
      <c r="EQ184" s="91"/>
      <c r="ER184" s="91"/>
      <c r="ES184" s="91"/>
      <c r="ET184" s="91"/>
      <c r="EU184" s="91"/>
      <c r="EV184" s="91"/>
      <c r="EW184" s="91"/>
      <c r="EX184" s="91"/>
      <c r="EY184" s="91"/>
      <c r="EZ184" s="91"/>
      <c r="FA184" s="91"/>
      <c r="FB184" s="91"/>
      <c r="FC184" s="91"/>
      <c r="FD184" s="91"/>
      <c r="FE184" s="91"/>
      <c r="FF184" s="91"/>
      <c r="FG184" s="91"/>
      <c r="FH184" s="91"/>
      <c r="FI184" s="91"/>
      <c r="FJ184" s="91"/>
      <c r="FK184" s="91"/>
      <c r="FL184" s="91"/>
      <c r="FM184" s="91"/>
      <c r="FN184" s="91"/>
      <c r="FO184" s="91"/>
      <c r="FP184" s="91"/>
      <c r="FQ184" s="91"/>
      <c r="FR184" s="91"/>
      <c r="FS184" s="91"/>
      <c r="FT184" s="91"/>
      <c r="FU184" s="91"/>
      <c r="FV184" s="91"/>
      <c r="FW184" s="91"/>
      <c r="FX184" s="91"/>
      <c r="FY184" s="91"/>
      <c r="FZ184" s="91"/>
      <c r="GA184" s="91"/>
      <c r="GB184" s="91"/>
      <c r="GC184" s="91"/>
      <c r="GD184" s="91"/>
      <c r="GE184" s="91"/>
      <c r="GF184" s="91"/>
      <c r="GG184" s="91"/>
      <c r="GH184" s="91"/>
      <c r="GI184" s="91"/>
      <c r="GJ184" s="91"/>
      <c r="GK184" s="91"/>
      <c r="GL184" s="91"/>
      <c r="GM184" s="91"/>
      <c r="GN184" s="91"/>
      <c r="GO184" s="91"/>
      <c r="GP184" s="91"/>
      <c r="GQ184" s="91"/>
      <c r="GR184" s="91"/>
    </row>
    <row r="185" spans="2:200" x14ac:dyDescent="0.15"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91"/>
      <c r="AS185" s="91"/>
      <c r="AT185" s="91"/>
      <c r="AU185" s="91"/>
      <c r="AV185" s="91"/>
      <c r="AW185" s="91"/>
      <c r="AX185" s="91"/>
      <c r="AY185" s="91"/>
      <c r="AZ185" s="91"/>
      <c r="BA185" s="91"/>
      <c r="BB185" s="91"/>
      <c r="BC185" s="91"/>
      <c r="BD185" s="91"/>
      <c r="BE185" s="91"/>
      <c r="BF185" s="91"/>
      <c r="BG185" s="91"/>
      <c r="BH185" s="91"/>
      <c r="BI185" s="91"/>
      <c r="BJ185" s="91"/>
      <c r="BK185" s="91"/>
      <c r="BL185" s="91"/>
      <c r="BM185" s="91"/>
      <c r="BN185" s="91"/>
      <c r="BO185" s="91"/>
      <c r="BP185" s="91"/>
      <c r="BQ185" s="91"/>
      <c r="BR185" s="91"/>
      <c r="BS185" s="91"/>
      <c r="BT185" s="91"/>
      <c r="BU185" s="91"/>
      <c r="BV185" s="91"/>
      <c r="BW185" s="91"/>
      <c r="BX185" s="91"/>
      <c r="BY185" s="91"/>
      <c r="BZ185" s="91"/>
      <c r="CA185" s="91"/>
      <c r="CB185" s="91"/>
      <c r="CC185" s="91"/>
      <c r="CD185" s="91"/>
      <c r="CE185" s="91"/>
      <c r="CF185" s="91"/>
      <c r="CG185" s="91"/>
      <c r="CH185" s="91"/>
      <c r="CI185" s="91"/>
      <c r="CJ185" s="91"/>
      <c r="CK185" s="91"/>
      <c r="CL185" s="91"/>
      <c r="CM185" s="91"/>
      <c r="CN185" s="91"/>
      <c r="CO185" s="91"/>
      <c r="CP185" s="91"/>
      <c r="CQ185" s="91"/>
      <c r="CR185" s="91"/>
      <c r="CS185" s="91"/>
      <c r="CT185" s="91"/>
      <c r="CU185" s="91"/>
      <c r="CV185" s="91"/>
      <c r="CW185" s="91"/>
      <c r="CX185" s="91"/>
      <c r="CY185" s="91"/>
      <c r="CZ185" s="91"/>
      <c r="DA185" s="91"/>
      <c r="DB185" s="91"/>
      <c r="DC185" s="91"/>
      <c r="DD185" s="91"/>
      <c r="DE185" s="91"/>
      <c r="DF185" s="91"/>
      <c r="DG185" s="91"/>
      <c r="DH185" s="91"/>
      <c r="DI185" s="91"/>
      <c r="DJ185" s="91"/>
      <c r="DK185" s="91"/>
      <c r="DL185" s="91"/>
      <c r="DM185" s="91"/>
      <c r="DN185" s="91"/>
      <c r="DO185" s="91"/>
      <c r="DP185" s="91"/>
      <c r="DQ185" s="91"/>
      <c r="DR185" s="91"/>
      <c r="DS185" s="91"/>
      <c r="DT185" s="91"/>
      <c r="DU185" s="91"/>
      <c r="DV185" s="91"/>
      <c r="DW185" s="91"/>
      <c r="DX185" s="91"/>
      <c r="DY185" s="91"/>
      <c r="DZ185" s="91"/>
      <c r="EA185" s="91"/>
      <c r="EB185" s="91"/>
      <c r="EC185" s="91"/>
      <c r="ED185" s="91"/>
      <c r="EE185" s="91"/>
      <c r="EF185" s="91"/>
      <c r="EG185" s="91"/>
      <c r="EH185" s="91"/>
      <c r="EI185" s="91"/>
      <c r="EJ185" s="91"/>
      <c r="EK185" s="91"/>
      <c r="EL185" s="91"/>
      <c r="EM185" s="91"/>
      <c r="EN185" s="91"/>
      <c r="EO185" s="91"/>
      <c r="EP185" s="91"/>
      <c r="EQ185" s="91"/>
      <c r="ER185" s="91"/>
      <c r="ES185" s="91"/>
      <c r="ET185" s="91"/>
      <c r="EU185" s="91"/>
      <c r="EV185" s="91"/>
      <c r="EW185" s="91"/>
      <c r="EX185" s="91"/>
      <c r="EY185" s="91"/>
      <c r="EZ185" s="91"/>
      <c r="FA185" s="91"/>
      <c r="FB185" s="91"/>
      <c r="FC185" s="91"/>
      <c r="FD185" s="91"/>
      <c r="FE185" s="91"/>
      <c r="FF185" s="91"/>
      <c r="FG185" s="91"/>
      <c r="FH185" s="91"/>
      <c r="FI185" s="91"/>
      <c r="FJ185" s="91"/>
      <c r="FK185" s="91"/>
      <c r="FL185" s="91"/>
      <c r="FM185" s="91"/>
      <c r="FN185" s="91"/>
      <c r="FO185" s="91"/>
      <c r="FP185" s="91"/>
      <c r="FQ185" s="91"/>
      <c r="FR185" s="91"/>
      <c r="FS185" s="91"/>
      <c r="FT185" s="91"/>
      <c r="FU185" s="91"/>
      <c r="FV185" s="91"/>
      <c r="FW185" s="91"/>
      <c r="FX185" s="91"/>
      <c r="FY185" s="91"/>
      <c r="FZ185" s="91"/>
      <c r="GA185" s="91"/>
      <c r="GB185" s="91"/>
      <c r="GC185" s="91"/>
      <c r="GD185" s="91"/>
      <c r="GE185" s="91"/>
      <c r="GF185" s="91"/>
      <c r="GG185" s="91"/>
      <c r="GH185" s="91"/>
      <c r="GI185" s="91"/>
      <c r="GJ185" s="91"/>
      <c r="GK185" s="91"/>
      <c r="GL185" s="91"/>
      <c r="GM185" s="91"/>
      <c r="GN185" s="91"/>
      <c r="GO185" s="91"/>
      <c r="GP185" s="91"/>
      <c r="GQ185" s="91"/>
      <c r="GR185" s="91"/>
    </row>
    <row r="186" spans="2:200" x14ac:dyDescent="0.15"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91"/>
      <c r="AS186" s="91"/>
      <c r="AT186" s="91"/>
      <c r="AU186" s="91"/>
      <c r="AV186" s="91"/>
      <c r="AW186" s="91"/>
      <c r="AX186" s="91"/>
      <c r="AY186" s="91"/>
      <c r="AZ186" s="91"/>
      <c r="BA186" s="91"/>
      <c r="BB186" s="91"/>
      <c r="BC186" s="91"/>
      <c r="BD186" s="91"/>
      <c r="BE186" s="91"/>
      <c r="BF186" s="91"/>
      <c r="BG186" s="91"/>
      <c r="BH186" s="91"/>
      <c r="BI186" s="91"/>
      <c r="BJ186" s="91"/>
      <c r="BK186" s="91"/>
      <c r="BL186" s="91"/>
      <c r="BM186" s="91"/>
      <c r="BN186" s="91"/>
      <c r="BO186" s="91"/>
      <c r="BP186" s="91"/>
      <c r="BQ186" s="91"/>
      <c r="BR186" s="91"/>
      <c r="BS186" s="91"/>
      <c r="BT186" s="91"/>
      <c r="BU186" s="91"/>
      <c r="BV186" s="91"/>
      <c r="BW186" s="91"/>
      <c r="BX186" s="91"/>
      <c r="BY186" s="91"/>
      <c r="BZ186" s="91"/>
      <c r="CA186" s="91"/>
      <c r="CB186" s="91"/>
      <c r="CC186" s="91"/>
      <c r="CD186" s="91"/>
      <c r="CE186" s="91"/>
      <c r="CF186" s="91"/>
      <c r="CG186" s="91"/>
      <c r="CH186" s="91"/>
      <c r="CI186" s="91"/>
      <c r="CJ186" s="91"/>
      <c r="CK186" s="91"/>
      <c r="CL186" s="91"/>
      <c r="CM186" s="91"/>
      <c r="CN186" s="91"/>
      <c r="CO186" s="91"/>
      <c r="CP186" s="91"/>
      <c r="CQ186" s="91"/>
      <c r="CR186" s="91"/>
      <c r="CS186" s="91"/>
      <c r="CT186" s="91"/>
      <c r="CU186" s="91"/>
      <c r="CV186" s="91"/>
      <c r="CW186" s="91"/>
      <c r="CX186" s="91"/>
      <c r="CY186" s="91"/>
      <c r="CZ186" s="91"/>
      <c r="DA186" s="91"/>
      <c r="DB186" s="91"/>
      <c r="DC186" s="91"/>
      <c r="DD186" s="91"/>
      <c r="DE186" s="91"/>
      <c r="DF186" s="91"/>
      <c r="DG186" s="91"/>
      <c r="DH186" s="91"/>
      <c r="DI186" s="91"/>
      <c r="DJ186" s="91"/>
      <c r="DK186" s="91"/>
      <c r="DL186" s="91"/>
      <c r="DM186" s="91"/>
      <c r="DN186" s="91"/>
      <c r="DO186" s="91"/>
      <c r="DP186" s="91"/>
      <c r="DQ186" s="91"/>
      <c r="DR186" s="91"/>
      <c r="DS186" s="91"/>
      <c r="DT186" s="91"/>
      <c r="DU186" s="91"/>
      <c r="DV186" s="91"/>
      <c r="DW186" s="91"/>
      <c r="DX186" s="91"/>
      <c r="DY186" s="91"/>
      <c r="DZ186" s="91"/>
      <c r="EA186" s="91"/>
      <c r="EB186" s="91"/>
      <c r="EC186" s="91"/>
      <c r="ED186" s="91"/>
      <c r="EE186" s="91"/>
      <c r="EF186" s="91"/>
      <c r="EG186" s="91"/>
      <c r="EH186" s="91"/>
      <c r="EI186" s="91"/>
      <c r="EJ186" s="91"/>
      <c r="EK186" s="91"/>
      <c r="EL186" s="91"/>
      <c r="EM186" s="91"/>
      <c r="EN186" s="91"/>
      <c r="EO186" s="91"/>
      <c r="EP186" s="91"/>
      <c r="EQ186" s="91"/>
      <c r="ER186" s="91"/>
      <c r="ES186" s="91"/>
      <c r="ET186" s="91"/>
      <c r="EU186" s="91"/>
      <c r="EV186" s="91"/>
      <c r="EW186" s="91"/>
      <c r="EX186" s="91"/>
      <c r="EY186" s="91"/>
      <c r="EZ186" s="91"/>
      <c r="FA186" s="91"/>
      <c r="FB186" s="91"/>
      <c r="FC186" s="91"/>
      <c r="FD186" s="91"/>
      <c r="FE186" s="91"/>
      <c r="FF186" s="91"/>
      <c r="FG186" s="91"/>
      <c r="FH186" s="91"/>
      <c r="FI186" s="91"/>
      <c r="FJ186" s="91"/>
      <c r="FK186" s="91"/>
      <c r="FL186" s="91"/>
      <c r="FM186" s="91"/>
      <c r="FN186" s="91"/>
      <c r="FO186" s="91"/>
      <c r="FP186" s="91"/>
      <c r="FQ186" s="91"/>
      <c r="FR186" s="91"/>
      <c r="FS186" s="91"/>
      <c r="FT186" s="91"/>
      <c r="FU186" s="91"/>
      <c r="FV186" s="91"/>
      <c r="FW186" s="91"/>
      <c r="FX186" s="91"/>
      <c r="FY186" s="91"/>
      <c r="FZ186" s="91"/>
      <c r="GA186" s="91"/>
      <c r="GB186" s="91"/>
      <c r="GC186" s="91"/>
      <c r="GD186" s="91"/>
      <c r="GE186" s="91"/>
      <c r="GF186" s="91"/>
      <c r="GG186" s="91"/>
      <c r="GH186" s="91"/>
      <c r="GI186" s="91"/>
      <c r="GJ186" s="91"/>
      <c r="GK186" s="91"/>
      <c r="GL186" s="91"/>
      <c r="GM186" s="91"/>
      <c r="GN186" s="91"/>
      <c r="GO186" s="91"/>
      <c r="GP186" s="91"/>
      <c r="GQ186" s="91"/>
      <c r="GR186" s="91"/>
    </row>
    <row r="187" spans="2:200" x14ac:dyDescent="0.15"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1"/>
      <c r="AN187" s="91"/>
      <c r="AO187" s="91"/>
      <c r="AP187" s="91"/>
      <c r="AQ187" s="91"/>
      <c r="AR187" s="91"/>
      <c r="AS187" s="91"/>
      <c r="AT187" s="91"/>
      <c r="AU187" s="91"/>
      <c r="AV187" s="91"/>
      <c r="AW187" s="91"/>
      <c r="AX187" s="91"/>
      <c r="AY187" s="91"/>
      <c r="AZ187" s="91"/>
      <c r="BA187" s="91"/>
      <c r="BB187" s="91"/>
      <c r="BC187" s="91"/>
      <c r="BD187" s="91"/>
      <c r="BE187" s="91"/>
      <c r="BF187" s="91"/>
      <c r="BG187" s="91"/>
      <c r="BH187" s="91"/>
      <c r="BI187" s="91"/>
      <c r="BJ187" s="91"/>
      <c r="BK187" s="91"/>
      <c r="BL187" s="91"/>
      <c r="BM187" s="91"/>
      <c r="BN187" s="91"/>
      <c r="BO187" s="91"/>
      <c r="BP187" s="91"/>
      <c r="BQ187" s="91"/>
      <c r="BR187" s="91"/>
      <c r="BS187" s="91"/>
      <c r="BT187" s="91"/>
      <c r="BU187" s="91"/>
      <c r="BV187" s="91"/>
      <c r="BW187" s="91"/>
      <c r="BX187" s="91"/>
      <c r="BY187" s="91"/>
      <c r="BZ187" s="91"/>
      <c r="CA187" s="91"/>
      <c r="CB187" s="91"/>
      <c r="CC187" s="91"/>
      <c r="CD187" s="91"/>
      <c r="CE187" s="91"/>
      <c r="CF187" s="91"/>
      <c r="CG187" s="91"/>
      <c r="CH187" s="91"/>
      <c r="CI187" s="91"/>
      <c r="CJ187" s="91"/>
      <c r="CK187" s="91"/>
      <c r="CL187" s="91"/>
      <c r="CM187" s="91"/>
      <c r="CN187" s="91"/>
      <c r="CO187" s="91"/>
      <c r="CP187" s="91"/>
      <c r="CQ187" s="91"/>
      <c r="CR187" s="91"/>
      <c r="CS187" s="91"/>
      <c r="CT187" s="91"/>
      <c r="CU187" s="91"/>
      <c r="CV187" s="91"/>
      <c r="CW187" s="91"/>
      <c r="CX187" s="91"/>
      <c r="CY187" s="91"/>
      <c r="CZ187" s="91"/>
      <c r="DA187" s="91"/>
      <c r="DB187" s="91"/>
      <c r="DC187" s="91"/>
      <c r="DD187" s="91"/>
      <c r="DE187" s="91"/>
      <c r="DF187" s="91"/>
      <c r="DG187" s="91"/>
      <c r="DH187" s="91"/>
      <c r="DI187" s="91"/>
      <c r="DJ187" s="91"/>
      <c r="DK187" s="91"/>
      <c r="DL187" s="91"/>
      <c r="DM187" s="91"/>
      <c r="DN187" s="91"/>
      <c r="DO187" s="91"/>
      <c r="DP187" s="91"/>
      <c r="DQ187" s="91"/>
      <c r="DR187" s="91"/>
      <c r="DS187" s="91"/>
      <c r="DT187" s="91"/>
      <c r="DU187" s="91"/>
      <c r="DV187" s="91"/>
      <c r="DW187" s="91"/>
      <c r="DX187" s="91"/>
      <c r="DY187" s="91"/>
      <c r="DZ187" s="91"/>
      <c r="EA187" s="91"/>
      <c r="EB187" s="91"/>
      <c r="EC187" s="91"/>
      <c r="ED187" s="91"/>
      <c r="EE187" s="91"/>
      <c r="EF187" s="91"/>
      <c r="EG187" s="91"/>
      <c r="EH187" s="91"/>
      <c r="EI187" s="91"/>
      <c r="EJ187" s="91"/>
      <c r="EK187" s="91"/>
      <c r="EL187" s="91"/>
      <c r="EM187" s="91"/>
      <c r="EN187" s="91"/>
      <c r="EO187" s="91"/>
      <c r="EP187" s="91"/>
      <c r="EQ187" s="91"/>
      <c r="ER187" s="91"/>
      <c r="ES187" s="91"/>
      <c r="ET187" s="91"/>
      <c r="EU187" s="91"/>
      <c r="EV187" s="91"/>
      <c r="EW187" s="91"/>
      <c r="EX187" s="91"/>
      <c r="EY187" s="91"/>
      <c r="EZ187" s="91"/>
      <c r="FA187" s="91"/>
      <c r="FB187" s="91"/>
      <c r="FC187" s="91"/>
      <c r="FD187" s="91"/>
      <c r="FE187" s="91"/>
      <c r="FF187" s="91"/>
      <c r="FG187" s="91"/>
      <c r="FH187" s="91"/>
      <c r="FI187" s="91"/>
      <c r="FJ187" s="91"/>
      <c r="FK187" s="91"/>
      <c r="FL187" s="91"/>
      <c r="FM187" s="91"/>
      <c r="FN187" s="91"/>
      <c r="FO187" s="91"/>
      <c r="FP187" s="91"/>
      <c r="FQ187" s="91"/>
      <c r="FR187" s="91"/>
      <c r="FS187" s="91"/>
      <c r="FT187" s="91"/>
      <c r="FU187" s="91"/>
      <c r="FV187" s="91"/>
      <c r="FW187" s="91"/>
      <c r="FX187" s="91"/>
      <c r="FY187" s="91"/>
      <c r="FZ187" s="91"/>
      <c r="GA187" s="91"/>
      <c r="GB187" s="91"/>
      <c r="GC187" s="91"/>
      <c r="GD187" s="91"/>
      <c r="GE187" s="91"/>
      <c r="GF187" s="91"/>
      <c r="GG187" s="91"/>
      <c r="GH187" s="91"/>
      <c r="GI187" s="91"/>
      <c r="GJ187" s="91"/>
      <c r="GK187" s="91"/>
      <c r="GL187" s="91"/>
      <c r="GM187" s="91"/>
      <c r="GN187" s="91"/>
      <c r="GO187" s="91"/>
      <c r="GP187" s="91"/>
      <c r="GQ187" s="91"/>
      <c r="GR187" s="91"/>
    </row>
    <row r="188" spans="2:200" x14ac:dyDescent="0.15"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1"/>
      <c r="AL188" s="91"/>
      <c r="AM188" s="91"/>
      <c r="AN188" s="91"/>
      <c r="AO188" s="91"/>
      <c r="AP188" s="91"/>
      <c r="AQ188" s="91"/>
      <c r="AR188" s="91"/>
      <c r="AS188" s="91"/>
      <c r="AT188" s="91"/>
      <c r="AU188" s="91"/>
      <c r="AV188" s="91"/>
      <c r="AW188" s="91"/>
      <c r="AX188" s="91"/>
      <c r="AY188" s="91"/>
      <c r="AZ188" s="91"/>
      <c r="BA188" s="91"/>
      <c r="BB188" s="91"/>
      <c r="BC188" s="91"/>
      <c r="BD188" s="91"/>
      <c r="BE188" s="91"/>
      <c r="BF188" s="91"/>
      <c r="BG188" s="91"/>
      <c r="BH188" s="91"/>
      <c r="BI188" s="91"/>
      <c r="BJ188" s="91"/>
      <c r="BK188" s="91"/>
      <c r="BL188" s="91"/>
      <c r="BM188" s="91"/>
      <c r="BN188" s="91"/>
      <c r="BO188" s="91"/>
      <c r="BP188" s="91"/>
      <c r="BQ188" s="91"/>
      <c r="BR188" s="91"/>
      <c r="BS188" s="91"/>
      <c r="BT188" s="91"/>
      <c r="BU188" s="91"/>
      <c r="BV188" s="91"/>
      <c r="BW188" s="91"/>
      <c r="BX188" s="91"/>
      <c r="BY188" s="91"/>
      <c r="BZ188" s="91"/>
      <c r="CA188" s="91"/>
      <c r="CB188" s="91"/>
      <c r="CC188" s="91"/>
      <c r="CD188" s="91"/>
      <c r="CE188" s="91"/>
      <c r="CF188" s="91"/>
      <c r="CG188" s="91"/>
      <c r="CH188" s="91"/>
      <c r="CI188" s="91"/>
      <c r="CJ188" s="91"/>
      <c r="CK188" s="91"/>
      <c r="CL188" s="91"/>
      <c r="CM188" s="91"/>
      <c r="CN188" s="91"/>
      <c r="CO188" s="91"/>
      <c r="CP188" s="91"/>
      <c r="CQ188" s="91"/>
      <c r="CR188" s="91"/>
      <c r="CS188" s="91"/>
      <c r="CT188" s="91"/>
      <c r="CU188" s="91"/>
      <c r="CV188" s="91"/>
      <c r="CW188" s="91"/>
      <c r="CX188" s="91"/>
      <c r="CY188" s="91"/>
      <c r="CZ188" s="91"/>
      <c r="DA188" s="91"/>
      <c r="DB188" s="91"/>
      <c r="DC188" s="91"/>
      <c r="DD188" s="91"/>
      <c r="DE188" s="91"/>
      <c r="DF188" s="91"/>
      <c r="DG188" s="91"/>
      <c r="DH188" s="91"/>
      <c r="DI188" s="91"/>
      <c r="DJ188" s="91"/>
      <c r="DK188" s="91"/>
      <c r="DL188" s="91"/>
      <c r="DM188" s="91"/>
      <c r="DN188" s="91"/>
      <c r="DO188" s="91"/>
      <c r="DP188" s="91"/>
      <c r="DQ188" s="91"/>
      <c r="DR188" s="91"/>
      <c r="DS188" s="91"/>
      <c r="DT188" s="91"/>
      <c r="DU188" s="91"/>
      <c r="DV188" s="91"/>
      <c r="DW188" s="91"/>
      <c r="DX188" s="91"/>
      <c r="DY188" s="91"/>
      <c r="DZ188" s="91"/>
      <c r="EA188" s="91"/>
      <c r="EB188" s="91"/>
      <c r="EC188" s="91"/>
      <c r="ED188" s="91"/>
      <c r="EE188" s="91"/>
      <c r="EF188" s="91"/>
      <c r="EG188" s="91"/>
      <c r="EH188" s="91"/>
      <c r="EI188" s="91"/>
      <c r="EJ188" s="91"/>
      <c r="EK188" s="91"/>
      <c r="EL188" s="91"/>
      <c r="EM188" s="91"/>
      <c r="EN188" s="91"/>
      <c r="EO188" s="91"/>
      <c r="EP188" s="91"/>
      <c r="EQ188" s="91"/>
      <c r="ER188" s="91"/>
      <c r="ES188" s="91"/>
      <c r="ET188" s="91"/>
      <c r="EU188" s="91"/>
      <c r="EV188" s="91"/>
      <c r="EW188" s="91"/>
      <c r="EX188" s="91"/>
      <c r="EY188" s="91"/>
      <c r="EZ188" s="91"/>
      <c r="FA188" s="91"/>
      <c r="FB188" s="91"/>
      <c r="FC188" s="91"/>
      <c r="FD188" s="91"/>
      <c r="FE188" s="91"/>
      <c r="FF188" s="91"/>
      <c r="FG188" s="91"/>
      <c r="FH188" s="91"/>
      <c r="FI188" s="91"/>
      <c r="FJ188" s="91"/>
      <c r="FK188" s="91"/>
      <c r="FL188" s="91"/>
      <c r="FM188" s="91"/>
      <c r="FN188" s="91"/>
      <c r="FO188" s="91"/>
      <c r="FP188" s="91"/>
      <c r="FQ188" s="91"/>
      <c r="FR188" s="91"/>
      <c r="FS188" s="91"/>
      <c r="FT188" s="91"/>
      <c r="FU188" s="91"/>
      <c r="FV188" s="91"/>
      <c r="FW188" s="91"/>
      <c r="FX188" s="91"/>
      <c r="FY188" s="91"/>
      <c r="FZ188" s="91"/>
      <c r="GA188" s="91"/>
      <c r="GB188" s="91"/>
      <c r="GC188" s="91"/>
      <c r="GD188" s="91"/>
      <c r="GE188" s="91"/>
      <c r="GF188" s="91"/>
      <c r="GG188" s="91"/>
      <c r="GH188" s="91"/>
      <c r="GI188" s="91"/>
      <c r="GJ188" s="91"/>
      <c r="GK188" s="91"/>
      <c r="GL188" s="91"/>
      <c r="GM188" s="91"/>
      <c r="GN188" s="91"/>
      <c r="GO188" s="91"/>
      <c r="GP188" s="91"/>
      <c r="GQ188" s="91"/>
      <c r="GR188" s="91"/>
    </row>
    <row r="189" spans="2:200" x14ac:dyDescent="0.15"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  <c r="AM189" s="91"/>
      <c r="AN189" s="91"/>
      <c r="AO189" s="91"/>
      <c r="AP189" s="91"/>
      <c r="AQ189" s="91"/>
      <c r="AR189" s="91"/>
      <c r="AS189" s="91"/>
      <c r="AT189" s="91"/>
      <c r="AU189" s="91"/>
      <c r="AV189" s="91"/>
      <c r="AW189" s="91"/>
      <c r="AX189" s="91"/>
      <c r="AY189" s="91"/>
      <c r="AZ189" s="91"/>
      <c r="BA189" s="91"/>
      <c r="BB189" s="91"/>
      <c r="BC189" s="91"/>
      <c r="BD189" s="91"/>
      <c r="BE189" s="91"/>
      <c r="BF189" s="91"/>
      <c r="BG189" s="91"/>
      <c r="BH189" s="91"/>
      <c r="BI189" s="91"/>
      <c r="BJ189" s="91"/>
      <c r="BK189" s="91"/>
      <c r="BL189" s="91"/>
      <c r="BM189" s="91"/>
      <c r="BN189" s="91"/>
      <c r="BO189" s="91"/>
      <c r="BP189" s="91"/>
      <c r="BQ189" s="91"/>
      <c r="BR189" s="91"/>
      <c r="BS189" s="91"/>
      <c r="BT189" s="91"/>
      <c r="BU189" s="91"/>
      <c r="BV189" s="91"/>
      <c r="BW189" s="91"/>
      <c r="BX189" s="91"/>
      <c r="BY189" s="91"/>
      <c r="BZ189" s="91"/>
      <c r="CA189" s="91"/>
      <c r="CB189" s="91"/>
      <c r="CC189" s="91"/>
      <c r="CD189" s="91"/>
      <c r="CE189" s="91"/>
      <c r="CF189" s="91"/>
      <c r="CG189" s="91"/>
      <c r="CH189" s="91"/>
      <c r="CI189" s="91"/>
      <c r="CJ189" s="91"/>
      <c r="CK189" s="91"/>
      <c r="CL189" s="91"/>
      <c r="CM189" s="91"/>
      <c r="CN189" s="91"/>
      <c r="CO189" s="91"/>
      <c r="CP189" s="91"/>
      <c r="CQ189" s="91"/>
      <c r="CR189" s="91"/>
      <c r="CS189" s="91"/>
      <c r="CT189" s="91"/>
      <c r="CU189" s="91"/>
      <c r="CV189" s="91"/>
      <c r="CW189" s="91"/>
      <c r="CX189" s="91"/>
      <c r="CY189" s="91"/>
      <c r="CZ189" s="91"/>
      <c r="DA189" s="91"/>
      <c r="DB189" s="91"/>
      <c r="DC189" s="91"/>
      <c r="DD189" s="91"/>
      <c r="DE189" s="91"/>
      <c r="DF189" s="91"/>
      <c r="DG189" s="91"/>
      <c r="DH189" s="91"/>
      <c r="DI189" s="91"/>
      <c r="DJ189" s="91"/>
      <c r="DK189" s="91"/>
      <c r="DL189" s="91"/>
      <c r="DM189" s="91"/>
      <c r="DN189" s="91"/>
      <c r="DO189" s="91"/>
      <c r="DP189" s="91"/>
      <c r="DQ189" s="91"/>
      <c r="DR189" s="91"/>
      <c r="DS189" s="91"/>
      <c r="DT189" s="91"/>
      <c r="DU189" s="91"/>
      <c r="DV189" s="91"/>
      <c r="DW189" s="91"/>
      <c r="DX189" s="91"/>
      <c r="DY189" s="91"/>
      <c r="DZ189" s="91"/>
      <c r="EA189" s="91"/>
      <c r="EB189" s="91"/>
      <c r="EC189" s="91"/>
      <c r="ED189" s="91"/>
      <c r="EE189" s="91"/>
      <c r="EF189" s="91"/>
      <c r="EG189" s="91"/>
      <c r="EH189" s="91"/>
      <c r="EI189" s="91"/>
      <c r="EJ189" s="91"/>
      <c r="EK189" s="91"/>
      <c r="EL189" s="91"/>
      <c r="EM189" s="91"/>
      <c r="EN189" s="91"/>
      <c r="EO189" s="91"/>
      <c r="EP189" s="91"/>
      <c r="EQ189" s="91"/>
      <c r="ER189" s="91"/>
      <c r="ES189" s="91"/>
      <c r="ET189" s="91"/>
      <c r="EU189" s="91"/>
      <c r="EV189" s="91"/>
      <c r="EW189" s="91"/>
      <c r="EX189" s="91"/>
      <c r="EY189" s="91"/>
      <c r="EZ189" s="91"/>
      <c r="FA189" s="91"/>
      <c r="FB189" s="91"/>
      <c r="FC189" s="91"/>
      <c r="FD189" s="91"/>
      <c r="FE189" s="91"/>
      <c r="FF189" s="91"/>
      <c r="FG189" s="91"/>
      <c r="FH189" s="91"/>
      <c r="FI189" s="91"/>
      <c r="FJ189" s="91"/>
      <c r="FK189" s="91"/>
      <c r="FL189" s="91"/>
      <c r="FM189" s="91"/>
      <c r="FN189" s="91"/>
      <c r="FO189" s="91"/>
      <c r="FP189" s="91"/>
      <c r="FQ189" s="91"/>
      <c r="FR189" s="91"/>
      <c r="FS189" s="91"/>
      <c r="FT189" s="91"/>
      <c r="FU189" s="91"/>
      <c r="FV189" s="91"/>
      <c r="FW189" s="91"/>
      <c r="FX189" s="91"/>
      <c r="FY189" s="91"/>
      <c r="FZ189" s="91"/>
      <c r="GA189" s="91"/>
      <c r="GB189" s="91"/>
      <c r="GC189" s="91"/>
      <c r="GD189" s="91"/>
      <c r="GE189" s="91"/>
      <c r="GF189" s="91"/>
      <c r="GG189" s="91"/>
      <c r="GH189" s="91"/>
      <c r="GI189" s="91"/>
      <c r="GJ189" s="91"/>
      <c r="GK189" s="91"/>
      <c r="GL189" s="91"/>
      <c r="GM189" s="91"/>
      <c r="GN189" s="91"/>
      <c r="GO189" s="91"/>
      <c r="GP189" s="91"/>
      <c r="GQ189" s="91"/>
      <c r="GR189" s="91"/>
    </row>
    <row r="190" spans="2:200" x14ac:dyDescent="0.15"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C190" s="91"/>
      <c r="BD190" s="91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W190" s="91"/>
      <c r="BX190" s="91"/>
      <c r="BY190" s="91"/>
      <c r="BZ190" s="91"/>
      <c r="CA190" s="91"/>
      <c r="CB190" s="91"/>
      <c r="CC190" s="91"/>
      <c r="CD190" s="91"/>
      <c r="CE190" s="91"/>
      <c r="CF190" s="91"/>
      <c r="CG190" s="91"/>
      <c r="CH190" s="91"/>
      <c r="CI190" s="91"/>
      <c r="CJ190" s="91"/>
      <c r="CK190" s="91"/>
      <c r="CL190" s="91"/>
      <c r="CM190" s="91"/>
      <c r="CN190" s="91"/>
      <c r="CO190" s="91"/>
      <c r="CP190" s="91"/>
      <c r="CQ190" s="91"/>
      <c r="CR190" s="91"/>
      <c r="CS190" s="91"/>
      <c r="CT190" s="91"/>
      <c r="CU190" s="91"/>
      <c r="CV190" s="91"/>
      <c r="CW190" s="91"/>
      <c r="CX190" s="91"/>
      <c r="CY190" s="91"/>
      <c r="CZ190" s="91"/>
      <c r="DA190" s="91"/>
      <c r="DB190" s="91"/>
      <c r="DC190" s="91"/>
      <c r="DD190" s="91"/>
      <c r="DE190" s="91"/>
      <c r="DF190" s="91"/>
      <c r="DG190" s="91"/>
      <c r="DH190" s="91"/>
      <c r="DI190" s="91"/>
      <c r="DJ190" s="91"/>
      <c r="DK190" s="91"/>
      <c r="DL190" s="91"/>
      <c r="DM190" s="91"/>
      <c r="DN190" s="91"/>
      <c r="DO190" s="91"/>
      <c r="DP190" s="91"/>
      <c r="DQ190" s="91"/>
      <c r="DR190" s="91"/>
      <c r="DS190" s="91"/>
      <c r="DT190" s="91"/>
      <c r="DU190" s="91"/>
      <c r="DV190" s="91"/>
      <c r="DW190" s="91"/>
      <c r="DX190" s="91"/>
      <c r="DY190" s="91"/>
      <c r="DZ190" s="91"/>
      <c r="EA190" s="91"/>
      <c r="EB190" s="91"/>
      <c r="EC190" s="91"/>
      <c r="ED190" s="91"/>
      <c r="EE190" s="91"/>
      <c r="EF190" s="91"/>
      <c r="EG190" s="91"/>
      <c r="EH190" s="91"/>
      <c r="EI190" s="91"/>
      <c r="EJ190" s="91"/>
      <c r="EK190" s="91"/>
      <c r="EL190" s="91"/>
      <c r="EM190" s="91"/>
      <c r="EN190" s="91"/>
      <c r="EO190" s="91"/>
      <c r="EP190" s="91"/>
      <c r="EQ190" s="91"/>
      <c r="ER190" s="91"/>
      <c r="ES190" s="91"/>
      <c r="ET190" s="91"/>
      <c r="EU190" s="91"/>
      <c r="EV190" s="91"/>
      <c r="EW190" s="91"/>
      <c r="EX190" s="91"/>
      <c r="EY190" s="91"/>
      <c r="EZ190" s="91"/>
      <c r="FA190" s="91"/>
      <c r="FB190" s="91"/>
      <c r="FC190" s="91"/>
      <c r="FD190" s="91"/>
      <c r="FE190" s="91"/>
      <c r="FF190" s="91"/>
      <c r="FG190" s="91"/>
      <c r="FH190" s="91"/>
      <c r="FI190" s="91"/>
      <c r="FJ190" s="91"/>
      <c r="FK190" s="91"/>
      <c r="FL190" s="91"/>
      <c r="FM190" s="91"/>
      <c r="FN190" s="91"/>
      <c r="FO190" s="91"/>
      <c r="FP190" s="91"/>
      <c r="FQ190" s="91"/>
      <c r="FR190" s="91"/>
      <c r="FS190" s="91"/>
      <c r="FT190" s="91"/>
      <c r="FU190" s="91"/>
      <c r="FV190" s="91"/>
      <c r="FW190" s="91"/>
      <c r="FX190" s="91"/>
      <c r="FY190" s="91"/>
      <c r="FZ190" s="91"/>
      <c r="GA190" s="91"/>
      <c r="GB190" s="91"/>
      <c r="GC190" s="91"/>
      <c r="GD190" s="91"/>
      <c r="GE190" s="91"/>
      <c r="GF190" s="91"/>
      <c r="GG190" s="91"/>
      <c r="GH190" s="91"/>
      <c r="GI190" s="91"/>
      <c r="GJ190" s="91"/>
      <c r="GK190" s="91"/>
      <c r="GL190" s="91"/>
      <c r="GM190" s="91"/>
      <c r="GN190" s="91"/>
      <c r="GO190" s="91"/>
      <c r="GP190" s="91"/>
      <c r="GQ190" s="91"/>
      <c r="GR190" s="91"/>
    </row>
    <row r="191" spans="2:200" x14ac:dyDescent="0.15"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C191" s="91"/>
      <c r="BD191" s="91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W191" s="91"/>
      <c r="BX191" s="91"/>
      <c r="BY191" s="91"/>
      <c r="BZ191" s="91"/>
      <c r="CA191" s="91"/>
      <c r="CB191" s="91"/>
      <c r="CC191" s="91"/>
      <c r="CD191" s="91"/>
      <c r="CE191" s="91"/>
      <c r="CF191" s="91"/>
      <c r="CG191" s="91"/>
      <c r="CH191" s="91"/>
      <c r="CI191" s="91"/>
      <c r="CJ191" s="91"/>
      <c r="CK191" s="91"/>
      <c r="CL191" s="91"/>
      <c r="CM191" s="91"/>
      <c r="CN191" s="91"/>
      <c r="CO191" s="91"/>
      <c r="CP191" s="91"/>
      <c r="CQ191" s="91"/>
      <c r="CR191" s="91"/>
      <c r="CS191" s="91"/>
      <c r="CT191" s="91"/>
      <c r="CU191" s="91"/>
      <c r="CV191" s="91"/>
      <c r="CW191" s="91"/>
      <c r="CX191" s="91"/>
      <c r="CY191" s="91"/>
      <c r="CZ191" s="91"/>
      <c r="DA191" s="91"/>
      <c r="DB191" s="91"/>
      <c r="DC191" s="91"/>
      <c r="DD191" s="91"/>
      <c r="DE191" s="91"/>
      <c r="DF191" s="91"/>
      <c r="DG191" s="91"/>
      <c r="DH191" s="91"/>
      <c r="DI191" s="91"/>
      <c r="DJ191" s="91"/>
      <c r="DK191" s="91"/>
      <c r="DL191" s="91"/>
      <c r="DM191" s="91"/>
      <c r="DN191" s="91"/>
      <c r="DO191" s="91"/>
      <c r="DP191" s="91"/>
      <c r="DQ191" s="91"/>
      <c r="DR191" s="91"/>
      <c r="DS191" s="91"/>
      <c r="DT191" s="91"/>
      <c r="DU191" s="91"/>
      <c r="DV191" s="91"/>
      <c r="DW191" s="91"/>
      <c r="DX191" s="91"/>
      <c r="DY191" s="91"/>
      <c r="DZ191" s="91"/>
      <c r="EA191" s="91"/>
      <c r="EB191" s="91"/>
      <c r="EC191" s="91"/>
      <c r="ED191" s="91"/>
      <c r="EE191" s="91"/>
      <c r="EF191" s="91"/>
      <c r="EG191" s="91"/>
      <c r="EH191" s="91"/>
      <c r="EI191" s="91"/>
      <c r="EJ191" s="91"/>
      <c r="EK191" s="91"/>
      <c r="EL191" s="91"/>
      <c r="EM191" s="91"/>
      <c r="EN191" s="91"/>
      <c r="EO191" s="91"/>
      <c r="EP191" s="91"/>
      <c r="EQ191" s="91"/>
      <c r="ER191" s="91"/>
      <c r="ES191" s="91"/>
      <c r="ET191" s="91"/>
      <c r="EU191" s="91"/>
      <c r="EV191" s="91"/>
      <c r="EW191" s="91"/>
      <c r="EX191" s="91"/>
      <c r="EY191" s="91"/>
      <c r="EZ191" s="91"/>
      <c r="FA191" s="91"/>
      <c r="FB191" s="91"/>
      <c r="FC191" s="91"/>
      <c r="FD191" s="91"/>
      <c r="FE191" s="91"/>
      <c r="FF191" s="91"/>
      <c r="FG191" s="91"/>
      <c r="FH191" s="91"/>
      <c r="FI191" s="91"/>
      <c r="FJ191" s="91"/>
      <c r="FK191" s="91"/>
      <c r="FL191" s="91"/>
      <c r="FM191" s="91"/>
      <c r="FN191" s="91"/>
      <c r="FO191" s="91"/>
      <c r="FP191" s="91"/>
      <c r="FQ191" s="91"/>
      <c r="FR191" s="91"/>
      <c r="FS191" s="91"/>
      <c r="FT191" s="91"/>
      <c r="FU191" s="91"/>
      <c r="FV191" s="91"/>
      <c r="FW191" s="91"/>
      <c r="FX191" s="91"/>
      <c r="FY191" s="91"/>
      <c r="FZ191" s="91"/>
      <c r="GA191" s="91"/>
      <c r="GB191" s="91"/>
      <c r="GC191" s="91"/>
      <c r="GD191" s="91"/>
      <c r="GE191" s="91"/>
      <c r="GF191" s="91"/>
      <c r="GG191" s="91"/>
      <c r="GH191" s="91"/>
      <c r="GI191" s="91"/>
      <c r="GJ191" s="91"/>
      <c r="GK191" s="91"/>
      <c r="GL191" s="91"/>
      <c r="GM191" s="91"/>
      <c r="GN191" s="91"/>
      <c r="GO191" s="91"/>
      <c r="GP191" s="91"/>
      <c r="GQ191" s="91"/>
      <c r="GR191" s="91"/>
    </row>
    <row r="192" spans="2:200" x14ac:dyDescent="0.15">
      <c r="B192" s="91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C192" s="91"/>
      <c r="BD192" s="91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W192" s="91"/>
      <c r="BX192" s="91"/>
      <c r="BY192" s="91"/>
      <c r="BZ192" s="91"/>
      <c r="CA192" s="91"/>
      <c r="CB192" s="91"/>
      <c r="CC192" s="91"/>
      <c r="CD192" s="91"/>
      <c r="CE192" s="91"/>
      <c r="CF192" s="91"/>
      <c r="CG192" s="91"/>
      <c r="CH192" s="91"/>
      <c r="CI192" s="91"/>
      <c r="CJ192" s="91"/>
      <c r="CK192" s="91"/>
      <c r="CL192" s="91"/>
      <c r="CM192" s="91"/>
      <c r="CN192" s="91"/>
      <c r="CO192" s="91"/>
      <c r="CP192" s="91"/>
      <c r="CQ192" s="91"/>
      <c r="CR192" s="91"/>
      <c r="CS192" s="91"/>
      <c r="CT192" s="91"/>
      <c r="CU192" s="91"/>
      <c r="CV192" s="91"/>
      <c r="CW192" s="91"/>
      <c r="CX192" s="91"/>
      <c r="CY192" s="91"/>
      <c r="CZ192" s="91"/>
      <c r="DA192" s="91"/>
      <c r="DB192" s="91"/>
      <c r="DC192" s="91"/>
      <c r="DD192" s="91"/>
      <c r="DE192" s="91"/>
      <c r="DF192" s="91"/>
      <c r="DG192" s="91"/>
      <c r="DH192" s="91"/>
      <c r="DI192" s="91"/>
      <c r="DJ192" s="91"/>
      <c r="DK192" s="91"/>
      <c r="DL192" s="91"/>
      <c r="DM192" s="91"/>
      <c r="DN192" s="91"/>
      <c r="DO192" s="91"/>
      <c r="DP192" s="91"/>
      <c r="DQ192" s="91"/>
      <c r="DR192" s="91"/>
      <c r="DS192" s="91"/>
      <c r="DT192" s="91"/>
      <c r="DU192" s="91"/>
      <c r="DV192" s="91"/>
      <c r="DW192" s="91"/>
      <c r="DX192" s="91"/>
      <c r="DY192" s="91"/>
      <c r="DZ192" s="91"/>
      <c r="EA192" s="91"/>
      <c r="EB192" s="91"/>
      <c r="EC192" s="91"/>
      <c r="ED192" s="91"/>
      <c r="EE192" s="91"/>
      <c r="EF192" s="91"/>
      <c r="EG192" s="91"/>
      <c r="EH192" s="91"/>
      <c r="EI192" s="91"/>
      <c r="EJ192" s="91"/>
      <c r="EK192" s="91"/>
      <c r="EL192" s="91"/>
      <c r="EM192" s="91"/>
      <c r="EN192" s="91"/>
      <c r="EO192" s="91"/>
      <c r="EP192" s="91"/>
      <c r="EQ192" s="91"/>
      <c r="ER192" s="91"/>
      <c r="ES192" s="91"/>
      <c r="ET192" s="91"/>
      <c r="EU192" s="91"/>
      <c r="EV192" s="91"/>
      <c r="EW192" s="91"/>
      <c r="EX192" s="91"/>
      <c r="EY192" s="91"/>
      <c r="EZ192" s="91"/>
      <c r="FA192" s="91"/>
      <c r="FB192" s="91"/>
      <c r="FC192" s="91"/>
      <c r="FD192" s="91"/>
      <c r="FE192" s="91"/>
      <c r="FF192" s="91"/>
      <c r="FG192" s="91"/>
      <c r="FH192" s="91"/>
      <c r="FI192" s="91"/>
      <c r="FJ192" s="91"/>
      <c r="FK192" s="91"/>
      <c r="FL192" s="91"/>
      <c r="FM192" s="91"/>
      <c r="FN192" s="91"/>
      <c r="FO192" s="91"/>
      <c r="FP192" s="91"/>
      <c r="FQ192" s="91"/>
      <c r="FR192" s="91"/>
      <c r="FS192" s="91"/>
      <c r="FT192" s="91"/>
      <c r="FU192" s="91"/>
      <c r="FV192" s="91"/>
      <c r="FW192" s="91"/>
      <c r="FX192" s="91"/>
      <c r="FY192" s="91"/>
      <c r="FZ192" s="91"/>
      <c r="GA192" s="91"/>
      <c r="GB192" s="91"/>
      <c r="GC192" s="91"/>
      <c r="GD192" s="91"/>
      <c r="GE192" s="91"/>
      <c r="GF192" s="91"/>
      <c r="GG192" s="91"/>
      <c r="GH192" s="91"/>
      <c r="GI192" s="91"/>
      <c r="GJ192" s="91"/>
      <c r="GK192" s="91"/>
      <c r="GL192" s="91"/>
      <c r="GM192" s="91"/>
      <c r="GN192" s="91"/>
      <c r="GO192" s="91"/>
      <c r="GP192" s="91"/>
      <c r="GQ192" s="91"/>
      <c r="GR192" s="91"/>
    </row>
    <row r="193" spans="2:200" x14ac:dyDescent="0.15">
      <c r="B193" s="91"/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C193" s="91"/>
      <c r="BD193" s="91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W193" s="91"/>
      <c r="BX193" s="91"/>
      <c r="BY193" s="91"/>
      <c r="BZ193" s="91"/>
      <c r="CA193" s="91"/>
      <c r="CB193" s="91"/>
      <c r="CC193" s="91"/>
      <c r="CD193" s="91"/>
      <c r="CE193" s="91"/>
      <c r="CF193" s="91"/>
      <c r="CG193" s="91"/>
      <c r="CH193" s="91"/>
      <c r="CI193" s="91"/>
      <c r="CJ193" s="91"/>
      <c r="CK193" s="91"/>
      <c r="CL193" s="91"/>
      <c r="CM193" s="91"/>
      <c r="CN193" s="91"/>
      <c r="CO193" s="91"/>
      <c r="CP193" s="91"/>
      <c r="CQ193" s="91"/>
      <c r="CR193" s="91"/>
      <c r="CS193" s="91"/>
      <c r="CT193" s="91"/>
      <c r="CU193" s="91"/>
      <c r="CV193" s="91"/>
      <c r="CW193" s="91"/>
      <c r="CX193" s="91"/>
      <c r="CY193" s="91"/>
      <c r="CZ193" s="91"/>
      <c r="DA193" s="91"/>
      <c r="DB193" s="91"/>
      <c r="DC193" s="91"/>
      <c r="DD193" s="91"/>
      <c r="DE193" s="91"/>
      <c r="DF193" s="91"/>
      <c r="DG193" s="91"/>
      <c r="DH193" s="91"/>
      <c r="DI193" s="91"/>
      <c r="DJ193" s="91"/>
      <c r="DK193" s="91"/>
      <c r="DL193" s="91"/>
      <c r="DM193" s="91"/>
      <c r="DN193" s="91"/>
      <c r="DO193" s="91"/>
      <c r="DP193" s="91"/>
      <c r="DQ193" s="91"/>
      <c r="DR193" s="91"/>
      <c r="DS193" s="91"/>
      <c r="DT193" s="91"/>
      <c r="DU193" s="91"/>
      <c r="DV193" s="91"/>
      <c r="DW193" s="91"/>
      <c r="DX193" s="91"/>
      <c r="DY193" s="91"/>
      <c r="DZ193" s="91"/>
      <c r="EA193" s="91"/>
      <c r="EB193" s="91"/>
      <c r="EC193" s="91"/>
      <c r="ED193" s="91"/>
      <c r="EE193" s="91"/>
      <c r="EF193" s="91"/>
      <c r="EG193" s="91"/>
      <c r="EH193" s="91"/>
      <c r="EI193" s="91"/>
      <c r="EJ193" s="91"/>
      <c r="EK193" s="91"/>
      <c r="EL193" s="91"/>
      <c r="EM193" s="91"/>
      <c r="EN193" s="91"/>
      <c r="EO193" s="91"/>
      <c r="EP193" s="91"/>
      <c r="EQ193" s="91"/>
      <c r="ER193" s="91"/>
      <c r="ES193" s="91"/>
      <c r="ET193" s="91"/>
      <c r="EU193" s="91"/>
      <c r="EV193" s="91"/>
      <c r="EW193" s="91"/>
      <c r="EX193" s="91"/>
      <c r="EY193" s="91"/>
      <c r="EZ193" s="91"/>
      <c r="FA193" s="91"/>
      <c r="FB193" s="91"/>
      <c r="FC193" s="91"/>
      <c r="FD193" s="91"/>
      <c r="FE193" s="91"/>
      <c r="FF193" s="91"/>
      <c r="FG193" s="91"/>
      <c r="FH193" s="91"/>
      <c r="FI193" s="91"/>
      <c r="FJ193" s="91"/>
      <c r="FK193" s="91"/>
      <c r="FL193" s="91"/>
      <c r="FM193" s="91"/>
      <c r="FN193" s="91"/>
      <c r="FO193" s="91"/>
      <c r="FP193" s="91"/>
      <c r="FQ193" s="91"/>
      <c r="FR193" s="91"/>
      <c r="FS193" s="91"/>
      <c r="FT193" s="91"/>
      <c r="FU193" s="91"/>
      <c r="FV193" s="91"/>
      <c r="FW193" s="91"/>
      <c r="FX193" s="91"/>
      <c r="FY193" s="91"/>
      <c r="FZ193" s="91"/>
      <c r="GA193" s="91"/>
      <c r="GB193" s="91"/>
      <c r="GC193" s="91"/>
      <c r="GD193" s="91"/>
      <c r="GE193" s="91"/>
      <c r="GF193" s="91"/>
      <c r="GG193" s="91"/>
      <c r="GH193" s="91"/>
      <c r="GI193" s="91"/>
      <c r="GJ193" s="91"/>
      <c r="GK193" s="91"/>
      <c r="GL193" s="91"/>
      <c r="GM193" s="91"/>
      <c r="GN193" s="91"/>
      <c r="GO193" s="91"/>
      <c r="GP193" s="91"/>
      <c r="GQ193" s="91"/>
      <c r="GR193" s="91"/>
    </row>
    <row r="194" spans="2:200" x14ac:dyDescent="0.15">
      <c r="B194" s="91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C194" s="91"/>
      <c r="BD194" s="91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W194" s="91"/>
      <c r="BX194" s="91"/>
      <c r="BY194" s="91"/>
      <c r="BZ194" s="91"/>
      <c r="CA194" s="91"/>
      <c r="CB194" s="91"/>
      <c r="CC194" s="91"/>
      <c r="CD194" s="91"/>
      <c r="CE194" s="91"/>
      <c r="CF194" s="91"/>
      <c r="CG194" s="91"/>
      <c r="CH194" s="91"/>
      <c r="CI194" s="91"/>
      <c r="CJ194" s="91"/>
      <c r="CK194" s="91"/>
      <c r="CL194" s="91"/>
      <c r="CM194" s="91"/>
      <c r="CN194" s="91"/>
      <c r="CO194" s="91"/>
      <c r="CP194" s="91"/>
      <c r="CQ194" s="91"/>
      <c r="CR194" s="91"/>
      <c r="CS194" s="91"/>
      <c r="CT194" s="91"/>
      <c r="CU194" s="91"/>
      <c r="CV194" s="91"/>
      <c r="CW194" s="91"/>
      <c r="CX194" s="91"/>
      <c r="CY194" s="91"/>
      <c r="CZ194" s="91"/>
      <c r="DA194" s="91"/>
      <c r="DB194" s="91"/>
      <c r="DC194" s="91"/>
      <c r="DD194" s="91"/>
      <c r="DE194" s="91"/>
      <c r="DF194" s="91"/>
      <c r="DG194" s="91"/>
      <c r="DH194" s="91"/>
      <c r="DI194" s="91"/>
      <c r="DJ194" s="91"/>
      <c r="DK194" s="91"/>
      <c r="DL194" s="91"/>
      <c r="DM194" s="91"/>
      <c r="DN194" s="91"/>
      <c r="DO194" s="91"/>
      <c r="DP194" s="91"/>
      <c r="DQ194" s="91"/>
      <c r="DR194" s="91"/>
      <c r="DS194" s="91"/>
      <c r="DT194" s="91"/>
      <c r="DU194" s="91"/>
      <c r="DV194" s="91"/>
      <c r="DW194" s="91"/>
      <c r="DX194" s="91"/>
      <c r="DY194" s="91"/>
      <c r="DZ194" s="91"/>
      <c r="EA194" s="91"/>
      <c r="EB194" s="91"/>
      <c r="EC194" s="91"/>
      <c r="ED194" s="91"/>
      <c r="EE194" s="91"/>
      <c r="EF194" s="91"/>
      <c r="EG194" s="91"/>
      <c r="EH194" s="91"/>
      <c r="EI194" s="91"/>
      <c r="EJ194" s="91"/>
      <c r="EK194" s="91"/>
      <c r="EL194" s="91"/>
      <c r="EM194" s="91"/>
      <c r="EN194" s="91"/>
      <c r="EO194" s="91"/>
      <c r="EP194" s="91"/>
      <c r="EQ194" s="91"/>
      <c r="ER194" s="91"/>
      <c r="ES194" s="91"/>
      <c r="ET194" s="91"/>
      <c r="EU194" s="91"/>
      <c r="EV194" s="91"/>
      <c r="EW194" s="91"/>
      <c r="EX194" s="91"/>
      <c r="EY194" s="91"/>
      <c r="EZ194" s="91"/>
      <c r="FA194" s="91"/>
      <c r="FB194" s="91"/>
      <c r="FC194" s="91"/>
      <c r="FD194" s="91"/>
      <c r="FE194" s="91"/>
      <c r="FF194" s="91"/>
      <c r="FG194" s="91"/>
      <c r="FH194" s="91"/>
      <c r="FI194" s="91"/>
      <c r="FJ194" s="91"/>
      <c r="FK194" s="91"/>
      <c r="FL194" s="91"/>
      <c r="FM194" s="91"/>
      <c r="FN194" s="91"/>
      <c r="FO194" s="91"/>
      <c r="FP194" s="91"/>
      <c r="FQ194" s="91"/>
      <c r="FR194" s="91"/>
      <c r="FS194" s="91"/>
      <c r="FT194" s="91"/>
      <c r="FU194" s="91"/>
      <c r="FV194" s="91"/>
      <c r="FW194" s="91"/>
      <c r="FX194" s="91"/>
      <c r="FY194" s="91"/>
      <c r="FZ194" s="91"/>
      <c r="GA194" s="91"/>
      <c r="GB194" s="91"/>
      <c r="GC194" s="91"/>
      <c r="GD194" s="91"/>
      <c r="GE194" s="91"/>
      <c r="GF194" s="91"/>
      <c r="GG194" s="91"/>
      <c r="GH194" s="91"/>
      <c r="GI194" s="91"/>
      <c r="GJ194" s="91"/>
      <c r="GK194" s="91"/>
      <c r="GL194" s="91"/>
      <c r="GM194" s="91"/>
      <c r="GN194" s="91"/>
      <c r="GO194" s="91"/>
      <c r="GP194" s="91"/>
      <c r="GQ194" s="91"/>
      <c r="GR194" s="91"/>
    </row>
    <row r="195" spans="2:200" x14ac:dyDescent="0.15">
      <c r="B195" s="91"/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C195" s="91"/>
      <c r="BD195" s="91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W195" s="91"/>
      <c r="BX195" s="91"/>
      <c r="BY195" s="91"/>
      <c r="BZ195" s="91"/>
      <c r="CA195" s="91"/>
      <c r="CB195" s="91"/>
      <c r="CC195" s="91"/>
      <c r="CD195" s="91"/>
      <c r="CE195" s="91"/>
      <c r="CF195" s="91"/>
      <c r="CG195" s="91"/>
      <c r="CH195" s="91"/>
      <c r="CI195" s="91"/>
      <c r="CJ195" s="91"/>
      <c r="CK195" s="91"/>
      <c r="CL195" s="91"/>
      <c r="CM195" s="91"/>
      <c r="CN195" s="91"/>
      <c r="CO195" s="91"/>
      <c r="CP195" s="91"/>
      <c r="CQ195" s="91"/>
      <c r="CR195" s="91"/>
      <c r="CS195" s="91"/>
      <c r="CT195" s="91"/>
      <c r="CU195" s="91"/>
      <c r="CV195" s="91"/>
      <c r="CW195" s="91"/>
      <c r="CX195" s="91"/>
      <c r="CY195" s="91"/>
      <c r="CZ195" s="91"/>
      <c r="DA195" s="91"/>
      <c r="DB195" s="91"/>
      <c r="DC195" s="91"/>
      <c r="DD195" s="91"/>
      <c r="DE195" s="91"/>
      <c r="DF195" s="91"/>
      <c r="DG195" s="91"/>
      <c r="DH195" s="91"/>
      <c r="DI195" s="91"/>
      <c r="DJ195" s="91"/>
      <c r="DK195" s="91"/>
      <c r="DL195" s="91"/>
      <c r="DM195" s="91"/>
      <c r="DN195" s="91"/>
      <c r="DO195" s="91"/>
      <c r="DP195" s="91"/>
      <c r="DQ195" s="91"/>
      <c r="DR195" s="91"/>
      <c r="DS195" s="91"/>
      <c r="DT195" s="91"/>
      <c r="DU195" s="91"/>
      <c r="DV195" s="91"/>
      <c r="DW195" s="91"/>
      <c r="DX195" s="91"/>
      <c r="DY195" s="91"/>
      <c r="DZ195" s="91"/>
      <c r="EA195" s="91"/>
      <c r="EB195" s="91"/>
      <c r="EC195" s="91"/>
      <c r="ED195" s="91"/>
      <c r="EE195" s="91"/>
      <c r="EF195" s="91"/>
      <c r="EG195" s="91"/>
      <c r="EH195" s="91"/>
      <c r="EI195" s="91"/>
      <c r="EJ195" s="91"/>
      <c r="EK195" s="91"/>
      <c r="EL195" s="91"/>
      <c r="EM195" s="91"/>
      <c r="EN195" s="91"/>
      <c r="EO195" s="91"/>
      <c r="EP195" s="91"/>
      <c r="EQ195" s="91"/>
      <c r="ER195" s="91"/>
      <c r="ES195" s="91"/>
      <c r="ET195" s="91"/>
      <c r="EU195" s="91"/>
      <c r="EV195" s="91"/>
      <c r="EW195" s="91"/>
      <c r="EX195" s="91"/>
      <c r="EY195" s="91"/>
      <c r="EZ195" s="91"/>
      <c r="FA195" s="91"/>
      <c r="FB195" s="91"/>
      <c r="FC195" s="91"/>
      <c r="FD195" s="91"/>
      <c r="FE195" s="91"/>
      <c r="FF195" s="91"/>
      <c r="FG195" s="91"/>
      <c r="FH195" s="91"/>
      <c r="FI195" s="91"/>
      <c r="FJ195" s="91"/>
      <c r="FK195" s="91"/>
      <c r="FL195" s="91"/>
      <c r="FM195" s="91"/>
      <c r="FN195" s="91"/>
      <c r="FO195" s="91"/>
      <c r="FP195" s="91"/>
      <c r="FQ195" s="91"/>
      <c r="FR195" s="91"/>
      <c r="FS195" s="91"/>
      <c r="FT195" s="91"/>
      <c r="FU195" s="91"/>
      <c r="FV195" s="91"/>
      <c r="FW195" s="91"/>
      <c r="FX195" s="91"/>
      <c r="FY195" s="91"/>
      <c r="FZ195" s="91"/>
      <c r="GA195" s="91"/>
      <c r="GB195" s="91"/>
      <c r="GC195" s="91"/>
      <c r="GD195" s="91"/>
      <c r="GE195" s="91"/>
      <c r="GF195" s="91"/>
      <c r="GG195" s="91"/>
      <c r="GH195" s="91"/>
      <c r="GI195" s="91"/>
      <c r="GJ195" s="91"/>
      <c r="GK195" s="91"/>
      <c r="GL195" s="91"/>
      <c r="GM195" s="91"/>
      <c r="GN195" s="91"/>
      <c r="GO195" s="91"/>
      <c r="GP195" s="91"/>
      <c r="GQ195" s="91"/>
      <c r="GR195" s="91"/>
    </row>
    <row r="196" spans="2:200" x14ac:dyDescent="0.15">
      <c r="B196" s="91"/>
      <c r="C196" s="91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C196" s="91"/>
      <c r="BD196" s="91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W196" s="91"/>
      <c r="BX196" s="91"/>
      <c r="BY196" s="91"/>
      <c r="BZ196" s="91"/>
      <c r="CA196" s="91"/>
      <c r="CB196" s="91"/>
      <c r="CC196" s="91"/>
      <c r="CD196" s="91"/>
      <c r="CE196" s="91"/>
      <c r="CF196" s="91"/>
      <c r="CG196" s="91"/>
      <c r="CH196" s="91"/>
      <c r="CI196" s="91"/>
      <c r="CJ196" s="91"/>
      <c r="CK196" s="91"/>
      <c r="CL196" s="91"/>
      <c r="CM196" s="91"/>
      <c r="CN196" s="91"/>
      <c r="CO196" s="91"/>
      <c r="CP196" s="91"/>
      <c r="CQ196" s="91"/>
      <c r="CR196" s="91"/>
      <c r="CS196" s="91"/>
      <c r="CT196" s="91"/>
      <c r="CU196" s="91"/>
      <c r="CV196" s="91"/>
      <c r="CW196" s="91"/>
      <c r="CX196" s="91"/>
      <c r="CY196" s="91"/>
      <c r="CZ196" s="91"/>
      <c r="DA196" s="91"/>
      <c r="DB196" s="91"/>
      <c r="DC196" s="91"/>
      <c r="DD196" s="91"/>
      <c r="DE196" s="91"/>
      <c r="DF196" s="91"/>
      <c r="DG196" s="91"/>
      <c r="DH196" s="91"/>
      <c r="DI196" s="91"/>
      <c r="DJ196" s="91"/>
      <c r="DK196" s="91"/>
      <c r="DL196" s="91"/>
      <c r="DM196" s="91"/>
      <c r="DN196" s="91"/>
      <c r="DO196" s="91"/>
      <c r="DP196" s="91"/>
      <c r="DQ196" s="91"/>
      <c r="DR196" s="91"/>
      <c r="DS196" s="91"/>
      <c r="DT196" s="91"/>
      <c r="DU196" s="91"/>
      <c r="DV196" s="91"/>
      <c r="DW196" s="91"/>
      <c r="DX196" s="91"/>
      <c r="DY196" s="91"/>
      <c r="DZ196" s="91"/>
      <c r="EA196" s="91"/>
      <c r="EB196" s="91"/>
      <c r="EC196" s="91"/>
      <c r="ED196" s="91"/>
      <c r="EE196" s="91"/>
      <c r="EF196" s="91"/>
      <c r="EG196" s="91"/>
      <c r="EH196" s="91"/>
      <c r="EI196" s="91"/>
      <c r="EJ196" s="91"/>
      <c r="EK196" s="91"/>
      <c r="EL196" s="91"/>
      <c r="EM196" s="91"/>
      <c r="EN196" s="91"/>
      <c r="EO196" s="91"/>
      <c r="EP196" s="91"/>
      <c r="EQ196" s="91"/>
      <c r="ER196" s="91"/>
      <c r="ES196" s="91"/>
      <c r="ET196" s="91"/>
      <c r="EU196" s="91"/>
      <c r="EV196" s="91"/>
      <c r="EW196" s="91"/>
      <c r="EX196" s="91"/>
      <c r="EY196" s="91"/>
      <c r="EZ196" s="91"/>
      <c r="FA196" s="91"/>
      <c r="FB196" s="91"/>
      <c r="FC196" s="91"/>
      <c r="FD196" s="91"/>
      <c r="FE196" s="91"/>
      <c r="FF196" s="91"/>
      <c r="FG196" s="91"/>
      <c r="FH196" s="91"/>
      <c r="FI196" s="91"/>
      <c r="FJ196" s="91"/>
      <c r="FK196" s="91"/>
      <c r="FL196" s="91"/>
      <c r="FM196" s="91"/>
      <c r="FN196" s="91"/>
      <c r="FO196" s="91"/>
      <c r="FP196" s="91"/>
      <c r="FQ196" s="91"/>
      <c r="FR196" s="91"/>
      <c r="FS196" s="91"/>
      <c r="FT196" s="91"/>
      <c r="FU196" s="91"/>
      <c r="FV196" s="91"/>
      <c r="FW196" s="91"/>
      <c r="FX196" s="91"/>
      <c r="FY196" s="91"/>
      <c r="FZ196" s="91"/>
      <c r="GA196" s="91"/>
      <c r="GB196" s="91"/>
      <c r="GC196" s="91"/>
      <c r="GD196" s="91"/>
      <c r="GE196" s="91"/>
      <c r="GF196" s="91"/>
      <c r="GG196" s="91"/>
      <c r="GH196" s="91"/>
      <c r="GI196" s="91"/>
      <c r="GJ196" s="91"/>
      <c r="GK196" s="91"/>
      <c r="GL196" s="91"/>
      <c r="GM196" s="91"/>
      <c r="GN196" s="91"/>
      <c r="GO196" s="91"/>
      <c r="GP196" s="91"/>
      <c r="GQ196" s="91"/>
      <c r="GR196" s="91"/>
    </row>
    <row r="197" spans="2:200" x14ac:dyDescent="0.15">
      <c r="B197" s="91"/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C197" s="91"/>
      <c r="BD197" s="91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W197" s="91"/>
      <c r="BX197" s="91"/>
      <c r="BY197" s="91"/>
      <c r="BZ197" s="91"/>
      <c r="CA197" s="91"/>
      <c r="CB197" s="91"/>
      <c r="CC197" s="91"/>
      <c r="CD197" s="91"/>
      <c r="CE197" s="91"/>
      <c r="CF197" s="91"/>
      <c r="CG197" s="91"/>
      <c r="CH197" s="91"/>
      <c r="CI197" s="91"/>
      <c r="CJ197" s="91"/>
      <c r="CK197" s="91"/>
      <c r="CL197" s="91"/>
      <c r="CM197" s="91"/>
      <c r="CN197" s="91"/>
      <c r="CO197" s="91"/>
      <c r="CP197" s="91"/>
      <c r="CQ197" s="91"/>
      <c r="CR197" s="91"/>
      <c r="CS197" s="91"/>
      <c r="CT197" s="91"/>
      <c r="CU197" s="91"/>
      <c r="CV197" s="91"/>
      <c r="CW197" s="91"/>
      <c r="CX197" s="91"/>
      <c r="CY197" s="91"/>
      <c r="CZ197" s="91"/>
      <c r="DA197" s="91"/>
      <c r="DB197" s="91"/>
      <c r="DC197" s="91"/>
      <c r="DD197" s="91"/>
      <c r="DE197" s="91"/>
      <c r="DF197" s="91"/>
      <c r="DG197" s="91"/>
      <c r="DH197" s="91"/>
      <c r="DI197" s="91"/>
      <c r="DJ197" s="91"/>
      <c r="DK197" s="91"/>
      <c r="DL197" s="91"/>
      <c r="DM197" s="91"/>
      <c r="DN197" s="91"/>
      <c r="DO197" s="91"/>
      <c r="DP197" s="91"/>
      <c r="DQ197" s="91"/>
      <c r="DR197" s="91"/>
      <c r="DS197" s="91"/>
      <c r="DT197" s="91"/>
      <c r="DU197" s="91"/>
      <c r="DV197" s="91"/>
      <c r="DW197" s="91"/>
      <c r="DX197" s="91"/>
      <c r="DY197" s="91"/>
      <c r="DZ197" s="91"/>
      <c r="EA197" s="91"/>
      <c r="EB197" s="91"/>
      <c r="EC197" s="91"/>
      <c r="ED197" s="91"/>
      <c r="EE197" s="91"/>
      <c r="EF197" s="91"/>
      <c r="EG197" s="91"/>
      <c r="EH197" s="91"/>
      <c r="EI197" s="91"/>
      <c r="EJ197" s="91"/>
      <c r="EK197" s="91"/>
      <c r="EL197" s="91"/>
      <c r="EM197" s="91"/>
      <c r="EN197" s="91"/>
      <c r="EO197" s="91"/>
      <c r="EP197" s="91"/>
      <c r="EQ197" s="91"/>
      <c r="ER197" s="91"/>
      <c r="ES197" s="91"/>
      <c r="ET197" s="91"/>
      <c r="EU197" s="91"/>
      <c r="EV197" s="91"/>
      <c r="EW197" s="91"/>
      <c r="EX197" s="91"/>
      <c r="EY197" s="91"/>
      <c r="EZ197" s="91"/>
      <c r="FA197" s="91"/>
      <c r="FB197" s="91"/>
      <c r="FC197" s="91"/>
      <c r="FD197" s="91"/>
      <c r="FE197" s="91"/>
      <c r="FF197" s="91"/>
      <c r="FG197" s="91"/>
      <c r="FH197" s="91"/>
      <c r="FI197" s="91"/>
      <c r="FJ197" s="91"/>
      <c r="FK197" s="91"/>
      <c r="FL197" s="91"/>
      <c r="FM197" s="91"/>
      <c r="FN197" s="91"/>
      <c r="FO197" s="91"/>
      <c r="FP197" s="91"/>
      <c r="FQ197" s="91"/>
      <c r="FR197" s="91"/>
      <c r="FS197" s="91"/>
      <c r="FT197" s="91"/>
      <c r="FU197" s="91"/>
      <c r="FV197" s="91"/>
      <c r="FW197" s="91"/>
      <c r="FX197" s="91"/>
      <c r="FY197" s="91"/>
      <c r="FZ197" s="91"/>
      <c r="GA197" s="91"/>
      <c r="GB197" s="91"/>
      <c r="GC197" s="91"/>
      <c r="GD197" s="91"/>
      <c r="GE197" s="91"/>
      <c r="GF197" s="91"/>
      <c r="GG197" s="91"/>
      <c r="GH197" s="91"/>
      <c r="GI197" s="91"/>
      <c r="GJ197" s="91"/>
      <c r="GK197" s="91"/>
      <c r="GL197" s="91"/>
      <c r="GM197" s="91"/>
      <c r="GN197" s="91"/>
      <c r="GO197" s="91"/>
      <c r="GP197" s="91"/>
      <c r="GQ197" s="91"/>
      <c r="GR197" s="91"/>
    </row>
    <row r="198" spans="2:200" x14ac:dyDescent="0.15">
      <c r="B198" s="91"/>
      <c r="C198" s="91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C198" s="91"/>
      <c r="BD198" s="91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W198" s="91"/>
      <c r="BX198" s="91"/>
      <c r="BY198" s="91"/>
      <c r="BZ198" s="91"/>
      <c r="CA198" s="91"/>
      <c r="CB198" s="91"/>
      <c r="CC198" s="91"/>
      <c r="CD198" s="91"/>
      <c r="CE198" s="91"/>
      <c r="CF198" s="91"/>
      <c r="CG198" s="91"/>
      <c r="CH198" s="91"/>
      <c r="CI198" s="91"/>
      <c r="CJ198" s="91"/>
      <c r="CK198" s="91"/>
      <c r="CL198" s="91"/>
      <c r="CM198" s="91"/>
      <c r="CN198" s="91"/>
      <c r="CO198" s="91"/>
      <c r="CP198" s="91"/>
      <c r="CQ198" s="91"/>
      <c r="CR198" s="91"/>
      <c r="CS198" s="91"/>
      <c r="CT198" s="91"/>
      <c r="CU198" s="91"/>
      <c r="CV198" s="91"/>
      <c r="CW198" s="91"/>
      <c r="CX198" s="91"/>
      <c r="CY198" s="91"/>
      <c r="CZ198" s="91"/>
      <c r="DA198" s="91"/>
      <c r="DB198" s="91"/>
      <c r="DC198" s="91"/>
      <c r="DD198" s="91"/>
      <c r="DE198" s="91"/>
      <c r="DF198" s="91"/>
      <c r="DG198" s="91"/>
      <c r="DH198" s="91"/>
      <c r="DI198" s="91"/>
      <c r="DJ198" s="91"/>
      <c r="DK198" s="91"/>
      <c r="DL198" s="91"/>
      <c r="DM198" s="91"/>
      <c r="DN198" s="91"/>
      <c r="DO198" s="91"/>
      <c r="DP198" s="91"/>
      <c r="DQ198" s="91"/>
      <c r="DR198" s="91"/>
      <c r="DS198" s="91"/>
      <c r="DT198" s="91"/>
      <c r="DU198" s="91"/>
      <c r="DV198" s="91"/>
      <c r="DW198" s="91"/>
      <c r="DX198" s="91"/>
      <c r="DY198" s="91"/>
      <c r="DZ198" s="91"/>
      <c r="EA198" s="91"/>
      <c r="EB198" s="91"/>
      <c r="EC198" s="91"/>
      <c r="ED198" s="91"/>
      <c r="EE198" s="91"/>
      <c r="EF198" s="91"/>
      <c r="EG198" s="91"/>
      <c r="EH198" s="91"/>
      <c r="EI198" s="91"/>
      <c r="EJ198" s="91"/>
      <c r="EK198" s="91"/>
      <c r="EL198" s="91"/>
      <c r="EM198" s="91"/>
      <c r="EN198" s="91"/>
      <c r="EO198" s="91"/>
      <c r="EP198" s="91"/>
      <c r="EQ198" s="91"/>
      <c r="ER198" s="91"/>
      <c r="ES198" s="91"/>
      <c r="ET198" s="91"/>
      <c r="EU198" s="91"/>
      <c r="EV198" s="91"/>
      <c r="EW198" s="91"/>
      <c r="EX198" s="91"/>
      <c r="EY198" s="91"/>
      <c r="EZ198" s="91"/>
      <c r="FA198" s="91"/>
      <c r="FB198" s="91"/>
      <c r="FC198" s="91"/>
      <c r="FD198" s="91"/>
      <c r="FE198" s="91"/>
      <c r="FF198" s="91"/>
      <c r="FG198" s="91"/>
      <c r="FH198" s="91"/>
      <c r="FI198" s="91"/>
      <c r="FJ198" s="91"/>
      <c r="FK198" s="91"/>
      <c r="FL198" s="91"/>
      <c r="FM198" s="91"/>
      <c r="FN198" s="91"/>
      <c r="FO198" s="91"/>
      <c r="FP198" s="91"/>
      <c r="FQ198" s="91"/>
      <c r="FR198" s="91"/>
      <c r="FS198" s="91"/>
      <c r="FT198" s="91"/>
      <c r="FU198" s="91"/>
      <c r="FV198" s="91"/>
      <c r="FW198" s="91"/>
      <c r="FX198" s="91"/>
      <c r="FY198" s="91"/>
      <c r="FZ198" s="91"/>
      <c r="GA198" s="91"/>
      <c r="GB198" s="91"/>
      <c r="GC198" s="91"/>
      <c r="GD198" s="91"/>
      <c r="GE198" s="91"/>
      <c r="GF198" s="91"/>
      <c r="GG198" s="91"/>
      <c r="GH198" s="91"/>
      <c r="GI198" s="91"/>
      <c r="GJ198" s="91"/>
      <c r="GK198" s="91"/>
      <c r="GL198" s="91"/>
      <c r="GM198" s="91"/>
      <c r="GN198" s="91"/>
      <c r="GO198" s="91"/>
      <c r="GP198" s="91"/>
      <c r="GQ198" s="91"/>
      <c r="GR198" s="91"/>
    </row>
    <row r="199" spans="2:200" x14ac:dyDescent="0.15">
      <c r="B199" s="91"/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C199" s="91"/>
      <c r="BD199" s="91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W199" s="91"/>
      <c r="BX199" s="91"/>
      <c r="BY199" s="91"/>
      <c r="BZ199" s="91"/>
      <c r="CA199" s="91"/>
      <c r="CB199" s="91"/>
      <c r="CC199" s="91"/>
      <c r="CD199" s="91"/>
      <c r="CE199" s="91"/>
      <c r="CF199" s="91"/>
      <c r="CG199" s="91"/>
      <c r="CH199" s="91"/>
      <c r="CI199" s="91"/>
      <c r="CJ199" s="91"/>
      <c r="CK199" s="91"/>
      <c r="CL199" s="91"/>
      <c r="CM199" s="91"/>
      <c r="CN199" s="91"/>
      <c r="CO199" s="91"/>
      <c r="CP199" s="91"/>
      <c r="CQ199" s="91"/>
      <c r="CR199" s="91"/>
      <c r="CS199" s="91"/>
      <c r="CT199" s="91"/>
      <c r="CU199" s="91"/>
      <c r="CV199" s="91"/>
      <c r="CW199" s="91"/>
      <c r="CX199" s="91"/>
      <c r="CY199" s="91"/>
      <c r="CZ199" s="91"/>
      <c r="DA199" s="91"/>
      <c r="DB199" s="91"/>
      <c r="DC199" s="91"/>
      <c r="DD199" s="91"/>
      <c r="DE199" s="91"/>
      <c r="DF199" s="91"/>
      <c r="DG199" s="91"/>
      <c r="DH199" s="91"/>
      <c r="DI199" s="91"/>
      <c r="DJ199" s="91"/>
      <c r="DK199" s="91"/>
      <c r="DL199" s="91"/>
      <c r="DM199" s="91"/>
      <c r="DN199" s="91"/>
      <c r="DO199" s="91"/>
      <c r="DP199" s="91"/>
      <c r="DQ199" s="91"/>
      <c r="DR199" s="91"/>
      <c r="DS199" s="91"/>
      <c r="DT199" s="91"/>
      <c r="DU199" s="91"/>
      <c r="DV199" s="91"/>
      <c r="DW199" s="91"/>
      <c r="DX199" s="91"/>
      <c r="DY199" s="91"/>
      <c r="DZ199" s="91"/>
      <c r="EA199" s="91"/>
      <c r="EB199" s="91"/>
      <c r="EC199" s="91"/>
      <c r="ED199" s="91"/>
      <c r="EE199" s="91"/>
      <c r="EF199" s="91"/>
      <c r="EG199" s="91"/>
      <c r="EH199" s="91"/>
      <c r="EI199" s="91"/>
      <c r="EJ199" s="91"/>
      <c r="EK199" s="91"/>
      <c r="EL199" s="91"/>
      <c r="EM199" s="91"/>
      <c r="EN199" s="91"/>
      <c r="EO199" s="91"/>
      <c r="EP199" s="91"/>
      <c r="EQ199" s="91"/>
      <c r="ER199" s="91"/>
      <c r="ES199" s="91"/>
      <c r="ET199" s="91"/>
      <c r="EU199" s="91"/>
      <c r="EV199" s="91"/>
      <c r="EW199" s="91"/>
      <c r="EX199" s="91"/>
      <c r="EY199" s="91"/>
      <c r="EZ199" s="91"/>
      <c r="FA199" s="91"/>
      <c r="FB199" s="91"/>
      <c r="FC199" s="91"/>
      <c r="FD199" s="91"/>
      <c r="FE199" s="91"/>
      <c r="FF199" s="91"/>
      <c r="FG199" s="91"/>
      <c r="FH199" s="91"/>
      <c r="FI199" s="91"/>
      <c r="FJ199" s="91"/>
      <c r="FK199" s="91"/>
      <c r="FL199" s="91"/>
      <c r="FM199" s="91"/>
      <c r="FN199" s="91"/>
      <c r="FO199" s="91"/>
      <c r="FP199" s="91"/>
      <c r="FQ199" s="91"/>
      <c r="FR199" s="91"/>
      <c r="FS199" s="91"/>
      <c r="FT199" s="91"/>
      <c r="FU199" s="91"/>
      <c r="FV199" s="91"/>
      <c r="FW199" s="91"/>
      <c r="FX199" s="91"/>
      <c r="FY199" s="91"/>
      <c r="FZ199" s="91"/>
      <c r="GA199" s="91"/>
      <c r="GB199" s="91"/>
      <c r="GC199" s="91"/>
      <c r="GD199" s="91"/>
      <c r="GE199" s="91"/>
      <c r="GF199" s="91"/>
      <c r="GG199" s="91"/>
      <c r="GH199" s="91"/>
      <c r="GI199" s="91"/>
      <c r="GJ199" s="91"/>
      <c r="GK199" s="91"/>
      <c r="GL199" s="91"/>
      <c r="GM199" s="91"/>
      <c r="GN199" s="91"/>
      <c r="GO199" s="91"/>
      <c r="GP199" s="91"/>
      <c r="GQ199" s="91"/>
      <c r="GR199" s="91"/>
    </row>
    <row r="200" spans="2:200" x14ac:dyDescent="0.15">
      <c r="B200" s="91"/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C200" s="91"/>
      <c r="BD200" s="91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W200" s="91"/>
      <c r="BX200" s="91"/>
      <c r="BY200" s="91"/>
      <c r="BZ200" s="91"/>
      <c r="CA200" s="91"/>
      <c r="CB200" s="91"/>
      <c r="CC200" s="91"/>
      <c r="CD200" s="91"/>
      <c r="CE200" s="91"/>
      <c r="CF200" s="91"/>
      <c r="CG200" s="91"/>
      <c r="CH200" s="91"/>
      <c r="CI200" s="91"/>
      <c r="CJ200" s="91"/>
      <c r="CK200" s="91"/>
      <c r="CL200" s="91"/>
      <c r="CM200" s="91"/>
      <c r="CN200" s="91"/>
      <c r="CO200" s="91"/>
      <c r="CP200" s="91"/>
      <c r="CQ200" s="91"/>
      <c r="CR200" s="91"/>
      <c r="CS200" s="91"/>
      <c r="CT200" s="91"/>
      <c r="CU200" s="91"/>
      <c r="CV200" s="91"/>
      <c r="CW200" s="91"/>
      <c r="CX200" s="91"/>
      <c r="CY200" s="91"/>
      <c r="CZ200" s="91"/>
      <c r="DA200" s="91"/>
      <c r="DB200" s="91"/>
      <c r="DC200" s="91"/>
      <c r="DD200" s="91"/>
      <c r="DE200" s="91"/>
      <c r="DF200" s="91"/>
      <c r="DG200" s="91"/>
      <c r="DH200" s="91"/>
      <c r="DI200" s="91"/>
      <c r="DJ200" s="91"/>
      <c r="DK200" s="91"/>
      <c r="DL200" s="91"/>
      <c r="DM200" s="91"/>
      <c r="DN200" s="91"/>
      <c r="DO200" s="91"/>
      <c r="DP200" s="91"/>
      <c r="DQ200" s="91"/>
      <c r="DR200" s="91"/>
      <c r="DS200" s="91"/>
      <c r="DT200" s="91"/>
      <c r="DU200" s="91"/>
      <c r="DV200" s="91"/>
      <c r="DW200" s="91"/>
      <c r="DX200" s="91"/>
      <c r="DY200" s="91"/>
      <c r="DZ200" s="91"/>
      <c r="EA200" s="91"/>
      <c r="EB200" s="91"/>
      <c r="EC200" s="91"/>
      <c r="ED200" s="91"/>
      <c r="EE200" s="91"/>
      <c r="EF200" s="91"/>
      <c r="EG200" s="91"/>
      <c r="EH200" s="91"/>
      <c r="EI200" s="91"/>
      <c r="EJ200" s="91"/>
      <c r="EK200" s="91"/>
      <c r="EL200" s="91"/>
      <c r="EM200" s="91"/>
      <c r="EN200" s="91"/>
      <c r="EO200" s="91"/>
      <c r="EP200" s="91"/>
      <c r="EQ200" s="91"/>
      <c r="ER200" s="91"/>
      <c r="ES200" s="91"/>
      <c r="ET200" s="91"/>
      <c r="EU200" s="91"/>
      <c r="EV200" s="91"/>
      <c r="EW200" s="91"/>
      <c r="EX200" s="91"/>
      <c r="EY200" s="91"/>
      <c r="EZ200" s="91"/>
      <c r="FA200" s="91"/>
      <c r="FB200" s="91"/>
      <c r="FC200" s="91"/>
      <c r="FD200" s="91"/>
      <c r="FE200" s="91"/>
      <c r="FF200" s="91"/>
      <c r="FG200" s="91"/>
      <c r="FH200" s="91"/>
      <c r="FI200" s="91"/>
      <c r="FJ200" s="91"/>
      <c r="FK200" s="91"/>
      <c r="FL200" s="91"/>
      <c r="FM200" s="91"/>
      <c r="FN200" s="91"/>
      <c r="FO200" s="91"/>
      <c r="FP200" s="91"/>
      <c r="FQ200" s="91"/>
      <c r="FR200" s="91"/>
      <c r="FS200" s="91"/>
      <c r="FT200" s="91"/>
      <c r="FU200" s="91"/>
      <c r="FV200" s="91"/>
      <c r="FW200" s="91"/>
      <c r="FX200" s="91"/>
      <c r="FY200" s="91"/>
      <c r="FZ200" s="91"/>
      <c r="GA200" s="91"/>
      <c r="GB200" s="91"/>
      <c r="GC200" s="91"/>
      <c r="GD200" s="91"/>
      <c r="GE200" s="91"/>
      <c r="GF200" s="91"/>
      <c r="GG200" s="91"/>
      <c r="GH200" s="91"/>
      <c r="GI200" s="91"/>
      <c r="GJ200" s="91"/>
      <c r="GK200" s="91"/>
      <c r="GL200" s="91"/>
      <c r="GM200" s="91"/>
      <c r="GN200" s="91"/>
      <c r="GO200" s="91"/>
      <c r="GP200" s="91"/>
      <c r="GQ200" s="91"/>
      <c r="GR200" s="91"/>
    </row>
    <row r="201" spans="2:200" x14ac:dyDescent="0.15">
      <c r="B201" s="91"/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C201" s="91"/>
      <c r="BD201" s="91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W201" s="91"/>
      <c r="BX201" s="91"/>
      <c r="BY201" s="91"/>
      <c r="BZ201" s="91"/>
      <c r="CA201" s="91"/>
      <c r="CB201" s="91"/>
      <c r="CC201" s="91"/>
      <c r="CD201" s="91"/>
      <c r="CE201" s="91"/>
      <c r="CF201" s="91"/>
      <c r="CG201" s="91"/>
      <c r="CH201" s="91"/>
      <c r="CI201" s="91"/>
      <c r="CJ201" s="91"/>
      <c r="CK201" s="91"/>
      <c r="CL201" s="91"/>
      <c r="CM201" s="91"/>
      <c r="CN201" s="91"/>
      <c r="CO201" s="91"/>
      <c r="CP201" s="91"/>
      <c r="CQ201" s="91"/>
      <c r="CR201" s="91"/>
      <c r="CS201" s="91"/>
      <c r="CT201" s="91"/>
      <c r="CU201" s="91"/>
      <c r="CV201" s="91"/>
      <c r="CW201" s="91"/>
      <c r="CX201" s="91"/>
      <c r="CY201" s="91"/>
      <c r="CZ201" s="91"/>
      <c r="DA201" s="91"/>
      <c r="DB201" s="91"/>
      <c r="DC201" s="91"/>
      <c r="DD201" s="91"/>
      <c r="DE201" s="91"/>
      <c r="DF201" s="91"/>
      <c r="DG201" s="91"/>
      <c r="DH201" s="91"/>
      <c r="DI201" s="91"/>
      <c r="DJ201" s="91"/>
      <c r="DK201" s="91"/>
      <c r="DL201" s="91"/>
      <c r="DM201" s="91"/>
      <c r="DN201" s="91"/>
      <c r="DO201" s="91"/>
      <c r="DP201" s="91"/>
      <c r="DQ201" s="91"/>
      <c r="DR201" s="91"/>
      <c r="DS201" s="91"/>
      <c r="DT201" s="91"/>
      <c r="DU201" s="91"/>
      <c r="DV201" s="91"/>
      <c r="DW201" s="91"/>
      <c r="DX201" s="91"/>
      <c r="DY201" s="91"/>
      <c r="DZ201" s="91"/>
      <c r="EA201" s="91"/>
      <c r="EB201" s="91"/>
      <c r="EC201" s="91"/>
      <c r="ED201" s="91"/>
      <c r="EE201" s="91"/>
      <c r="EF201" s="91"/>
      <c r="EG201" s="91"/>
      <c r="EH201" s="91"/>
      <c r="EI201" s="91"/>
      <c r="EJ201" s="91"/>
      <c r="EK201" s="91"/>
      <c r="EL201" s="91"/>
      <c r="EM201" s="91"/>
      <c r="EN201" s="91"/>
      <c r="EO201" s="91"/>
      <c r="EP201" s="91"/>
      <c r="EQ201" s="91"/>
      <c r="ER201" s="91"/>
      <c r="ES201" s="91"/>
      <c r="ET201" s="91"/>
      <c r="EU201" s="91"/>
      <c r="EV201" s="91"/>
      <c r="EW201" s="91"/>
      <c r="EX201" s="91"/>
      <c r="EY201" s="91"/>
      <c r="EZ201" s="91"/>
      <c r="FA201" s="91"/>
      <c r="FB201" s="91"/>
      <c r="FC201" s="91"/>
      <c r="FD201" s="91"/>
      <c r="FE201" s="91"/>
      <c r="FF201" s="91"/>
      <c r="FG201" s="91"/>
      <c r="FH201" s="91"/>
      <c r="FI201" s="91"/>
      <c r="FJ201" s="91"/>
      <c r="FK201" s="91"/>
      <c r="FL201" s="91"/>
      <c r="FM201" s="91"/>
      <c r="FN201" s="91"/>
      <c r="FO201" s="91"/>
      <c r="FP201" s="91"/>
      <c r="FQ201" s="91"/>
      <c r="FR201" s="91"/>
      <c r="FS201" s="91"/>
      <c r="FT201" s="91"/>
      <c r="FU201" s="91"/>
      <c r="FV201" s="91"/>
      <c r="FW201" s="91"/>
      <c r="FX201" s="91"/>
      <c r="FY201" s="91"/>
      <c r="FZ201" s="91"/>
      <c r="GA201" s="91"/>
      <c r="GB201" s="91"/>
      <c r="GC201" s="91"/>
      <c r="GD201" s="91"/>
      <c r="GE201" s="91"/>
      <c r="GF201" s="91"/>
      <c r="GG201" s="91"/>
      <c r="GH201" s="91"/>
      <c r="GI201" s="91"/>
      <c r="GJ201" s="91"/>
      <c r="GK201" s="91"/>
      <c r="GL201" s="91"/>
      <c r="GM201" s="91"/>
      <c r="GN201" s="91"/>
      <c r="GO201" s="91"/>
      <c r="GP201" s="91"/>
      <c r="GQ201" s="91"/>
      <c r="GR201" s="91"/>
    </row>
    <row r="202" spans="2:200" x14ac:dyDescent="0.15">
      <c r="B202" s="91"/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C202" s="91"/>
      <c r="BD202" s="91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W202" s="91"/>
      <c r="BX202" s="91"/>
      <c r="BY202" s="91"/>
      <c r="BZ202" s="91"/>
      <c r="CA202" s="91"/>
      <c r="CB202" s="91"/>
      <c r="CC202" s="91"/>
      <c r="CD202" s="91"/>
      <c r="CE202" s="91"/>
      <c r="CF202" s="91"/>
      <c r="CG202" s="91"/>
      <c r="CH202" s="91"/>
      <c r="CI202" s="91"/>
      <c r="CJ202" s="91"/>
      <c r="CK202" s="91"/>
      <c r="CL202" s="91"/>
      <c r="CM202" s="91"/>
      <c r="CN202" s="91"/>
      <c r="CO202" s="91"/>
      <c r="CP202" s="91"/>
      <c r="CQ202" s="91"/>
      <c r="CR202" s="91"/>
      <c r="CS202" s="91"/>
      <c r="CT202" s="91"/>
      <c r="CU202" s="91"/>
      <c r="CV202" s="91"/>
      <c r="CW202" s="91"/>
      <c r="CX202" s="91"/>
      <c r="CY202" s="91"/>
      <c r="CZ202" s="91"/>
      <c r="DA202" s="91"/>
      <c r="DB202" s="91"/>
      <c r="DC202" s="91"/>
      <c r="DD202" s="91"/>
      <c r="DE202" s="91"/>
      <c r="DF202" s="91"/>
      <c r="DG202" s="91"/>
      <c r="DH202" s="91"/>
      <c r="DI202" s="91"/>
      <c r="DJ202" s="91"/>
      <c r="DK202" s="91"/>
      <c r="DL202" s="91"/>
      <c r="DM202" s="91"/>
      <c r="DN202" s="91"/>
      <c r="DO202" s="91"/>
      <c r="DP202" s="91"/>
      <c r="DQ202" s="91"/>
      <c r="DR202" s="91"/>
      <c r="DS202" s="91"/>
      <c r="DT202" s="91"/>
      <c r="DU202" s="91"/>
      <c r="DV202" s="91"/>
      <c r="DW202" s="91"/>
      <c r="DX202" s="91"/>
      <c r="DY202" s="91"/>
      <c r="DZ202" s="91"/>
      <c r="EA202" s="91"/>
      <c r="EB202" s="91"/>
      <c r="EC202" s="91"/>
      <c r="ED202" s="91"/>
      <c r="EE202" s="91"/>
      <c r="EF202" s="91"/>
      <c r="EG202" s="91"/>
      <c r="EH202" s="91"/>
      <c r="EI202" s="91"/>
      <c r="EJ202" s="91"/>
      <c r="EK202" s="91"/>
      <c r="EL202" s="91"/>
      <c r="EM202" s="91"/>
      <c r="EN202" s="91"/>
      <c r="EO202" s="91"/>
      <c r="EP202" s="91"/>
      <c r="EQ202" s="91"/>
      <c r="ER202" s="91"/>
      <c r="ES202" s="91"/>
      <c r="ET202" s="91"/>
      <c r="EU202" s="91"/>
      <c r="EV202" s="91"/>
      <c r="EW202" s="91"/>
      <c r="EX202" s="91"/>
      <c r="EY202" s="91"/>
      <c r="EZ202" s="91"/>
      <c r="FA202" s="91"/>
      <c r="FB202" s="91"/>
      <c r="FC202" s="91"/>
      <c r="FD202" s="91"/>
      <c r="FE202" s="91"/>
      <c r="FF202" s="91"/>
      <c r="FG202" s="91"/>
      <c r="FH202" s="91"/>
      <c r="FI202" s="91"/>
      <c r="FJ202" s="91"/>
      <c r="FK202" s="91"/>
      <c r="FL202" s="91"/>
      <c r="FM202" s="91"/>
      <c r="FN202" s="91"/>
      <c r="FO202" s="91"/>
      <c r="FP202" s="91"/>
      <c r="FQ202" s="91"/>
      <c r="FR202" s="91"/>
      <c r="FS202" s="91"/>
      <c r="FT202" s="91"/>
      <c r="FU202" s="91"/>
      <c r="FV202" s="91"/>
      <c r="FW202" s="91"/>
      <c r="FX202" s="91"/>
      <c r="FY202" s="91"/>
      <c r="FZ202" s="91"/>
      <c r="GA202" s="91"/>
      <c r="GB202" s="91"/>
      <c r="GC202" s="91"/>
      <c r="GD202" s="91"/>
      <c r="GE202" s="91"/>
      <c r="GF202" s="91"/>
      <c r="GG202" s="91"/>
      <c r="GH202" s="91"/>
      <c r="GI202" s="91"/>
      <c r="GJ202" s="91"/>
      <c r="GK202" s="91"/>
      <c r="GL202" s="91"/>
      <c r="GM202" s="91"/>
      <c r="GN202" s="91"/>
      <c r="GO202" s="91"/>
      <c r="GP202" s="91"/>
      <c r="GQ202" s="91"/>
      <c r="GR202" s="91"/>
    </row>
    <row r="203" spans="2:200" x14ac:dyDescent="0.15">
      <c r="B203" s="91"/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C203" s="91"/>
      <c r="BD203" s="91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W203" s="91"/>
      <c r="BX203" s="91"/>
      <c r="BY203" s="91"/>
      <c r="BZ203" s="91"/>
      <c r="CA203" s="91"/>
      <c r="CB203" s="91"/>
      <c r="CC203" s="91"/>
      <c r="CD203" s="91"/>
      <c r="CE203" s="91"/>
      <c r="CF203" s="91"/>
      <c r="CG203" s="91"/>
      <c r="CH203" s="91"/>
      <c r="CI203" s="91"/>
      <c r="CJ203" s="91"/>
      <c r="CK203" s="91"/>
      <c r="CL203" s="91"/>
      <c r="CM203" s="91"/>
      <c r="CN203" s="91"/>
      <c r="CO203" s="91"/>
      <c r="CP203" s="91"/>
      <c r="CQ203" s="91"/>
      <c r="CR203" s="91"/>
      <c r="CS203" s="91"/>
      <c r="CT203" s="91"/>
      <c r="CU203" s="91"/>
      <c r="CV203" s="91"/>
      <c r="CW203" s="91"/>
      <c r="CX203" s="91"/>
      <c r="CY203" s="91"/>
      <c r="CZ203" s="91"/>
      <c r="DA203" s="91"/>
      <c r="DB203" s="91"/>
      <c r="DC203" s="91"/>
      <c r="DD203" s="91"/>
      <c r="DE203" s="91"/>
      <c r="DF203" s="91"/>
      <c r="DG203" s="91"/>
      <c r="DH203" s="91"/>
      <c r="DI203" s="91"/>
      <c r="DJ203" s="91"/>
      <c r="DK203" s="91"/>
      <c r="DL203" s="91"/>
      <c r="DM203" s="91"/>
      <c r="DN203" s="91"/>
      <c r="DO203" s="91"/>
      <c r="DP203" s="91"/>
      <c r="DQ203" s="91"/>
      <c r="DR203" s="91"/>
      <c r="DS203" s="91"/>
      <c r="DT203" s="91"/>
      <c r="DU203" s="91"/>
      <c r="DV203" s="91"/>
      <c r="DW203" s="91"/>
      <c r="DX203" s="91"/>
      <c r="DY203" s="91"/>
      <c r="DZ203" s="91"/>
      <c r="EA203" s="91"/>
      <c r="EB203" s="91"/>
      <c r="EC203" s="91"/>
      <c r="ED203" s="91"/>
      <c r="EE203" s="91"/>
      <c r="EF203" s="91"/>
      <c r="EG203" s="91"/>
      <c r="EH203" s="91"/>
      <c r="EI203" s="91"/>
      <c r="EJ203" s="91"/>
      <c r="EK203" s="91"/>
      <c r="EL203" s="91"/>
      <c r="EM203" s="91"/>
      <c r="EN203" s="91"/>
      <c r="EO203" s="91"/>
      <c r="EP203" s="91"/>
      <c r="EQ203" s="91"/>
      <c r="ER203" s="91"/>
      <c r="ES203" s="91"/>
      <c r="ET203" s="91"/>
      <c r="EU203" s="91"/>
      <c r="EV203" s="91"/>
      <c r="EW203" s="91"/>
      <c r="EX203" s="91"/>
      <c r="EY203" s="91"/>
      <c r="EZ203" s="91"/>
      <c r="FA203" s="91"/>
      <c r="FB203" s="91"/>
      <c r="FC203" s="91"/>
      <c r="FD203" s="91"/>
      <c r="FE203" s="91"/>
      <c r="FF203" s="91"/>
      <c r="FG203" s="91"/>
      <c r="FH203" s="91"/>
      <c r="FI203" s="91"/>
      <c r="FJ203" s="91"/>
      <c r="FK203" s="91"/>
      <c r="FL203" s="91"/>
      <c r="FM203" s="91"/>
      <c r="FN203" s="91"/>
      <c r="FO203" s="91"/>
      <c r="FP203" s="91"/>
      <c r="FQ203" s="91"/>
      <c r="FR203" s="91"/>
      <c r="FS203" s="91"/>
      <c r="FT203" s="91"/>
      <c r="FU203" s="91"/>
      <c r="FV203" s="91"/>
      <c r="FW203" s="91"/>
      <c r="FX203" s="91"/>
      <c r="FY203" s="91"/>
      <c r="FZ203" s="91"/>
      <c r="GA203" s="91"/>
      <c r="GB203" s="91"/>
      <c r="GC203" s="91"/>
      <c r="GD203" s="91"/>
      <c r="GE203" s="91"/>
      <c r="GF203" s="91"/>
      <c r="GG203" s="91"/>
      <c r="GH203" s="91"/>
      <c r="GI203" s="91"/>
      <c r="GJ203" s="91"/>
      <c r="GK203" s="91"/>
      <c r="GL203" s="91"/>
      <c r="GM203" s="91"/>
      <c r="GN203" s="91"/>
      <c r="GO203" s="91"/>
      <c r="GP203" s="91"/>
      <c r="GQ203" s="91"/>
      <c r="GR203" s="91"/>
    </row>
    <row r="204" spans="2:200" x14ac:dyDescent="0.15">
      <c r="B204" s="91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91"/>
      <c r="AD204" s="91"/>
      <c r="AE204" s="91"/>
      <c r="AF204" s="91"/>
      <c r="AG204" s="91"/>
      <c r="AH204" s="91"/>
      <c r="AI204" s="91"/>
      <c r="AJ204" s="91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C204" s="91"/>
      <c r="BD204" s="91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W204" s="91"/>
      <c r="BX204" s="91"/>
      <c r="BY204" s="91"/>
      <c r="BZ204" s="91"/>
      <c r="CA204" s="91"/>
      <c r="CB204" s="91"/>
      <c r="CC204" s="91"/>
      <c r="CD204" s="91"/>
      <c r="CE204" s="91"/>
      <c r="CF204" s="91"/>
      <c r="CG204" s="91"/>
      <c r="CH204" s="91"/>
      <c r="CI204" s="91"/>
      <c r="CJ204" s="91"/>
      <c r="CK204" s="91"/>
      <c r="CL204" s="91"/>
      <c r="CM204" s="91"/>
      <c r="CN204" s="91"/>
      <c r="CO204" s="91"/>
      <c r="CP204" s="91"/>
      <c r="CQ204" s="91"/>
      <c r="CR204" s="91"/>
      <c r="CS204" s="91"/>
      <c r="CT204" s="91"/>
      <c r="CU204" s="91"/>
      <c r="CV204" s="91"/>
      <c r="CW204" s="91"/>
      <c r="CX204" s="91"/>
      <c r="CY204" s="91"/>
      <c r="CZ204" s="91"/>
      <c r="DA204" s="91"/>
      <c r="DB204" s="91"/>
      <c r="DC204" s="91"/>
      <c r="DD204" s="91"/>
      <c r="DE204" s="91"/>
      <c r="DF204" s="91"/>
      <c r="DG204" s="91"/>
      <c r="DH204" s="91"/>
      <c r="DI204" s="91"/>
      <c r="DJ204" s="91"/>
      <c r="DK204" s="91"/>
      <c r="DL204" s="91"/>
      <c r="DM204" s="91"/>
      <c r="DN204" s="91"/>
      <c r="DO204" s="91"/>
      <c r="DP204" s="91"/>
      <c r="DQ204" s="91"/>
      <c r="DR204" s="91"/>
      <c r="DS204" s="91"/>
      <c r="DT204" s="91"/>
      <c r="DU204" s="91"/>
      <c r="DV204" s="91"/>
      <c r="DW204" s="91"/>
      <c r="DX204" s="91"/>
      <c r="DY204" s="91"/>
      <c r="DZ204" s="91"/>
      <c r="EA204" s="91"/>
      <c r="EB204" s="91"/>
      <c r="EC204" s="91"/>
      <c r="ED204" s="91"/>
      <c r="EE204" s="91"/>
      <c r="EF204" s="91"/>
      <c r="EG204" s="91"/>
      <c r="EH204" s="91"/>
      <c r="EI204" s="91"/>
      <c r="EJ204" s="91"/>
      <c r="EK204" s="91"/>
      <c r="EL204" s="91"/>
      <c r="EM204" s="91"/>
      <c r="EN204" s="91"/>
      <c r="EO204" s="91"/>
      <c r="EP204" s="91"/>
      <c r="EQ204" s="91"/>
      <c r="ER204" s="91"/>
      <c r="ES204" s="91"/>
      <c r="ET204" s="91"/>
      <c r="EU204" s="91"/>
      <c r="EV204" s="91"/>
      <c r="EW204" s="91"/>
      <c r="EX204" s="91"/>
      <c r="EY204" s="91"/>
      <c r="EZ204" s="91"/>
      <c r="FA204" s="91"/>
      <c r="FB204" s="91"/>
      <c r="FC204" s="91"/>
      <c r="FD204" s="91"/>
      <c r="FE204" s="91"/>
      <c r="FF204" s="91"/>
      <c r="FG204" s="91"/>
      <c r="FH204" s="91"/>
      <c r="FI204" s="91"/>
      <c r="FJ204" s="91"/>
      <c r="FK204" s="91"/>
      <c r="FL204" s="91"/>
      <c r="FM204" s="91"/>
      <c r="FN204" s="91"/>
      <c r="FO204" s="91"/>
      <c r="FP204" s="91"/>
      <c r="FQ204" s="91"/>
      <c r="FR204" s="91"/>
      <c r="FS204" s="91"/>
      <c r="FT204" s="91"/>
      <c r="FU204" s="91"/>
      <c r="FV204" s="91"/>
      <c r="FW204" s="91"/>
      <c r="FX204" s="91"/>
      <c r="FY204" s="91"/>
      <c r="FZ204" s="91"/>
      <c r="GA204" s="91"/>
      <c r="GB204" s="91"/>
      <c r="GC204" s="91"/>
      <c r="GD204" s="91"/>
      <c r="GE204" s="91"/>
      <c r="GF204" s="91"/>
      <c r="GG204" s="91"/>
      <c r="GH204" s="91"/>
      <c r="GI204" s="91"/>
      <c r="GJ204" s="91"/>
      <c r="GK204" s="91"/>
      <c r="GL204" s="91"/>
      <c r="GM204" s="91"/>
      <c r="GN204" s="91"/>
      <c r="GO204" s="91"/>
      <c r="GP204" s="91"/>
      <c r="GQ204" s="91"/>
      <c r="GR204" s="91"/>
    </row>
    <row r="205" spans="2:200" x14ac:dyDescent="0.15"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  <c r="AA205" s="91"/>
      <c r="AB205" s="91"/>
      <c r="AC205" s="91"/>
      <c r="AD205" s="91"/>
      <c r="AE205" s="91"/>
      <c r="AF205" s="91"/>
      <c r="AG205" s="91"/>
      <c r="AH205" s="91"/>
      <c r="AI205" s="91"/>
      <c r="AJ205" s="91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C205" s="91"/>
      <c r="BD205" s="91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W205" s="91"/>
      <c r="BX205" s="91"/>
      <c r="BY205" s="91"/>
      <c r="BZ205" s="91"/>
      <c r="CA205" s="91"/>
      <c r="CB205" s="91"/>
      <c r="CC205" s="91"/>
      <c r="CD205" s="91"/>
      <c r="CE205" s="91"/>
      <c r="CF205" s="91"/>
      <c r="CG205" s="91"/>
      <c r="CH205" s="91"/>
      <c r="CI205" s="91"/>
      <c r="CJ205" s="91"/>
      <c r="CK205" s="91"/>
      <c r="CL205" s="91"/>
      <c r="CM205" s="91"/>
      <c r="CN205" s="91"/>
      <c r="CO205" s="91"/>
      <c r="CP205" s="91"/>
      <c r="CQ205" s="91"/>
      <c r="CR205" s="91"/>
      <c r="CS205" s="91"/>
      <c r="CT205" s="91"/>
      <c r="CU205" s="91"/>
      <c r="CV205" s="91"/>
      <c r="CW205" s="91"/>
      <c r="CX205" s="91"/>
      <c r="CY205" s="91"/>
      <c r="CZ205" s="91"/>
      <c r="DA205" s="91"/>
      <c r="DB205" s="91"/>
      <c r="DC205" s="91"/>
      <c r="DD205" s="91"/>
      <c r="DE205" s="91"/>
      <c r="DF205" s="91"/>
      <c r="DG205" s="91"/>
      <c r="DH205" s="91"/>
      <c r="DI205" s="91"/>
      <c r="DJ205" s="91"/>
      <c r="DK205" s="91"/>
      <c r="DL205" s="91"/>
      <c r="DM205" s="91"/>
      <c r="DN205" s="91"/>
      <c r="DO205" s="91"/>
      <c r="DP205" s="91"/>
      <c r="DQ205" s="91"/>
      <c r="DR205" s="91"/>
      <c r="DS205" s="91"/>
      <c r="DT205" s="91"/>
      <c r="DU205" s="91"/>
      <c r="DV205" s="91"/>
      <c r="DW205" s="91"/>
      <c r="DX205" s="91"/>
      <c r="DY205" s="91"/>
      <c r="DZ205" s="91"/>
      <c r="EA205" s="91"/>
      <c r="EB205" s="91"/>
      <c r="EC205" s="91"/>
      <c r="ED205" s="91"/>
      <c r="EE205" s="91"/>
      <c r="EF205" s="91"/>
      <c r="EG205" s="91"/>
      <c r="EH205" s="91"/>
      <c r="EI205" s="91"/>
      <c r="EJ205" s="91"/>
      <c r="EK205" s="91"/>
      <c r="EL205" s="91"/>
      <c r="EM205" s="91"/>
      <c r="EN205" s="91"/>
      <c r="EO205" s="91"/>
      <c r="EP205" s="91"/>
      <c r="EQ205" s="91"/>
      <c r="ER205" s="91"/>
      <c r="ES205" s="91"/>
      <c r="ET205" s="91"/>
      <c r="EU205" s="91"/>
      <c r="EV205" s="91"/>
      <c r="EW205" s="91"/>
      <c r="EX205" s="91"/>
      <c r="EY205" s="91"/>
      <c r="EZ205" s="91"/>
      <c r="FA205" s="91"/>
      <c r="FB205" s="91"/>
      <c r="FC205" s="91"/>
      <c r="FD205" s="91"/>
      <c r="FE205" s="91"/>
      <c r="FF205" s="91"/>
      <c r="FG205" s="91"/>
      <c r="FH205" s="91"/>
      <c r="FI205" s="91"/>
      <c r="FJ205" s="91"/>
      <c r="FK205" s="91"/>
      <c r="FL205" s="91"/>
      <c r="FM205" s="91"/>
      <c r="FN205" s="91"/>
      <c r="FO205" s="91"/>
      <c r="FP205" s="91"/>
      <c r="FQ205" s="91"/>
      <c r="FR205" s="91"/>
      <c r="FS205" s="91"/>
      <c r="FT205" s="91"/>
      <c r="FU205" s="91"/>
      <c r="FV205" s="91"/>
      <c r="FW205" s="91"/>
      <c r="FX205" s="91"/>
      <c r="FY205" s="91"/>
      <c r="FZ205" s="91"/>
      <c r="GA205" s="91"/>
      <c r="GB205" s="91"/>
      <c r="GC205" s="91"/>
      <c r="GD205" s="91"/>
      <c r="GE205" s="91"/>
      <c r="GF205" s="91"/>
      <c r="GG205" s="91"/>
      <c r="GH205" s="91"/>
      <c r="GI205" s="91"/>
      <c r="GJ205" s="91"/>
      <c r="GK205" s="91"/>
      <c r="GL205" s="91"/>
      <c r="GM205" s="91"/>
      <c r="GN205" s="91"/>
      <c r="GO205" s="91"/>
      <c r="GP205" s="91"/>
      <c r="GQ205" s="91"/>
      <c r="GR205" s="91"/>
    </row>
    <row r="206" spans="2:200" x14ac:dyDescent="0.15">
      <c r="B206" s="91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  <c r="AA206" s="91"/>
      <c r="AB206" s="91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C206" s="91"/>
      <c r="BD206" s="91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W206" s="91"/>
      <c r="BX206" s="91"/>
      <c r="BY206" s="91"/>
      <c r="BZ206" s="91"/>
      <c r="CA206" s="91"/>
      <c r="CB206" s="91"/>
      <c r="CC206" s="91"/>
      <c r="CD206" s="91"/>
      <c r="CE206" s="91"/>
      <c r="CF206" s="91"/>
      <c r="CG206" s="91"/>
      <c r="CH206" s="91"/>
      <c r="CI206" s="91"/>
      <c r="CJ206" s="91"/>
      <c r="CK206" s="91"/>
      <c r="CL206" s="91"/>
      <c r="CM206" s="91"/>
      <c r="CN206" s="91"/>
      <c r="CO206" s="91"/>
      <c r="CP206" s="91"/>
      <c r="CQ206" s="91"/>
      <c r="CR206" s="91"/>
      <c r="CS206" s="91"/>
      <c r="CT206" s="91"/>
      <c r="CU206" s="91"/>
      <c r="CV206" s="91"/>
      <c r="CW206" s="91"/>
      <c r="CX206" s="91"/>
      <c r="CY206" s="91"/>
      <c r="CZ206" s="91"/>
      <c r="DA206" s="91"/>
      <c r="DB206" s="91"/>
      <c r="DC206" s="91"/>
      <c r="DD206" s="91"/>
      <c r="DE206" s="91"/>
      <c r="DF206" s="91"/>
      <c r="DG206" s="91"/>
      <c r="DH206" s="91"/>
      <c r="DI206" s="91"/>
      <c r="DJ206" s="91"/>
      <c r="DK206" s="91"/>
      <c r="DL206" s="91"/>
      <c r="DM206" s="91"/>
      <c r="DN206" s="91"/>
      <c r="DO206" s="91"/>
      <c r="DP206" s="91"/>
      <c r="DQ206" s="91"/>
      <c r="DR206" s="91"/>
      <c r="DS206" s="91"/>
      <c r="DT206" s="91"/>
      <c r="DU206" s="91"/>
      <c r="DV206" s="91"/>
      <c r="DW206" s="91"/>
      <c r="DX206" s="91"/>
      <c r="DY206" s="91"/>
      <c r="DZ206" s="91"/>
      <c r="EA206" s="91"/>
      <c r="EB206" s="91"/>
      <c r="EC206" s="91"/>
      <c r="ED206" s="91"/>
      <c r="EE206" s="91"/>
      <c r="EF206" s="91"/>
      <c r="EG206" s="91"/>
      <c r="EH206" s="91"/>
      <c r="EI206" s="91"/>
      <c r="EJ206" s="91"/>
      <c r="EK206" s="91"/>
      <c r="EL206" s="91"/>
      <c r="EM206" s="91"/>
      <c r="EN206" s="91"/>
      <c r="EO206" s="91"/>
      <c r="EP206" s="91"/>
      <c r="EQ206" s="91"/>
      <c r="ER206" s="91"/>
      <c r="ES206" s="91"/>
      <c r="ET206" s="91"/>
      <c r="EU206" s="91"/>
      <c r="EV206" s="91"/>
      <c r="EW206" s="91"/>
      <c r="EX206" s="91"/>
      <c r="EY206" s="91"/>
      <c r="EZ206" s="91"/>
      <c r="FA206" s="91"/>
      <c r="FB206" s="91"/>
      <c r="FC206" s="91"/>
      <c r="FD206" s="91"/>
      <c r="FE206" s="91"/>
      <c r="FF206" s="91"/>
      <c r="FG206" s="91"/>
      <c r="FH206" s="91"/>
      <c r="FI206" s="91"/>
      <c r="FJ206" s="91"/>
      <c r="FK206" s="91"/>
      <c r="FL206" s="91"/>
      <c r="FM206" s="91"/>
      <c r="FN206" s="91"/>
      <c r="FO206" s="91"/>
      <c r="FP206" s="91"/>
      <c r="FQ206" s="91"/>
      <c r="FR206" s="91"/>
      <c r="FS206" s="91"/>
      <c r="FT206" s="91"/>
      <c r="FU206" s="91"/>
      <c r="FV206" s="91"/>
      <c r="FW206" s="91"/>
      <c r="FX206" s="91"/>
      <c r="FY206" s="91"/>
      <c r="FZ206" s="91"/>
      <c r="GA206" s="91"/>
      <c r="GB206" s="91"/>
      <c r="GC206" s="91"/>
      <c r="GD206" s="91"/>
      <c r="GE206" s="91"/>
      <c r="GF206" s="91"/>
      <c r="GG206" s="91"/>
      <c r="GH206" s="91"/>
      <c r="GI206" s="91"/>
      <c r="GJ206" s="91"/>
      <c r="GK206" s="91"/>
      <c r="GL206" s="91"/>
      <c r="GM206" s="91"/>
      <c r="GN206" s="91"/>
      <c r="GO206" s="91"/>
      <c r="GP206" s="91"/>
      <c r="GQ206" s="91"/>
      <c r="GR206" s="91"/>
    </row>
    <row r="207" spans="2:200" x14ac:dyDescent="0.15"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  <c r="AA207" s="91"/>
      <c r="AB207" s="91"/>
      <c r="AC207" s="91"/>
      <c r="AD207" s="91"/>
      <c r="AE207" s="91"/>
      <c r="AF207" s="91"/>
      <c r="AG207" s="91"/>
      <c r="AH207" s="91"/>
      <c r="AI207" s="91"/>
      <c r="AJ207" s="91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C207" s="91"/>
      <c r="BD207" s="91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W207" s="91"/>
      <c r="BX207" s="91"/>
      <c r="BY207" s="91"/>
      <c r="BZ207" s="91"/>
      <c r="CA207" s="91"/>
      <c r="CB207" s="91"/>
      <c r="CC207" s="91"/>
      <c r="CD207" s="91"/>
      <c r="CE207" s="91"/>
      <c r="CF207" s="91"/>
      <c r="CG207" s="91"/>
      <c r="CH207" s="91"/>
      <c r="CI207" s="91"/>
      <c r="CJ207" s="91"/>
      <c r="CK207" s="91"/>
      <c r="CL207" s="91"/>
      <c r="CM207" s="91"/>
      <c r="CN207" s="91"/>
      <c r="CO207" s="91"/>
      <c r="CP207" s="91"/>
      <c r="CQ207" s="91"/>
      <c r="CR207" s="91"/>
      <c r="CS207" s="91"/>
      <c r="CT207" s="91"/>
      <c r="CU207" s="91"/>
      <c r="CV207" s="91"/>
      <c r="CW207" s="91"/>
      <c r="CX207" s="91"/>
      <c r="CY207" s="91"/>
      <c r="CZ207" s="91"/>
      <c r="DA207" s="91"/>
      <c r="DB207" s="91"/>
      <c r="DC207" s="91"/>
      <c r="DD207" s="91"/>
      <c r="DE207" s="91"/>
      <c r="DF207" s="91"/>
      <c r="DG207" s="91"/>
      <c r="DH207" s="91"/>
      <c r="DI207" s="91"/>
      <c r="DJ207" s="91"/>
      <c r="DK207" s="91"/>
      <c r="DL207" s="91"/>
      <c r="DM207" s="91"/>
      <c r="DN207" s="91"/>
      <c r="DO207" s="91"/>
      <c r="DP207" s="91"/>
      <c r="DQ207" s="91"/>
      <c r="DR207" s="91"/>
      <c r="DS207" s="91"/>
      <c r="DT207" s="91"/>
      <c r="DU207" s="91"/>
      <c r="DV207" s="91"/>
      <c r="DW207" s="91"/>
      <c r="DX207" s="91"/>
      <c r="DY207" s="91"/>
      <c r="DZ207" s="91"/>
      <c r="EA207" s="91"/>
      <c r="EB207" s="91"/>
      <c r="EC207" s="91"/>
      <c r="ED207" s="91"/>
      <c r="EE207" s="91"/>
      <c r="EF207" s="91"/>
      <c r="EG207" s="91"/>
      <c r="EH207" s="91"/>
      <c r="EI207" s="91"/>
      <c r="EJ207" s="91"/>
      <c r="EK207" s="91"/>
      <c r="EL207" s="91"/>
      <c r="EM207" s="91"/>
      <c r="EN207" s="91"/>
      <c r="EO207" s="91"/>
      <c r="EP207" s="91"/>
      <c r="EQ207" s="91"/>
      <c r="ER207" s="91"/>
      <c r="ES207" s="91"/>
      <c r="ET207" s="91"/>
      <c r="EU207" s="91"/>
      <c r="EV207" s="91"/>
      <c r="EW207" s="91"/>
      <c r="EX207" s="91"/>
      <c r="EY207" s="91"/>
      <c r="EZ207" s="91"/>
      <c r="FA207" s="91"/>
      <c r="FB207" s="91"/>
      <c r="FC207" s="91"/>
      <c r="FD207" s="91"/>
      <c r="FE207" s="91"/>
      <c r="FF207" s="91"/>
      <c r="FG207" s="91"/>
      <c r="FH207" s="91"/>
      <c r="FI207" s="91"/>
      <c r="FJ207" s="91"/>
      <c r="FK207" s="91"/>
      <c r="FL207" s="91"/>
      <c r="FM207" s="91"/>
      <c r="FN207" s="91"/>
      <c r="FO207" s="91"/>
      <c r="FP207" s="91"/>
      <c r="FQ207" s="91"/>
      <c r="FR207" s="91"/>
      <c r="FS207" s="91"/>
      <c r="FT207" s="91"/>
      <c r="FU207" s="91"/>
      <c r="FV207" s="91"/>
      <c r="FW207" s="91"/>
      <c r="FX207" s="91"/>
      <c r="FY207" s="91"/>
      <c r="FZ207" s="91"/>
      <c r="GA207" s="91"/>
      <c r="GB207" s="91"/>
      <c r="GC207" s="91"/>
      <c r="GD207" s="91"/>
      <c r="GE207" s="91"/>
      <c r="GF207" s="91"/>
      <c r="GG207" s="91"/>
      <c r="GH207" s="91"/>
      <c r="GI207" s="91"/>
      <c r="GJ207" s="91"/>
      <c r="GK207" s="91"/>
      <c r="GL207" s="91"/>
      <c r="GM207" s="91"/>
      <c r="GN207" s="91"/>
      <c r="GO207" s="91"/>
      <c r="GP207" s="91"/>
      <c r="GQ207" s="91"/>
      <c r="GR207" s="91"/>
    </row>
    <row r="208" spans="2:200" x14ac:dyDescent="0.15"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  <c r="AA208" s="91"/>
      <c r="AB208" s="91"/>
      <c r="AC208" s="91"/>
      <c r="AD208" s="91"/>
      <c r="AE208" s="91"/>
      <c r="AF208" s="91"/>
      <c r="AG208" s="91"/>
      <c r="AH208" s="91"/>
      <c r="AI208" s="91"/>
      <c r="AJ208" s="91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C208" s="91"/>
      <c r="BD208" s="91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W208" s="91"/>
      <c r="BX208" s="91"/>
      <c r="BY208" s="91"/>
      <c r="BZ208" s="91"/>
      <c r="CA208" s="91"/>
      <c r="CB208" s="91"/>
      <c r="CC208" s="91"/>
      <c r="CD208" s="91"/>
      <c r="CE208" s="91"/>
      <c r="CF208" s="91"/>
      <c r="CG208" s="91"/>
      <c r="CH208" s="91"/>
      <c r="CI208" s="91"/>
      <c r="CJ208" s="91"/>
      <c r="CK208" s="91"/>
      <c r="CL208" s="91"/>
      <c r="CM208" s="91"/>
      <c r="CN208" s="91"/>
      <c r="CO208" s="91"/>
      <c r="CP208" s="91"/>
      <c r="CQ208" s="91"/>
      <c r="CR208" s="91"/>
      <c r="CS208" s="91"/>
      <c r="CT208" s="91"/>
      <c r="CU208" s="91"/>
      <c r="CV208" s="91"/>
      <c r="CW208" s="91"/>
      <c r="CX208" s="91"/>
      <c r="CY208" s="91"/>
      <c r="CZ208" s="91"/>
      <c r="DA208" s="91"/>
      <c r="DB208" s="91"/>
      <c r="DC208" s="91"/>
      <c r="DD208" s="91"/>
      <c r="DE208" s="91"/>
      <c r="DF208" s="91"/>
      <c r="DG208" s="91"/>
      <c r="DH208" s="91"/>
      <c r="DI208" s="91"/>
      <c r="DJ208" s="91"/>
      <c r="DK208" s="91"/>
      <c r="DL208" s="91"/>
      <c r="DM208" s="91"/>
      <c r="DN208" s="91"/>
      <c r="DO208" s="91"/>
      <c r="DP208" s="91"/>
      <c r="DQ208" s="91"/>
      <c r="DR208" s="91"/>
      <c r="DS208" s="91"/>
      <c r="DT208" s="91"/>
      <c r="DU208" s="91"/>
      <c r="DV208" s="91"/>
      <c r="DW208" s="91"/>
      <c r="DX208" s="91"/>
      <c r="DY208" s="91"/>
      <c r="DZ208" s="91"/>
      <c r="EA208" s="91"/>
      <c r="EB208" s="91"/>
      <c r="EC208" s="91"/>
      <c r="ED208" s="91"/>
      <c r="EE208" s="91"/>
      <c r="EF208" s="91"/>
      <c r="EG208" s="91"/>
      <c r="EH208" s="91"/>
      <c r="EI208" s="91"/>
      <c r="EJ208" s="91"/>
      <c r="EK208" s="91"/>
      <c r="EL208" s="91"/>
      <c r="EM208" s="91"/>
      <c r="EN208" s="91"/>
      <c r="EO208" s="91"/>
      <c r="EP208" s="91"/>
      <c r="EQ208" s="91"/>
      <c r="ER208" s="91"/>
      <c r="ES208" s="91"/>
      <c r="ET208" s="91"/>
      <c r="EU208" s="91"/>
      <c r="EV208" s="91"/>
      <c r="EW208" s="91"/>
      <c r="EX208" s="91"/>
      <c r="EY208" s="91"/>
      <c r="EZ208" s="91"/>
      <c r="FA208" s="91"/>
      <c r="FB208" s="91"/>
      <c r="FC208" s="91"/>
      <c r="FD208" s="91"/>
      <c r="FE208" s="91"/>
      <c r="FF208" s="91"/>
      <c r="FG208" s="91"/>
      <c r="FH208" s="91"/>
      <c r="FI208" s="91"/>
      <c r="FJ208" s="91"/>
      <c r="FK208" s="91"/>
      <c r="FL208" s="91"/>
      <c r="FM208" s="91"/>
      <c r="FN208" s="91"/>
      <c r="FO208" s="91"/>
      <c r="FP208" s="91"/>
      <c r="FQ208" s="91"/>
      <c r="FR208" s="91"/>
      <c r="FS208" s="91"/>
      <c r="FT208" s="91"/>
      <c r="FU208" s="91"/>
      <c r="FV208" s="91"/>
      <c r="FW208" s="91"/>
      <c r="FX208" s="91"/>
      <c r="FY208" s="91"/>
      <c r="FZ208" s="91"/>
      <c r="GA208" s="91"/>
      <c r="GB208" s="91"/>
      <c r="GC208" s="91"/>
      <c r="GD208" s="91"/>
      <c r="GE208" s="91"/>
      <c r="GF208" s="91"/>
      <c r="GG208" s="91"/>
      <c r="GH208" s="91"/>
      <c r="GI208" s="91"/>
      <c r="GJ208" s="91"/>
      <c r="GK208" s="91"/>
      <c r="GL208" s="91"/>
      <c r="GM208" s="91"/>
      <c r="GN208" s="91"/>
      <c r="GO208" s="91"/>
      <c r="GP208" s="91"/>
      <c r="GQ208" s="91"/>
      <c r="GR208" s="91"/>
    </row>
    <row r="209" spans="2:200" x14ac:dyDescent="0.15"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  <c r="AA209" s="91"/>
      <c r="AB209" s="91"/>
      <c r="AC209" s="91"/>
      <c r="AD209" s="91"/>
      <c r="AE209" s="91"/>
      <c r="AF209" s="91"/>
      <c r="AG209" s="91"/>
      <c r="AH209" s="91"/>
      <c r="AI209" s="91"/>
      <c r="AJ209" s="91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C209" s="91"/>
      <c r="BD209" s="91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W209" s="91"/>
      <c r="BX209" s="91"/>
      <c r="BY209" s="91"/>
      <c r="BZ209" s="91"/>
      <c r="CA209" s="91"/>
      <c r="CB209" s="91"/>
      <c r="CC209" s="91"/>
      <c r="CD209" s="91"/>
      <c r="CE209" s="91"/>
      <c r="CF209" s="91"/>
      <c r="CG209" s="91"/>
      <c r="CH209" s="91"/>
      <c r="CI209" s="91"/>
      <c r="CJ209" s="91"/>
      <c r="CK209" s="91"/>
      <c r="CL209" s="91"/>
      <c r="CM209" s="91"/>
      <c r="CN209" s="91"/>
      <c r="CO209" s="91"/>
      <c r="CP209" s="91"/>
      <c r="CQ209" s="91"/>
      <c r="CR209" s="91"/>
      <c r="CS209" s="91"/>
      <c r="CT209" s="91"/>
      <c r="CU209" s="91"/>
      <c r="CV209" s="91"/>
      <c r="CW209" s="91"/>
      <c r="CX209" s="91"/>
      <c r="CY209" s="91"/>
      <c r="CZ209" s="91"/>
      <c r="DA209" s="91"/>
      <c r="DB209" s="91"/>
      <c r="DC209" s="91"/>
      <c r="DD209" s="91"/>
      <c r="DE209" s="91"/>
      <c r="DF209" s="91"/>
      <c r="DG209" s="91"/>
      <c r="DH209" s="91"/>
      <c r="DI209" s="91"/>
      <c r="DJ209" s="91"/>
      <c r="DK209" s="91"/>
      <c r="DL209" s="91"/>
      <c r="DM209" s="91"/>
      <c r="DN209" s="91"/>
      <c r="DO209" s="91"/>
      <c r="DP209" s="91"/>
      <c r="DQ209" s="91"/>
      <c r="DR209" s="91"/>
      <c r="DS209" s="91"/>
      <c r="DT209" s="91"/>
      <c r="DU209" s="91"/>
      <c r="DV209" s="91"/>
      <c r="DW209" s="91"/>
      <c r="DX209" s="91"/>
      <c r="DY209" s="91"/>
      <c r="DZ209" s="91"/>
      <c r="EA209" s="91"/>
      <c r="EB209" s="91"/>
      <c r="EC209" s="91"/>
      <c r="ED209" s="91"/>
      <c r="EE209" s="91"/>
      <c r="EF209" s="91"/>
      <c r="EG209" s="91"/>
      <c r="EH209" s="91"/>
      <c r="EI209" s="91"/>
      <c r="EJ209" s="91"/>
      <c r="EK209" s="91"/>
      <c r="EL209" s="91"/>
      <c r="EM209" s="91"/>
      <c r="EN209" s="91"/>
      <c r="EO209" s="91"/>
      <c r="EP209" s="91"/>
      <c r="EQ209" s="91"/>
      <c r="ER209" s="91"/>
      <c r="ES209" s="91"/>
      <c r="ET209" s="91"/>
      <c r="EU209" s="91"/>
      <c r="EV209" s="91"/>
      <c r="EW209" s="91"/>
      <c r="EX209" s="91"/>
      <c r="EY209" s="91"/>
      <c r="EZ209" s="91"/>
      <c r="FA209" s="91"/>
      <c r="FB209" s="91"/>
      <c r="FC209" s="91"/>
      <c r="FD209" s="91"/>
      <c r="FE209" s="91"/>
      <c r="FF209" s="91"/>
      <c r="FG209" s="91"/>
      <c r="FH209" s="91"/>
      <c r="FI209" s="91"/>
      <c r="FJ209" s="91"/>
      <c r="FK209" s="91"/>
      <c r="FL209" s="91"/>
      <c r="FM209" s="91"/>
      <c r="FN209" s="91"/>
      <c r="FO209" s="91"/>
      <c r="FP209" s="91"/>
      <c r="FQ209" s="91"/>
      <c r="FR209" s="91"/>
      <c r="FS209" s="91"/>
      <c r="FT209" s="91"/>
      <c r="FU209" s="91"/>
      <c r="FV209" s="91"/>
      <c r="FW209" s="91"/>
      <c r="FX209" s="91"/>
      <c r="FY209" s="91"/>
      <c r="FZ209" s="91"/>
      <c r="GA209" s="91"/>
      <c r="GB209" s="91"/>
      <c r="GC209" s="91"/>
      <c r="GD209" s="91"/>
      <c r="GE209" s="91"/>
      <c r="GF209" s="91"/>
      <c r="GG209" s="91"/>
      <c r="GH209" s="91"/>
      <c r="GI209" s="91"/>
      <c r="GJ209" s="91"/>
      <c r="GK209" s="91"/>
      <c r="GL209" s="91"/>
      <c r="GM209" s="91"/>
      <c r="GN209" s="91"/>
      <c r="GO209" s="91"/>
      <c r="GP209" s="91"/>
      <c r="GQ209" s="91"/>
      <c r="GR209" s="91"/>
    </row>
    <row r="210" spans="2:200" x14ac:dyDescent="0.15">
      <c r="B210" s="91"/>
      <c r="C210" s="91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  <c r="AA210" s="91"/>
      <c r="AB210" s="91"/>
      <c r="AC210" s="91"/>
      <c r="AD210" s="91"/>
      <c r="AE210" s="91"/>
      <c r="AF210" s="91"/>
      <c r="AG210" s="91"/>
      <c r="AH210" s="91"/>
      <c r="AI210" s="91"/>
      <c r="AJ210" s="91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C210" s="91"/>
      <c r="BD210" s="91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W210" s="91"/>
      <c r="BX210" s="91"/>
      <c r="BY210" s="91"/>
      <c r="BZ210" s="91"/>
      <c r="CA210" s="91"/>
      <c r="CB210" s="91"/>
      <c r="CC210" s="91"/>
      <c r="CD210" s="91"/>
      <c r="CE210" s="91"/>
      <c r="CF210" s="91"/>
      <c r="CG210" s="91"/>
      <c r="CH210" s="91"/>
      <c r="CI210" s="91"/>
      <c r="CJ210" s="91"/>
      <c r="CK210" s="91"/>
      <c r="CL210" s="91"/>
      <c r="CM210" s="91"/>
      <c r="CN210" s="91"/>
      <c r="CO210" s="91"/>
      <c r="CP210" s="91"/>
      <c r="CQ210" s="91"/>
      <c r="CR210" s="91"/>
      <c r="CS210" s="91"/>
      <c r="CT210" s="91"/>
      <c r="CU210" s="91"/>
      <c r="CV210" s="91"/>
      <c r="CW210" s="91"/>
      <c r="CX210" s="91"/>
      <c r="CY210" s="91"/>
      <c r="CZ210" s="91"/>
      <c r="DA210" s="91"/>
      <c r="DB210" s="91"/>
      <c r="DC210" s="91"/>
      <c r="DD210" s="91"/>
      <c r="DE210" s="91"/>
      <c r="DF210" s="91"/>
      <c r="DG210" s="91"/>
      <c r="DH210" s="91"/>
      <c r="DI210" s="91"/>
      <c r="DJ210" s="91"/>
      <c r="DK210" s="91"/>
      <c r="DL210" s="91"/>
      <c r="DM210" s="91"/>
      <c r="DN210" s="91"/>
      <c r="DO210" s="91"/>
      <c r="DP210" s="91"/>
      <c r="DQ210" s="91"/>
      <c r="DR210" s="91"/>
      <c r="DS210" s="91"/>
      <c r="DT210" s="91"/>
      <c r="DU210" s="91"/>
      <c r="DV210" s="91"/>
      <c r="DW210" s="91"/>
      <c r="DX210" s="91"/>
      <c r="DY210" s="91"/>
      <c r="DZ210" s="91"/>
      <c r="EA210" s="91"/>
      <c r="EB210" s="91"/>
      <c r="EC210" s="91"/>
      <c r="ED210" s="91"/>
      <c r="EE210" s="91"/>
      <c r="EF210" s="91"/>
      <c r="EG210" s="91"/>
      <c r="EH210" s="91"/>
      <c r="EI210" s="91"/>
      <c r="EJ210" s="91"/>
      <c r="EK210" s="91"/>
      <c r="EL210" s="91"/>
      <c r="EM210" s="91"/>
      <c r="EN210" s="91"/>
      <c r="EO210" s="91"/>
      <c r="EP210" s="91"/>
      <c r="EQ210" s="91"/>
      <c r="ER210" s="91"/>
      <c r="ES210" s="91"/>
      <c r="ET210" s="91"/>
      <c r="EU210" s="91"/>
      <c r="EV210" s="91"/>
      <c r="EW210" s="91"/>
      <c r="EX210" s="91"/>
      <c r="EY210" s="91"/>
      <c r="EZ210" s="91"/>
      <c r="FA210" s="91"/>
      <c r="FB210" s="91"/>
      <c r="FC210" s="91"/>
      <c r="FD210" s="91"/>
      <c r="FE210" s="91"/>
      <c r="FF210" s="91"/>
      <c r="FG210" s="91"/>
      <c r="FH210" s="91"/>
      <c r="FI210" s="91"/>
      <c r="FJ210" s="91"/>
      <c r="FK210" s="91"/>
      <c r="FL210" s="91"/>
      <c r="FM210" s="91"/>
      <c r="FN210" s="91"/>
      <c r="FO210" s="91"/>
      <c r="FP210" s="91"/>
      <c r="FQ210" s="91"/>
      <c r="FR210" s="91"/>
      <c r="FS210" s="91"/>
      <c r="FT210" s="91"/>
      <c r="FU210" s="91"/>
      <c r="FV210" s="91"/>
      <c r="FW210" s="91"/>
      <c r="FX210" s="91"/>
      <c r="FY210" s="91"/>
      <c r="FZ210" s="91"/>
      <c r="GA210" s="91"/>
      <c r="GB210" s="91"/>
      <c r="GC210" s="91"/>
      <c r="GD210" s="91"/>
      <c r="GE210" s="91"/>
      <c r="GF210" s="91"/>
      <c r="GG210" s="91"/>
      <c r="GH210" s="91"/>
      <c r="GI210" s="91"/>
      <c r="GJ210" s="91"/>
      <c r="GK210" s="91"/>
      <c r="GL210" s="91"/>
      <c r="GM210" s="91"/>
      <c r="GN210" s="91"/>
      <c r="GO210" s="91"/>
      <c r="GP210" s="91"/>
      <c r="GQ210" s="91"/>
      <c r="GR210" s="91"/>
    </row>
    <row r="211" spans="2:200" x14ac:dyDescent="0.15">
      <c r="B211" s="91"/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  <c r="AA211" s="91"/>
      <c r="AB211" s="91"/>
      <c r="AC211" s="91"/>
      <c r="AD211" s="91"/>
      <c r="AE211" s="91"/>
      <c r="AF211" s="91"/>
      <c r="AG211" s="91"/>
      <c r="AH211" s="91"/>
      <c r="AI211" s="91"/>
      <c r="AJ211" s="91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C211" s="91"/>
      <c r="BD211" s="91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W211" s="91"/>
      <c r="BX211" s="91"/>
      <c r="BY211" s="91"/>
      <c r="BZ211" s="91"/>
      <c r="CA211" s="91"/>
      <c r="CB211" s="91"/>
      <c r="CC211" s="91"/>
      <c r="CD211" s="91"/>
      <c r="CE211" s="91"/>
      <c r="CF211" s="91"/>
      <c r="CG211" s="91"/>
      <c r="CH211" s="91"/>
      <c r="CI211" s="91"/>
      <c r="CJ211" s="91"/>
      <c r="CK211" s="91"/>
      <c r="CL211" s="91"/>
      <c r="CM211" s="91"/>
      <c r="CN211" s="91"/>
      <c r="CO211" s="91"/>
      <c r="CP211" s="91"/>
      <c r="CQ211" s="91"/>
      <c r="CR211" s="91"/>
      <c r="CS211" s="91"/>
      <c r="CT211" s="91"/>
      <c r="CU211" s="91"/>
      <c r="CV211" s="91"/>
      <c r="CW211" s="91"/>
      <c r="CX211" s="91"/>
      <c r="CY211" s="91"/>
      <c r="CZ211" s="91"/>
      <c r="DA211" s="91"/>
      <c r="DB211" s="91"/>
      <c r="DC211" s="91"/>
      <c r="DD211" s="91"/>
      <c r="DE211" s="91"/>
      <c r="DF211" s="91"/>
      <c r="DG211" s="91"/>
      <c r="DH211" s="91"/>
      <c r="DI211" s="91"/>
      <c r="DJ211" s="91"/>
      <c r="DK211" s="91"/>
      <c r="DL211" s="91"/>
      <c r="DM211" s="91"/>
      <c r="DN211" s="91"/>
      <c r="DO211" s="91"/>
      <c r="DP211" s="91"/>
      <c r="DQ211" s="91"/>
      <c r="DR211" s="91"/>
      <c r="DS211" s="91"/>
      <c r="DT211" s="91"/>
      <c r="DU211" s="91"/>
      <c r="DV211" s="91"/>
      <c r="DW211" s="91"/>
      <c r="DX211" s="91"/>
      <c r="DY211" s="91"/>
      <c r="DZ211" s="91"/>
      <c r="EA211" s="91"/>
      <c r="EB211" s="91"/>
      <c r="EC211" s="91"/>
      <c r="ED211" s="91"/>
      <c r="EE211" s="91"/>
      <c r="EF211" s="91"/>
      <c r="EG211" s="91"/>
      <c r="EH211" s="91"/>
      <c r="EI211" s="91"/>
      <c r="EJ211" s="91"/>
      <c r="EK211" s="91"/>
      <c r="EL211" s="91"/>
      <c r="EM211" s="91"/>
      <c r="EN211" s="91"/>
      <c r="EO211" s="91"/>
      <c r="EP211" s="91"/>
      <c r="EQ211" s="91"/>
      <c r="ER211" s="91"/>
      <c r="ES211" s="91"/>
      <c r="ET211" s="91"/>
      <c r="EU211" s="91"/>
      <c r="EV211" s="91"/>
      <c r="EW211" s="91"/>
      <c r="EX211" s="91"/>
      <c r="EY211" s="91"/>
      <c r="EZ211" s="91"/>
      <c r="FA211" s="91"/>
      <c r="FB211" s="91"/>
      <c r="FC211" s="91"/>
      <c r="FD211" s="91"/>
      <c r="FE211" s="91"/>
      <c r="FF211" s="91"/>
      <c r="FG211" s="91"/>
      <c r="FH211" s="91"/>
      <c r="FI211" s="91"/>
      <c r="FJ211" s="91"/>
      <c r="FK211" s="91"/>
      <c r="FL211" s="91"/>
      <c r="FM211" s="91"/>
      <c r="FN211" s="91"/>
      <c r="FO211" s="91"/>
      <c r="FP211" s="91"/>
      <c r="FQ211" s="91"/>
      <c r="FR211" s="91"/>
      <c r="FS211" s="91"/>
      <c r="FT211" s="91"/>
      <c r="FU211" s="91"/>
      <c r="FV211" s="91"/>
      <c r="FW211" s="91"/>
      <c r="FX211" s="91"/>
      <c r="FY211" s="91"/>
      <c r="FZ211" s="91"/>
      <c r="GA211" s="91"/>
      <c r="GB211" s="91"/>
      <c r="GC211" s="91"/>
      <c r="GD211" s="91"/>
      <c r="GE211" s="91"/>
      <c r="GF211" s="91"/>
      <c r="GG211" s="91"/>
      <c r="GH211" s="91"/>
      <c r="GI211" s="91"/>
      <c r="GJ211" s="91"/>
      <c r="GK211" s="91"/>
      <c r="GL211" s="91"/>
      <c r="GM211" s="91"/>
      <c r="GN211" s="91"/>
      <c r="GO211" s="91"/>
      <c r="GP211" s="91"/>
      <c r="GQ211" s="91"/>
      <c r="GR211" s="91"/>
    </row>
    <row r="212" spans="2:200" x14ac:dyDescent="0.15">
      <c r="B212" s="91"/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  <c r="AD212" s="91"/>
      <c r="AE212" s="91"/>
      <c r="AF212" s="91"/>
      <c r="AG212" s="91"/>
      <c r="AH212" s="91"/>
      <c r="AI212" s="91"/>
      <c r="AJ212" s="91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C212" s="91"/>
      <c r="BD212" s="91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W212" s="91"/>
      <c r="BX212" s="91"/>
      <c r="BY212" s="91"/>
      <c r="BZ212" s="91"/>
      <c r="CA212" s="91"/>
      <c r="CB212" s="91"/>
      <c r="CC212" s="91"/>
      <c r="CD212" s="91"/>
      <c r="CE212" s="91"/>
      <c r="CF212" s="91"/>
      <c r="CG212" s="91"/>
      <c r="CH212" s="91"/>
      <c r="CI212" s="91"/>
      <c r="CJ212" s="91"/>
      <c r="CK212" s="91"/>
      <c r="CL212" s="91"/>
      <c r="CM212" s="91"/>
      <c r="CN212" s="91"/>
      <c r="CO212" s="91"/>
      <c r="CP212" s="91"/>
      <c r="CQ212" s="91"/>
      <c r="CR212" s="91"/>
      <c r="CS212" s="91"/>
      <c r="CT212" s="91"/>
      <c r="CU212" s="91"/>
      <c r="CV212" s="91"/>
      <c r="CW212" s="91"/>
      <c r="CX212" s="91"/>
      <c r="CY212" s="91"/>
      <c r="CZ212" s="91"/>
      <c r="DA212" s="91"/>
      <c r="DB212" s="91"/>
      <c r="DC212" s="91"/>
      <c r="DD212" s="91"/>
      <c r="DE212" s="91"/>
      <c r="DF212" s="91"/>
      <c r="DG212" s="91"/>
      <c r="DH212" s="91"/>
      <c r="DI212" s="91"/>
      <c r="DJ212" s="91"/>
      <c r="DK212" s="91"/>
      <c r="DL212" s="91"/>
      <c r="DM212" s="91"/>
      <c r="DN212" s="91"/>
      <c r="DO212" s="91"/>
      <c r="DP212" s="91"/>
      <c r="DQ212" s="91"/>
      <c r="DR212" s="91"/>
      <c r="DS212" s="91"/>
      <c r="DT212" s="91"/>
      <c r="DU212" s="91"/>
      <c r="DV212" s="91"/>
      <c r="DW212" s="91"/>
      <c r="DX212" s="91"/>
      <c r="DY212" s="91"/>
      <c r="DZ212" s="91"/>
      <c r="EA212" s="91"/>
      <c r="EB212" s="91"/>
      <c r="EC212" s="91"/>
      <c r="ED212" s="91"/>
      <c r="EE212" s="91"/>
      <c r="EF212" s="91"/>
      <c r="EG212" s="91"/>
      <c r="EH212" s="91"/>
      <c r="EI212" s="91"/>
      <c r="EJ212" s="91"/>
      <c r="EK212" s="91"/>
      <c r="EL212" s="91"/>
      <c r="EM212" s="91"/>
      <c r="EN212" s="91"/>
      <c r="EO212" s="91"/>
      <c r="EP212" s="91"/>
      <c r="EQ212" s="91"/>
      <c r="ER212" s="91"/>
      <c r="ES212" s="91"/>
      <c r="ET212" s="91"/>
      <c r="EU212" s="91"/>
      <c r="EV212" s="91"/>
      <c r="EW212" s="91"/>
      <c r="EX212" s="91"/>
      <c r="EY212" s="91"/>
      <c r="EZ212" s="91"/>
      <c r="FA212" s="91"/>
      <c r="FB212" s="91"/>
      <c r="FC212" s="91"/>
      <c r="FD212" s="91"/>
      <c r="FE212" s="91"/>
      <c r="FF212" s="91"/>
      <c r="FG212" s="91"/>
      <c r="FH212" s="91"/>
      <c r="FI212" s="91"/>
      <c r="FJ212" s="91"/>
      <c r="FK212" s="91"/>
      <c r="FL212" s="91"/>
      <c r="FM212" s="91"/>
      <c r="FN212" s="91"/>
      <c r="FO212" s="91"/>
      <c r="FP212" s="91"/>
      <c r="FQ212" s="91"/>
      <c r="FR212" s="91"/>
      <c r="FS212" s="91"/>
      <c r="FT212" s="91"/>
      <c r="FU212" s="91"/>
      <c r="FV212" s="91"/>
      <c r="FW212" s="91"/>
      <c r="FX212" s="91"/>
      <c r="FY212" s="91"/>
      <c r="FZ212" s="91"/>
      <c r="GA212" s="91"/>
      <c r="GB212" s="91"/>
      <c r="GC212" s="91"/>
      <c r="GD212" s="91"/>
      <c r="GE212" s="91"/>
      <c r="GF212" s="91"/>
      <c r="GG212" s="91"/>
      <c r="GH212" s="91"/>
      <c r="GI212" s="91"/>
      <c r="GJ212" s="91"/>
      <c r="GK212" s="91"/>
      <c r="GL212" s="91"/>
      <c r="GM212" s="91"/>
      <c r="GN212" s="91"/>
      <c r="GO212" s="91"/>
      <c r="GP212" s="91"/>
      <c r="GQ212" s="91"/>
      <c r="GR212" s="91"/>
    </row>
    <row r="213" spans="2:200" x14ac:dyDescent="0.15">
      <c r="B213" s="91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  <c r="AA213" s="91"/>
      <c r="AB213" s="91"/>
      <c r="AC213" s="91"/>
      <c r="AD213" s="91"/>
      <c r="AE213" s="91"/>
      <c r="AF213" s="91"/>
      <c r="AG213" s="91"/>
      <c r="AH213" s="91"/>
      <c r="AI213" s="91"/>
      <c r="AJ213" s="91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C213" s="91"/>
      <c r="BD213" s="91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W213" s="91"/>
      <c r="BX213" s="91"/>
      <c r="BY213" s="91"/>
      <c r="BZ213" s="91"/>
      <c r="CA213" s="91"/>
      <c r="CB213" s="91"/>
      <c r="CC213" s="91"/>
      <c r="CD213" s="91"/>
      <c r="CE213" s="91"/>
      <c r="CF213" s="91"/>
      <c r="CG213" s="91"/>
      <c r="CH213" s="91"/>
      <c r="CI213" s="91"/>
      <c r="CJ213" s="91"/>
      <c r="CK213" s="91"/>
      <c r="CL213" s="91"/>
      <c r="CM213" s="91"/>
      <c r="CN213" s="91"/>
      <c r="CO213" s="91"/>
      <c r="CP213" s="91"/>
      <c r="CQ213" s="91"/>
      <c r="CR213" s="91"/>
      <c r="CS213" s="91"/>
      <c r="CT213" s="91"/>
      <c r="CU213" s="91"/>
      <c r="CV213" s="91"/>
      <c r="CW213" s="91"/>
      <c r="CX213" s="91"/>
      <c r="CY213" s="91"/>
      <c r="CZ213" s="91"/>
      <c r="DA213" s="91"/>
      <c r="DB213" s="91"/>
      <c r="DC213" s="91"/>
      <c r="DD213" s="91"/>
      <c r="DE213" s="91"/>
      <c r="DF213" s="91"/>
      <c r="DG213" s="91"/>
      <c r="DH213" s="91"/>
      <c r="DI213" s="91"/>
      <c r="DJ213" s="91"/>
      <c r="DK213" s="91"/>
      <c r="DL213" s="91"/>
      <c r="DM213" s="91"/>
      <c r="DN213" s="91"/>
      <c r="DO213" s="91"/>
      <c r="DP213" s="91"/>
      <c r="DQ213" s="91"/>
      <c r="DR213" s="91"/>
      <c r="DS213" s="91"/>
      <c r="DT213" s="91"/>
      <c r="DU213" s="91"/>
      <c r="DV213" s="91"/>
      <c r="DW213" s="91"/>
      <c r="DX213" s="91"/>
      <c r="DY213" s="91"/>
      <c r="DZ213" s="91"/>
      <c r="EA213" s="91"/>
      <c r="EB213" s="91"/>
      <c r="EC213" s="91"/>
      <c r="ED213" s="91"/>
      <c r="EE213" s="91"/>
      <c r="EF213" s="91"/>
      <c r="EG213" s="91"/>
      <c r="EH213" s="91"/>
      <c r="EI213" s="91"/>
      <c r="EJ213" s="91"/>
      <c r="EK213" s="91"/>
      <c r="EL213" s="91"/>
      <c r="EM213" s="91"/>
      <c r="EN213" s="91"/>
      <c r="EO213" s="91"/>
      <c r="EP213" s="91"/>
      <c r="EQ213" s="91"/>
      <c r="ER213" s="91"/>
      <c r="ES213" s="91"/>
      <c r="ET213" s="91"/>
      <c r="EU213" s="91"/>
      <c r="EV213" s="91"/>
      <c r="EW213" s="91"/>
      <c r="EX213" s="91"/>
      <c r="EY213" s="91"/>
      <c r="EZ213" s="91"/>
      <c r="FA213" s="91"/>
      <c r="FB213" s="91"/>
      <c r="FC213" s="91"/>
      <c r="FD213" s="91"/>
      <c r="FE213" s="91"/>
      <c r="FF213" s="91"/>
      <c r="FG213" s="91"/>
      <c r="FH213" s="91"/>
      <c r="FI213" s="91"/>
      <c r="FJ213" s="91"/>
      <c r="FK213" s="91"/>
      <c r="FL213" s="91"/>
      <c r="FM213" s="91"/>
      <c r="FN213" s="91"/>
      <c r="FO213" s="91"/>
      <c r="FP213" s="91"/>
      <c r="FQ213" s="91"/>
      <c r="FR213" s="91"/>
      <c r="FS213" s="91"/>
      <c r="FT213" s="91"/>
      <c r="FU213" s="91"/>
      <c r="FV213" s="91"/>
      <c r="FW213" s="91"/>
      <c r="FX213" s="91"/>
      <c r="FY213" s="91"/>
      <c r="FZ213" s="91"/>
      <c r="GA213" s="91"/>
      <c r="GB213" s="91"/>
      <c r="GC213" s="91"/>
      <c r="GD213" s="91"/>
      <c r="GE213" s="91"/>
      <c r="GF213" s="91"/>
      <c r="GG213" s="91"/>
      <c r="GH213" s="91"/>
      <c r="GI213" s="91"/>
      <c r="GJ213" s="91"/>
      <c r="GK213" s="91"/>
      <c r="GL213" s="91"/>
      <c r="GM213" s="91"/>
      <c r="GN213" s="91"/>
      <c r="GO213" s="91"/>
      <c r="GP213" s="91"/>
      <c r="GQ213" s="91"/>
      <c r="GR213" s="91"/>
    </row>
    <row r="214" spans="2:200" x14ac:dyDescent="0.15">
      <c r="B214" s="91"/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91"/>
      <c r="Y214" s="91"/>
      <c r="Z214" s="91"/>
      <c r="AA214" s="91"/>
      <c r="AB214" s="91"/>
      <c r="AC214" s="91"/>
      <c r="AD214" s="91"/>
      <c r="AE214" s="91"/>
      <c r="AF214" s="91"/>
      <c r="AG214" s="91"/>
      <c r="AH214" s="91"/>
      <c r="AI214" s="91"/>
      <c r="AJ214" s="91"/>
      <c r="AK214" s="91"/>
      <c r="AL214" s="91"/>
      <c r="AM214" s="91"/>
      <c r="AN214" s="91"/>
      <c r="AO214" s="91"/>
      <c r="AP214" s="91"/>
      <c r="AQ214" s="91"/>
      <c r="AR214" s="91"/>
      <c r="AS214" s="91"/>
      <c r="AT214" s="91"/>
      <c r="AU214" s="91"/>
      <c r="AV214" s="91"/>
      <c r="AW214" s="91"/>
      <c r="AX214" s="91"/>
      <c r="AY214" s="91"/>
      <c r="AZ214" s="91"/>
      <c r="BA214" s="91"/>
      <c r="BB214" s="91"/>
      <c r="BC214" s="91"/>
      <c r="BD214" s="91"/>
      <c r="BE214" s="91"/>
      <c r="BF214" s="91"/>
      <c r="BG214" s="91"/>
      <c r="BH214" s="91"/>
      <c r="BI214" s="91"/>
      <c r="BJ214" s="91"/>
      <c r="BK214" s="91"/>
      <c r="BL214" s="91"/>
      <c r="BM214" s="91"/>
      <c r="BN214" s="91"/>
      <c r="BO214" s="91"/>
      <c r="BP214" s="91"/>
      <c r="BQ214" s="91"/>
      <c r="BR214" s="91"/>
      <c r="BS214" s="91"/>
      <c r="BT214" s="91"/>
      <c r="BU214" s="91"/>
      <c r="BV214" s="91"/>
      <c r="BW214" s="91"/>
      <c r="BX214" s="91"/>
      <c r="BY214" s="91"/>
      <c r="BZ214" s="91"/>
      <c r="CA214" s="91"/>
      <c r="CB214" s="91"/>
      <c r="CC214" s="91"/>
      <c r="CD214" s="91"/>
      <c r="CE214" s="91"/>
      <c r="CF214" s="91"/>
      <c r="CG214" s="91"/>
      <c r="CH214" s="91"/>
      <c r="CI214" s="91"/>
      <c r="CJ214" s="91"/>
      <c r="CK214" s="91"/>
      <c r="CL214" s="91"/>
      <c r="CM214" s="91"/>
      <c r="CN214" s="91"/>
      <c r="CO214" s="91"/>
      <c r="CP214" s="91"/>
      <c r="CQ214" s="91"/>
      <c r="CR214" s="91"/>
      <c r="CS214" s="91"/>
      <c r="CT214" s="91"/>
      <c r="CU214" s="91"/>
      <c r="CV214" s="91"/>
      <c r="CW214" s="91"/>
      <c r="CX214" s="91"/>
      <c r="CY214" s="91"/>
      <c r="CZ214" s="91"/>
      <c r="DA214" s="91"/>
      <c r="DB214" s="91"/>
      <c r="DC214" s="91"/>
      <c r="DD214" s="91"/>
      <c r="DE214" s="91"/>
      <c r="DF214" s="91"/>
      <c r="DG214" s="91"/>
      <c r="DH214" s="91"/>
      <c r="DI214" s="91"/>
      <c r="DJ214" s="91"/>
      <c r="DK214" s="91"/>
      <c r="DL214" s="91"/>
      <c r="DM214" s="91"/>
      <c r="DN214" s="91"/>
      <c r="DO214" s="91"/>
      <c r="DP214" s="91"/>
      <c r="DQ214" s="91"/>
      <c r="DR214" s="91"/>
      <c r="DS214" s="91"/>
      <c r="DT214" s="91"/>
      <c r="DU214" s="91"/>
      <c r="DV214" s="91"/>
      <c r="DW214" s="91"/>
      <c r="DX214" s="91"/>
      <c r="DY214" s="91"/>
      <c r="DZ214" s="91"/>
      <c r="EA214" s="91"/>
      <c r="EB214" s="91"/>
      <c r="EC214" s="91"/>
      <c r="ED214" s="91"/>
      <c r="EE214" s="91"/>
      <c r="EF214" s="91"/>
      <c r="EG214" s="91"/>
      <c r="EH214" s="91"/>
      <c r="EI214" s="91"/>
      <c r="EJ214" s="91"/>
      <c r="EK214" s="91"/>
      <c r="EL214" s="91"/>
      <c r="EM214" s="91"/>
      <c r="EN214" s="91"/>
      <c r="EO214" s="91"/>
      <c r="EP214" s="91"/>
      <c r="EQ214" s="91"/>
      <c r="ER214" s="91"/>
      <c r="ES214" s="91"/>
      <c r="ET214" s="91"/>
      <c r="EU214" s="91"/>
      <c r="EV214" s="91"/>
      <c r="EW214" s="91"/>
      <c r="EX214" s="91"/>
      <c r="EY214" s="91"/>
      <c r="EZ214" s="91"/>
      <c r="FA214" s="91"/>
      <c r="FB214" s="91"/>
      <c r="FC214" s="91"/>
      <c r="FD214" s="91"/>
      <c r="FE214" s="91"/>
      <c r="FF214" s="91"/>
      <c r="FG214" s="91"/>
      <c r="FH214" s="91"/>
      <c r="FI214" s="91"/>
      <c r="FJ214" s="91"/>
      <c r="FK214" s="91"/>
      <c r="FL214" s="91"/>
      <c r="FM214" s="91"/>
      <c r="FN214" s="91"/>
      <c r="FO214" s="91"/>
      <c r="FP214" s="91"/>
      <c r="FQ214" s="91"/>
      <c r="FR214" s="91"/>
      <c r="FS214" s="91"/>
      <c r="FT214" s="91"/>
      <c r="FU214" s="91"/>
      <c r="FV214" s="91"/>
      <c r="FW214" s="91"/>
      <c r="FX214" s="91"/>
      <c r="FY214" s="91"/>
      <c r="FZ214" s="91"/>
      <c r="GA214" s="91"/>
      <c r="GB214" s="91"/>
      <c r="GC214" s="91"/>
      <c r="GD214" s="91"/>
      <c r="GE214" s="91"/>
      <c r="GF214" s="91"/>
      <c r="GG214" s="91"/>
      <c r="GH214" s="91"/>
      <c r="GI214" s="91"/>
      <c r="GJ214" s="91"/>
      <c r="GK214" s="91"/>
      <c r="GL214" s="91"/>
      <c r="GM214" s="91"/>
      <c r="GN214" s="91"/>
      <c r="GO214" s="91"/>
      <c r="GP214" s="91"/>
      <c r="GQ214" s="91"/>
      <c r="GR214" s="91"/>
    </row>
    <row r="215" spans="2:200" x14ac:dyDescent="0.15">
      <c r="B215" s="91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91"/>
      <c r="Y215" s="91"/>
      <c r="Z215" s="91"/>
      <c r="AA215" s="91"/>
      <c r="AB215" s="91"/>
      <c r="AC215" s="91"/>
      <c r="AD215" s="91"/>
      <c r="AE215" s="91"/>
      <c r="AF215" s="91"/>
      <c r="AG215" s="91"/>
      <c r="AH215" s="91"/>
      <c r="AI215" s="91"/>
      <c r="AJ215" s="91"/>
      <c r="AK215" s="91"/>
      <c r="AL215" s="91"/>
      <c r="AM215" s="91"/>
      <c r="AN215" s="91"/>
      <c r="AO215" s="91"/>
      <c r="AP215" s="91"/>
      <c r="AQ215" s="91"/>
      <c r="AR215" s="91"/>
      <c r="AS215" s="91"/>
      <c r="AT215" s="91"/>
      <c r="AU215" s="91"/>
      <c r="AV215" s="91"/>
      <c r="AW215" s="91"/>
      <c r="AX215" s="91"/>
      <c r="AY215" s="91"/>
      <c r="AZ215" s="91"/>
      <c r="BA215" s="91"/>
      <c r="BB215" s="91"/>
      <c r="BC215" s="91"/>
      <c r="BD215" s="91"/>
      <c r="BE215" s="91"/>
      <c r="BF215" s="91"/>
      <c r="BG215" s="91"/>
      <c r="BH215" s="91"/>
      <c r="BI215" s="91"/>
      <c r="BJ215" s="91"/>
      <c r="BK215" s="91"/>
      <c r="BL215" s="91"/>
      <c r="BM215" s="91"/>
      <c r="BN215" s="91"/>
      <c r="BO215" s="91"/>
      <c r="BP215" s="91"/>
      <c r="BQ215" s="91"/>
      <c r="BR215" s="91"/>
      <c r="BS215" s="91"/>
      <c r="BT215" s="91"/>
      <c r="BU215" s="91"/>
      <c r="BV215" s="91"/>
      <c r="BW215" s="91"/>
      <c r="BX215" s="91"/>
      <c r="BY215" s="91"/>
      <c r="BZ215" s="91"/>
      <c r="CA215" s="91"/>
      <c r="CB215" s="91"/>
      <c r="CC215" s="91"/>
      <c r="CD215" s="91"/>
      <c r="CE215" s="91"/>
      <c r="CF215" s="91"/>
      <c r="CG215" s="91"/>
      <c r="CH215" s="91"/>
      <c r="CI215" s="91"/>
      <c r="CJ215" s="91"/>
      <c r="CK215" s="91"/>
      <c r="CL215" s="91"/>
      <c r="CM215" s="91"/>
      <c r="CN215" s="91"/>
      <c r="CO215" s="91"/>
      <c r="CP215" s="91"/>
      <c r="CQ215" s="91"/>
      <c r="CR215" s="91"/>
      <c r="CS215" s="91"/>
      <c r="CT215" s="91"/>
      <c r="CU215" s="91"/>
      <c r="CV215" s="91"/>
      <c r="CW215" s="91"/>
      <c r="CX215" s="91"/>
      <c r="CY215" s="91"/>
      <c r="CZ215" s="91"/>
      <c r="DA215" s="91"/>
      <c r="DB215" s="91"/>
      <c r="DC215" s="91"/>
      <c r="DD215" s="91"/>
      <c r="DE215" s="91"/>
      <c r="DF215" s="91"/>
      <c r="DG215" s="91"/>
      <c r="DH215" s="91"/>
      <c r="DI215" s="91"/>
      <c r="DJ215" s="91"/>
      <c r="DK215" s="91"/>
      <c r="DL215" s="91"/>
      <c r="DM215" s="91"/>
      <c r="DN215" s="91"/>
      <c r="DO215" s="91"/>
      <c r="DP215" s="91"/>
      <c r="DQ215" s="91"/>
      <c r="DR215" s="91"/>
      <c r="DS215" s="91"/>
      <c r="DT215" s="91"/>
      <c r="DU215" s="91"/>
      <c r="DV215" s="91"/>
      <c r="DW215" s="91"/>
      <c r="DX215" s="91"/>
      <c r="DY215" s="91"/>
      <c r="DZ215" s="91"/>
      <c r="EA215" s="91"/>
      <c r="EB215" s="91"/>
      <c r="EC215" s="91"/>
      <c r="ED215" s="91"/>
      <c r="EE215" s="91"/>
      <c r="EF215" s="91"/>
      <c r="EG215" s="91"/>
      <c r="EH215" s="91"/>
      <c r="EI215" s="91"/>
      <c r="EJ215" s="91"/>
      <c r="EK215" s="91"/>
      <c r="EL215" s="91"/>
      <c r="EM215" s="91"/>
      <c r="EN215" s="91"/>
      <c r="EO215" s="91"/>
      <c r="EP215" s="91"/>
      <c r="EQ215" s="91"/>
      <c r="ER215" s="91"/>
      <c r="ES215" s="91"/>
      <c r="ET215" s="91"/>
      <c r="EU215" s="91"/>
      <c r="EV215" s="91"/>
      <c r="EW215" s="91"/>
      <c r="EX215" s="91"/>
      <c r="EY215" s="91"/>
      <c r="EZ215" s="91"/>
      <c r="FA215" s="91"/>
      <c r="FB215" s="91"/>
      <c r="FC215" s="91"/>
      <c r="FD215" s="91"/>
      <c r="FE215" s="91"/>
      <c r="FF215" s="91"/>
      <c r="FG215" s="91"/>
      <c r="FH215" s="91"/>
      <c r="FI215" s="91"/>
      <c r="FJ215" s="91"/>
      <c r="FK215" s="91"/>
      <c r="FL215" s="91"/>
      <c r="FM215" s="91"/>
      <c r="FN215" s="91"/>
      <c r="FO215" s="91"/>
      <c r="FP215" s="91"/>
      <c r="FQ215" s="91"/>
      <c r="FR215" s="91"/>
      <c r="FS215" s="91"/>
      <c r="FT215" s="91"/>
      <c r="FU215" s="91"/>
      <c r="FV215" s="91"/>
      <c r="FW215" s="91"/>
      <c r="FX215" s="91"/>
      <c r="FY215" s="91"/>
      <c r="FZ215" s="91"/>
      <c r="GA215" s="91"/>
      <c r="GB215" s="91"/>
      <c r="GC215" s="91"/>
      <c r="GD215" s="91"/>
      <c r="GE215" s="91"/>
      <c r="GF215" s="91"/>
      <c r="GG215" s="91"/>
      <c r="GH215" s="91"/>
      <c r="GI215" s="91"/>
      <c r="GJ215" s="91"/>
      <c r="GK215" s="91"/>
      <c r="GL215" s="91"/>
      <c r="GM215" s="91"/>
      <c r="GN215" s="91"/>
      <c r="GO215" s="91"/>
      <c r="GP215" s="91"/>
      <c r="GQ215" s="91"/>
      <c r="GR215" s="91"/>
    </row>
    <row r="216" spans="2:200" x14ac:dyDescent="0.15">
      <c r="B216" s="91"/>
      <c r="C216" s="91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91"/>
      <c r="Y216" s="91"/>
      <c r="Z216" s="91"/>
      <c r="AA216" s="91"/>
      <c r="AB216" s="91"/>
      <c r="AC216" s="91"/>
      <c r="AD216" s="91"/>
      <c r="AE216" s="91"/>
      <c r="AF216" s="91"/>
      <c r="AG216" s="91"/>
      <c r="AH216" s="91"/>
      <c r="AI216" s="91"/>
      <c r="AJ216" s="91"/>
      <c r="AK216" s="91"/>
      <c r="AL216" s="91"/>
      <c r="AM216" s="91"/>
      <c r="AN216" s="91"/>
      <c r="AO216" s="91"/>
      <c r="AP216" s="91"/>
      <c r="AQ216" s="91"/>
      <c r="AR216" s="91"/>
      <c r="AS216" s="91"/>
      <c r="AT216" s="91"/>
      <c r="AU216" s="91"/>
      <c r="AV216" s="91"/>
      <c r="AW216" s="91"/>
      <c r="AX216" s="91"/>
      <c r="AY216" s="91"/>
      <c r="AZ216" s="91"/>
      <c r="BA216" s="91"/>
      <c r="BB216" s="91"/>
      <c r="BC216" s="91"/>
      <c r="BD216" s="91"/>
      <c r="BE216" s="91"/>
      <c r="BF216" s="91"/>
      <c r="BG216" s="91"/>
      <c r="BH216" s="91"/>
      <c r="BI216" s="91"/>
      <c r="BJ216" s="91"/>
      <c r="BK216" s="91"/>
      <c r="BL216" s="91"/>
      <c r="BM216" s="91"/>
      <c r="BN216" s="91"/>
      <c r="BO216" s="91"/>
      <c r="BP216" s="91"/>
      <c r="BQ216" s="91"/>
      <c r="BR216" s="91"/>
      <c r="BS216" s="91"/>
      <c r="BT216" s="91"/>
      <c r="BU216" s="91"/>
      <c r="BV216" s="91"/>
      <c r="BW216" s="91"/>
      <c r="BX216" s="91"/>
      <c r="BY216" s="91"/>
      <c r="BZ216" s="91"/>
      <c r="CA216" s="91"/>
      <c r="CB216" s="91"/>
      <c r="CC216" s="91"/>
      <c r="CD216" s="91"/>
      <c r="CE216" s="91"/>
      <c r="CF216" s="91"/>
      <c r="CG216" s="91"/>
      <c r="CH216" s="91"/>
      <c r="CI216" s="91"/>
      <c r="CJ216" s="91"/>
      <c r="CK216" s="91"/>
      <c r="CL216" s="91"/>
      <c r="CM216" s="91"/>
      <c r="CN216" s="91"/>
      <c r="CO216" s="91"/>
      <c r="CP216" s="91"/>
      <c r="CQ216" s="91"/>
      <c r="CR216" s="91"/>
      <c r="CS216" s="91"/>
      <c r="CT216" s="91"/>
      <c r="CU216" s="91"/>
      <c r="CV216" s="91"/>
      <c r="CW216" s="91"/>
      <c r="CX216" s="91"/>
      <c r="CY216" s="91"/>
      <c r="CZ216" s="91"/>
      <c r="DA216" s="91"/>
      <c r="DB216" s="91"/>
      <c r="DC216" s="91"/>
      <c r="DD216" s="91"/>
      <c r="DE216" s="91"/>
      <c r="DF216" s="91"/>
      <c r="DG216" s="91"/>
      <c r="DH216" s="91"/>
      <c r="DI216" s="91"/>
      <c r="DJ216" s="91"/>
      <c r="DK216" s="91"/>
      <c r="DL216" s="91"/>
      <c r="DM216" s="91"/>
      <c r="DN216" s="91"/>
      <c r="DO216" s="91"/>
      <c r="DP216" s="91"/>
      <c r="DQ216" s="91"/>
      <c r="DR216" s="91"/>
      <c r="DS216" s="91"/>
      <c r="DT216" s="91"/>
      <c r="DU216" s="91"/>
      <c r="DV216" s="91"/>
      <c r="DW216" s="91"/>
      <c r="DX216" s="91"/>
      <c r="DY216" s="91"/>
      <c r="DZ216" s="91"/>
      <c r="EA216" s="91"/>
      <c r="EB216" s="91"/>
      <c r="EC216" s="91"/>
      <c r="ED216" s="91"/>
      <c r="EE216" s="91"/>
      <c r="EF216" s="91"/>
      <c r="EG216" s="91"/>
      <c r="EH216" s="91"/>
      <c r="EI216" s="91"/>
      <c r="EJ216" s="91"/>
      <c r="EK216" s="91"/>
      <c r="EL216" s="91"/>
      <c r="EM216" s="91"/>
      <c r="EN216" s="91"/>
      <c r="EO216" s="91"/>
      <c r="EP216" s="91"/>
      <c r="EQ216" s="91"/>
      <c r="ER216" s="91"/>
      <c r="ES216" s="91"/>
      <c r="ET216" s="91"/>
      <c r="EU216" s="91"/>
      <c r="EV216" s="91"/>
      <c r="EW216" s="91"/>
      <c r="EX216" s="91"/>
      <c r="EY216" s="91"/>
      <c r="EZ216" s="91"/>
      <c r="FA216" s="91"/>
      <c r="FB216" s="91"/>
      <c r="FC216" s="91"/>
      <c r="FD216" s="91"/>
      <c r="FE216" s="91"/>
      <c r="FF216" s="91"/>
      <c r="FG216" s="91"/>
      <c r="FH216" s="91"/>
      <c r="FI216" s="91"/>
      <c r="FJ216" s="91"/>
      <c r="FK216" s="91"/>
      <c r="FL216" s="91"/>
      <c r="FM216" s="91"/>
      <c r="FN216" s="91"/>
      <c r="FO216" s="91"/>
      <c r="FP216" s="91"/>
      <c r="FQ216" s="91"/>
      <c r="FR216" s="91"/>
      <c r="FS216" s="91"/>
      <c r="FT216" s="91"/>
      <c r="FU216" s="91"/>
      <c r="FV216" s="91"/>
      <c r="FW216" s="91"/>
      <c r="FX216" s="91"/>
      <c r="FY216" s="91"/>
      <c r="FZ216" s="91"/>
      <c r="GA216" s="91"/>
      <c r="GB216" s="91"/>
      <c r="GC216" s="91"/>
      <c r="GD216" s="91"/>
      <c r="GE216" s="91"/>
      <c r="GF216" s="91"/>
      <c r="GG216" s="91"/>
      <c r="GH216" s="91"/>
      <c r="GI216" s="91"/>
      <c r="GJ216" s="91"/>
      <c r="GK216" s="91"/>
      <c r="GL216" s="91"/>
      <c r="GM216" s="91"/>
      <c r="GN216" s="91"/>
      <c r="GO216" s="91"/>
      <c r="GP216" s="91"/>
      <c r="GQ216" s="91"/>
      <c r="GR216" s="91"/>
    </row>
    <row r="217" spans="2:200" x14ac:dyDescent="0.15">
      <c r="B217" s="91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91"/>
      <c r="Y217" s="91"/>
      <c r="Z217" s="91"/>
      <c r="AA217" s="91"/>
      <c r="AB217" s="91"/>
      <c r="AC217" s="91"/>
      <c r="AD217" s="91"/>
      <c r="AE217" s="91"/>
      <c r="AF217" s="91"/>
      <c r="AG217" s="91"/>
      <c r="AH217" s="91"/>
      <c r="AI217" s="91"/>
      <c r="AJ217" s="91"/>
      <c r="AK217" s="91"/>
      <c r="AL217" s="91"/>
      <c r="AM217" s="91"/>
      <c r="AN217" s="91"/>
      <c r="AO217" s="91"/>
      <c r="AP217" s="91"/>
      <c r="AQ217" s="91"/>
      <c r="AR217" s="91"/>
      <c r="AS217" s="91"/>
      <c r="AT217" s="91"/>
      <c r="AU217" s="91"/>
      <c r="AV217" s="91"/>
      <c r="AW217" s="91"/>
      <c r="AX217" s="91"/>
      <c r="AY217" s="91"/>
      <c r="AZ217" s="91"/>
      <c r="BA217" s="91"/>
      <c r="BB217" s="91"/>
      <c r="BC217" s="91"/>
      <c r="BD217" s="91"/>
      <c r="BE217" s="91"/>
      <c r="BF217" s="91"/>
      <c r="BG217" s="91"/>
      <c r="BH217" s="91"/>
      <c r="BI217" s="91"/>
      <c r="BJ217" s="91"/>
      <c r="BK217" s="91"/>
      <c r="BL217" s="91"/>
      <c r="BM217" s="91"/>
      <c r="BN217" s="91"/>
      <c r="BO217" s="91"/>
      <c r="BP217" s="91"/>
      <c r="BQ217" s="91"/>
      <c r="BR217" s="91"/>
      <c r="BS217" s="91"/>
      <c r="BT217" s="91"/>
      <c r="BU217" s="91"/>
      <c r="BV217" s="91"/>
      <c r="BW217" s="91"/>
      <c r="BX217" s="91"/>
      <c r="BY217" s="91"/>
      <c r="BZ217" s="91"/>
      <c r="CA217" s="91"/>
      <c r="CB217" s="91"/>
      <c r="CC217" s="91"/>
      <c r="CD217" s="91"/>
      <c r="CE217" s="91"/>
      <c r="CF217" s="91"/>
      <c r="CG217" s="91"/>
      <c r="CH217" s="91"/>
      <c r="CI217" s="91"/>
      <c r="CJ217" s="91"/>
      <c r="CK217" s="91"/>
      <c r="CL217" s="91"/>
      <c r="CM217" s="91"/>
      <c r="CN217" s="91"/>
      <c r="CO217" s="91"/>
      <c r="CP217" s="91"/>
      <c r="CQ217" s="91"/>
      <c r="CR217" s="91"/>
      <c r="CS217" s="91"/>
      <c r="CT217" s="91"/>
      <c r="CU217" s="91"/>
      <c r="CV217" s="91"/>
      <c r="CW217" s="91"/>
      <c r="CX217" s="91"/>
      <c r="CY217" s="91"/>
      <c r="CZ217" s="91"/>
      <c r="DA217" s="91"/>
      <c r="DB217" s="91"/>
      <c r="DC217" s="91"/>
      <c r="DD217" s="91"/>
      <c r="DE217" s="91"/>
      <c r="DF217" s="91"/>
      <c r="DG217" s="91"/>
      <c r="DH217" s="91"/>
      <c r="DI217" s="91"/>
      <c r="DJ217" s="91"/>
      <c r="DK217" s="91"/>
      <c r="DL217" s="91"/>
      <c r="DM217" s="91"/>
      <c r="DN217" s="91"/>
      <c r="DO217" s="91"/>
      <c r="DP217" s="91"/>
      <c r="DQ217" s="91"/>
      <c r="DR217" s="91"/>
      <c r="DS217" s="91"/>
      <c r="DT217" s="91"/>
      <c r="DU217" s="91"/>
      <c r="DV217" s="91"/>
      <c r="DW217" s="91"/>
      <c r="DX217" s="91"/>
      <c r="DY217" s="91"/>
      <c r="DZ217" s="91"/>
      <c r="EA217" s="91"/>
      <c r="EB217" s="91"/>
      <c r="EC217" s="91"/>
      <c r="ED217" s="91"/>
      <c r="EE217" s="91"/>
      <c r="EF217" s="91"/>
      <c r="EG217" s="91"/>
      <c r="EH217" s="91"/>
      <c r="EI217" s="91"/>
      <c r="EJ217" s="91"/>
      <c r="EK217" s="91"/>
      <c r="EL217" s="91"/>
      <c r="EM217" s="91"/>
      <c r="EN217" s="91"/>
      <c r="EO217" s="91"/>
      <c r="EP217" s="91"/>
      <c r="EQ217" s="91"/>
      <c r="ER217" s="91"/>
      <c r="ES217" s="91"/>
      <c r="ET217" s="91"/>
      <c r="EU217" s="91"/>
      <c r="EV217" s="91"/>
      <c r="EW217" s="91"/>
      <c r="EX217" s="91"/>
      <c r="EY217" s="91"/>
      <c r="EZ217" s="91"/>
      <c r="FA217" s="91"/>
      <c r="FB217" s="91"/>
      <c r="FC217" s="91"/>
      <c r="FD217" s="91"/>
      <c r="FE217" s="91"/>
      <c r="FF217" s="91"/>
      <c r="FG217" s="91"/>
      <c r="FH217" s="91"/>
      <c r="FI217" s="91"/>
      <c r="FJ217" s="91"/>
      <c r="FK217" s="91"/>
      <c r="FL217" s="91"/>
      <c r="FM217" s="91"/>
      <c r="FN217" s="91"/>
      <c r="FO217" s="91"/>
      <c r="FP217" s="91"/>
      <c r="FQ217" s="91"/>
      <c r="FR217" s="91"/>
      <c r="FS217" s="91"/>
      <c r="FT217" s="91"/>
      <c r="FU217" s="91"/>
      <c r="FV217" s="91"/>
      <c r="FW217" s="91"/>
      <c r="FX217" s="91"/>
      <c r="FY217" s="91"/>
      <c r="FZ217" s="91"/>
      <c r="GA217" s="91"/>
      <c r="GB217" s="91"/>
      <c r="GC217" s="91"/>
      <c r="GD217" s="91"/>
      <c r="GE217" s="91"/>
      <c r="GF217" s="91"/>
      <c r="GG217" s="91"/>
      <c r="GH217" s="91"/>
      <c r="GI217" s="91"/>
      <c r="GJ217" s="91"/>
      <c r="GK217" s="91"/>
      <c r="GL217" s="91"/>
      <c r="GM217" s="91"/>
      <c r="GN217" s="91"/>
      <c r="GO217" s="91"/>
      <c r="GP217" s="91"/>
      <c r="GQ217" s="91"/>
      <c r="GR217" s="91"/>
    </row>
    <row r="218" spans="2:200" x14ac:dyDescent="0.15">
      <c r="B218" s="91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91"/>
      <c r="Y218" s="91"/>
      <c r="Z218" s="91"/>
      <c r="AA218" s="91"/>
      <c r="AB218" s="91"/>
      <c r="AC218" s="91"/>
      <c r="AD218" s="91"/>
      <c r="AE218" s="91"/>
      <c r="AF218" s="91"/>
      <c r="AG218" s="91"/>
      <c r="AH218" s="91"/>
      <c r="AI218" s="91"/>
      <c r="AJ218" s="91"/>
      <c r="AK218" s="91"/>
      <c r="AL218" s="91"/>
      <c r="AM218" s="91"/>
      <c r="AN218" s="91"/>
      <c r="AO218" s="91"/>
      <c r="AP218" s="91"/>
      <c r="AQ218" s="91"/>
      <c r="AR218" s="91"/>
      <c r="AS218" s="91"/>
      <c r="AT218" s="91"/>
      <c r="AU218" s="91"/>
      <c r="AV218" s="91"/>
      <c r="AW218" s="91"/>
      <c r="AX218" s="91"/>
      <c r="AY218" s="91"/>
      <c r="AZ218" s="91"/>
      <c r="BA218" s="91"/>
      <c r="BB218" s="91"/>
      <c r="BC218" s="91"/>
      <c r="BD218" s="91"/>
      <c r="BE218" s="91"/>
      <c r="BF218" s="91"/>
      <c r="BG218" s="91"/>
      <c r="BH218" s="91"/>
      <c r="BI218" s="91"/>
      <c r="BJ218" s="91"/>
      <c r="BK218" s="91"/>
      <c r="BL218" s="91"/>
      <c r="BM218" s="91"/>
      <c r="BN218" s="91"/>
      <c r="BO218" s="91"/>
      <c r="BP218" s="91"/>
      <c r="BQ218" s="91"/>
      <c r="BR218" s="91"/>
      <c r="BS218" s="91"/>
      <c r="BT218" s="91"/>
      <c r="BU218" s="91"/>
      <c r="BV218" s="91"/>
      <c r="BW218" s="91"/>
      <c r="BX218" s="91"/>
      <c r="BY218" s="91"/>
      <c r="BZ218" s="91"/>
      <c r="CA218" s="91"/>
      <c r="CB218" s="91"/>
      <c r="CC218" s="91"/>
      <c r="CD218" s="91"/>
      <c r="CE218" s="91"/>
      <c r="CF218" s="91"/>
      <c r="CG218" s="91"/>
      <c r="CH218" s="91"/>
      <c r="CI218" s="91"/>
      <c r="CJ218" s="91"/>
      <c r="CK218" s="91"/>
      <c r="CL218" s="91"/>
      <c r="CM218" s="91"/>
      <c r="CN218" s="91"/>
      <c r="CO218" s="91"/>
      <c r="CP218" s="91"/>
      <c r="CQ218" s="91"/>
      <c r="CR218" s="91"/>
      <c r="CS218" s="91"/>
      <c r="CT218" s="91"/>
      <c r="CU218" s="91"/>
      <c r="CV218" s="91"/>
      <c r="CW218" s="91"/>
      <c r="CX218" s="91"/>
      <c r="CY218" s="91"/>
      <c r="CZ218" s="91"/>
      <c r="DA218" s="91"/>
      <c r="DB218" s="91"/>
      <c r="DC218" s="91"/>
      <c r="DD218" s="91"/>
      <c r="DE218" s="91"/>
      <c r="DF218" s="91"/>
      <c r="DG218" s="91"/>
      <c r="DH218" s="91"/>
      <c r="DI218" s="91"/>
      <c r="DJ218" s="91"/>
      <c r="DK218" s="91"/>
      <c r="DL218" s="91"/>
      <c r="DM218" s="91"/>
      <c r="DN218" s="91"/>
      <c r="DO218" s="91"/>
      <c r="DP218" s="91"/>
      <c r="DQ218" s="91"/>
      <c r="DR218" s="91"/>
      <c r="DS218" s="91"/>
      <c r="DT218" s="91"/>
      <c r="DU218" s="91"/>
      <c r="DV218" s="91"/>
      <c r="DW218" s="91"/>
      <c r="DX218" s="91"/>
      <c r="DY218" s="91"/>
      <c r="DZ218" s="91"/>
      <c r="EA218" s="91"/>
      <c r="EB218" s="91"/>
      <c r="EC218" s="91"/>
      <c r="ED218" s="91"/>
      <c r="EE218" s="91"/>
      <c r="EF218" s="91"/>
      <c r="EG218" s="91"/>
      <c r="EH218" s="91"/>
      <c r="EI218" s="91"/>
      <c r="EJ218" s="91"/>
      <c r="EK218" s="91"/>
      <c r="EL218" s="91"/>
      <c r="EM218" s="91"/>
      <c r="EN218" s="91"/>
      <c r="EO218" s="91"/>
      <c r="EP218" s="91"/>
      <c r="EQ218" s="91"/>
      <c r="ER218" s="91"/>
      <c r="ES218" s="91"/>
      <c r="ET218" s="91"/>
      <c r="EU218" s="91"/>
      <c r="EV218" s="91"/>
      <c r="EW218" s="91"/>
      <c r="EX218" s="91"/>
      <c r="EY218" s="91"/>
      <c r="EZ218" s="91"/>
      <c r="FA218" s="91"/>
      <c r="FB218" s="91"/>
      <c r="FC218" s="91"/>
      <c r="FD218" s="91"/>
      <c r="FE218" s="91"/>
      <c r="FF218" s="91"/>
      <c r="FG218" s="91"/>
      <c r="FH218" s="91"/>
      <c r="FI218" s="91"/>
      <c r="FJ218" s="91"/>
      <c r="FK218" s="91"/>
      <c r="FL218" s="91"/>
      <c r="FM218" s="91"/>
      <c r="FN218" s="91"/>
      <c r="FO218" s="91"/>
      <c r="FP218" s="91"/>
      <c r="FQ218" s="91"/>
      <c r="FR218" s="91"/>
      <c r="FS218" s="91"/>
      <c r="FT218" s="91"/>
      <c r="FU218" s="91"/>
      <c r="FV218" s="91"/>
      <c r="FW218" s="91"/>
      <c r="FX218" s="91"/>
      <c r="FY218" s="91"/>
      <c r="FZ218" s="91"/>
      <c r="GA218" s="91"/>
      <c r="GB218" s="91"/>
      <c r="GC218" s="91"/>
      <c r="GD218" s="91"/>
      <c r="GE218" s="91"/>
      <c r="GF218" s="91"/>
      <c r="GG218" s="91"/>
      <c r="GH218" s="91"/>
      <c r="GI218" s="91"/>
      <c r="GJ218" s="91"/>
      <c r="GK218" s="91"/>
      <c r="GL218" s="91"/>
      <c r="GM218" s="91"/>
      <c r="GN218" s="91"/>
      <c r="GO218" s="91"/>
      <c r="GP218" s="91"/>
      <c r="GQ218" s="91"/>
      <c r="GR218" s="91"/>
    </row>
    <row r="219" spans="2:200" x14ac:dyDescent="0.15">
      <c r="B219" s="91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91"/>
      <c r="Y219" s="91"/>
      <c r="Z219" s="91"/>
      <c r="AA219" s="91"/>
      <c r="AB219" s="91"/>
      <c r="AC219" s="91"/>
      <c r="AD219" s="91"/>
      <c r="AE219" s="91"/>
      <c r="AF219" s="91"/>
      <c r="AG219" s="91"/>
      <c r="AH219" s="91"/>
      <c r="AI219" s="91"/>
      <c r="AJ219" s="91"/>
      <c r="AK219" s="91"/>
      <c r="AL219" s="91"/>
      <c r="AM219" s="91"/>
      <c r="AN219" s="91"/>
      <c r="AO219" s="91"/>
      <c r="AP219" s="91"/>
      <c r="AQ219" s="91"/>
      <c r="AR219" s="91"/>
      <c r="AS219" s="91"/>
      <c r="AT219" s="91"/>
      <c r="AU219" s="91"/>
      <c r="AV219" s="91"/>
      <c r="AW219" s="91"/>
      <c r="AX219" s="91"/>
      <c r="AY219" s="91"/>
      <c r="AZ219" s="91"/>
      <c r="BA219" s="91"/>
      <c r="BB219" s="91"/>
      <c r="BC219" s="91"/>
      <c r="BD219" s="91"/>
      <c r="BE219" s="91"/>
      <c r="BF219" s="91"/>
      <c r="BG219" s="91"/>
      <c r="BH219" s="91"/>
      <c r="BI219" s="91"/>
      <c r="BJ219" s="91"/>
      <c r="BK219" s="91"/>
      <c r="BL219" s="91"/>
      <c r="BM219" s="91"/>
      <c r="BN219" s="91"/>
      <c r="BO219" s="91"/>
      <c r="BP219" s="91"/>
      <c r="BQ219" s="91"/>
      <c r="BR219" s="91"/>
      <c r="BS219" s="91"/>
      <c r="BT219" s="91"/>
      <c r="BU219" s="91"/>
      <c r="BV219" s="91"/>
      <c r="BW219" s="91"/>
      <c r="BX219" s="91"/>
      <c r="BY219" s="91"/>
      <c r="BZ219" s="91"/>
      <c r="CA219" s="91"/>
      <c r="CB219" s="91"/>
      <c r="CC219" s="91"/>
      <c r="CD219" s="91"/>
      <c r="CE219" s="91"/>
      <c r="CF219" s="91"/>
      <c r="CG219" s="91"/>
      <c r="CH219" s="91"/>
      <c r="CI219" s="91"/>
      <c r="CJ219" s="91"/>
      <c r="CK219" s="91"/>
      <c r="CL219" s="91"/>
      <c r="CM219" s="91"/>
      <c r="CN219" s="91"/>
      <c r="CO219" s="91"/>
      <c r="CP219" s="91"/>
      <c r="CQ219" s="91"/>
      <c r="CR219" s="91"/>
      <c r="CS219" s="91"/>
      <c r="CT219" s="91"/>
      <c r="CU219" s="91"/>
      <c r="CV219" s="91"/>
      <c r="CW219" s="91"/>
      <c r="CX219" s="91"/>
      <c r="CY219" s="91"/>
      <c r="CZ219" s="91"/>
      <c r="DA219" s="91"/>
      <c r="DB219" s="91"/>
      <c r="DC219" s="91"/>
      <c r="DD219" s="91"/>
      <c r="DE219" s="91"/>
      <c r="DF219" s="91"/>
      <c r="DG219" s="91"/>
      <c r="DH219" s="91"/>
      <c r="DI219" s="91"/>
      <c r="DJ219" s="91"/>
      <c r="DK219" s="91"/>
      <c r="DL219" s="91"/>
      <c r="DM219" s="91"/>
      <c r="DN219" s="91"/>
      <c r="DO219" s="91"/>
      <c r="DP219" s="91"/>
      <c r="DQ219" s="91"/>
      <c r="DR219" s="91"/>
      <c r="DS219" s="91"/>
      <c r="DT219" s="91"/>
      <c r="DU219" s="91"/>
      <c r="DV219" s="91"/>
      <c r="DW219" s="91"/>
      <c r="DX219" s="91"/>
      <c r="DY219" s="91"/>
      <c r="DZ219" s="91"/>
      <c r="EA219" s="91"/>
      <c r="EB219" s="91"/>
      <c r="EC219" s="91"/>
      <c r="ED219" s="91"/>
      <c r="EE219" s="91"/>
      <c r="EF219" s="91"/>
      <c r="EG219" s="91"/>
      <c r="EH219" s="91"/>
      <c r="EI219" s="91"/>
      <c r="EJ219" s="91"/>
      <c r="EK219" s="91"/>
      <c r="EL219" s="91"/>
      <c r="EM219" s="91"/>
      <c r="EN219" s="91"/>
      <c r="EO219" s="91"/>
      <c r="EP219" s="91"/>
      <c r="EQ219" s="91"/>
      <c r="ER219" s="91"/>
      <c r="ES219" s="91"/>
      <c r="ET219" s="91"/>
      <c r="EU219" s="91"/>
      <c r="EV219" s="91"/>
      <c r="EW219" s="91"/>
      <c r="EX219" s="91"/>
      <c r="EY219" s="91"/>
      <c r="EZ219" s="91"/>
      <c r="FA219" s="91"/>
      <c r="FB219" s="91"/>
      <c r="FC219" s="91"/>
      <c r="FD219" s="91"/>
      <c r="FE219" s="91"/>
      <c r="FF219" s="91"/>
      <c r="FG219" s="91"/>
      <c r="FH219" s="91"/>
      <c r="FI219" s="91"/>
      <c r="FJ219" s="91"/>
      <c r="FK219" s="91"/>
      <c r="FL219" s="91"/>
      <c r="FM219" s="91"/>
      <c r="FN219" s="91"/>
      <c r="FO219" s="91"/>
      <c r="FP219" s="91"/>
      <c r="FQ219" s="91"/>
      <c r="FR219" s="91"/>
      <c r="FS219" s="91"/>
      <c r="FT219" s="91"/>
      <c r="FU219" s="91"/>
      <c r="FV219" s="91"/>
      <c r="FW219" s="91"/>
      <c r="FX219" s="91"/>
      <c r="FY219" s="91"/>
      <c r="FZ219" s="91"/>
      <c r="GA219" s="91"/>
      <c r="GB219" s="91"/>
      <c r="GC219" s="91"/>
      <c r="GD219" s="91"/>
      <c r="GE219" s="91"/>
      <c r="GF219" s="91"/>
      <c r="GG219" s="91"/>
      <c r="GH219" s="91"/>
      <c r="GI219" s="91"/>
      <c r="GJ219" s="91"/>
      <c r="GK219" s="91"/>
      <c r="GL219" s="91"/>
      <c r="GM219" s="91"/>
      <c r="GN219" s="91"/>
      <c r="GO219" s="91"/>
      <c r="GP219" s="91"/>
      <c r="GQ219" s="91"/>
      <c r="GR219" s="91"/>
    </row>
    <row r="220" spans="2:200" x14ac:dyDescent="0.15">
      <c r="B220" s="91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  <c r="AB220" s="91"/>
      <c r="AC220" s="91"/>
      <c r="AD220" s="91"/>
      <c r="AE220" s="91"/>
      <c r="AF220" s="91"/>
      <c r="AG220" s="91"/>
      <c r="AH220" s="91"/>
      <c r="AI220" s="91"/>
      <c r="AJ220" s="91"/>
      <c r="AK220" s="91"/>
      <c r="AL220" s="91"/>
      <c r="AM220" s="91"/>
      <c r="AN220" s="91"/>
      <c r="AO220" s="91"/>
      <c r="AP220" s="91"/>
      <c r="AQ220" s="91"/>
      <c r="AR220" s="91"/>
      <c r="AS220" s="91"/>
      <c r="AT220" s="91"/>
      <c r="AU220" s="91"/>
      <c r="AV220" s="91"/>
      <c r="AW220" s="91"/>
      <c r="AX220" s="91"/>
      <c r="AY220" s="91"/>
      <c r="AZ220" s="91"/>
      <c r="BA220" s="91"/>
      <c r="BB220" s="91"/>
      <c r="BC220" s="91"/>
      <c r="BD220" s="91"/>
      <c r="BE220" s="91"/>
      <c r="BF220" s="91"/>
      <c r="BG220" s="91"/>
      <c r="BH220" s="91"/>
      <c r="BI220" s="91"/>
      <c r="BJ220" s="91"/>
      <c r="BK220" s="91"/>
      <c r="BL220" s="91"/>
      <c r="BM220" s="91"/>
      <c r="BN220" s="91"/>
      <c r="BO220" s="91"/>
      <c r="BP220" s="91"/>
      <c r="BQ220" s="91"/>
      <c r="BR220" s="91"/>
      <c r="BS220" s="91"/>
      <c r="BT220" s="91"/>
      <c r="BU220" s="91"/>
      <c r="BV220" s="91"/>
      <c r="BW220" s="91"/>
      <c r="BX220" s="91"/>
      <c r="BY220" s="91"/>
      <c r="BZ220" s="91"/>
      <c r="CA220" s="91"/>
      <c r="CB220" s="91"/>
      <c r="CC220" s="91"/>
      <c r="CD220" s="91"/>
      <c r="CE220" s="91"/>
      <c r="CF220" s="91"/>
      <c r="CG220" s="91"/>
      <c r="CH220" s="91"/>
      <c r="CI220" s="91"/>
      <c r="CJ220" s="91"/>
      <c r="CK220" s="91"/>
      <c r="CL220" s="91"/>
      <c r="CM220" s="91"/>
      <c r="CN220" s="91"/>
      <c r="CO220" s="91"/>
      <c r="CP220" s="91"/>
      <c r="CQ220" s="91"/>
      <c r="CR220" s="91"/>
      <c r="CS220" s="91"/>
      <c r="CT220" s="91"/>
      <c r="CU220" s="91"/>
      <c r="CV220" s="91"/>
      <c r="CW220" s="91"/>
      <c r="CX220" s="91"/>
      <c r="CY220" s="91"/>
      <c r="CZ220" s="91"/>
      <c r="DA220" s="91"/>
      <c r="DB220" s="91"/>
      <c r="DC220" s="91"/>
      <c r="DD220" s="91"/>
      <c r="DE220" s="91"/>
      <c r="DF220" s="91"/>
      <c r="DG220" s="91"/>
      <c r="DH220" s="91"/>
      <c r="DI220" s="91"/>
      <c r="DJ220" s="91"/>
      <c r="DK220" s="91"/>
      <c r="DL220" s="91"/>
      <c r="DM220" s="91"/>
      <c r="DN220" s="91"/>
      <c r="DO220" s="91"/>
      <c r="DP220" s="91"/>
      <c r="DQ220" s="91"/>
      <c r="DR220" s="91"/>
      <c r="DS220" s="91"/>
      <c r="DT220" s="91"/>
      <c r="DU220" s="91"/>
      <c r="DV220" s="91"/>
      <c r="DW220" s="91"/>
      <c r="DX220" s="91"/>
      <c r="DY220" s="91"/>
      <c r="DZ220" s="91"/>
      <c r="EA220" s="91"/>
      <c r="EB220" s="91"/>
      <c r="EC220" s="91"/>
      <c r="ED220" s="91"/>
      <c r="EE220" s="91"/>
      <c r="EF220" s="91"/>
      <c r="EG220" s="91"/>
      <c r="EH220" s="91"/>
      <c r="EI220" s="91"/>
      <c r="EJ220" s="91"/>
      <c r="EK220" s="91"/>
      <c r="EL220" s="91"/>
      <c r="EM220" s="91"/>
      <c r="EN220" s="91"/>
      <c r="EO220" s="91"/>
      <c r="EP220" s="91"/>
      <c r="EQ220" s="91"/>
      <c r="ER220" s="91"/>
      <c r="ES220" s="91"/>
      <c r="ET220" s="91"/>
      <c r="EU220" s="91"/>
      <c r="EV220" s="91"/>
      <c r="EW220" s="91"/>
      <c r="EX220" s="91"/>
      <c r="EY220" s="91"/>
      <c r="EZ220" s="91"/>
      <c r="FA220" s="91"/>
      <c r="FB220" s="91"/>
      <c r="FC220" s="91"/>
      <c r="FD220" s="91"/>
      <c r="FE220" s="91"/>
      <c r="FF220" s="91"/>
      <c r="FG220" s="91"/>
      <c r="FH220" s="91"/>
      <c r="FI220" s="91"/>
      <c r="FJ220" s="91"/>
      <c r="FK220" s="91"/>
      <c r="FL220" s="91"/>
      <c r="FM220" s="91"/>
      <c r="FN220" s="91"/>
      <c r="FO220" s="91"/>
      <c r="FP220" s="91"/>
      <c r="FQ220" s="91"/>
      <c r="FR220" s="91"/>
      <c r="FS220" s="91"/>
      <c r="FT220" s="91"/>
      <c r="FU220" s="91"/>
      <c r="FV220" s="91"/>
      <c r="FW220" s="91"/>
      <c r="FX220" s="91"/>
      <c r="FY220" s="91"/>
      <c r="FZ220" s="91"/>
      <c r="GA220" s="91"/>
      <c r="GB220" s="91"/>
      <c r="GC220" s="91"/>
      <c r="GD220" s="91"/>
      <c r="GE220" s="91"/>
      <c r="GF220" s="91"/>
      <c r="GG220" s="91"/>
      <c r="GH220" s="91"/>
      <c r="GI220" s="91"/>
      <c r="GJ220" s="91"/>
      <c r="GK220" s="91"/>
      <c r="GL220" s="91"/>
      <c r="GM220" s="91"/>
      <c r="GN220" s="91"/>
      <c r="GO220" s="91"/>
      <c r="GP220" s="91"/>
      <c r="GQ220" s="91"/>
      <c r="GR220" s="91"/>
    </row>
    <row r="221" spans="2:200" x14ac:dyDescent="0.15"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91"/>
      <c r="Y221" s="91"/>
      <c r="Z221" s="91"/>
      <c r="AA221" s="91"/>
      <c r="AB221" s="91"/>
      <c r="AC221" s="91"/>
      <c r="AD221" s="91"/>
      <c r="AE221" s="91"/>
      <c r="AF221" s="91"/>
      <c r="AG221" s="91"/>
      <c r="AH221" s="91"/>
      <c r="AI221" s="91"/>
      <c r="AJ221" s="91"/>
      <c r="AK221" s="91"/>
      <c r="AL221" s="91"/>
      <c r="AM221" s="91"/>
      <c r="AN221" s="91"/>
      <c r="AO221" s="91"/>
      <c r="AP221" s="91"/>
      <c r="AQ221" s="91"/>
      <c r="AR221" s="91"/>
      <c r="AS221" s="91"/>
      <c r="AT221" s="91"/>
      <c r="AU221" s="91"/>
      <c r="AV221" s="91"/>
      <c r="AW221" s="91"/>
      <c r="AX221" s="91"/>
      <c r="AY221" s="91"/>
      <c r="AZ221" s="91"/>
      <c r="BA221" s="91"/>
      <c r="BB221" s="91"/>
      <c r="BC221" s="91"/>
      <c r="BD221" s="91"/>
      <c r="BE221" s="91"/>
      <c r="BF221" s="91"/>
      <c r="BG221" s="91"/>
      <c r="BH221" s="91"/>
      <c r="BI221" s="91"/>
      <c r="BJ221" s="91"/>
      <c r="BK221" s="91"/>
      <c r="BL221" s="91"/>
      <c r="BM221" s="91"/>
      <c r="BN221" s="91"/>
      <c r="BO221" s="91"/>
      <c r="BP221" s="91"/>
      <c r="BQ221" s="91"/>
      <c r="BR221" s="91"/>
      <c r="BS221" s="91"/>
      <c r="BT221" s="91"/>
      <c r="BU221" s="91"/>
      <c r="BV221" s="91"/>
      <c r="BW221" s="91"/>
      <c r="BX221" s="91"/>
      <c r="BY221" s="91"/>
      <c r="BZ221" s="91"/>
      <c r="CA221" s="91"/>
      <c r="CB221" s="91"/>
      <c r="CC221" s="91"/>
      <c r="CD221" s="91"/>
      <c r="CE221" s="91"/>
      <c r="CF221" s="91"/>
      <c r="CG221" s="91"/>
      <c r="CH221" s="91"/>
      <c r="CI221" s="91"/>
      <c r="CJ221" s="91"/>
      <c r="CK221" s="91"/>
      <c r="CL221" s="91"/>
      <c r="CM221" s="91"/>
      <c r="CN221" s="91"/>
      <c r="CO221" s="91"/>
      <c r="CP221" s="91"/>
      <c r="CQ221" s="91"/>
      <c r="CR221" s="91"/>
      <c r="CS221" s="91"/>
      <c r="CT221" s="91"/>
      <c r="CU221" s="91"/>
      <c r="CV221" s="91"/>
      <c r="CW221" s="91"/>
      <c r="CX221" s="91"/>
      <c r="CY221" s="91"/>
      <c r="CZ221" s="91"/>
      <c r="DA221" s="91"/>
      <c r="DB221" s="91"/>
      <c r="DC221" s="91"/>
      <c r="DD221" s="91"/>
      <c r="DE221" s="91"/>
      <c r="DF221" s="91"/>
      <c r="DG221" s="91"/>
      <c r="DH221" s="91"/>
      <c r="DI221" s="91"/>
      <c r="DJ221" s="91"/>
      <c r="DK221" s="91"/>
      <c r="DL221" s="91"/>
      <c r="DM221" s="91"/>
      <c r="DN221" s="91"/>
      <c r="DO221" s="91"/>
      <c r="DP221" s="91"/>
      <c r="DQ221" s="91"/>
      <c r="DR221" s="91"/>
      <c r="DS221" s="91"/>
      <c r="DT221" s="91"/>
      <c r="DU221" s="91"/>
      <c r="DV221" s="91"/>
      <c r="DW221" s="91"/>
      <c r="DX221" s="91"/>
      <c r="DY221" s="91"/>
      <c r="DZ221" s="91"/>
      <c r="EA221" s="91"/>
      <c r="EB221" s="91"/>
      <c r="EC221" s="91"/>
      <c r="ED221" s="91"/>
      <c r="EE221" s="91"/>
      <c r="EF221" s="91"/>
      <c r="EG221" s="91"/>
      <c r="EH221" s="91"/>
      <c r="EI221" s="91"/>
      <c r="EJ221" s="91"/>
      <c r="EK221" s="91"/>
      <c r="EL221" s="91"/>
      <c r="EM221" s="91"/>
      <c r="EN221" s="91"/>
      <c r="EO221" s="91"/>
      <c r="EP221" s="91"/>
      <c r="EQ221" s="91"/>
      <c r="ER221" s="91"/>
      <c r="ES221" s="91"/>
      <c r="ET221" s="91"/>
      <c r="EU221" s="91"/>
      <c r="EV221" s="91"/>
      <c r="EW221" s="91"/>
      <c r="EX221" s="91"/>
      <c r="EY221" s="91"/>
      <c r="EZ221" s="91"/>
      <c r="FA221" s="91"/>
      <c r="FB221" s="91"/>
      <c r="FC221" s="91"/>
      <c r="FD221" s="91"/>
      <c r="FE221" s="91"/>
      <c r="FF221" s="91"/>
      <c r="FG221" s="91"/>
      <c r="FH221" s="91"/>
      <c r="FI221" s="91"/>
      <c r="FJ221" s="91"/>
      <c r="FK221" s="91"/>
      <c r="FL221" s="91"/>
      <c r="FM221" s="91"/>
      <c r="FN221" s="91"/>
      <c r="FO221" s="91"/>
      <c r="FP221" s="91"/>
      <c r="FQ221" s="91"/>
      <c r="FR221" s="91"/>
      <c r="FS221" s="91"/>
      <c r="FT221" s="91"/>
      <c r="FU221" s="91"/>
      <c r="FV221" s="91"/>
      <c r="FW221" s="91"/>
      <c r="FX221" s="91"/>
      <c r="FY221" s="91"/>
      <c r="FZ221" s="91"/>
      <c r="GA221" s="91"/>
      <c r="GB221" s="91"/>
      <c r="GC221" s="91"/>
      <c r="GD221" s="91"/>
      <c r="GE221" s="91"/>
      <c r="GF221" s="91"/>
      <c r="GG221" s="91"/>
      <c r="GH221" s="91"/>
      <c r="GI221" s="91"/>
      <c r="GJ221" s="91"/>
      <c r="GK221" s="91"/>
      <c r="GL221" s="91"/>
      <c r="GM221" s="91"/>
      <c r="GN221" s="91"/>
      <c r="GO221" s="91"/>
      <c r="GP221" s="91"/>
      <c r="GQ221" s="91"/>
      <c r="GR221" s="91"/>
    </row>
    <row r="222" spans="2:200" x14ac:dyDescent="0.15"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91"/>
      <c r="Y222" s="91"/>
      <c r="Z222" s="91"/>
      <c r="AA222" s="91"/>
      <c r="AB222" s="91"/>
      <c r="AC222" s="91"/>
      <c r="AD222" s="91"/>
      <c r="AE222" s="91"/>
      <c r="AF222" s="91"/>
      <c r="AG222" s="91"/>
      <c r="AH222" s="91"/>
      <c r="AI222" s="91"/>
      <c r="AJ222" s="91"/>
      <c r="AK222" s="91"/>
      <c r="AL222" s="91"/>
      <c r="AM222" s="91"/>
      <c r="AN222" s="91"/>
      <c r="AO222" s="91"/>
      <c r="AP222" s="91"/>
      <c r="AQ222" s="91"/>
      <c r="AR222" s="91"/>
      <c r="AS222" s="91"/>
      <c r="AT222" s="91"/>
      <c r="AU222" s="91"/>
      <c r="AV222" s="91"/>
      <c r="AW222" s="91"/>
      <c r="AX222" s="91"/>
      <c r="AY222" s="91"/>
      <c r="AZ222" s="91"/>
      <c r="BA222" s="91"/>
      <c r="BB222" s="91"/>
      <c r="BC222" s="91"/>
      <c r="BD222" s="91"/>
      <c r="BE222" s="91"/>
      <c r="BF222" s="91"/>
      <c r="BG222" s="91"/>
      <c r="BH222" s="91"/>
      <c r="BI222" s="91"/>
      <c r="BJ222" s="91"/>
      <c r="BK222" s="91"/>
      <c r="BL222" s="91"/>
      <c r="BM222" s="91"/>
      <c r="BN222" s="91"/>
      <c r="BO222" s="91"/>
      <c r="BP222" s="91"/>
      <c r="BQ222" s="91"/>
      <c r="BR222" s="91"/>
      <c r="BS222" s="91"/>
      <c r="BT222" s="91"/>
      <c r="BU222" s="91"/>
      <c r="BV222" s="91"/>
      <c r="BW222" s="91"/>
      <c r="BX222" s="91"/>
      <c r="BY222" s="91"/>
      <c r="BZ222" s="91"/>
      <c r="CA222" s="91"/>
      <c r="CB222" s="91"/>
      <c r="CC222" s="91"/>
      <c r="CD222" s="91"/>
      <c r="CE222" s="91"/>
      <c r="CF222" s="91"/>
      <c r="CG222" s="91"/>
      <c r="CH222" s="91"/>
      <c r="CI222" s="91"/>
      <c r="CJ222" s="91"/>
      <c r="CK222" s="91"/>
      <c r="CL222" s="91"/>
      <c r="CM222" s="91"/>
      <c r="CN222" s="91"/>
      <c r="CO222" s="91"/>
      <c r="CP222" s="91"/>
      <c r="CQ222" s="91"/>
      <c r="CR222" s="91"/>
      <c r="CS222" s="91"/>
      <c r="CT222" s="91"/>
      <c r="CU222" s="91"/>
      <c r="CV222" s="91"/>
      <c r="CW222" s="91"/>
      <c r="CX222" s="91"/>
      <c r="CY222" s="91"/>
      <c r="CZ222" s="91"/>
      <c r="DA222" s="91"/>
      <c r="DB222" s="91"/>
      <c r="DC222" s="91"/>
      <c r="DD222" s="91"/>
      <c r="DE222" s="91"/>
      <c r="DF222" s="91"/>
      <c r="DG222" s="91"/>
      <c r="DH222" s="91"/>
      <c r="DI222" s="91"/>
      <c r="DJ222" s="91"/>
      <c r="DK222" s="91"/>
      <c r="DL222" s="91"/>
      <c r="DM222" s="91"/>
      <c r="DN222" s="91"/>
      <c r="DO222" s="91"/>
      <c r="DP222" s="91"/>
      <c r="DQ222" s="91"/>
      <c r="DR222" s="91"/>
      <c r="DS222" s="91"/>
      <c r="DT222" s="91"/>
      <c r="DU222" s="91"/>
      <c r="DV222" s="91"/>
      <c r="DW222" s="91"/>
      <c r="DX222" s="91"/>
      <c r="DY222" s="91"/>
      <c r="DZ222" s="91"/>
      <c r="EA222" s="91"/>
      <c r="EB222" s="91"/>
      <c r="EC222" s="91"/>
      <c r="ED222" s="91"/>
      <c r="EE222" s="91"/>
      <c r="EF222" s="91"/>
      <c r="EG222" s="91"/>
      <c r="EH222" s="91"/>
      <c r="EI222" s="91"/>
      <c r="EJ222" s="91"/>
      <c r="EK222" s="91"/>
      <c r="EL222" s="91"/>
      <c r="EM222" s="91"/>
      <c r="EN222" s="91"/>
      <c r="EO222" s="91"/>
      <c r="EP222" s="91"/>
      <c r="EQ222" s="91"/>
      <c r="ER222" s="91"/>
      <c r="ES222" s="91"/>
      <c r="ET222" s="91"/>
      <c r="EU222" s="91"/>
      <c r="EV222" s="91"/>
      <c r="EW222" s="91"/>
      <c r="EX222" s="91"/>
      <c r="EY222" s="91"/>
      <c r="EZ222" s="91"/>
      <c r="FA222" s="91"/>
      <c r="FB222" s="91"/>
      <c r="FC222" s="91"/>
      <c r="FD222" s="91"/>
      <c r="FE222" s="91"/>
      <c r="FF222" s="91"/>
      <c r="FG222" s="91"/>
      <c r="FH222" s="91"/>
      <c r="FI222" s="91"/>
      <c r="FJ222" s="91"/>
      <c r="FK222" s="91"/>
      <c r="FL222" s="91"/>
      <c r="FM222" s="91"/>
      <c r="FN222" s="91"/>
      <c r="FO222" s="91"/>
      <c r="FP222" s="91"/>
      <c r="FQ222" s="91"/>
      <c r="FR222" s="91"/>
      <c r="FS222" s="91"/>
      <c r="FT222" s="91"/>
      <c r="FU222" s="91"/>
      <c r="FV222" s="91"/>
      <c r="FW222" s="91"/>
      <c r="FX222" s="91"/>
      <c r="FY222" s="91"/>
      <c r="FZ222" s="91"/>
      <c r="GA222" s="91"/>
      <c r="GB222" s="91"/>
      <c r="GC222" s="91"/>
      <c r="GD222" s="91"/>
      <c r="GE222" s="91"/>
      <c r="GF222" s="91"/>
      <c r="GG222" s="91"/>
      <c r="GH222" s="91"/>
      <c r="GI222" s="91"/>
      <c r="GJ222" s="91"/>
      <c r="GK222" s="91"/>
      <c r="GL222" s="91"/>
      <c r="GM222" s="91"/>
      <c r="GN222" s="91"/>
      <c r="GO222" s="91"/>
      <c r="GP222" s="91"/>
      <c r="GQ222" s="91"/>
      <c r="GR222" s="91"/>
    </row>
    <row r="223" spans="2:200" x14ac:dyDescent="0.15"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91"/>
      <c r="Y223" s="91"/>
      <c r="Z223" s="91"/>
      <c r="AA223" s="91"/>
      <c r="AB223" s="91"/>
      <c r="AC223" s="91"/>
      <c r="AD223" s="91"/>
      <c r="AE223" s="91"/>
      <c r="AF223" s="91"/>
      <c r="AG223" s="91"/>
      <c r="AH223" s="91"/>
      <c r="AI223" s="91"/>
      <c r="AJ223" s="91"/>
      <c r="AK223" s="91"/>
      <c r="AL223" s="91"/>
      <c r="AM223" s="91"/>
      <c r="AN223" s="91"/>
      <c r="AO223" s="91"/>
      <c r="AP223" s="91"/>
      <c r="AQ223" s="91"/>
      <c r="AR223" s="91"/>
      <c r="AS223" s="91"/>
      <c r="AT223" s="91"/>
      <c r="AU223" s="91"/>
      <c r="AV223" s="91"/>
      <c r="AW223" s="91"/>
      <c r="AX223" s="91"/>
      <c r="AY223" s="91"/>
      <c r="AZ223" s="91"/>
      <c r="BA223" s="91"/>
      <c r="BB223" s="91"/>
      <c r="BC223" s="91"/>
      <c r="BD223" s="91"/>
      <c r="BE223" s="91"/>
      <c r="BF223" s="91"/>
      <c r="BG223" s="91"/>
      <c r="BH223" s="91"/>
      <c r="BI223" s="91"/>
      <c r="BJ223" s="91"/>
      <c r="BK223" s="91"/>
      <c r="BL223" s="91"/>
      <c r="BM223" s="91"/>
      <c r="BN223" s="91"/>
      <c r="BO223" s="91"/>
      <c r="BP223" s="91"/>
      <c r="BQ223" s="91"/>
      <c r="BR223" s="91"/>
      <c r="BS223" s="91"/>
      <c r="BT223" s="91"/>
      <c r="BU223" s="91"/>
      <c r="BV223" s="91"/>
      <c r="BW223" s="91"/>
      <c r="BX223" s="91"/>
      <c r="BY223" s="91"/>
      <c r="BZ223" s="91"/>
      <c r="CA223" s="91"/>
      <c r="CB223" s="91"/>
      <c r="CC223" s="91"/>
      <c r="CD223" s="91"/>
      <c r="CE223" s="91"/>
      <c r="CF223" s="91"/>
      <c r="CG223" s="91"/>
      <c r="CH223" s="91"/>
      <c r="CI223" s="91"/>
      <c r="CJ223" s="91"/>
      <c r="CK223" s="91"/>
      <c r="CL223" s="91"/>
      <c r="CM223" s="91"/>
      <c r="CN223" s="91"/>
      <c r="CO223" s="91"/>
      <c r="CP223" s="91"/>
      <c r="CQ223" s="91"/>
      <c r="CR223" s="91"/>
      <c r="CS223" s="91"/>
      <c r="CT223" s="91"/>
      <c r="CU223" s="91"/>
      <c r="CV223" s="91"/>
      <c r="CW223" s="91"/>
      <c r="CX223" s="91"/>
      <c r="CY223" s="91"/>
      <c r="CZ223" s="91"/>
      <c r="DA223" s="91"/>
      <c r="DB223" s="91"/>
      <c r="DC223" s="91"/>
      <c r="DD223" s="91"/>
      <c r="DE223" s="91"/>
      <c r="DF223" s="91"/>
      <c r="DG223" s="91"/>
      <c r="DH223" s="91"/>
      <c r="DI223" s="91"/>
      <c r="DJ223" s="91"/>
      <c r="DK223" s="91"/>
      <c r="DL223" s="91"/>
      <c r="DM223" s="91"/>
      <c r="DN223" s="91"/>
      <c r="DO223" s="91"/>
      <c r="DP223" s="91"/>
      <c r="DQ223" s="91"/>
      <c r="DR223" s="91"/>
      <c r="DS223" s="91"/>
      <c r="DT223" s="91"/>
      <c r="DU223" s="91"/>
      <c r="DV223" s="91"/>
      <c r="DW223" s="91"/>
      <c r="DX223" s="91"/>
      <c r="DY223" s="91"/>
      <c r="DZ223" s="91"/>
      <c r="EA223" s="91"/>
      <c r="EB223" s="91"/>
      <c r="EC223" s="91"/>
      <c r="ED223" s="91"/>
      <c r="EE223" s="91"/>
      <c r="EF223" s="91"/>
      <c r="EG223" s="91"/>
      <c r="EH223" s="91"/>
      <c r="EI223" s="91"/>
      <c r="EJ223" s="91"/>
      <c r="EK223" s="91"/>
      <c r="EL223" s="91"/>
      <c r="EM223" s="91"/>
      <c r="EN223" s="91"/>
      <c r="EO223" s="91"/>
      <c r="EP223" s="91"/>
      <c r="EQ223" s="91"/>
      <c r="ER223" s="91"/>
      <c r="ES223" s="91"/>
      <c r="ET223" s="91"/>
      <c r="EU223" s="91"/>
      <c r="EV223" s="91"/>
      <c r="EW223" s="91"/>
      <c r="EX223" s="91"/>
      <c r="EY223" s="91"/>
      <c r="EZ223" s="91"/>
      <c r="FA223" s="91"/>
      <c r="FB223" s="91"/>
      <c r="FC223" s="91"/>
      <c r="FD223" s="91"/>
      <c r="FE223" s="91"/>
      <c r="FF223" s="91"/>
      <c r="FG223" s="91"/>
      <c r="FH223" s="91"/>
      <c r="FI223" s="91"/>
      <c r="FJ223" s="91"/>
      <c r="FK223" s="91"/>
      <c r="FL223" s="91"/>
      <c r="FM223" s="91"/>
      <c r="FN223" s="91"/>
      <c r="FO223" s="91"/>
      <c r="FP223" s="91"/>
      <c r="FQ223" s="91"/>
      <c r="FR223" s="91"/>
      <c r="FS223" s="91"/>
      <c r="FT223" s="91"/>
      <c r="FU223" s="91"/>
      <c r="FV223" s="91"/>
      <c r="FW223" s="91"/>
      <c r="FX223" s="91"/>
      <c r="FY223" s="91"/>
      <c r="FZ223" s="91"/>
      <c r="GA223" s="91"/>
      <c r="GB223" s="91"/>
      <c r="GC223" s="91"/>
      <c r="GD223" s="91"/>
      <c r="GE223" s="91"/>
      <c r="GF223" s="91"/>
      <c r="GG223" s="91"/>
      <c r="GH223" s="91"/>
      <c r="GI223" s="91"/>
      <c r="GJ223" s="91"/>
      <c r="GK223" s="91"/>
      <c r="GL223" s="91"/>
      <c r="GM223" s="91"/>
      <c r="GN223" s="91"/>
      <c r="GO223" s="91"/>
      <c r="GP223" s="91"/>
      <c r="GQ223" s="91"/>
      <c r="GR223" s="91"/>
    </row>
    <row r="224" spans="2:200" x14ac:dyDescent="0.15">
      <c r="B224" s="91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  <c r="AA224" s="91"/>
      <c r="AB224" s="91"/>
      <c r="AC224" s="91"/>
      <c r="AD224" s="91"/>
      <c r="AE224" s="91"/>
      <c r="AF224" s="91"/>
      <c r="AG224" s="91"/>
      <c r="AH224" s="91"/>
      <c r="AI224" s="91"/>
      <c r="AJ224" s="91"/>
      <c r="AK224" s="91"/>
      <c r="AL224" s="91"/>
      <c r="AM224" s="91"/>
      <c r="AN224" s="91"/>
      <c r="AO224" s="91"/>
      <c r="AP224" s="91"/>
      <c r="AQ224" s="91"/>
      <c r="AR224" s="91"/>
      <c r="AS224" s="91"/>
      <c r="AT224" s="91"/>
      <c r="AU224" s="91"/>
      <c r="AV224" s="91"/>
      <c r="AW224" s="91"/>
      <c r="AX224" s="91"/>
      <c r="AY224" s="91"/>
      <c r="AZ224" s="91"/>
      <c r="BA224" s="91"/>
      <c r="BB224" s="91"/>
      <c r="BC224" s="91"/>
      <c r="BD224" s="91"/>
      <c r="BE224" s="91"/>
      <c r="BF224" s="91"/>
      <c r="BG224" s="91"/>
      <c r="BH224" s="91"/>
      <c r="BI224" s="91"/>
      <c r="BJ224" s="91"/>
      <c r="BK224" s="91"/>
      <c r="BL224" s="91"/>
      <c r="BM224" s="91"/>
      <c r="BN224" s="91"/>
      <c r="BO224" s="91"/>
      <c r="BP224" s="91"/>
      <c r="BQ224" s="91"/>
      <c r="BR224" s="91"/>
      <c r="BS224" s="91"/>
      <c r="BT224" s="91"/>
      <c r="BU224" s="91"/>
      <c r="BV224" s="91"/>
      <c r="BW224" s="91"/>
      <c r="BX224" s="91"/>
      <c r="BY224" s="91"/>
      <c r="BZ224" s="91"/>
      <c r="CA224" s="91"/>
      <c r="CB224" s="91"/>
      <c r="CC224" s="91"/>
      <c r="CD224" s="91"/>
      <c r="CE224" s="91"/>
      <c r="CF224" s="91"/>
      <c r="CG224" s="91"/>
      <c r="CH224" s="91"/>
      <c r="CI224" s="91"/>
      <c r="CJ224" s="91"/>
      <c r="CK224" s="91"/>
      <c r="CL224" s="91"/>
      <c r="CM224" s="91"/>
      <c r="CN224" s="91"/>
      <c r="CO224" s="91"/>
      <c r="CP224" s="91"/>
      <c r="CQ224" s="91"/>
      <c r="CR224" s="91"/>
      <c r="CS224" s="91"/>
      <c r="CT224" s="91"/>
      <c r="CU224" s="91"/>
      <c r="CV224" s="91"/>
      <c r="CW224" s="91"/>
      <c r="CX224" s="91"/>
      <c r="CY224" s="91"/>
      <c r="CZ224" s="91"/>
      <c r="DA224" s="91"/>
      <c r="DB224" s="91"/>
      <c r="DC224" s="91"/>
      <c r="DD224" s="91"/>
      <c r="DE224" s="91"/>
      <c r="DF224" s="91"/>
      <c r="DG224" s="91"/>
      <c r="DH224" s="91"/>
      <c r="DI224" s="91"/>
      <c r="DJ224" s="91"/>
      <c r="DK224" s="91"/>
      <c r="DL224" s="91"/>
      <c r="DM224" s="91"/>
      <c r="DN224" s="91"/>
      <c r="DO224" s="91"/>
      <c r="DP224" s="91"/>
      <c r="DQ224" s="91"/>
      <c r="DR224" s="91"/>
      <c r="DS224" s="91"/>
      <c r="DT224" s="91"/>
      <c r="DU224" s="91"/>
      <c r="DV224" s="91"/>
      <c r="DW224" s="91"/>
      <c r="DX224" s="91"/>
      <c r="DY224" s="91"/>
      <c r="DZ224" s="91"/>
      <c r="EA224" s="91"/>
      <c r="EB224" s="91"/>
      <c r="EC224" s="91"/>
      <c r="ED224" s="91"/>
      <c r="EE224" s="91"/>
      <c r="EF224" s="91"/>
      <c r="EG224" s="91"/>
      <c r="EH224" s="91"/>
      <c r="EI224" s="91"/>
      <c r="EJ224" s="91"/>
      <c r="EK224" s="91"/>
      <c r="EL224" s="91"/>
      <c r="EM224" s="91"/>
      <c r="EN224" s="91"/>
      <c r="EO224" s="91"/>
      <c r="EP224" s="91"/>
      <c r="EQ224" s="91"/>
      <c r="ER224" s="91"/>
      <c r="ES224" s="91"/>
      <c r="ET224" s="91"/>
      <c r="EU224" s="91"/>
      <c r="EV224" s="91"/>
      <c r="EW224" s="91"/>
      <c r="EX224" s="91"/>
      <c r="EY224" s="91"/>
      <c r="EZ224" s="91"/>
      <c r="FA224" s="91"/>
      <c r="FB224" s="91"/>
      <c r="FC224" s="91"/>
      <c r="FD224" s="91"/>
      <c r="FE224" s="91"/>
      <c r="FF224" s="91"/>
      <c r="FG224" s="91"/>
      <c r="FH224" s="91"/>
      <c r="FI224" s="91"/>
      <c r="FJ224" s="91"/>
      <c r="FK224" s="91"/>
      <c r="FL224" s="91"/>
      <c r="FM224" s="91"/>
      <c r="FN224" s="91"/>
      <c r="FO224" s="91"/>
      <c r="FP224" s="91"/>
      <c r="FQ224" s="91"/>
      <c r="FR224" s="91"/>
      <c r="FS224" s="91"/>
      <c r="FT224" s="91"/>
      <c r="FU224" s="91"/>
      <c r="FV224" s="91"/>
      <c r="FW224" s="91"/>
      <c r="FX224" s="91"/>
      <c r="FY224" s="91"/>
      <c r="FZ224" s="91"/>
      <c r="GA224" s="91"/>
      <c r="GB224" s="91"/>
      <c r="GC224" s="91"/>
      <c r="GD224" s="91"/>
      <c r="GE224" s="91"/>
      <c r="GF224" s="91"/>
      <c r="GG224" s="91"/>
      <c r="GH224" s="91"/>
      <c r="GI224" s="91"/>
      <c r="GJ224" s="91"/>
      <c r="GK224" s="91"/>
      <c r="GL224" s="91"/>
      <c r="GM224" s="91"/>
      <c r="GN224" s="91"/>
      <c r="GO224" s="91"/>
      <c r="GP224" s="91"/>
      <c r="GQ224" s="91"/>
      <c r="GR224" s="91"/>
    </row>
    <row r="225" spans="2:200" x14ac:dyDescent="0.15">
      <c r="B225" s="91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  <c r="AA225" s="91"/>
      <c r="AB225" s="91"/>
      <c r="AC225" s="91"/>
      <c r="AD225" s="91"/>
      <c r="AE225" s="91"/>
      <c r="AF225" s="91"/>
      <c r="AG225" s="91"/>
      <c r="AH225" s="91"/>
      <c r="AI225" s="91"/>
      <c r="AJ225" s="91"/>
      <c r="AK225" s="91"/>
      <c r="AL225" s="91"/>
      <c r="AM225" s="91"/>
      <c r="AN225" s="91"/>
      <c r="AO225" s="91"/>
      <c r="AP225" s="91"/>
      <c r="AQ225" s="91"/>
      <c r="AR225" s="91"/>
      <c r="AS225" s="91"/>
      <c r="AT225" s="91"/>
      <c r="AU225" s="91"/>
      <c r="AV225" s="91"/>
      <c r="AW225" s="91"/>
      <c r="AX225" s="91"/>
      <c r="AY225" s="91"/>
      <c r="AZ225" s="91"/>
      <c r="BA225" s="91"/>
      <c r="BB225" s="91"/>
      <c r="BC225" s="91"/>
      <c r="BD225" s="91"/>
      <c r="BE225" s="91"/>
      <c r="BF225" s="91"/>
      <c r="BG225" s="91"/>
      <c r="BH225" s="91"/>
      <c r="BI225" s="91"/>
      <c r="BJ225" s="91"/>
      <c r="BK225" s="91"/>
      <c r="BL225" s="91"/>
      <c r="BM225" s="91"/>
      <c r="BN225" s="91"/>
      <c r="BO225" s="91"/>
      <c r="BP225" s="91"/>
      <c r="BQ225" s="91"/>
      <c r="BR225" s="91"/>
      <c r="BS225" s="91"/>
      <c r="BT225" s="91"/>
      <c r="BU225" s="91"/>
      <c r="BV225" s="91"/>
      <c r="BW225" s="91"/>
      <c r="BX225" s="91"/>
      <c r="BY225" s="91"/>
      <c r="BZ225" s="91"/>
      <c r="CA225" s="91"/>
      <c r="CB225" s="91"/>
      <c r="CC225" s="91"/>
      <c r="CD225" s="91"/>
      <c r="CE225" s="91"/>
      <c r="CF225" s="91"/>
      <c r="CG225" s="91"/>
      <c r="CH225" s="91"/>
      <c r="CI225" s="91"/>
      <c r="CJ225" s="91"/>
      <c r="CK225" s="91"/>
      <c r="CL225" s="91"/>
      <c r="CM225" s="91"/>
      <c r="CN225" s="91"/>
      <c r="CO225" s="91"/>
      <c r="CP225" s="91"/>
      <c r="CQ225" s="91"/>
      <c r="CR225" s="91"/>
      <c r="CS225" s="91"/>
      <c r="CT225" s="91"/>
      <c r="CU225" s="91"/>
      <c r="CV225" s="91"/>
      <c r="CW225" s="91"/>
      <c r="CX225" s="91"/>
      <c r="CY225" s="91"/>
      <c r="CZ225" s="91"/>
      <c r="DA225" s="91"/>
      <c r="DB225" s="91"/>
      <c r="DC225" s="91"/>
      <c r="DD225" s="91"/>
      <c r="DE225" s="91"/>
      <c r="DF225" s="91"/>
      <c r="DG225" s="91"/>
      <c r="DH225" s="91"/>
      <c r="DI225" s="91"/>
      <c r="DJ225" s="91"/>
      <c r="DK225" s="91"/>
      <c r="DL225" s="91"/>
      <c r="DM225" s="91"/>
      <c r="DN225" s="91"/>
      <c r="DO225" s="91"/>
      <c r="DP225" s="91"/>
      <c r="DQ225" s="91"/>
      <c r="DR225" s="91"/>
      <c r="DS225" s="91"/>
      <c r="DT225" s="91"/>
      <c r="DU225" s="91"/>
      <c r="DV225" s="91"/>
      <c r="DW225" s="91"/>
      <c r="DX225" s="91"/>
      <c r="DY225" s="91"/>
      <c r="DZ225" s="91"/>
      <c r="EA225" s="91"/>
      <c r="EB225" s="91"/>
      <c r="EC225" s="91"/>
      <c r="ED225" s="91"/>
      <c r="EE225" s="91"/>
      <c r="EF225" s="91"/>
      <c r="EG225" s="91"/>
      <c r="EH225" s="91"/>
      <c r="EI225" s="91"/>
      <c r="EJ225" s="91"/>
      <c r="EK225" s="91"/>
      <c r="EL225" s="91"/>
      <c r="EM225" s="91"/>
      <c r="EN225" s="91"/>
      <c r="EO225" s="91"/>
      <c r="EP225" s="91"/>
      <c r="EQ225" s="91"/>
      <c r="ER225" s="91"/>
      <c r="ES225" s="91"/>
      <c r="ET225" s="91"/>
      <c r="EU225" s="91"/>
      <c r="EV225" s="91"/>
      <c r="EW225" s="91"/>
      <c r="EX225" s="91"/>
      <c r="EY225" s="91"/>
      <c r="EZ225" s="91"/>
      <c r="FA225" s="91"/>
      <c r="FB225" s="91"/>
      <c r="FC225" s="91"/>
      <c r="FD225" s="91"/>
      <c r="FE225" s="91"/>
      <c r="FF225" s="91"/>
      <c r="FG225" s="91"/>
      <c r="FH225" s="91"/>
      <c r="FI225" s="91"/>
      <c r="FJ225" s="91"/>
      <c r="FK225" s="91"/>
      <c r="FL225" s="91"/>
      <c r="FM225" s="91"/>
      <c r="FN225" s="91"/>
      <c r="FO225" s="91"/>
      <c r="FP225" s="91"/>
      <c r="FQ225" s="91"/>
      <c r="FR225" s="91"/>
      <c r="FS225" s="91"/>
      <c r="FT225" s="91"/>
      <c r="FU225" s="91"/>
      <c r="FV225" s="91"/>
      <c r="FW225" s="91"/>
      <c r="FX225" s="91"/>
      <c r="FY225" s="91"/>
      <c r="FZ225" s="91"/>
      <c r="GA225" s="91"/>
      <c r="GB225" s="91"/>
      <c r="GC225" s="91"/>
      <c r="GD225" s="91"/>
      <c r="GE225" s="91"/>
      <c r="GF225" s="91"/>
      <c r="GG225" s="91"/>
      <c r="GH225" s="91"/>
      <c r="GI225" s="91"/>
      <c r="GJ225" s="91"/>
      <c r="GK225" s="91"/>
      <c r="GL225" s="91"/>
      <c r="GM225" s="91"/>
      <c r="GN225" s="91"/>
      <c r="GO225" s="91"/>
      <c r="GP225" s="91"/>
      <c r="GQ225" s="91"/>
      <c r="GR225" s="91"/>
    </row>
    <row r="226" spans="2:200" x14ac:dyDescent="0.15">
      <c r="B226" s="91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  <c r="AA226" s="91"/>
      <c r="AB226" s="91"/>
      <c r="AC226" s="91"/>
      <c r="AD226" s="91"/>
      <c r="AE226" s="91"/>
      <c r="AF226" s="91"/>
      <c r="AG226" s="91"/>
      <c r="AH226" s="91"/>
      <c r="AI226" s="91"/>
      <c r="AJ226" s="91"/>
      <c r="AK226" s="91"/>
      <c r="AL226" s="91"/>
      <c r="AM226" s="91"/>
      <c r="AN226" s="91"/>
      <c r="AO226" s="91"/>
      <c r="AP226" s="91"/>
      <c r="AQ226" s="91"/>
      <c r="AR226" s="91"/>
      <c r="AS226" s="91"/>
      <c r="AT226" s="91"/>
      <c r="AU226" s="91"/>
      <c r="AV226" s="91"/>
      <c r="AW226" s="91"/>
      <c r="AX226" s="91"/>
      <c r="AY226" s="91"/>
      <c r="AZ226" s="91"/>
      <c r="BA226" s="91"/>
      <c r="BB226" s="91"/>
      <c r="BC226" s="91"/>
      <c r="BD226" s="91"/>
      <c r="BE226" s="91"/>
      <c r="BF226" s="91"/>
      <c r="BG226" s="91"/>
      <c r="BH226" s="91"/>
      <c r="BI226" s="91"/>
      <c r="BJ226" s="91"/>
      <c r="BK226" s="91"/>
      <c r="BL226" s="91"/>
      <c r="BM226" s="91"/>
      <c r="BN226" s="91"/>
      <c r="BO226" s="91"/>
      <c r="BP226" s="91"/>
      <c r="BQ226" s="91"/>
      <c r="BR226" s="91"/>
      <c r="BS226" s="91"/>
      <c r="BT226" s="91"/>
      <c r="BU226" s="91"/>
      <c r="BV226" s="91"/>
      <c r="BW226" s="91"/>
      <c r="BX226" s="91"/>
      <c r="BY226" s="91"/>
      <c r="BZ226" s="91"/>
      <c r="CA226" s="91"/>
      <c r="CB226" s="91"/>
      <c r="CC226" s="91"/>
      <c r="CD226" s="91"/>
      <c r="CE226" s="91"/>
      <c r="CF226" s="91"/>
      <c r="CG226" s="91"/>
      <c r="CH226" s="91"/>
      <c r="CI226" s="91"/>
      <c r="CJ226" s="91"/>
      <c r="CK226" s="91"/>
      <c r="CL226" s="91"/>
      <c r="CM226" s="91"/>
      <c r="CN226" s="91"/>
      <c r="CO226" s="91"/>
      <c r="CP226" s="91"/>
      <c r="CQ226" s="91"/>
      <c r="CR226" s="91"/>
      <c r="CS226" s="91"/>
      <c r="CT226" s="91"/>
      <c r="CU226" s="91"/>
      <c r="CV226" s="91"/>
      <c r="CW226" s="91"/>
      <c r="CX226" s="91"/>
      <c r="CY226" s="91"/>
      <c r="CZ226" s="91"/>
      <c r="DA226" s="91"/>
      <c r="DB226" s="91"/>
      <c r="DC226" s="91"/>
      <c r="DD226" s="91"/>
      <c r="DE226" s="91"/>
      <c r="DF226" s="91"/>
      <c r="DG226" s="91"/>
      <c r="DH226" s="91"/>
      <c r="DI226" s="91"/>
      <c r="DJ226" s="91"/>
      <c r="DK226" s="91"/>
      <c r="DL226" s="91"/>
      <c r="DM226" s="91"/>
      <c r="DN226" s="91"/>
      <c r="DO226" s="91"/>
      <c r="DP226" s="91"/>
      <c r="DQ226" s="91"/>
      <c r="DR226" s="91"/>
      <c r="DS226" s="91"/>
      <c r="DT226" s="91"/>
      <c r="DU226" s="91"/>
      <c r="DV226" s="91"/>
      <c r="DW226" s="91"/>
      <c r="DX226" s="91"/>
      <c r="DY226" s="91"/>
      <c r="DZ226" s="91"/>
      <c r="EA226" s="91"/>
      <c r="EB226" s="91"/>
      <c r="EC226" s="91"/>
      <c r="ED226" s="91"/>
      <c r="EE226" s="91"/>
      <c r="EF226" s="91"/>
      <c r="EG226" s="91"/>
      <c r="EH226" s="91"/>
      <c r="EI226" s="91"/>
      <c r="EJ226" s="91"/>
      <c r="EK226" s="91"/>
      <c r="EL226" s="91"/>
      <c r="EM226" s="91"/>
      <c r="EN226" s="91"/>
      <c r="EO226" s="91"/>
      <c r="EP226" s="91"/>
      <c r="EQ226" s="91"/>
      <c r="ER226" s="91"/>
      <c r="ES226" s="91"/>
      <c r="ET226" s="91"/>
      <c r="EU226" s="91"/>
      <c r="EV226" s="91"/>
      <c r="EW226" s="91"/>
      <c r="EX226" s="91"/>
      <c r="EY226" s="91"/>
      <c r="EZ226" s="91"/>
      <c r="FA226" s="91"/>
      <c r="FB226" s="91"/>
      <c r="FC226" s="91"/>
      <c r="FD226" s="91"/>
      <c r="FE226" s="91"/>
      <c r="FF226" s="91"/>
      <c r="FG226" s="91"/>
      <c r="FH226" s="91"/>
      <c r="FI226" s="91"/>
      <c r="FJ226" s="91"/>
      <c r="FK226" s="91"/>
      <c r="FL226" s="91"/>
      <c r="FM226" s="91"/>
      <c r="FN226" s="91"/>
      <c r="FO226" s="91"/>
      <c r="FP226" s="91"/>
      <c r="FQ226" s="91"/>
      <c r="FR226" s="91"/>
      <c r="FS226" s="91"/>
      <c r="FT226" s="91"/>
      <c r="FU226" s="91"/>
      <c r="FV226" s="91"/>
      <c r="FW226" s="91"/>
      <c r="FX226" s="91"/>
      <c r="FY226" s="91"/>
      <c r="FZ226" s="91"/>
      <c r="GA226" s="91"/>
      <c r="GB226" s="91"/>
      <c r="GC226" s="91"/>
      <c r="GD226" s="91"/>
      <c r="GE226" s="91"/>
      <c r="GF226" s="91"/>
      <c r="GG226" s="91"/>
      <c r="GH226" s="91"/>
      <c r="GI226" s="91"/>
      <c r="GJ226" s="91"/>
      <c r="GK226" s="91"/>
      <c r="GL226" s="91"/>
      <c r="GM226" s="91"/>
      <c r="GN226" s="91"/>
      <c r="GO226" s="91"/>
      <c r="GP226" s="91"/>
      <c r="GQ226" s="91"/>
      <c r="GR226" s="91"/>
    </row>
    <row r="227" spans="2:200" x14ac:dyDescent="0.15">
      <c r="B227" s="91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91"/>
      <c r="AL227" s="91"/>
      <c r="AM227" s="91"/>
      <c r="AN227" s="91"/>
      <c r="AO227" s="91"/>
      <c r="AP227" s="91"/>
      <c r="AQ227" s="91"/>
      <c r="AR227" s="91"/>
      <c r="AS227" s="91"/>
      <c r="AT227" s="91"/>
      <c r="AU227" s="91"/>
      <c r="AV227" s="91"/>
      <c r="AW227" s="91"/>
      <c r="AX227" s="91"/>
      <c r="AY227" s="91"/>
      <c r="AZ227" s="91"/>
      <c r="BA227" s="91"/>
      <c r="BB227" s="91"/>
      <c r="BC227" s="91"/>
      <c r="BD227" s="91"/>
      <c r="BE227" s="91"/>
      <c r="BF227" s="91"/>
      <c r="BG227" s="91"/>
      <c r="BH227" s="91"/>
      <c r="BI227" s="91"/>
      <c r="BJ227" s="91"/>
      <c r="BK227" s="91"/>
      <c r="BL227" s="91"/>
      <c r="BM227" s="91"/>
      <c r="BN227" s="91"/>
      <c r="BO227" s="91"/>
      <c r="BP227" s="91"/>
      <c r="BQ227" s="91"/>
      <c r="BR227" s="91"/>
      <c r="BS227" s="91"/>
      <c r="BT227" s="91"/>
      <c r="BU227" s="91"/>
      <c r="BV227" s="91"/>
      <c r="BW227" s="91"/>
      <c r="BX227" s="91"/>
      <c r="BY227" s="91"/>
      <c r="BZ227" s="91"/>
      <c r="CA227" s="91"/>
      <c r="CB227" s="91"/>
      <c r="CC227" s="91"/>
      <c r="CD227" s="91"/>
      <c r="CE227" s="91"/>
      <c r="CF227" s="91"/>
      <c r="CG227" s="91"/>
      <c r="CH227" s="91"/>
      <c r="CI227" s="91"/>
      <c r="CJ227" s="91"/>
      <c r="CK227" s="91"/>
      <c r="CL227" s="91"/>
      <c r="CM227" s="91"/>
      <c r="CN227" s="91"/>
      <c r="CO227" s="91"/>
      <c r="CP227" s="91"/>
      <c r="CQ227" s="91"/>
      <c r="CR227" s="91"/>
      <c r="CS227" s="91"/>
      <c r="CT227" s="91"/>
      <c r="CU227" s="91"/>
      <c r="CV227" s="91"/>
      <c r="CW227" s="91"/>
      <c r="CX227" s="91"/>
      <c r="CY227" s="91"/>
      <c r="CZ227" s="91"/>
      <c r="DA227" s="91"/>
      <c r="DB227" s="91"/>
      <c r="DC227" s="91"/>
      <c r="DD227" s="91"/>
      <c r="DE227" s="91"/>
      <c r="DF227" s="91"/>
      <c r="DG227" s="91"/>
      <c r="DH227" s="91"/>
      <c r="DI227" s="91"/>
      <c r="DJ227" s="91"/>
      <c r="DK227" s="91"/>
      <c r="DL227" s="91"/>
      <c r="DM227" s="91"/>
      <c r="DN227" s="91"/>
      <c r="DO227" s="91"/>
      <c r="DP227" s="91"/>
      <c r="DQ227" s="91"/>
      <c r="DR227" s="91"/>
      <c r="DS227" s="91"/>
      <c r="DT227" s="91"/>
      <c r="DU227" s="91"/>
      <c r="DV227" s="91"/>
      <c r="DW227" s="91"/>
      <c r="DX227" s="91"/>
      <c r="DY227" s="91"/>
      <c r="DZ227" s="91"/>
      <c r="EA227" s="91"/>
      <c r="EB227" s="91"/>
      <c r="EC227" s="91"/>
      <c r="ED227" s="91"/>
      <c r="EE227" s="91"/>
      <c r="EF227" s="91"/>
      <c r="EG227" s="91"/>
      <c r="EH227" s="91"/>
      <c r="EI227" s="91"/>
      <c r="EJ227" s="91"/>
      <c r="EK227" s="91"/>
      <c r="EL227" s="91"/>
      <c r="EM227" s="91"/>
      <c r="EN227" s="91"/>
      <c r="EO227" s="91"/>
      <c r="EP227" s="91"/>
      <c r="EQ227" s="91"/>
      <c r="ER227" s="91"/>
      <c r="ES227" s="91"/>
      <c r="ET227" s="91"/>
      <c r="EU227" s="91"/>
      <c r="EV227" s="91"/>
      <c r="EW227" s="91"/>
      <c r="EX227" s="91"/>
      <c r="EY227" s="91"/>
      <c r="EZ227" s="91"/>
      <c r="FA227" s="91"/>
      <c r="FB227" s="91"/>
      <c r="FC227" s="91"/>
      <c r="FD227" s="91"/>
      <c r="FE227" s="91"/>
      <c r="FF227" s="91"/>
      <c r="FG227" s="91"/>
      <c r="FH227" s="91"/>
      <c r="FI227" s="91"/>
      <c r="FJ227" s="91"/>
      <c r="FK227" s="91"/>
      <c r="FL227" s="91"/>
      <c r="FM227" s="91"/>
      <c r="FN227" s="91"/>
      <c r="FO227" s="91"/>
      <c r="FP227" s="91"/>
      <c r="FQ227" s="91"/>
      <c r="FR227" s="91"/>
      <c r="FS227" s="91"/>
      <c r="FT227" s="91"/>
      <c r="FU227" s="91"/>
      <c r="FV227" s="91"/>
      <c r="FW227" s="91"/>
      <c r="FX227" s="91"/>
      <c r="FY227" s="91"/>
      <c r="FZ227" s="91"/>
      <c r="GA227" s="91"/>
      <c r="GB227" s="91"/>
      <c r="GC227" s="91"/>
      <c r="GD227" s="91"/>
      <c r="GE227" s="91"/>
      <c r="GF227" s="91"/>
      <c r="GG227" s="91"/>
      <c r="GH227" s="91"/>
      <c r="GI227" s="91"/>
      <c r="GJ227" s="91"/>
      <c r="GK227" s="91"/>
      <c r="GL227" s="91"/>
      <c r="GM227" s="91"/>
      <c r="GN227" s="91"/>
      <c r="GO227" s="91"/>
      <c r="GP227" s="91"/>
      <c r="GQ227" s="91"/>
      <c r="GR227" s="91"/>
    </row>
    <row r="228" spans="2:200" x14ac:dyDescent="0.15">
      <c r="B228" s="91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  <c r="AA228" s="91"/>
      <c r="AB228" s="91"/>
      <c r="AC228" s="91"/>
      <c r="AD228" s="91"/>
      <c r="AE228" s="91"/>
      <c r="AF228" s="91"/>
      <c r="AG228" s="91"/>
      <c r="AH228" s="91"/>
      <c r="AI228" s="91"/>
      <c r="AJ228" s="91"/>
      <c r="AK228" s="91"/>
      <c r="AL228" s="91"/>
      <c r="AM228" s="91"/>
      <c r="AN228" s="91"/>
      <c r="AO228" s="91"/>
      <c r="AP228" s="91"/>
      <c r="AQ228" s="91"/>
      <c r="AR228" s="91"/>
      <c r="AS228" s="91"/>
      <c r="AT228" s="91"/>
      <c r="AU228" s="91"/>
      <c r="AV228" s="91"/>
      <c r="AW228" s="91"/>
      <c r="AX228" s="91"/>
      <c r="AY228" s="91"/>
      <c r="AZ228" s="91"/>
      <c r="BA228" s="91"/>
      <c r="BB228" s="91"/>
      <c r="BC228" s="91"/>
      <c r="BD228" s="91"/>
      <c r="BE228" s="91"/>
      <c r="BF228" s="91"/>
      <c r="BG228" s="91"/>
      <c r="BH228" s="91"/>
      <c r="BI228" s="91"/>
      <c r="BJ228" s="91"/>
      <c r="BK228" s="91"/>
      <c r="BL228" s="91"/>
      <c r="BM228" s="91"/>
      <c r="BN228" s="91"/>
      <c r="BO228" s="91"/>
      <c r="BP228" s="91"/>
      <c r="BQ228" s="91"/>
      <c r="BR228" s="91"/>
      <c r="BS228" s="91"/>
      <c r="BT228" s="91"/>
      <c r="BU228" s="91"/>
      <c r="BV228" s="91"/>
      <c r="BW228" s="91"/>
      <c r="BX228" s="91"/>
      <c r="BY228" s="91"/>
      <c r="BZ228" s="91"/>
      <c r="CA228" s="91"/>
      <c r="CB228" s="91"/>
      <c r="CC228" s="91"/>
      <c r="CD228" s="91"/>
      <c r="CE228" s="91"/>
      <c r="CF228" s="91"/>
      <c r="CG228" s="91"/>
      <c r="CH228" s="91"/>
      <c r="CI228" s="91"/>
      <c r="CJ228" s="91"/>
      <c r="CK228" s="91"/>
      <c r="CL228" s="91"/>
      <c r="CM228" s="91"/>
      <c r="CN228" s="91"/>
      <c r="CO228" s="91"/>
      <c r="CP228" s="91"/>
      <c r="CQ228" s="91"/>
      <c r="CR228" s="91"/>
      <c r="CS228" s="91"/>
      <c r="CT228" s="91"/>
      <c r="CU228" s="91"/>
      <c r="CV228" s="91"/>
      <c r="CW228" s="91"/>
      <c r="CX228" s="91"/>
      <c r="CY228" s="91"/>
      <c r="CZ228" s="91"/>
      <c r="DA228" s="91"/>
      <c r="DB228" s="91"/>
      <c r="DC228" s="91"/>
      <c r="DD228" s="91"/>
      <c r="DE228" s="91"/>
      <c r="DF228" s="91"/>
      <c r="DG228" s="91"/>
      <c r="DH228" s="91"/>
      <c r="DI228" s="91"/>
      <c r="DJ228" s="91"/>
      <c r="DK228" s="91"/>
      <c r="DL228" s="91"/>
      <c r="DM228" s="91"/>
      <c r="DN228" s="91"/>
      <c r="DO228" s="91"/>
      <c r="DP228" s="91"/>
      <c r="DQ228" s="91"/>
      <c r="DR228" s="91"/>
      <c r="DS228" s="91"/>
      <c r="DT228" s="91"/>
      <c r="DU228" s="91"/>
      <c r="DV228" s="91"/>
      <c r="DW228" s="91"/>
      <c r="DX228" s="91"/>
      <c r="DY228" s="91"/>
      <c r="DZ228" s="91"/>
      <c r="EA228" s="91"/>
      <c r="EB228" s="91"/>
      <c r="EC228" s="91"/>
      <c r="ED228" s="91"/>
      <c r="EE228" s="91"/>
      <c r="EF228" s="91"/>
      <c r="EG228" s="91"/>
      <c r="EH228" s="91"/>
      <c r="EI228" s="91"/>
      <c r="EJ228" s="91"/>
      <c r="EK228" s="91"/>
      <c r="EL228" s="91"/>
      <c r="EM228" s="91"/>
      <c r="EN228" s="91"/>
      <c r="EO228" s="91"/>
      <c r="EP228" s="91"/>
      <c r="EQ228" s="91"/>
      <c r="ER228" s="91"/>
      <c r="ES228" s="91"/>
      <c r="ET228" s="91"/>
      <c r="EU228" s="91"/>
      <c r="EV228" s="91"/>
      <c r="EW228" s="91"/>
      <c r="EX228" s="91"/>
      <c r="EY228" s="91"/>
      <c r="EZ228" s="91"/>
      <c r="FA228" s="91"/>
      <c r="FB228" s="91"/>
      <c r="FC228" s="91"/>
      <c r="FD228" s="91"/>
      <c r="FE228" s="91"/>
      <c r="FF228" s="91"/>
      <c r="FG228" s="91"/>
      <c r="FH228" s="91"/>
      <c r="FI228" s="91"/>
      <c r="FJ228" s="91"/>
      <c r="FK228" s="91"/>
      <c r="FL228" s="91"/>
      <c r="FM228" s="91"/>
      <c r="FN228" s="91"/>
      <c r="FO228" s="91"/>
      <c r="FP228" s="91"/>
      <c r="FQ228" s="91"/>
      <c r="FR228" s="91"/>
      <c r="FS228" s="91"/>
      <c r="FT228" s="91"/>
      <c r="FU228" s="91"/>
      <c r="FV228" s="91"/>
      <c r="FW228" s="91"/>
      <c r="FX228" s="91"/>
      <c r="FY228" s="91"/>
      <c r="FZ228" s="91"/>
      <c r="GA228" s="91"/>
      <c r="GB228" s="91"/>
      <c r="GC228" s="91"/>
      <c r="GD228" s="91"/>
      <c r="GE228" s="91"/>
      <c r="GF228" s="91"/>
      <c r="GG228" s="91"/>
      <c r="GH228" s="91"/>
      <c r="GI228" s="91"/>
      <c r="GJ228" s="91"/>
      <c r="GK228" s="91"/>
      <c r="GL228" s="91"/>
      <c r="GM228" s="91"/>
      <c r="GN228" s="91"/>
      <c r="GO228" s="91"/>
      <c r="GP228" s="91"/>
      <c r="GQ228" s="91"/>
      <c r="GR228" s="91"/>
    </row>
    <row r="229" spans="2:200" x14ac:dyDescent="0.15">
      <c r="B229" s="91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  <c r="AA229" s="91"/>
      <c r="AB229" s="91"/>
      <c r="AC229" s="91"/>
      <c r="AD229" s="91"/>
      <c r="AE229" s="91"/>
      <c r="AF229" s="91"/>
      <c r="AG229" s="91"/>
      <c r="AH229" s="91"/>
      <c r="AI229" s="91"/>
      <c r="AJ229" s="91"/>
      <c r="AK229" s="91"/>
      <c r="AL229" s="91"/>
      <c r="AM229" s="91"/>
      <c r="AN229" s="91"/>
      <c r="AO229" s="91"/>
      <c r="AP229" s="91"/>
      <c r="AQ229" s="91"/>
      <c r="AR229" s="91"/>
      <c r="AS229" s="91"/>
      <c r="AT229" s="91"/>
      <c r="AU229" s="91"/>
      <c r="AV229" s="91"/>
      <c r="AW229" s="91"/>
      <c r="AX229" s="91"/>
      <c r="AY229" s="91"/>
      <c r="AZ229" s="91"/>
      <c r="BA229" s="91"/>
      <c r="BB229" s="91"/>
      <c r="BC229" s="91"/>
      <c r="BD229" s="91"/>
      <c r="BE229" s="91"/>
      <c r="BF229" s="91"/>
      <c r="BG229" s="91"/>
      <c r="BH229" s="91"/>
      <c r="BI229" s="91"/>
      <c r="BJ229" s="91"/>
      <c r="BK229" s="91"/>
      <c r="BL229" s="91"/>
      <c r="BM229" s="91"/>
      <c r="BN229" s="91"/>
      <c r="BO229" s="91"/>
      <c r="BP229" s="91"/>
      <c r="BQ229" s="91"/>
      <c r="BR229" s="91"/>
      <c r="BS229" s="91"/>
      <c r="BT229" s="91"/>
      <c r="BU229" s="91"/>
      <c r="BV229" s="91"/>
      <c r="BW229" s="91"/>
      <c r="BX229" s="91"/>
      <c r="BY229" s="91"/>
      <c r="BZ229" s="91"/>
      <c r="CA229" s="91"/>
      <c r="CB229" s="91"/>
      <c r="CC229" s="91"/>
      <c r="CD229" s="91"/>
      <c r="CE229" s="91"/>
      <c r="CF229" s="91"/>
      <c r="CG229" s="91"/>
      <c r="CH229" s="91"/>
      <c r="CI229" s="91"/>
      <c r="CJ229" s="91"/>
      <c r="CK229" s="91"/>
      <c r="CL229" s="91"/>
      <c r="CM229" s="91"/>
      <c r="CN229" s="91"/>
      <c r="CO229" s="91"/>
      <c r="CP229" s="91"/>
      <c r="CQ229" s="91"/>
      <c r="CR229" s="91"/>
      <c r="CS229" s="91"/>
      <c r="CT229" s="91"/>
      <c r="CU229" s="91"/>
      <c r="CV229" s="91"/>
      <c r="CW229" s="91"/>
      <c r="CX229" s="91"/>
      <c r="CY229" s="91"/>
      <c r="CZ229" s="91"/>
      <c r="DA229" s="91"/>
      <c r="DB229" s="91"/>
      <c r="DC229" s="91"/>
      <c r="DD229" s="91"/>
      <c r="DE229" s="91"/>
      <c r="DF229" s="91"/>
      <c r="DG229" s="91"/>
      <c r="DH229" s="91"/>
      <c r="DI229" s="91"/>
      <c r="DJ229" s="91"/>
      <c r="DK229" s="91"/>
      <c r="DL229" s="91"/>
      <c r="DM229" s="91"/>
      <c r="DN229" s="91"/>
      <c r="DO229" s="91"/>
      <c r="DP229" s="91"/>
      <c r="DQ229" s="91"/>
      <c r="DR229" s="91"/>
      <c r="DS229" s="91"/>
      <c r="DT229" s="91"/>
      <c r="DU229" s="91"/>
      <c r="DV229" s="91"/>
      <c r="DW229" s="91"/>
      <c r="DX229" s="91"/>
      <c r="DY229" s="91"/>
      <c r="DZ229" s="91"/>
      <c r="EA229" s="91"/>
      <c r="EB229" s="91"/>
      <c r="EC229" s="91"/>
      <c r="ED229" s="91"/>
      <c r="EE229" s="91"/>
      <c r="EF229" s="91"/>
      <c r="EG229" s="91"/>
      <c r="EH229" s="91"/>
      <c r="EI229" s="91"/>
      <c r="EJ229" s="91"/>
      <c r="EK229" s="91"/>
      <c r="EL229" s="91"/>
      <c r="EM229" s="91"/>
      <c r="EN229" s="91"/>
      <c r="EO229" s="91"/>
      <c r="EP229" s="91"/>
      <c r="EQ229" s="91"/>
      <c r="ER229" s="91"/>
      <c r="ES229" s="91"/>
      <c r="ET229" s="91"/>
      <c r="EU229" s="91"/>
      <c r="EV229" s="91"/>
      <c r="EW229" s="91"/>
      <c r="EX229" s="91"/>
      <c r="EY229" s="91"/>
      <c r="EZ229" s="91"/>
      <c r="FA229" s="91"/>
      <c r="FB229" s="91"/>
      <c r="FC229" s="91"/>
      <c r="FD229" s="91"/>
      <c r="FE229" s="91"/>
      <c r="FF229" s="91"/>
      <c r="FG229" s="91"/>
      <c r="FH229" s="91"/>
      <c r="FI229" s="91"/>
      <c r="FJ229" s="91"/>
      <c r="FK229" s="91"/>
      <c r="FL229" s="91"/>
      <c r="FM229" s="91"/>
      <c r="FN229" s="91"/>
      <c r="FO229" s="91"/>
      <c r="FP229" s="91"/>
      <c r="FQ229" s="91"/>
      <c r="FR229" s="91"/>
      <c r="FS229" s="91"/>
      <c r="FT229" s="91"/>
      <c r="FU229" s="91"/>
      <c r="FV229" s="91"/>
      <c r="FW229" s="91"/>
      <c r="FX229" s="91"/>
      <c r="FY229" s="91"/>
      <c r="FZ229" s="91"/>
      <c r="GA229" s="91"/>
      <c r="GB229" s="91"/>
      <c r="GC229" s="91"/>
      <c r="GD229" s="91"/>
      <c r="GE229" s="91"/>
      <c r="GF229" s="91"/>
      <c r="GG229" s="91"/>
      <c r="GH229" s="91"/>
      <c r="GI229" s="91"/>
      <c r="GJ229" s="91"/>
      <c r="GK229" s="91"/>
      <c r="GL229" s="91"/>
      <c r="GM229" s="91"/>
      <c r="GN229" s="91"/>
      <c r="GO229" s="91"/>
      <c r="GP229" s="91"/>
      <c r="GQ229" s="91"/>
      <c r="GR229" s="91"/>
    </row>
    <row r="230" spans="2:200" x14ac:dyDescent="0.15">
      <c r="B230" s="91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  <c r="AA230" s="91"/>
      <c r="AB230" s="91"/>
      <c r="AC230" s="91"/>
      <c r="AD230" s="91"/>
      <c r="AE230" s="91"/>
      <c r="AF230" s="91"/>
      <c r="AG230" s="91"/>
      <c r="AH230" s="91"/>
      <c r="AI230" s="91"/>
      <c r="AJ230" s="91"/>
      <c r="AK230" s="91"/>
      <c r="AL230" s="91"/>
      <c r="AM230" s="91"/>
      <c r="AN230" s="91"/>
      <c r="AO230" s="91"/>
      <c r="AP230" s="91"/>
      <c r="AQ230" s="91"/>
      <c r="AR230" s="91"/>
      <c r="AS230" s="91"/>
      <c r="AT230" s="91"/>
      <c r="AU230" s="91"/>
      <c r="AV230" s="91"/>
      <c r="AW230" s="91"/>
      <c r="AX230" s="91"/>
      <c r="AY230" s="91"/>
      <c r="AZ230" s="91"/>
      <c r="BA230" s="91"/>
      <c r="BB230" s="91"/>
      <c r="BC230" s="91"/>
      <c r="BD230" s="91"/>
      <c r="BE230" s="91"/>
      <c r="BF230" s="91"/>
      <c r="BG230" s="91"/>
      <c r="BH230" s="91"/>
      <c r="BI230" s="91"/>
      <c r="BJ230" s="91"/>
      <c r="BK230" s="91"/>
      <c r="BL230" s="91"/>
      <c r="BM230" s="91"/>
      <c r="BN230" s="91"/>
      <c r="BO230" s="91"/>
      <c r="BP230" s="91"/>
      <c r="BQ230" s="91"/>
      <c r="BR230" s="91"/>
      <c r="BS230" s="91"/>
      <c r="BT230" s="91"/>
      <c r="BU230" s="91"/>
      <c r="BV230" s="91"/>
      <c r="BW230" s="91"/>
      <c r="BX230" s="91"/>
      <c r="BY230" s="91"/>
      <c r="BZ230" s="91"/>
      <c r="CA230" s="91"/>
      <c r="CB230" s="91"/>
      <c r="CC230" s="91"/>
      <c r="CD230" s="91"/>
      <c r="CE230" s="91"/>
      <c r="CF230" s="91"/>
      <c r="CG230" s="91"/>
      <c r="CH230" s="91"/>
      <c r="CI230" s="91"/>
      <c r="CJ230" s="91"/>
      <c r="CK230" s="91"/>
      <c r="CL230" s="91"/>
      <c r="CM230" s="91"/>
      <c r="CN230" s="91"/>
      <c r="CO230" s="91"/>
      <c r="CP230" s="91"/>
      <c r="CQ230" s="91"/>
      <c r="CR230" s="91"/>
      <c r="CS230" s="91"/>
      <c r="CT230" s="91"/>
      <c r="CU230" s="91"/>
      <c r="CV230" s="91"/>
      <c r="CW230" s="91"/>
      <c r="CX230" s="91"/>
      <c r="CY230" s="91"/>
      <c r="CZ230" s="91"/>
      <c r="DA230" s="91"/>
      <c r="DB230" s="91"/>
      <c r="DC230" s="91"/>
      <c r="DD230" s="91"/>
      <c r="DE230" s="91"/>
      <c r="DF230" s="91"/>
      <c r="DG230" s="91"/>
      <c r="DH230" s="91"/>
      <c r="DI230" s="91"/>
      <c r="DJ230" s="91"/>
      <c r="DK230" s="91"/>
      <c r="DL230" s="91"/>
      <c r="DM230" s="91"/>
      <c r="DN230" s="91"/>
      <c r="DO230" s="91"/>
      <c r="DP230" s="91"/>
      <c r="DQ230" s="91"/>
      <c r="DR230" s="91"/>
      <c r="DS230" s="91"/>
      <c r="DT230" s="91"/>
      <c r="DU230" s="91"/>
      <c r="DV230" s="91"/>
      <c r="DW230" s="91"/>
      <c r="DX230" s="91"/>
      <c r="DY230" s="91"/>
      <c r="DZ230" s="91"/>
      <c r="EA230" s="91"/>
      <c r="EB230" s="91"/>
      <c r="EC230" s="91"/>
      <c r="ED230" s="91"/>
      <c r="EE230" s="91"/>
      <c r="EF230" s="91"/>
      <c r="EG230" s="91"/>
      <c r="EH230" s="91"/>
      <c r="EI230" s="91"/>
      <c r="EJ230" s="91"/>
      <c r="EK230" s="91"/>
      <c r="EL230" s="91"/>
      <c r="EM230" s="91"/>
      <c r="EN230" s="91"/>
      <c r="EO230" s="91"/>
      <c r="EP230" s="91"/>
      <c r="EQ230" s="91"/>
      <c r="ER230" s="91"/>
      <c r="ES230" s="91"/>
      <c r="ET230" s="91"/>
      <c r="EU230" s="91"/>
      <c r="EV230" s="91"/>
      <c r="EW230" s="91"/>
      <c r="EX230" s="91"/>
      <c r="EY230" s="91"/>
      <c r="EZ230" s="91"/>
      <c r="FA230" s="91"/>
      <c r="FB230" s="91"/>
      <c r="FC230" s="91"/>
      <c r="FD230" s="91"/>
      <c r="FE230" s="91"/>
      <c r="FF230" s="91"/>
      <c r="FG230" s="91"/>
      <c r="FH230" s="91"/>
      <c r="FI230" s="91"/>
      <c r="FJ230" s="91"/>
      <c r="FK230" s="91"/>
      <c r="FL230" s="91"/>
      <c r="FM230" s="91"/>
      <c r="FN230" s="91"/>
      <c r="FO230" s="91"/>
      <c r="FP230" s="91"/>
      <c r="FQ230" s="91"/>
      <c r="FR230" s="91"/>
      <c r="FS230" s="91"/>
      <c r="FT230" s="91"/>
      <c r="FU230" s="91"/>
      <c r="FV230" s="91"/>
      <c r="FW230" s="91"/>
      <c r="FX230" s="91"/>
      <c r="FY230" s="91"/>
      <c r="FZ230" s="91"/>
      <c r="GA230" s="91"/>
      <c r="GB230" s="91"/>
      <c r="GC230" s="91"/>
      <c r="GD230" s="91"/>
      <c r="GE230" s="91"/>
      <c r="GF230" s="91"/>
      <c r="GG230" s="91"/>
      <c r="GH230" s="91"/>
      <c r="GI230" s="91"/>
      <c r="GJ230" s="91"/>
      <c r="GK230" s="91"/>
      <c r="GL230" s="91"/>
      <c r="GM230" s="91"/>
      <c r="GN230" s="91"/>
      <c r="GO230" s="91"/>
      <c r="GP230" s="91"/>
      <c r="GQ230" s="91"/>
      <c r="GR230" s="91"/>
    </row>
    <row r="231" spans="2:200" x14ac:dyDescent="0.15"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  <c r="AA231" s="91"/>
      <c r="AB231" s="91"/>
      <c r="AC231" s="91"/>
      <c r="AD231" s="91"/>
      <c r="AE231" s="91"/>
      <c r="AF231" s="91"/>
      <c r="AG231" s="91"/>
      <c r="AH231" s="91"/>
      <c r="AI231" s="91"/>
      <c r="AJ231" s="91"/>
      <c r="AK231" s="91"/>
      <c r="AL231" s="91"/>
      <c r="AM231" s="91"/>
      <c r="AN231" s="91"/>
      <c r="AO231" s="91"/>
      <c r="AP231" s="91"/>
      <c r="AQ231" s="91"/>
      <c r="AR231" s="91"/>
      <c r="AS231" s="91"/>
      <c r="AT231" s="91"/>
      <c r="AU231" s="91"/>
      <c r="AV231" s="91"/>
      <c r="AW231" s="91"/>
      <c r="AX231" s="91"/>
      <c r="AY231" s="91"/>
      <c r="AZ231" s="91"/>
      <c r="BA231" s="91"/>
      <c r="BB231" s="91"/>
      <c r="BC231" s="91"/>
      <c r="BD231" s="91"/>
      <c r="BE231" s="91"/>
      <c r="BF231" s="91"/>
      <c r="BG231" s="91"/>
      <c r="BH231" s="91"/>
      <c r="BI231" s="91"/>
      <c r="BJ231" s="91"/>
      <c r="BK231" s="91"/>
      <c r="BL231" s="91"/>
      <c r="BM231" s="91"/>
      <c r="BN231" s="91"/>
      <c r="BO231" s="91"/>
      <c r="BP231" s="91"/>
      <c r="BQ231" s="91"/>
      <c r="BR231" s="91"/>
      <c r="BS231" s="91"/>
      <c r="BT231" s="91"/>
      <c r="BU231" s="91"/>
      <c r="BV231" s="91"/>
      <c r="BW231" s="91"/>
      <c r="BX231" s="91"/>
      <c r="BY231" s="91"/>
      <c r="BZ231" s="91"/>
      <c r="CA231" s="91"/>
      <c r="CB231" s="91"/>
      <c r="CC231" s="91"/>
      <c r="CD231" s="91"/>
      <c r="CE231" s="91"/>
      <c r="CF231" s="91"/>
      <c r="CG231" s="91"/>
      <c r="CH231" s="91"/>
      <c r="CI231" s="91"/>
      <c r="CJ231" s="91"/>
      <c r="CK231" s="91"/>
      <c r="CL231" s="91"/>
      <c r="CM231" s="91"/>
      <c r="CN231" s="91"/>
      <c r="CO231" s="91"/>
      <c r="CP231" s="91"/>
      <c r="CQ231" s="91"/>
      <c r="CR231" s="91"/>
      <c r="CS231" s="91"/>
      <c r="CT231" s="91"/>
      <c r="CU231" s="91"/>
      <c r="CV231" s="91"/>
      <c r="CW231" s="91"/>
      <c r="CX231" s="91"/>
      <c r="CY231" s="91"/>
      <c r="CZ231" s="91"/>
      <c r="DA231" s="91"/>
      <c r="DB231" s="91"/>
      <c r="DC231" s="91"/>
      <c r="DD231" s="91"/>
      <c r="DE231" s="91"/>
      <c r="DF231" s="91"/>
      <c r="DG231" s="91"/>
      <c r="DH231" s="91"/>
      <c r="DI231" s="91"/>
      <c r="DJ231" s="91"/>
      <c r="DK231" s="91"/>
      <c r="DL231" s="91"/>
      <c r="DM231" s="91"/>
      <c r="DN231" s="91"/>
      <c r="DO231" s="91"/>
      <c r="DP231" s="91"/>
      <c r="DQ231" s="91"/>
      <c r="DR231" s="91"/>
      <c r="DS231" s="91"/>
      <c r="DT231" s="91"/>
      <c r="DU231" s="91"/>
      <c r="DV231" s="91"/>
      <c r="DW231" s="91"/>
      <c r="DX231" s="91"/>
      <c r="DY231" s="91"/>
      <c r="DZ231" s="91"/>
      <c r="EA231" s="91"/>
      <c r="EB231" s="91"/>
      <c r="EC231" s="91"/>
      <c r="ED231" s="91"/>
      <c r="EE231" s="91"/>
      <c r="EF231" s="91"/>
      <c r="EG231" s="91"/>
      <c r="EH231" s="91"/>
      <c r="EI231" s="91"/>
      <c r="EJ231" s="91"/>
      <c r="EK231" s="91"/>
      <c r="EL231" s="91"/>
      <c r="EM231" s="91"/>
      <c r="EN231" s="91"/>
      <c r="EO231" s="91"/>
      <c r="EP231" s="91"/>
      <c r="EQ231" s="91"/>
      <c r="ER231" s="91"/>
      <c r="ES231" s="91"/>
      <c r="ET231" s="91"/>
      <c r="EU231" s="91"/>
      <c r="EV231" s="91"/>
      <c r="EW231" s="91"/>
      <c r="EX231" s="91"/>
      <c r="EY231" s="91"/>
      <c r="EZ231" s="91"/>
      <c r="FA231" s="91"/>
      <c r="FB231" s="91"/>
      <c r="FC231" s="91"/>
      <c r="FD231" s="91"/>
      <c r="FE231" s="91"/>
      <c r="FF231" s="91"/>
      <c r="FG231" s="91"/>
      <c r="FH231" s="91"/>
      <c r="FI231" s="91"/>
      <c r="FJ231" s="91"/>
      <c r="FK231" s="91"/>
      <c r="FL231" s="91"/>
      <c r="FM231" s="91"/>
      <c r="FN231" s="91"/>
      <c r="FO231" s="91"/>
      <c r="FP231" s="91"/>
      <c r="FQ231" s="91"/>
      <c r="FR231" s="91"/>
      <c r="FS231" s="91"/>
      <c r="FT231" s="91"/>
      <c r="FU231" s="91"/>
      <c r="FV231" s="91"/>
      <c r="FW231" s="91"/>
      <c r="FX231" s="91"/>
      <c r="FY231" s="91"/>
      <c r="FZ231" s="91"/>
      <c r="GA231" s="91"/>
      <c r="GB231" s="91"/>
      <c r="GC231" s="91"/>
      <c r="GD231" s="91"/>
      <c r="GE231" s="91"/>
      <c r="GF231" s="91"/>
      <c r="GG231" s="91"/>
      <c r="GH231" s="91"/>
      <c r="GI231" s="91"/>
      <c r="GJ231" s="91"/>
      <c r="GK231" s="91"/>
      <c r="GL231" s="91"/>
      <c r="GM231" s="91"/>
      <c r="GN231" s="91"/>
      <c r="GO231" s="91"/>
      <c r="GP231" s="91"/>
      <c r="GQ231" s="91"/>
      <c r="GR231" s="91"/>
    </row>
    <row r="232" spans="2:200" x14ac:dyDescent="0.15">
      <c r="B232" s="91"/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  <c r="AA232" s="91"/>
      <c r="AB232" s="91"/>
      <c r="AC232" s="91"/>
      <c r="AD232" s="91"/>
      <c r="AE232" s="91"/>
      <c r="AF232" s="91"/>
      <c r="AG232" s="91"/>
      <c r="AH232" s="91"/>
      <c r="AI232" s="91"/>
      <c r="AJ232" s="91"/>
      <c r="AK232" s="91"/>
      <c r="AL232" s="91"/>
      <c r="AM232" s="91"/>
      <c r="AN232" s="91"/>
      <c r="AO232" s="91"/>
      <c r="AP232" s="91"/>
      <c r="AQ232" s="91"/>
      <c r="AR232" s="91"/>
      <c r="AS232" s="91"/>
      <c r="AT232" s="91"/>
      <c r="AU232" s="91"/>
      <c r="AV232" s="91"/>
      <c r="AW232" s="91"/>
      <c r="AX232" s="91"/>
      <c r="AY232" s="91"/>
      <c r="AZ232" s="91"/>
      <c r="BA232" s="91"/>
      <c r="BB232" s="91"/>
      <c r="BC232" s="91"/>
      <c r="BD232" s="91"/>
      <c r="BE232" s="91"/>
      <c r="BF232" s="91"/>
      <c r="BG232" s="91"/>
      <c r="BH232" s="91"/>
      <c r="BI232" s="91"/>
      <c r="BJ232" s="91"/>
      <c r="BK232" s="91"/>
      <c r="BL232" s="91"/>
      <c r="BM232" s="91"/>
      <c r="BN232" s="91"/>
      <c r="BO232" s="91"/>
      <c r="BP232" s="91"/>
      <c r="BQ232" s="91"/>
      <c r="BR232" s="91"/>
      <c r="BS232" s="91"/>
      <c r="BT232" s="91"/>
      <c r="BU232" s="91"/>
      <c r="BV232" s="91"/>
      <c r="BW232" s="91"/>
      <c r="BX232" s="91"/>
      <c r="BY232" s="91"/>
      <c r="BZ232" s="91"/>
      <c r="CA232" s="91"/>
      <c r="CB232" s="91"/>
      <c r="CC232" s="91"/>
      <c r="CD232" s="91"/>
      <c r="CE232" s="91"/>
      <c r="CF232" s="91"/>
      <c r="CG232" s="91"/>
      <c r="CH232" s="91"/>
      <c r="CI232" s="91"/>
      <c r="CJ232" s="91"/>
      <c r="CK232" s="91"/>
      <c r="CL232" s="91"/>
      <c r="CM232" s="91"/>
      <c r="CN232" s="91"/>
      <c r="CO232" s="91"/>
      <c r="CP232" s="91"/>
      <c r="CQ232" s="91"/>
      <c r="CR232" s="91"/>
      <c r="CS232" s="91"/>
      <c r="CT232" s="91"/>
      <c r="CU232" s="91"/>
      <c r="CV232" s="91"/>
      <c r="CW232" s="91"/>
      <c r="CX232" s="91"/>
      <c r="CY232" s="91"/>
      <c r="CZ232" s="91"/>
      <c r="DA232" s="91"/>
      <c r="DB232" s="91"/>
      <c r="DC232" s="91"/>
      <c r="DD232" s="91"/>
      <c r="DE232" s="91"/>
      <c r="DF232" s="91"/>
      <c r="DG232" s="91"/>
      <c r="DH232" s="91"/>
      <c r="DI232" s="91"/>
      <c r="DJ232" s="91"/>
      <c r="DK232" s="91"/>
      <c r="DL232" s="91"/>
      <c r="DM232" s="91"/>
      <c r="DN232" s="91"/>
      <c r="DO232" s="91"/>
      <c r="DP232" s="91"/>
      <c r="DQ232" s="91"/>
      <c r="DR232" s="91"/>
      <c r="DS232" s="91"/>
      <c r="DT232" s="91"/>
      <c r="DU232" s="91"/>
      <c r="DV232" s="91"/>
      <c r="DW232" s="91"/>
      <c r="DX232" s="91"/>
      <c r="DY232" s="91"/>
      <c r="DZ232" s="91"/>
      <c r="EA232" s="91"/>
      <c r="EB232" s="91"/>
      <c r="EC232" s="91"/>
      <c r="ED232" s="91"/>
      <c r="EE232" s="91"/>
      <c r="EF232" s="91"/>
      <c r="EG232" s="91"/>
      <c r="EH232" s="91"/>
      <c r="EI232" s="91"/>
      <c r="EJ232" s="91"/>
      <c r="EK232" s="91"/>
      <c r="EL232" s="91"/>
      <c r="EM232" s="91"/>
      <c r="EN232" s="91"/>
      <c r="EO232" s="91"/>
      <c r="EP232" s="91"/>
      <c r="EQ232" s="91"/>
      <c r="ER232" s="91"/>
      <c r="ES232" s="91"/>
      <c r="ET232" s="91"/>
      <c r="EU232" s="91"/>
      <c r="EV232" s="91"/>
      <c r="EW232" s="91"/>
      <c r="EX232" s="91"/>
      <c r="EY232" s="91"/>
      <c r="EZ232" s="91"/>
      <c r="FA232" s="91"/>
      <c r="FB232" s="91"/>
      <c r="FC232" s="91"/>
      <c r="FD232" s="91"/>
      <c r="FE232" s="91"/>
      <c r="FF232" s="91"/>
      <c r="FG232" s="91"/>
      <c r="FH232" s="91"/>
      <c r="FI232" s="91"/>
      <c r="FJ232" s="91"/>
      <c r="FK232" s="91"/>
      <c r="FL232" s="91"/>
      <c r="FM232" s="91"/>
      <c r="FN232" s="91"/>
      <c r="FO232" s="91"/>
      <c r="FP232" s="91"/>
      <c r="FQ232" s="91"/>
      <c r="FR232" s="91"/>
      <c r="FS232" s="91"/>
      <c r="FT232" s="91"/>
      <c r="FU232" s="91"/>
      <c r="FV232" s="91"/>
      <c r="FW232" s="91"/>
      <c r="FX232" s="91"/>
      <c r="FY232" s="91"/>
      <c r="FZ232" s="91"/>
      <c r="GA232" s="91"/>
      <c r="GB232" s="91"/>
      <c r="GC232" s="91"/>
      <c r="GD232" s="91"/>
      <c r="GE232" s="91"/>
      <c r="GF232" s="91"/>
      <c r="GG232" s="91"/>
      <c r="GH232" s="91"/>
      <c r="GI232" s="91"/>
      <c r="GJ232" s="91"/>
      <c r="GK232" s="91"/>
      <c r="GL232" s="91"/>
      <c r="GM232" s="91"/>
      <c r="GN232" s="91"/>
      <c r="GO232" s="91"/>
      <c r="GP232" s="91"/>
      <c r="GQ232" s="91"/>
      <c r="GR232" s="91"/>
    </row>
    <row r="233" spans="2:200" x14ac:dyDescent="0.15">
      <c r="B233" s="91"/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  <c r="AA233" s="91"/>
      <c r="AB233" s="91"/>
      <c r="AC233" s="91"/>
      <c r="AD233" s="91"/>
      <c r="AE233" s="91"/>
      <c r="AF233" s="91"/>
      <c r="AG233" s="91"/>
      <c r="AH233" s="91"/>
      <c r="AI233" s="91"/>
      <c r="AJ233" s="91"/>
      <c r="AK233" s="91"/>
      <c r="AL233" s="91"/>
      <c r="AM233" s="91"/>
      <c r="AN233" s="91"/>
      <c r="AO233" s="91"/>
      <c r="AP233" s="91"/>
      <c r="AQ233" s="91"/>
      <c r="AR233" s="91"/>
      <c r="AS233" s="91"/>
      <c r="AT233" s="91"/>
      <c r="AU233" s="91"/>
      <c r="AV233" s="91"/>
      <c r="AW233" s="91"/>
      <c r="AX233" s="91"/>
      <c r="AY233" s="91"/>
      <c r="AZ233" s="91"/>
      <c r="BA233" s="91"/>
      <c r="BB233" s="91"/>
      <c r="BC233" s="91"/>
      <c r="BD233" s="91"/>
      <c r="BE233" s="91"/>
      <c r="BF233" s="91"/>
      <c r="BG233" s="91"/>
      <c r="BH233" s="91"/>
      <c r="BI233" s="91"/>
      <c r="BJ233" s="91"/>
      <c r="BK233" s="91"/>
      <c r="BL233" s="91"/>
      <c r="BM233" s="91"/>
      <c r="BN233" s="91"/>
      <c r="BO233" s="91"/>
      <c r="BP233" s="91"/>
      <c r="BQ233" s="91"/>
      <c r="BR233" s="91"/>
      <c r="BS233" s="91"/>
      <c r="BT233" s="91"/>
      <c r="BU233" s="91"/>
      <c r="BV233" s="91"/>
      <c r="BW233" s="91"/>
      <c r="BX233" s="91"/>
      <c r="BY233" s="91"/>
      <c r="BZ233" s="91"/>
      <c r="CA233" s="91"/>
      <c r="CB233" s="91"/>
      <c r="CC233" s="91"/>
      <c r="CD233" s="91"/>
      <c r="CE233" s="91"/>
      <c r="CF233" s="91"/>
      <c r="CG233" s="91"/>
      <c r="CH233" s="91"/>
      <c r="CI233" s="91"/>
      <c r="CJ233" s="91"/>
      <c r="CK233" s="91"/>
      <c r="CL233" s="91"/>
      <c r="CM233" s="91"/>
      <c r="CN233" s="91"/>
      <c r="CO233" s="91"/>
      <c r="CP233" s="91"/>
      <c r="CQ233" s="91"/>
      <c r="CR233" s="91"/>
      <c r="CS233" s="91"/>
      <c r="CT233" s="91"/>
      <c r="CU233" s="91"/>
      <c r="CV233" s="91"/>
      <c r="CW233" s="91"/>
      <c r="CX233" s="91"/>
      <c r="CY233" s="91"/>
      <c r="CZ233" s="91"/>
      <c r="DA233" s="91"/>
      <c r="DB233" s="91"/>
      <c r="DC233" s="91"/>
      <c r="DD233" s="91"/>
      <c r="DE233" s="91"/>
      <c r="DF233" s="91"/>
      <c r="DG233" s="91"/>
      <c r="DH233" s="91"/>
      <c r="DI233" s="91"/>
      <c r="DJ233" s="91"/>
      <c r="DK233" s="91"/>
      <c r="DL233" s="91"/>
      <c r="DM233" s="91"/>
      <c r="DN233" s="91"/>
      <c r="DO233" s="91"/>
      <c r="DP233" s="91"/>
      <c r="DQ233" s="91"/>
      <c r="DR233" s="91"/>
      <c r="DS233" s="91"/>
      <c r="DT233" s="91"/>
      <c r="DU233" s="91"/>
      <c r="DV233" s="91"/>
      <c r="DW233" s="91"/>
      <c r="DX233" s="91"/>
      <c r="DY233" s="91"/>
      <c r="DZ233" s="91"/>
      <c r="EA233" s="91"/>
      <c r="EB233" s="91"/>
      <c r="EC233" s="91"/>
      <c r="ED233" s="91"/>
      <c r="EE233" s="91"/>
      <c r="EF233" s="91"/>
      <c r="EG233" s="91"/>
      <c r="EH233" s="91"/>
      <c r="EI233" s="91"/>
      <c r="EJ233" s="91"/>
      <c r="EK233" s="91"/>
      <c r="EL233" s="91"/>
      <c r="EM233" s="91"/>
      <c r="EN233" s="91"/>
      <c r="EO233" s="91"/>
      <c r="EP233" s="91"/>
      <c r="EQ233" s="91"/>
      <c r="ER233" s="91"/>
      <c r="ES233" s="91"/>
      <c r="ET233" s="91"/>
      <c r="EU233" s="91"/>
      <c r="EV233" s="91"/>
      <c r="EW233" s="91"/>
      <c r="EX233" s="91"/>
      <c r="EY233" s="91"/>
      <c r="EZ233" s="91"/>
      <c r="FA233" s="91"/>
      <c r="FB233" s="91"/>
      <c r="FC233" s="91"/>
      <c r="FD233" s="91"/>
      <c r="FE233" s="91"/>
      <c r="FF233" s="91"/>
      <c r="FG233" s="91"/>
      <c r="FH233" s="91"/>
      <c r="FI233" s="91"/>
      <c r="FJ233" s="91"/>
      <c r="FK233" s="91"/>
      <c r="FL233" s="91"/>
      <c r="FM233" s="91"/>
      <c r="FN233" s="91"/>
      <c r="FO233" s="91"/>
      <c r="FP233" s="91"/>
      <c r="FQ233" s="91"/>
      <c r="FR233" s="91"/>
      <c r="FS233" s="91"/>
      <c r="FT233" s="91"/>
      <c r="FU233" s="91"/>
      <c r="FV233" s="91"/>
      <c r="FW233" s="91"/>
      <c r="FX233" s="91"/>
      <c r="FY233" s="91"/>
      <c r="FZ233" s="91"/>
      <c r="GA233" s="91"/>
      <c r="GB233" s="91"/>
      <c r="GC233" s="91"/>
      <c r="GD233" s="91"/>
      <c r="GE233" s="91"/>
      <c r="GF233" s="91"/>
      <c r="GG233" s="91"/>
      <c r="GH233" s="91"/>
      <c r="GI233" s="91"/>
      <c r="GJ233" s="91"/>
      <c r="GK233" s="91"/>
      <c r="GL233" s="91"/>
      <c r="GM233" s="91"/>
      <c r="GN233" s="91"/>
      <c r="GO233" s="91"/>
      <c r="GP233" s="91"/>
      <c r="GQ233" s="91"/>
      <c r="GR233" s="91"/>
    </row>
    <row r="234" spans="2:200" x14ac:dyDescent="0.15">
      <c r="B234" s="91"/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  <c r="AD234" s="91"/>
      <c r="AE234" s="91"/>
      <c r="AF234" s="91"/>
      <c r="AG234" s="91"/>
      <c r="AH234" s="91"/>
      <c r="AI234" s="91"/>
      <c r="AJ234" s="91"/>
      <c r="AK234" s="91"/>
      <c r="AL234" s="91"/>
      <c r="AM234" s="91"/>
      <c r="AN234" s="91"/>
      <c r="AO234" s="91"/>
      <c r="AP234" s="91"/>
      <c r="AQ234" s="91"/>
      <c r="AR234" s="91"/>
      <c r="AS234" s="91"/>
      <c r="AT234" s="91"/>
      <c r="AU234" s="91"/>
      <c r="AV234" s="91"/>
      <c r="AW234" s="91"/>
      <c r="AX234" s="91"/>
      <c r="AY234" s="91"/>
      <c r="AZ234" s="91"/>
      <c r="BA234" s="91"/>
      <c r="BB234" s="91"/>
      <c r="BC234" s="91"/>
      <c r="BD234" s="91"/>
      <c r="BE234" s="91"/>
      <c r="BF234" s="91"/>
      <c r="BG234" s="91"/>
      <c r="BH234" s="91"/>
      <c r="BI234" s="91"/>
      <c r="BJ234" s="91"/>
      <c r="BK234" s="91"/>
      <c r="BL234" s="91"/>
      <c r="BM234" s="91"/>
      <c r="BN234" s="91"/>
      <c r="BO234" s="91"/>
      <c r="BP234" s="91"/>
      <c r="BQ234" s="91"/>
      <c r="BR234" s="91"/>
      <c r="BS234" s="91"/>
      <c r="BT234" s="91"/>
      <c r="BU234" s="91"/>
      <c r="BV234" s="91"/>
      <c r="BW234" s="91"/>
      <c r="BX234" s="91"/>
      <c r="BY234" s="91"/>
      <c r="BZ234" s="91"/>
      <c r="CA234" s="91"/>
      <c r="CB234" s="91"/>
      <c r="CC234" s="91"/>
      <c r="CD234" s="91"/>
      <c r="CE234" s="91"/>
      <c r="CF234" s="91"/>
      <c r="CG234" s="91"/>
      <c r="CH234" s="91"/>
      <c r="CI234" s="91"/>
      <c r="CJ234" s="91"/>
      <c r="CK234" s="91"/>
      <c r="CL234" s="91"/>
      <c r="CM234" s="91"/>
      <c r="CN234" s="91"/>
      <c r="CO234" s="91"/>
      <c r="CP234" s="91"/>
      <c r="CQ234" s="91"/>
      <c r="CR234" s="91"/>
      <c r="CS234" s="91"/>
      <c r="CT234" s="91"/>
      <c r="CU234" s="91"/>
      <c r="CV234" s="91"/>
      <c r="CW234" s="91"/>
      <c r="CX234" s="91"/>
      <c r="CY234" s="91"/>
      <c r="CZ234" s="91"/>
      <c r="DA234" s="91"/>
      <c r="DB234" s="91"/>
      <c r="DC234" s="91"/>
      <c r="DD234" s="91"/>
      <c r="DE234" s="91"/>
      <c r="DF234" s="91"/>
      <c r="DG234" s="91"/>
      <c r="DH234" s="91"/>
      <c r="DI234" s="91"/>
      <c r="DJ234" s="91"/>
      <c r="DK234" s="91"/>
      <c r="DL234" s="91"/>
      <c r="DM234" s="91"/>
      <c r="DN234" s="91"/>
      <c r="DO234" s="91"/>
      <c r="DP234" s="91"/>
      <c r="DQ234" s="91"/>
      <c r="DR234" s="91"/>
      <c r="DS234" s="91"/>
      <c r="DT234" s="91"/>
      <c r="DU234" s="91"/>
      <c r="DV234" s="91"/>
      <c r="DW234" s="91"/>
      <c r="DX234" s="91"/>
      <c r="DY234" s="91"/>
      <c r="DZ234" s="91"/>
      <c r="EA234" s="91"/>
      <c r="EB234" s="91"/>
      <c r="EC234" s="91"/>
      <c r="ED234" s="91"/>
      <c r="EE234" s="91"/>
      <c r="EF234" s="91"/>
      <c r="EG234" s="91"/>
      <c r="EH234" s="91"/>
      <c r="EI234" s="91"/>
      <c r="EJ234" s="91"/>
      <c r="EK234" s="91"/>
      <c r="EL234" s="91"/>
      <c r="EM234" s="91"/>
      <c r="EN234" s="91"/>
      <c r="EO234" s="91"/>
      <c r="EP234" s="91"/>
      <c r="EQ234" s="91"/>
      <c r="ER234" s="91"/>
      <c r="ES234" s="91"/>
      <c r="ET234" s="91"/>
      <c r="EU234" s="91"/>
      <c r="EV234" s="91"/>
      <c r="EW234" s="91"/>
      <c r="EX234" s="91"/>
      <c r="EY234" s="91"/>
      <c r="EZ234" s="91"/>
      <c r="FA234" s="91"/>
      <c r="FB234" s="91"/>
      <c r="FC234" s="91"/>
      <c r="FD234" s="91"/>
      <c r="FE234" s="91"/>
      <c r="FF234" s="91"/>
      <c r="FG234" s="91"/>
      <c r="FH234" s="91"/>
      <c r="FI234" s="91"/>
      <c r="FJ234" s="91"/>
      <c r="FK234" s="91"/>
      <c r="FL234" s="91"/>
      <c r="FM234" s="91"/>
      <c r="FN234" s="91"/>
      <c r="FO234" s="91"/>
      <c r="FP234" s="91"/>
      <c r="FQ234" s="91"/>
      <c r="FR234" s="91"/>
      <c r="FS234" s="91"/>
      <c r="FT234" s="91"/>
      <c r="FU234" s="91"/>
      <c r="FV234" s="91"/>
      <c r="FW234" s="91"/>
      <c r="FX234" s="91"/>
      <c r="FY234" s="91"/>
      <c r="FZ234" s="91"/>
      <c r="GA234" s="91"/>
      <c r="GB234" s="91"/>
      <c r="GC234" s="91"/>
      <c r="GD234" s="91"/>
      <c r="GE234" s="91"/>
      <c r="GF234" s="91"/>
      <c r="GG234" s="91"/>
      <c r="GH234" s="91"/>
      <c r="GI234" s="91"/>
      <c r="GJ234" s="91"/>
      <c r="GK234" s="91"/>
      <c r="GL234" s="91"/>
      <c r="GM234" s="91"/>
      <c r="GN234" s="91"/>
      <c r="GO234" s="91"/>
      <c r="GP234" s="91"/>
      <c r="GQ234" s="91"/>
      <c r="GR234" s="91"/>
    </row>
    <row r="235" spans="2:200" x14ac:dyDescent="0.15"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  <c r="AD235" s="91"/>
      <c r="AE235" s="91"/>
      <c r="AF235" s="91"/>
      <c r="AG235" s="91"/>
      <c r="AH235" s="91"/>
      <c r="AI235" s="91"/>
      <c r="AJ235" s="91"/>
      <c r="AK235" s="91"/>
      <c r="AL235" s="91"/>
      <c r="AM235" s="91"/>
      <c r="AN235" s="91"/>
      <c r="AO235" s="91"/>
      <c r="AP235" s="91"/>
      <c r="AQ235" s="91"/>
      <c r="AR235" s="91"/>
      <c r="AS235" s="91"/>
      <c r="AT235" s="91"/>
      <c r="AU235" s="91"/>
      <c r="AV235" s="91"/>
      <c r="AW235" s="91"/>
      <c r="AX235" s="91"/>
      <c r="AY235" s="91"/>
      <c r="AZ235" s="91"/>
      <c r="BA235" s="91"/>
      <c r="BB235" s="91"/>
      <c r="BC235" s="91"/>
      <c r="BD235" s="91"/>
      <c r="BE235" s="91"/>
      <c r="BF235" s="91"/>
      <c r="BG235" s="91"/>
      <c r="BH235" s="91"/>
      <c r="BI235" s="91"/>
      <c r="BJ235" s="91"/>
      <c r="BK235" s="91"/>
      <c r="BL235" s="91"/>
      <c r="BM235" s="91"/>
      <c r="BN235" s="91"/>
      <c r="BO235" s="91"/>
      <c r="BP235" s="91"/>
      <c r="BQ235" s="91"/>
      <c r="BR235" s="91"/>
      <c r="BS235" s="91"/>
      <c r="BT235" s="91"/>
      <c r="BU235" s="91"/>
      <c r="BV235" s="91"/>
      <c r="BW235" s="91"/>
      <c r="BX235" s="91"/>
      <c r="BY235" s="91"/>
      <c r="BZ235" s="91"/>
      <c r="CA235" s="91"/>
      <c r="CB235" s="91"/>
      <c r="CC235" s="91"/>
      <c r="CD235" s="91"/>
      <c r="CE235" s="91"/>
      <c r="CF235" s="91"/>
      <c r="CG235" s="91"/>
      <c r="CH235" s="91"/>
      <c r="CI235" s="91"/>
      <c r="CJ235" s="91"/>
      <c r="CK235" s="91"/>
      <c r="CL235" s="91"/>
      <c r="CM235" s="91"/>
      <c r="CN235" s="91"/>
      <c r="CO235" s="91"/>
      <c r="CP235" s="91"/>
      <c r="CQ235" s="91"/>
      <c r="CR235" s="91"/>
      <c r="CS235" s="91"/>
      <c r="CT235" s="91"/>
      <c r="CU235" s="91"/>
      <c r="CV235" s="91"/>
      <c r="CW235" s="91"/>
      <c r="CX235" s="91"/>
      <c r="CY235" s="91"/>
      <c r="CZ235" s="91"/>
      <c r="DA235" s="91"/>
      <c r="DB235" s="91"/>
      <c r="DC235" s="91"/>
      <c r="DD235" s="91"/>
      <c r="DE235" s="91"/>
      <c r="DF235" s="91"/>
      <c r="DG235" s="91"/>
      <c r="DH235" s="91"/>
      <c r="DI235" s="91"/>
      <c r="DJ235" s="91"/>
      <c r="DK235" s="91"/>
      <c r="DL235" s="91"/>
      <c r="DM235" s="91"/>
      <c r="DN235" s="91"/>
      <c r="DO235" s="91"/>
      <c r="DP235" s="91"/>
      <c r="DQ235" s="91"/>
      <c r="DR235" s="91"/>
      <c r="DS235" s="91"/>
      <c r="DT235" s="91"/>
      <c r="DU235" s="91"/>
      <c r="DV235" s="91"/>
      <c r="DW235" s="91"/>
      <c r="DX235" s="91"/>
      <c r="DY235" s="91"/>
      <c r="DZ235" s="91"/>
      <c r="EA235" s="91"/>
      <c r="EB235" s="91"/>
      <c r="EC235" s="91"/>
      <c r="ED235" s="91"/>
      <c r="EE235" s="91"/>
      <c r="EF235" s="91"/>
      <c r="EG235" s="91"/>
      <c r="EH235" s="91"/>
      <c r="EI235" s="91"/>
      <c r="EJ235" s="91"/>
      <c r="EK235" s="91"/>
      <c r="EL235" s="91"/>
      <c r="EM235" s="91"/>
      <c r="EN235" s="91"/>
      <c r="EO235" s="91"/>
      <c r="EP235" s="91"/>
      <c r="EQ235" s="91"/>
      <c r="ER235" s="91"/>
      <c r="ES235" s="91"/>
      <c r="ET235" s="91"/>
      <c r="EU235" s="91"/>
      <c r="EV235" s="91"/>
      <c r="EW235" s="91"/>
      <c r="EX235" s="91"/>
      <c r="EY235" s="91"/>
      <c r="EZ235" s="91"/>
      <c r="FA235" s="91"/>
      <c r="FB235" s="91"/>
      <c r="FC235" s="91"/>
      <c r="FD235" s="91"/>
      <c r="FE235" s="91"/>
      <c r="FF235" s="91"/>
      <c r="FG235" s="91"/>
      <c r="FH235" s="91"/>
      <c r="FI235" s="91"/>
      <c r="FJ235" s="91"/>
      <c r="FK235" s="91"/>
      <c r="FL235" s="91"/>
      <c r="FM235" s="91"/>
      <c r="FN235" s="91"/>
      <c r="FO235" s="91"/>
      <c r="FP235" s="91"/>
      <c r="FQ235" s="91"/>
      <c r="FR235" s="91"/>
      <c r="FS235" s="91"/>
      <c r="FT235" s="91"/>
      <c r="FU235" s="91"/>
      <c r="FV235" s="91"/>
      <c r="FW235" s="91"/>
      <c r="FX235" s="91"/>
      <c r="FY235" s="91"/>
      <c r="FZ235" s="91"/>
      <c r="GA235" s="91"/>
      <c r="GB235" s="91"/>
      <c r="GC235" s="91"/>
      <c r="GD235" s="91"/>
      <c r="GE235" s="91"/>
      <c r="GF235" s="91"/>
      <c r="GG235" s="91"/>
      <c r="GH235" s="91"/>
      <c r="GI235" s="91"/>
      <c r="GJ235" s="91"/>
      <c r="GK235" s="91"/>
      <c r="GL235" s="91"/>
      <c r="GM235" s="91"/>
      <c r="GN235" s="91"/>
      <c r="GO235" s="91"/>
      <c r="GP235" s="91"/>
      <c r="GQ235" s="91"/>
      <c r="GR235" s="91"/>
    </row>
    <row r="236" spans="2:200" x14ac:dyDescent="0.15"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1"/>
      <c r="AN236" s="91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91"/>
      <c r="AZ236" s="91"/>
      <c r="BA236" s="91"/>
      <c r="BB236" s="91"/>
      <c r="BC236" s="91"/>
      <c r="BD236" s="91"/>
      <c r="BE236" s="91"/>
      <c r="BF236" s="91"/>
      <c r="BG236" s="91"/>
      <c r="BH236" s="91"/>
      <c r="BI236" s="91"/>
      <c r="BJ236" s="91"/>
      <c r="BK236" s="91"/>
      <c r="BL236" s="91"/>
      <c r="BM236" s="91"/>
      <c r="BN236" s="91"/>
      <c r="BO236" s="91"/>
      <c r="BP236" s="91"/>
      <c r="BQ236" s="91"/>
      <c r="BR236" s="91"/>
      <c r="BS236" s="91"/>
      <c r="BT236" s="91"/>
      <c r="BU236" s="91"/>
      <c r="BV236" s="91"/>
      <c r="BW236" s="91"/>
      <c r="BX236" s="91"/>
      <c r="BY236" s="91"/>
      <c r="BZ236" s="91"/>
      <c r="CA236" s="91"/>
      <c r="CB236" s="91"/>
      <c r="CC236" s="91"/>
      <c r="CD236" s="91"/>
      <c r="CE236" s="91"/>
      <c r="CF236" s="91"/>
      <c r="CG236" s="91"/>
      <c r="CH236" s="91"/>
      <c r="CI236" s="91"/>
      <c r="CJ236" s="91"/>
      <c r="CK236" s="91"/>
      <c r="CL236" s="91"/>
      <c r="CM236" s="91"/>
      <c r="CN236" s="91"/>
      <c r="CO236" s="91"/>
      <c r="CP236" s="91"/>
      <c r="CQ236" s="91"/>
      <c r="CR236" s="91"/>
      <c r="CS236" s="91"/>
      <c r="CT236" s="91"/>
      <c r="CU236" s="91"/>
      <c r="CV236" s="91"/>
      <c r="CW236" s="91"/>
      <c r="CX236" s="91"/>
      <c r="CY236" s="91"/>
      <c r="CZ236" s="91"/>
      <c r="DA236" s="91"/>
      <c r="DB236" s="91"/>
      <c r="DC236" s="91"/>
      <c r="DD236" s="91"/>
      <c r="DE236" s="91"/>
      <c r="DF236" s="91"/>
      <c r="DG236" s="91"/>
      <c r="DH236" s="91"/>
      <c r="DI236" s="91"/>
      <c r="DJ236" s="91"/>
      <c r="DK236" s="91"/>
      <c r="DL236" s="91"/>
      <c r="DM236" s="91"/>
      <c r="DN236" s="91"/>
      <c r="DO236" s="91"/>
      <c r="DP236" s="91"/>
      <c r="DQ236" s="91"/>
      <c r="DR236" s="91"/>
      <c r="DS236" s="91"/>
      <c r="DT236" s="91"/>
      <c r="DU236" s="91"/>
      <c r="DV236" s="91"/>
      <c r="DW236" s="91"/>
      <c r="DX236" s="91"/>
      <c r="DY236" s="91"/>
      <c r="DZ236" s="91"/>
      <c r="EA236" s="91"/>
      <c r="EB236" s="91"/>
      <c r="EC236" s="91"/>
      <c r="ED236" s="91"/>
      <c r="EE236" s="91"/>
      <c r="EF236" s="91"/>
      <c r="EG236" s="91"/>
      <c r="EH236" s="91"/>
      <c r="EI236" s="91"/>
      <c r="EJ236" s="91"/>
      <c r="EK236" s="91"/>
      <c r="EL236" s="91"/>
      <c r="EM236" s="91"/>
      <c r="EN236" s="91"/>
      <c r="EO236" s="91"/>
      <c r="EP236" s="91"/>
      <c r="EQ236" s="91"/>
      <c r="ER236" s="91"/>
      <c r="ES236" s="91"/>
      <c r="ET236" s="91"/>
      <c r="EU236" s="91"/>
      <c r="EV236" s="91"/>
      <c r="EW236" s="91"/>
      <c r="EX236" s="91"/>
      <c r="EY236" s="91"/>
      <c r="EZ236" s="91"/>
      <c r="FA236" s="91"/>
      <c r="FB236" s="91"/>
      <c r="FC236" s="91"/>
      <c r="FD236" s="91"/>
      <c r="FE236" s="91"/>
      <c r="FF236" s="91"/>
      <c r="FG236" s="91"/>
      <c r="FH236" s="91"/>
      <c r="FI236" s="91"/>
      <c r="FJ236" s="91"/>
      <c r="FK236" s="91"/>
      <c r="FL236" s="91"/>
      <c r="FM236" s="91"/>
      <c r="FN236" s="91"/>
      <c r="FO236" s="91"/>
      <c r="FP236" s="91"/>
      <c r="FQ236" s="91"/>
      <c r="FR236" s="91"/>
      <c r="FS236" s="91"/>
      <c r="FT236" s="91"/>
      <c r="FU236" s="91"/>
      <c r="FV236" s="91"/>
      <c r="FW236" s="91"/>
      <c r="FX236" s="91"/>
      <c r="FY236" s="91"/>
      <c r="FZ236" s="91"/>
      <c r="GA236" s="91"/>
      <c r="GB236" s="91"/>
      <c r="GC236" s="91"/>
      <c r="GD236" s="91"/>
      <c r="GE236" s="91"/>
      <c r="GF236" s="91"/>
      <c r="GG236" s="91"/>
      <c r="GH236" s="91"/>
      <c r="GI236" s="91"/>
      <c r="GJ236" s="91"/>
      <c r="GK236" s="91"/>
      <c r="GL236" s="91"/>
      <c r="GM236" s="91"/>
      <c r="GN236" s="91"/>
      <c r="GO236" s="91"/>
      <c r="GP236" s="91"/>
      <c r="GQ236" s="91"/>
      <c r="GR236" s="91"/>
    </row>
    <row r="237" spans="2:200" x14ac:dyDescent="0.15"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1"/>
      <c r="AN237" s="91"/>
      <c r="AO237" s="91"/>
      <c r="AP237" s="91"/>
      <c r="AQ237" s="91"/>
      <c r="AR237" s="91"/>
      <c r="AS237" s="91"/>
      <c r="AT237" s="91"/>
      <c r="AU237" s="91"/>
      <c r="AV237" s="91"/>
      <c r="AW237" s="91"/>
      <c r="AX237" s="91"/>
      <c r="AY237" s="91"/>
      <c r="AZ237" s="91"/>
      <c r="BA237" s="91"/>
      <c r="BB237" s="91"/>
      <c r="BC237" s="91"/>
      <c r="BD237" s="91"/>
      <c r="BE237" s="91"/>
      <c r="BF237" s="91"/>
      <c r="BG237" s="91"/>
      <c r="BH237" s="91"/>
      <c r="BI237" s="91"/>
      <c r="BJ237" s="91"/>
      <c r="BK237" s="91"/>
      <c r="BL237" s="91"/>
      <c r="BM237" s="91"/>
      <c r="BN237" s="91"/>
      <c r="BO237" s="91"/>
      <c r="BP237" s="91"/>
      <c r="BQ237" s="91"/>
      <c r="BR237" s="91"/>
      <c r="BS237" s="91"/>
      <c r="BT237" s="91"/>
      <c r="BU237" s="91"/>
      <c r="BV237" s="91"/>
      <c r="BW237" s="91"/>
      <c r="BX237" s="91"/>
      <c r="BY237" s="91"/>
      <c r="BZ237" s="91"/>
      <c r="CA237" s="91"/>
      <c r="CB237" s="91"/>
      <c r="CC237" s="91"/>
      <c r="CD237" s="91"/>
      <c r="CE237" s="91"/>
      <c r="CF237" s="91"/>
      <c r="CG237" s="91"/>
      <c r="CH237" s="91"/>
      <c r="CI237" s="91"/>
      <c r="CJ237" s="91"/>
      <c r="CK237" s="91"/>
      <c r="CL237" s="91"/>
      <c r="CM237" s="91"/>
      <c r="CN237" s="91"/>
      <c r="CO237" s="91"/>
      <c r="CP237" s="91"/>
      <c r="CQ237" s="91"/>
      <c r="CR237" s="91"/>
      <c r="CS237" s="91"/>
      <c r="CT237" s="91"/>
      <c r="CU237" s="91"/>
      <c r="CV237" s="91"/>
      <c r="CW237" s="91"/>
      <c r="CX237" s="91"/>
      <c r="CY237" s="91"/>
      <c r="CZ237" s="91"/>
      <c r="DA237" s="91"/>
      <c r="DB237" s="91"/>
      <c r="DC237" s="91"/>
      <c r="DD237" s="91"/>
      <c r="DE237" s="91"/>
      <c r="DF237" s="91"/>
      <c r="DG237" s="91"/>
      <c r="DH237" s="91"/>
      <c r="DI237" s="91"/>
      <c r="DJ237" s="91"/>
      <c r="DK237" s="91"/>
      <c r="DL237" s="91"/>
      <c r="DM237" s="91"/>
      <c r="DN237" s="91"/>
      <c r="DO237" s="91"/>
      <c r="DP237" s="91"/>
      <c r="DQ237" s="91"/>
      <c r="DR237" s="91"/>
      <c r="DS237" s="91"/>
      <c r="DT237" s="91"/>
      <c r="DU237" s="91"/>
      <c r="DV237" s="91"/>
      <c r="DW237" s="91"/>
      <c r="DX237" s="91"/>
      <c r="DY237" s="91"/>
      <c r="DZ237" s="91"/>
      <c r="EA237" s="91"/>
      <c r="EB237" s="91"/>
      <c r="EC237" s="91"/>
      <c r="ED237" s="91"/>
      <c r="EE237" s="91"/>
      <c r="EF237" s="91"/>
      <c r="EG237" s="91"/>
      <c r="EH237" s="91"/>
      <c r="EI237" s="91"/>
      <c r="EJ237" s="91"/>
      <c r="EK237" s="91"/>
      <c r="EL237" s="91"/>
      <c r="EM237" s="91"/>
      <c r="EN237" s="91"/>
      <c r="EO237" s="91"/>
      <c r="EP237" s="91"/>
      <c r="EQ237" s="91"/>
      <c r="ER237" s="91"/>
      <c r="ES237" s="91"/>
      <c r="ET237" s="91"/>
      <c r="EU237" s="91"/>
      <c r="EV237" s="91"/>
      <c r="EW237" s="91"/>
      <c r="EX237" s="91"/>
      <c r="EY237" s="91"/>
      <c r="EZ237" s="91"/>
      <c r="FA237" s="91"/>
      <c r="FB237" s="91"/>
      <c r="FC237" s="91"/>
      <c r="FD237" s="91"/>
      <c r="FE237" s="91"/>
      <c r="FF237" s="91"/>
      <c r="FG237" s="91"/>
      <c r="FH237" s="91"/>
      <c r="FI237" s="91"/>
      <c r="FJ237" s="91"/>
      <c r="FK237" s="91"/>
      <c r="FL237" s="91"/>
      <c r="FM237" s="91"/>
      <c r="FN237" s="91"/>
      <c r="FO237" s="91"/>
      <c r="FP237" s="91"/>
      <c r="FQ237" s="91"/>
      <c r="FR237" s="91"/>
      <c r="FS237" s="91"/>
      <c r="FT237" s="91"/>
      <c r="FU237" s="91"/>
      <c r="FV237" s="91"/>
      <c r="FW237" s="91"/>
      <c r="FX237" s="91"/>
      <c r="FY237" s="91"/>
      <c r="FZ237" s="91"/>
      <c r="GA237" s="91"/>
      <c r="GB237" s="91"/>
      <c r="GC237" s="91"/>
      <c r="GD237" s="91"/>
      <c r="GE237" s="91"/>
      <c r="GF237" s="91"/>
      <c r="GG237" s="91"/>
      <c r="GH237" s="91"/>
      <c r="GI237" s="91"/>
      <c r="GJ237" s="91"/>
      <c r="GK237" s="91"/>
      <c r="GL237" s="91"/>
      <c r="GM237" s="91"/>
      <c r="GN237" s="91"/>
      <c r="GO237" s="91"/>
      <c r="GP237" s="91"/>
      <c r="GQ237" s="91"/>
      <c r="GR237" s="91"/>
    </row>
    <row r="238" spans="2:200" x14ac:dyDescent="0.15">
      <c r="B238" s="91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/>
      <c r="AK238" s="91"/>
      <c r="AL238" s="91"/>
      <c r="AM238" s="91"/>
      <c r="AN238" s="91"/>
      <c r="AO238" s="91"/>
      <c r="AP238" s="91"/>
      <c r="AQ238" s="91"/>
      <c r="AR238" s="91"/>
      <c r="AS238" s="91"/>
      <c r="AT238" s="91"/>
      <c r="AU238" s="91"/>
      <c r="AV238" s="91"/>
      <c r="AW238" s="91"/>
      <c r="AX238" s="91"/>
      <c r="AY238" s="91"/>
      <c r="AZ238" s="91"/>
      <c r="BA238" s="91"/>
      <c r="BB238" s="91"/>
      <c r="BC238" s="91"/>
      <c r="BD238" s="91"/>
      <c r="BE238" s="91"/>
      <c r="BF238" s="91"/>
      <c r="BG238" s="91"/>
      <c r="BH238" s="91"/>
      <c r="BI238" s="91"/>
      <c r="BJ238" s="91"/>
      <c r="BK238" s="91"/>
      <c r="BL238" s="91"/>
      <c r="BM238" s="91"/>
      <c r="BN238" s="91"/>
      <c r="BO238" s="91"/>
      <c r="BP238" s="91"/>
      <c r="BQ238" s="91"/>
      <c r="BR238" s="91"/>
      <c r="BS238" s="91"/>
      <c r="BT238" s="91"/>
      <c r="BU238" s="91"/>
      <c r="BV238" s="91"/>
      <c r="BW238" s="91"/>
      <c r="BX238" s="91"/>
      <c r="BY238" s="91"/>
      <c r="BZ238" s="91"/>
      <c r="CA238" s="91"/>
      <c r="CB238" s="91"/>
      <c r="CC238" s="91"/>
      <c r="CD238" s="91"/>
      <c r="CE238" s="91"/>
      <c r="CF238" s="91"/>
      <c r="CG238" s="91"/>
      <c r="CH238" s="91"/>
      <c r="CI238" s="91"/>
      <c r="CJ238" s="91"/>
      <c r="CK238" s="91"/>
      <c r="CL238" s="91"/>
      <c r="CM238" s="91"/>
      <c r="CN238" s="91"/>
      <c r="CO238" s="91"/>
      <c r="CP238" s="91"/>
      <c r="CQ238" s="91"/>
      <c r="CR238" s="91"/>
      <c r="CS238" s="91"/>
      <c r="CT238" s="91"/>
      <c r="CU238" s="91"/>
      <c r="CV238" s="91"/>
      <c r="CW238" s="91"/>
      <c r="CX238" s="91"/>
      <c r="CY238" s="91"/>
      <c r="CZ238" s="91"/>
      <c r="DA238" s="91"/>
      <c r="DB238" s="91"/>
      <c r="DC238" s="91"/>
      <c r="DD238" s="91"/>
      <c r="DE238" s="91"/>
      <c r="DF238" s="91"/>
      <c r="DG238" s="91"/>
      <c r="DH238" s="91"/>
      <c r="DI238" s="91"/>
      <c r="DJ238" s="91"/>
      <c r="DK238" s="91"/>
      <c r="DL238" s="91"/>
      <c r="DM238" s="91"/>
      <c r="DN238" s="91"/>
      <c r="DO238" s="91"/>
      <c r="DP238" s="91"/>
      <c r="DQ238" s="91"/>
      <c r="DR238" s="91"/>
      <c r="DS238" s="91"/>
      <c r="DT238" s="91"/>
      <c r="DU238" s="91"/>
      <c r="DV238" s="91"/>
      <c r="DW238" s="91"/>
      <c r="DX238" s="91"/>
      <c r="DY238" s="91"/>
      <c r="DZ238" s="91"/>
      <c r="EA238" s="91"/>
      <c r="EB238" s="91"/>
      <c r="EC238" s="91"/>
      <c r="ED238" s="91"/>
      <c r="EE238" s="91"/>
      <c r="EF238" s="91"/>
      <c r="EG238" s="91"/>
      <c r="EH238" s="91"/>
      <c r="EI238" s="91"/>
      <c r="EJ238" s="91"/>
      <c r="EK238" s="91"/>
      <c r="EL238" s="91"/>
      <c r="EM238" s="91"/>
      <c r="EN238" s="91"/>
      <c r="EO238" s="91"/>
      <c r="EP238" s="91"/>
      <c r="EQ238" s="91"/>
      <c r="ER238" s="91"/>
      <c r="ES238" s="91"/>
      <c r="ET238" s="91"/>
      <c r="EU238" s="91"/>
      <c r="EV238" s="91"/>
      <c r="EW238" s="91"/>
      <c r="EX238" s="91"/>
      <c r="EY238" s="91"/>
      <c r="EZ238" s="91"/>
      <c r="FA238" s="91"/>
      <c r="FB238" s="91"/>
      <c r="FC238" s="91"/>
      <c r="FD238" s="91"/>
      <c r="FE238" s="91"/>
      <c r="FF238" s="91"/>
      <c r="FG238" s="91"/>
      <c r="FH238" s="91"/>
      <c r="FI238" s="91"/>
      <c r="FJ238" s="91"/>
      <c r="FK238" s="91"/>
      <c r="FL238" s="91"/>
      <c r="FM238" s="91"/>
      <c r="FN238" s="91"/>
      <c r="FO238" s="91"/>
      <c r="FP238" s="91"/>
      <c r="FQ238" s="91"/>
      <c r="FR238" s="91"/>
      <c r="FS238" s="91"/>
      <c r="FT238" s="91"/>
      <c r="FU238" s="91"/>
      <c r="FV238" s="91"/>
      <c r="FW238" s="91"/>
      <c r="FX238" s="91"/>
      <c r="FY238" s="91"/>
      <c r="FZ238" s="91"/>
      <c r="GA238" s="91"/>
      <c r="GB238" s="91"/>
      <c r="GC238" s="91"/>
      <c r="GD238" s="91"/>
      <c r="GE238" s="91"/>
      <c r="GF238" s="91"/>
      <c r="GG238" s="91"/>
      <c r="GH238" s="91"/>
      <c r="GI238" s="91"/>
      <c r="GJ238" s="91"/>
      <c r="GK238" s="91"/>
      <c r="GL238" s="91"/>
      <c r="GM238" s="91"/>
      <c r="GN238" s="91"/>
      <c r="GO238" s="91"/>
      <c r="GP238" s="91"/>
      <c r="GQ238" s="91"/>
      <c r="GR238" s="91"/>
    </row>
    <row r="239" spans="2:200" x14ac:dyDescent="0.15"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1"/>
      <c r="AN239" s="91"/>
      <c r="AO239" s="91"/>
      <c r="AP239" s="91"/>
      <c r="AQ239" s="91"/>
      <c r="AR239" s="91"/>
      <c r="AS239" s="91"/>
      <c r="AT239" s="91"/>
      <c r="AU239" s="91"/>
      <c r="AV239" s="91"/>
      <c r="AW239" s="91"/>
      <c r="AX239" s="91"/>
      <c r="AY239" s="91"/>
      <c r="AZ239" s="91"/>
      <c r="BA239" s="91"/>
      <c r="BB239" s="91"/>
      <c r="BC239" s="91"/>
      <c r="BD239" s="91"/>
      <c r="BE239" s="91"/>
      <c r="BF239" s="91"/>
      <c r="BG239" s="91"/>
      <c r="BH239" s="91"/>
      <c r="BI239" s="91"/>
      <c r="BJ239" s="91"/>
      <c r="BK239" s="91"/>
      <c r="BL239" s="91"/>
      <c r="BM239" s="91"/>
      <c r="BN239" s="91"/>
      <c r="BO239" s="91"/>
      <c r="BP239" s="91"/>
      <c r="BQ239" s="91"/>
      <c r="BR239" s="91"/>
      <c r="BS239" s="91"/>
      <c r="BT239" s="91"/>
      <c r="BU239" s="91"/>
      <c r="BV239" s="91"/>
      <c r="BW239" s="91"/>
      <c r="BX239" s="91"/>
      <c r="BY239" s="91"/>
      <c r="BZ239" s="91"/>
      <c r="CA239" s="91"/>
      <c r="CB239" s="91"/>
      <c r="CC239" s="91"/>
      <c r="CD239" s="91"/>
      <c r="CE239" s="91"/>
      <c r="CF239" s="91"/>
      <c r="CG239" s="91"/>
      <c r="CH239" s="91"/>
      <c r="CI239" s="91"/>
      <c r="CJ239" s="91"/>
      <c r="CK239" s="91"/>
      <c r="CL239" s="91"/>
      <c r="CM239" s="91"/>
      <c r="CN239" s="91"/>
      <c r="CO239" s="91"/>
      <c r="CP239" s="91"/>
      <c r="CQ239" s="91"/>
      <c r="CR239" s="91"/>
      <c r="CS239" s="91"/>
      <c r="CT239" s="91"/>
      <c r="CU239" s="91"/>
      <c r="CV239" s="91"/>
      <c r="CW239" s="91"/>
      <c r="CX239" s="91"/>
      <c r="CY239" s="91"/>
      <c r="CZ239" s="91"/>
      <c r="DA239" s="91"/>
      <c r="DB239" s="91"/>
      <c r="DC239" s="91"/>
      <c r="DD239" s="91"/>
      <c r="DE239" s="91"/>
      <c r="DF239" s="91"/>
      <c r="DG239" s="91"/>
      <c r="DH239" s="91"/>
      <c r="DI239" s="91"/>
      <c r="DJ239" s="91"/>
      <c r="DK239" s="91"/>
      <c r="DL239" s="91"/>
      <c r="DM239" s="91"/>
      <c r="DN239" s="91"/>
      <c r="DO239" s="91"/>
      <c r="DP239" s="91"/>
      <c r="DQ239" s="91"/>
      <c r="DR239" s="91"/>
      <c r="DS239" s="91"/>
      <c r="DT239" s="91"/>
      <c r="DU239" s="91"/>
      <c r="DV239" s="91"/>
      <c r="DW239" s="91"/>
      <c r="DX239" s="91"/>
      <c r="DY239" s="91"/>
      <c r="DZ239" s="91"/>
      <c r="EA239" s="91"/>
      <c r="EB239" s="91"/>
      <c r="EC239" s="91"/>
      <c r="ED239" s="91"/>
      <c r="EE239" s="91"/>
      <c r="EF239" s="91"/>
      <c r="EG239" s="91"/>
      <c r="EH239" s="91"/>
      <c r="EI239" s="91"/>
      <c r="EJ239" s="91"/>
      <c r="EK239" s="91"/>
      <c r="EL239" s="91"/>
      <c r="EM239" s="91"/>
      <c r="EN239" s="91"/>
      <c r="EO239" s="91"/>
      <c r="EP239" s="91"/>
      <c r="EQ239" s="91"/>
      <c r="ER239" s="91"/>
      <c r="ES239" s="91"/>
      <c r="ET239" s="91"/>
      <c r="EU239" s="91"/>
      <c r="EV239" s="91"/>
      <c r="EW239" s="91"/>
      <c r="EX239" s="91"/>
      <c r="EY239" s="91"/>
      <c r="EZ239" s="91"/>
      <c r="FA239" s="91"/>
      <c r="FB239" s="91"/>
      <c r="FC239" s="91"/>
      <c r="FD239" s="91"/>
      <c r="FE239" s="91"/>
      <c r="FF239" s="91"/>
      <c r="FG239" s="91"/>
      <c r="FH239" s="91"/>
      <c r="FI239" s="91"/>
      <c r="FJ239" s="91"/>
      <c r="FK239" s="91"/>
      <c r="FL239" s="91"/>
      <c r="FM239" s="91"/>
      <c r="FN239" s="91"/>
      <c r="FO239" s="91"/>
      <c r="FP239" s="91"/>
      <c r="FQ239" s="91"/>
      <c r="FR239" s="91"/>
      <c r="FS239" s="91"/>
      <c r="FT239" s="91"/>
      <c r="FU239" s="91"/>
      <c r="FV239" s="91"/>
      <c r="FW239" s="91"/>
      <c r="FX239" s="91"/>
      <c r="FY239" s="91"/>
      <c r="FZ239" s="91"/>
      <c r="GA239" s="91"/>
      <c r="GB239" s="91"/>
      <c r="GC239" s="91"/>
      <c r="GD239" s="91"/>
      <c r="GE239" s="91"/>
      <c r="GF239" s="91"/>
      <c r="GG239" s="91"/>
      <c r="GH239" s="91"/>
      <c r="GI239" s="91"/>
      <c r="GJ239" s="91"/>
      <c r="GK239" s="91"/>
      <c r="GL239" s="91"/>
      <c r="GM239" s="91"/>
      <c r="GN239" s="91"/>
      <c r="GO239" s="91"/>
      <c r="GP239" s="91"/>
      <c r="GQ239" s="91"/>
      <c r="GR239" s="91"/>
    </row>
    <row r="240" spans="2:200" x14ac:dyDescent="0.15"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  <c r="AA240" s="91"/>
      <c r="AB240" s="91"/>
      <c r="AC240" s="91"/>
      <c r="AD240" s="91"/>
      <c r="AE240" s="91"/>
      <c r="AF240" s="91"/>
      <c r="AG240" s="91"/>
      <c r="AH240" s="91"/>
      <c r="AI240" s="91"/>
      <c r="AJ240" s="91"/>
      <c r="AK240" s="91"/>
      <c r="AL240" s="91"/>
      <c r="AM240" s="91"/>
      <c r="AN240" s="91"/>
      <c r="AO240" s="91"/>
      <c r="AP240" s="91"/>
      <c r="AQ240" s="91"/>
      <c r="AR240" s="91"/>
      <c r="AS240" s="91"/>
      <c r="AT240" s="91"/>
      <c r="AU240" s="91"/>
      <c r="AV240" s="91"/>
      <c r="AW240" s="91"/>
      <c r="AX240" s="91"/>
      <c r="AY240" s="91"/>
      <c r="AZ240" s="91"/>
      <c r="BA240" s="91"/>
      <c r="BB240" s="91"/>
      <c r="BC240" s="91"/>
      <c r="BD240" s="91"/>
      <c r="BE240" s="91"/>
      <c r="BF240" s="91"/>
      <c r="BG240" s="91"/>
      <c r="BH240" s="91"/>
      <c r="BI240" s="91"/>
      <c r="BJ240" s="91"/>
      <c r="BK240" s="91"/>
      <c r="BL240" s="91"/>
      <c r="BM240" s="91"/>
      <c r="BN240" s="91"/>
      <c r="BO240" s="91"/>
      <c r="BP240" s="91"/>
      <c r="BQ240" s="91"/>
      <c r="BR240" s="91"/>
      <c r="BS240" s="91"/>
      <c r="BT240" s="91"/>
      <c r="BU240" s="91"/>
      <c r="BV240" s="91"/>
      <c r="BW240" s="91"/>
      <c r="BX240" s="91"/>
      <c r="BY240" s="91"/>
      <c r="BZ240" s="91"/>
      <c r="CA240" s="91"/>
      <c r="CB240" s="91"/>
      <c r="CC240" s="91"/>
      <c r="CD240" s="91"/>
      <c r="CE240" s="91"/>
      <c r="CF240" s="91"/>
      <c r="CG240" s="91"/>
      <c r="CH240" s="91"/>
      <c r="CI240" s="91"/>
      <c r="CJ240" s="91"/>
      <c r="CK240" s="91"/>
      <c r="CL240" s="91"/>
      <c r="CM240" s="91"/>
      <c r="CN240" s="91"/>
      <c r="CO240" s="91"/>
      <c r="CP240" s="91"/>
      <c r="CQ240" s="91"/>
      <c r="CR240" s="91"/>
      <c r="CS240" s="91"/>
      <c r="CT240" s="91"/>
      <c r="CU240" s="91"/>
      <c r="CV240" s="91"/>
      <c r="CW240" s="91"/>
      <c r="CX240" s="91"/>
      <c r="CY240" s="91"/>
      <c r="CZ240" s="91"/>
      <c r="DA240" s="91"/>
      <c r="DB240" s="91"/>
      <c r="DC240" s="91"/>
      <c r="DD240" s="91"/>
      <c r="DE240" s="91"/>
      <c r="DF240" s="91"/>
      <c r="DG240" s="91"/>
      <c r="DH240" s="91"/>
      <c r="DI240" s="91"/>
      <c r="DJ240" s="91"/>
      <c r="DK240" s="91"/>
      <c r="DL240" s="91"/>
      <c r="DM240" s="91"/>
      <c r="DN240" s="91"/>
      <c r="DO240" s="91"/>
      <c r="DP240" s="91"/>
      <c r="DQ240" s="91"/>
      <c r="DR240" s="91"/>
      <c r="DS240" s="91"/>
      <c r="DT240" s="91"/>
      <c r="DU240" s="91"/>
      <c r="DV240" s="91"/>
      <c r="DW240" s="91"/>
      <c r="DX240" s="91"/>
      <c r="DY240" s="91"/>
      <c r="DZ240" s="91"/>
      <c r="EA240" s="91"/>
      <c r="EB240" s="91"/>
      <c r="EC240" s="91"/>
      <c r="ED240" s="91"/>
      <c r="EE240" s="91"/>
      <c r="EF240" s="91"/>
      <c r="EG240" s="91"/>
      <c r="EH240" s="91"/>
      <c r="EI240" s="91"/>
      <c r="EJ240" s="91"/>
      <c r="EK240" s="91"/>
      <c r="EL240" s="91"/>
      <c r="EM240" s="91"/>
      <c r="EN240" s="91"/>
      <c r="EO240" s="91"/>
      <c r="EP240" s="91"/>
      <c r="EQ240" s="91"/>
      <c r="ER240" s="91"/>
      <c r="ES240" s="91"/>
      <c r="ET240" s="91"/>
      <c r="EU240" s="91"/>
      <c r="EV240" s="91"/>
      <c r="EW240" s="91"/>
      <c r="EX240" s="91"/>
      <c r="EY240" s="91"/>
      <c r="EZ240" s="91"/>
      <c r="FA240" s="91"/>
      <c r="FB240" s="91"/>
      <c r="FC240" s="91"/>
      <c r="FD240" s="91"/>
      <c r="FE240" s="91"/>
      <c r="FF240" s="91"/>
      <c r="FG240" s="91"/>
      <c r="FH240" s="91"/>
      <c r="FI240" s="91"/>
      <c r="FJ240" s="91"/>
      <c r="FK240" s="91"/>
      <c r="FL240" s="91"/>
      <c r="FM240" s="91"/>
      <c r="FN240" s="91"/>
      <c r="FO240" s="91"/>
      <c r="FP240" s="91"/>
      <c r="FQ240" s="91"/>
      <c r="FR240" s="91"/>
      <c r="FS240" s="91"/>
      <c r="FT240" s="91"/>
      <c r="FU240" s="91"/>
      <c r="FV240" s="91"/>
      <c r="FW240" s="91"/>
      <c r="FX240" s="91"/>
      <c r="FY240" s="91"/>
      <c r="FZ240" s="91"/>
      <c r="GA240" s="91"/>
      <c r="GB240" s="91"/>
      <c r="GC240" s="91"/>
      <c r="GD240" s="91"/>
      <c r="GE240" s="91"/>
      <c r="GF240" s="91"/>
      <c r="GG240" s="91"/>
      <c r="GH240" s="91"/>
      <c r="GI240" s="91"/>
      <c r="GJ240" s="91"/>
      <c r="GK240" s="91"/>
      <c r="GL240" s="91"/>
      <c r="GM240" s="91"/>
      <c r="GN240" s="91"/>
      <c r="GO240" s="91"/>
      <c r="GP240" s="91"/>
      <c r="GQ240" s="91"/>
      <c r="GR240" s="91"/>
    </row>
    <row r="241" spans="2:200" x14ac:dyDescent="0.15"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  <c r="AA241" s="91"/>
      <c r="AB241" s="91"/>
      <c r="AC241" s="91"/>
      <c r="AD241" s="91"/>
      <c r="AE241" s="91"/>
      <c r="AF241" s="91"/>
      <c r="AG241" s="91"/>
      <c r="AH241" s="91"/>
      <c r="AI241" s="91"/>
      <c r="AJ241" s="91"/>
      <c r="AK241" s="91"/>
      <c r="AL241" s="91"/>
      <c r="AM241" s="91"/>
      <c r="AN241" s="91"/>
      <c r="AO241" s="91"/>
      <c r="AP241" s="91"/>
      <c r="AQ241" s="91"/>
      <c r="AR241" s="91"/>
      <c r="AS241" s="91"/>
      <c r="AT241" s="91"/>
      <c r="AU241" s="91"/>
      <c r="AV241" s="91"/>
      <c r="AW241" s="91"/>
      <c r="AX241" s="91"/>
      <c r="AY241" s="91"/>
      <c r="AZ241" s="91"/>
      <c r="BA241" s="91"/>
      <c r="BB241" s="91"/>
      <c r="BC241" s="91"/>
      <c r="BD241" s="91"/>
      <c r="BE241" s="91"/>
      <c r="BF241" s="91"/>
      <c r="BG241" s="91"/>
      <c r="BH241" s="91"/>
      <c r="BI241" s="91"/>
      <c r="BJ241" s="91"/>
      <c r="BK241" s="91"/>
      <c r="BL241" s="91"/>
      <c r="BM241" s="91"/>
      <c r="BN241" s="91"/>
      <c r="BO241" s="91"/>
      <c r="BP241" s="91"/>
      <c r="BQ241" s="91"/>
      <c r="BR241" s="91"/>
      <c r="BS241" s="91"/>
      <c r="BT241" s="91"/>
      <c r="BU241" s="91"/>
      <c r="BV241" s="91"/>
      <c r="BW241" s="91"/>
      <c r="BX241" s="91"/>
      <c r="BY241" s="91"/>
      <c r="BZ241" s="91"/>
      <c r="CA241" s="91"/>
      <c r="CB241" s="91"/>
      <c r="CC241" s="91"/>
      <c r="CD241" s="91"/>
      <c r="CE241" s="91"/>
      <c r="CF241" s="91"/>
      <c r="CG241" s="91"/>
      <c r="CH241" s="91"/>
      <c r="CI241" s="91"/>
      <c r="CJ241" s="91"/>
      <c r="CK241" s="91"/>
      <c r="CL241" s="91"/>
      <c r="CM241" s="91"/>
      <c r="CN241" s="91"/>
      <c r="CO241" s="91"/>
      <c r="CP241" s="91"/>
      <c r="CQ241" s="91"/>
      <c r="CR241" s="91"/>
      <c r="CS241" s="91"/>
      <c r="CT241" s="91"/>
      <c r="CU241" s="91"/>
      <c r="CV241" s="91"/>
      <c r="CW241" s="91"/>
      <c r="CX241" s="91"/>
      <c r="CY241" s="91"/>
      <c r="CZ241" s="91"/>
      <c r="DA241" s="91"/>
      <c r="DB241" s="91"/>
      <c r="DC241" s="91"/>
      <c r="DD241" s="91"/>
      <c r="DE241" s="91"/>
      <c r="DF241" s="91"/>
      <c r="DG241" s="91"/>
      <c r="DH241" s="91"/>
      <c r="DI241" s="91"/>
      <c r="DJ241" s="91"/>
      <c r="DK241" s="91"/>
      <c r="DL241" s="91"/>
      <c r="DM241" s="91"/>
      <c r="DN241" s="91"/>
      <c r="DO241" s="91"/>
      <c r="DP241" s="91"/>
      <c r="DQ241" s="91"/>
      <c r="DR241" s="91"/>
      <c r="DS241" s="91"/>
      <c r="DT241" s="91"/>
      <c r="DU241" s="91"/>
      <c r="DV241" s="91"/>
      <c r="DW241" s="91"/>
      <c r="DX241" s="91"/>
      <c r="DY241" s="91"/>
      <c r="DZ241" s="91"/>
      <c r="EA241" s="91"/>
      <c r="EB241" s="91"/>
      <c r="EC241" s="91"/>
      <c r="ED241" s="91"/>
      <c r="EE241" s="91"/>
      <c r="EF241" s="91"/>
      <c r="EG241" s="91"/>
      <c r="EH241" s="91"/>
      <c r="EI241" s="91"/>
      <c r="EJ241" s="91"/>
      <c r="EK241" s="91"/>
      <c r="EL241" s="91"/>
      <c r="EM241" s="91"/>
      <c r="EN241" s="91"/>
      <c r="EO241" s="91"/>
      <c r="EP241" s="91"/>
      <c r="EQ241" s="91"/>
      <c r="ER241" s="91"/>
      <c r="ES241" s="91"/>
      <c r="ET241" s="91"/>
      <c r="EU241" s="91"/>
      <c r="EV241" s="91"/>
      <c r="EW241" s="91"/>
      <c r="EX241" s="91"/>
      <c r="EY241" s="91"/>
      <c r="EZ241" s="91"/>
      <c r="FA241" s="91"/>
      <c r="FB241" s="91"/>
      <c r="FC241" s="91"/>
      <c r="FD241" s="91"/>
      <c r="FE241" s="91"/>
      <c r="FF241" s="91"/>
      <c r="FG241" s="91"/>
      <c r="FH241" s="91"/>
      <c r="FI241" s="91"/>
      <c r="FJ241" s="91"/>
      <c r="FK241" s="91"/>
      <c r="FL241" s="91"/>
      <c r="FM241" s="91"/>
      <c r="FN241" s="91"/>
      <c r="FO241" s="91"/>
      <c r="FP241" s="91"/>
      <c r="FQ241" s="91"/>
      <c r="FR241" s="91"/>
      <c r="FS241" s="91"/>
      <c r="FT241" s="91"/>
      <c r="FU241" s="91"/>
      <c r="FV241" s="91"/>
      <c r="FW241" s="91"/>
      <c r="FX241" s="91"/>
      <c r="FY241" s="91"/>
      <c r="FZ241" s="91"/>
      <c r="GA241" s="91"/>
      <c r="GB241" s="91"/>
      <c r="GC241" s="91"/>
      <c r="GD241" s="91"/>
      <c r="GE241" s="91"/>
      <c r="GF241" s="91"/>
      <c r="GG241" s="91"/>
      <c r="GH241" s="91"/>
      <c r="GI241" s="91"/>
      <c r="GJ241" s="91"/>
      <c r="GK241" s="91"/>
      <c r="GL241" s="91"/>
      <c r="GM241" s="91"/>
      <c r="GN241" s="91"/>
      <c r="GO241" s="91"/>
      <c r="GP241" s="91"/>
      <c r="GQ241" s="91"/>
      <c r="GR241" s="91"/>
    </row>
    <row r="242" spans="2:200" x14ac:dyDescent="0.15"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  <c r="AA242" s="91"/>
      <c r="AB242" s="91"/>
      <c r="AC242" s="91"/>
      <c r="AD242" s="91"/>
      <c r="AE242" s="91"/>
      <c r="AF242" s="91"/>
      <c r="AG242" s="91"/>
      <c r="AH242" s="91"/>
      <c r="AI242" s="91"/>
      <c r="AJ242" s="91"/>
      <c r="AK242" s="91"/>
      <c r="AL242" s="91"/>
      <c r="AM242" s="91"/>
      <c r="AN242" s="91"/>
      <c r="AO242" s="91"/>
      <c r="AP242" s="91"/>
      <c r="AQ242" s="91"/>
      <c r="AR242" s="91"/>
      <c r="AS242" s="91"/>
      <c r="AT242" s="91"/>
      <c r="AU242" s="91"/>
      <c r="AV242" s="91"/>
      <c r="AW242" s="91"/>
      <c r="AX242" s="91"/>
      <c r="AY242" s="91"/>
      <c r="AZ242" s="91"/>
      <c r="BA242" s="91"/>
      <c r="BB242" s="91"/>
      <c r="BC242" s="91"/>
      <c r="BD242" s="91"/>
      <c r="BE242" s="91"/>
      <c r="BF242" s="91"/>
      <c r="BG242" s="91"/>
      <c r="BH242" s="91"/>
      <c r="BI242" s="91"/>
      <c r="BJ242" s="91"/>
      <c r="BK242" s="91"/>
      <c r="BL242" s="91"/>
      <c r="BM242" s="91"/>
      <c r="BN242" s="91"/>
      <c r="BO242" s="91"/>
      <c r="BP242" s="91"/>
      <c r="BQ242" s="91"/>
      <c r="BR242" s="91"/>
      <c r="BS242" s="91"/>
      <c r="BT242" s="91"/>
      <c r="BU242" s="91"/>
      <c r="BV242" s="91"/>
      <c r="BW242" s="91"/>
      <c r="BX242" s="91"/>
      <c r="BY242" s="91"/>
      <c r="BZ242" s="91"/>
      <c r="CA242" s="91"/>
      <c r="CB242" s="91"/>
      <c r="CC242" s="91"/>
      <c r="CD242" s="91"/>
      <c r="CE242" s="91"/>
      <c r="CF242" s="91"/>
      <c r="CG242" s="91"/>
      <c r="CH242" s="91"/>
      <c r="CI242" s="91"/>
      <c r="CJ242" s="91"/>
      <c r="CK242" s="91"/>
      <c r="CL242" s="91"/>
      <c r="CM242" s="91"/>
      <c r="CN242" s="91"/>
      <c r="CO242" s="91"/>
      <c r="CP242" s="91"/>
      <c r="CQ242" s="91"/>
      <c r="CR242" s="91"/>
      <c r="CS242" s="91"/>
      <c r="CT242" s="91"/>
      <c r="CU242" s="91"/>
      <c r="CV242" s="91"/>
      <c r="CW242" s="91"/>
      <c r="CX242" s="91"/>
      <c r="CY242" s="91"/>
      <c r="CZ242" s="91"/>
      <c r="DA242" s="91"/>
      <c r="DB242" s="91"/>
      <c r="DC242" s="91"/>
      <c r="DD242" s="91"/>
      <c r="DE242" s="91"/>
      <c r="DF242" s="91"/>
      <c r="DG242" s="91"/>
      <c r="DH242" s="91"/>
      <c r="DI242" s="91"/>
      <c r="DJ242" s="91"/>
      <c r="DK242" s="91"/>
      <c r="DL242" s="91"/>
      <c r="DM242" s="91"/>
      <c r="DN242" s="91"/>
      <c r="DO242" s="91"/>
      <c r="DP242" s="91"/>
      <c r="DQ242" s="91"/>
      <c r="DR242" s="91"/>
      <c r="DS242" s="91"/>
      <c r="DT242" s="91"/>
      <c r="DU242" s="91"/>
      <c r="DV242" s="91"/>
      <c r="DW242" s="91"/>
      <c r="DX242" s="91"/>
      <c r="DY242" s="91"/>
      <c r="DZ242" s="91"/>
      <c r="EA242" s="91"/>
      <c r="EB242" s="91"/>
      <c r="EC242" s="91"/>
      <c r="ED242" s="91"/>
      <c r="EE242" s="91"/>
      <c r="EF242" s="91"/>
      <c r="EG242" s="91"/>
      <c r="EH242" s="91"/>
      <c r="EI242" s="91"/>
      <c r="EJ242" s="91"/>
      <c r="EK242" s="91"/>
      <c r="EL242" s="91"/>
      <c r="EM242" s="91"/>
      <c r="EN242" s="91"/>
      <c r="EO242" s="91"/>
      <c r="EP242" s="91"/>
      <c r="EQ242" s="91"/>
      <c r="ER242" s="91"/>
      <c r="ES242" s="91"/>
      <c r="ET242" s="91"/>
      <c r="EU242" s="91"/>
      <c r="EV242" s="91"/>
      <c r="EW242" s="91"/>
      <c r="EX242" s="91"/>
      <c r="EY242" s="91"/>
      <c r="EZ242" s="91"/>
      <c r="FA242" s="91"/>
      <c r="FB242" s="91"/>
      <c r="FC242" s="91"/>
      <c r="FD242" s="91"/>
      <c r="FE242" s="91"/>
      <c r="FF242" s="91"/>
      <c r="FG242" s="91"/>
      <c r="FH242" s="91"/>
      <c r="FI242" s="91"/>
      <c r="FJ242" s="91"/>
      <c r="FK242" s="91"/>
      <c r="FL242" s="91"/>
      <c r="FM242" s="91"/>
      <c r="FN242" s="91"/>
      <c r="FO242" s="91"/>
      <c r="FP242" s="91"/>
      <c r="FQ242" s="91"/>
      <c r="FR242" s="91"/>
      <c r="FS242" s="91"/>
      <c r="FT242" s="91"/>
      <c r="FU242" s="91"/>
      <c r="FV242" s="91"/>
      <c r="FW242" s="91"/>
      <c r="FX242" s="91"/>
      <c r="FY242" s="91"/>
      <c r="FZ242" s="91"/>
      <c r="GA242" s="91"/>
      <c r="GB242" s="91"/>
      <c r="GC242" s="91"/>
      <c r="GD242" s="91"/>
      <c r="GE242" s="91"/>
      <c r="GF242" s="91"/>
      <c r="GG242" s="91"/>
      <c r="GH242" s="91"/>
      <c r="GI242" s="91"/>
      <c r="GJ242" s="91"/>
      <c r="GK242" s="91"/>
      <c r="GL242" s="91"/>
      <c r="GM242" s="91"/>
      <c r="GN242" s="91"/>
      <c r="GO242" s="91"/>
      <c r="GP242" s="91"/>
      <c r="GQ242" s="91"/>
      <c r="GR242" s="91"/>
    </row>
    <row r="243" spans="2:200" x14ac:dyDescent="0.15"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  <c r="AA243" s="91"/>
      <c r="AB243" s="91"/>
      <c r="AC243" s="91"/>
      <c r="AD243" s="91"/>
      <c r="AE243" s="91"/>
      <c r="AF243" s="91"/>
      <c r="AG243" s="91"/>
      <c r="AH243" s="91"/>
      <c r="AI243" s="91"/>
      <c r="AJ243" s="91"/>
      <c r="AK243" s="91"/>
      <c r="AL243" s="91"/>
      <c r="AM243" s="91"/>
      <c r="AN243" s="91"/>
      <c r="AO243" s="91"/>
      <c r="AP243" s="91"/>
      <c r="AQ243" s="91"/>
      <c r="AR243" s="91"/>
      <c r="AS243" s="91"/>
      <c r="AT243" s="91"/>
      <c r="AU243" s="91"/>
      <c r="AV243" s="91"/>
      <c r="AW243" s="91"/>
      <c r="AX243" s="91"/>
      <c r="AY243" s="91"/>
      <c r="AZ243" s="91"/>
      <c r="BA243" s="91"/>
      <c r="BB243" s="91"/>
      <c r="BC243" s="91"/>
      <c r="BD243" s="91"/>
      <c r="BE243" s="91"/>
      <c r="BF243" s="91"/>
      <c r="BG243" s="91"/>
      <c r="BH243" s="91"/>
      <c r="BI243" s="91"/>
      <c r="BJ243" s="91"/>
      <c r="BK243" s="91"/>
      <c r="BL243" s="91"/>
      <c r="BM243" s="91"/>
      <c r="BN243" s="91"/>
      <c r="BO243" s="91"/>
      <c r="BP243" s="91"/>
      <c r="BQ243" s="91"/>
      <c r="BR243" s="91"/>
      <c r="BS243" s="91"/>
      <c r="BT243" s="91"/>
      <c r="BU243" s="91"/>
      <c r="BV243" s="91"/>
      <c r="BW243" s="91"/>
      <c r="BX243" s="91"/>
      <c r="BY243" s="91"/>
      <c r="BZ243" s="91"/>
      <c r="CA243" s="91"/>
      <c r="CB243" s="91"/>
      <c r="CC243" s="91"/>
      <c r="CD243" s="91"/>
      <c r="CE243" s="91"/>
      <c r="CF243" s="91"/>
      <c r="CG243" s="91"/>
      <c r="CH243" s="91"/>
      <c r="CI243" s="91"/>
      <c r="CJ243" s="91"/>
      <c r="CK243" s="91"/>
      <c r="CL243" s="91"/>
      <c r="CM243" s="91"/>
      <c r="CN243" s="91"/>
      <c r="CO243" s="91"/>
      <c r="CP243" s="91"/>
      <c r="CQ243" s="91"/>
      <c r="CR243" s="91"/>
      <c r="CS243" s="91"/>
      <c r="CT243" s="91"/>
      <c r="CU243" s="91"/>
      <c r="CV243" s="91"/>
      <c r="CW243" s="91"/>
      <c r="CX243" s="91"/>
      <c r="CY243" s="91"/>
      <c r="CZ243" s="91"/>
      <c r="DA243" s="91"/>
      <c r="DB243" s="91"/>
      <c r="DC243" s="91"/>
      <c r="DD243" s="91"/>
      <c r="DE243" s="91"/>
      <c r="DF243" s="91"/>
      <c r="DG243" s="91"/>
      <c r="DH243" s="91"/>
      <c r="DI243" s="91"/>
      <c r="DJ243" s="91"/>
      <c r="DK243" s="91"/>
      <c r="DL243" s="91"/>
      <c r="DM243" s="91"/>
      <c r="DN243" s="91"/>
      <c r="DO243" s="91"/>
      <c r="DP243" s="91"/>
      <c r="DQ243" s="91"/>
      <c r="DR243" s="91"/>
      <c r="DS243" s="91"/>
      <c r="DT243" s="91"/>
      <c r="DU243" s="91"/>
      <c r="DV243" s="91"/>
      <c r="DW243" s="91"/>
      <c r="DX243" s="91"/>
      <c r="DY243" s="91"/>
      <c r="DZ243" s="91"/>
      <c r="EA243" s="91"/>
      <c r="EB243" s="91"/>
      <c r="EC243" s="91"/>
      <c r="ED243" s="91"/>
      <c r="EE243" s="91"/>
      <c r="EF243" s="91"/>
      <c r="EG243" s="91"/>
      <c r="EH243" s="91"/>
      <c r="EI243" s="91"/>
      <c r="EJ243" s="91"/>
      <c r="EK243" s="91"/>
      <c r="EL243" s="91"/>
      <c r="EM243" s="91"/>
      <c r="EN243" s="91"/>
      <c r="EO243" s="91"/>
      <c r="EP243" s="91"/>
      <c r="EQ243" s="91"/>
      <c r="ER243" s="91"/>
      <c r="ES243" s="91"/>
      <c r="ET243" s="91"/>
      <c r="EU243" s="91"/>
      <c r="EV243" s="91"/>
      <c r="EW243" s="91"/>
      <c r="EX243" s="91"/>
      <c r="EY243" s="91"/>
      <c r="EZ243" s="91"/>
      <c r="FA243" s="91"/>
      <c r="FB243" s="91"/>
      <c r="FC243" s="91"/>
      <c r="FD243" s="91"/>
      <c r="FE243" s="91"/>
      <c r="FF243" s="91"/>
      <c r="FG243" s="91"/>
      <c r="FH243" s="91"/>
      <c r="FI243" s="91"/>
      <c r="FJ243" s="91"/>
      <c r="FK243" s="91"/>
      <c r="FL243" s="91"/>
      <c r="FM243" s="91"/>
      <c r="FN243" s="91"/>
      <c r="FO243" s="91"/>
      <c r="FP243" s="91"/>
      <c r="FQ243" s="91"/>
      <c r="FR243" s="91"/>
      <c r="FS243" s="91"/>
      <c r="FT243" s="91"/>
      <c r="FU243" s="91"/>
      <c r="FV243" s="91"/>
      <c r="FW243" s="91"/>
      <c r="FX243" s="91"/>
      <c r="FY243" s="91"/>
      <c r="FZ243" s="91"/>
      <c r="GA243" s="91"/>
      <c r="GB243" s="91"/>
      <c r="GC243" s="91"/>
      <c r="GD243" s="91"/>
      <c r="GE243" s="91"/>
      <c r="GF243" s="91"/>
      <c r="GG243" s="91"/>
      <c r="GH243" s="91"/>
      <c r="GI243" s="91"/>
      <c r="GJ243" s="91"/>
      <c r="GK243" s="91"/>
      <c r="GL243" s="91"/>
      <c r="GM243" s="91"/>
      <c r="GN243" s="91"/>
      <c r="GO243" s="91"/>
      <c r="GP243" s="91"/>
      <c r="GQ243" s="91"/>
      <c r="GR243" s="91"/>
    </row>
    <row r="244" spans="2:200" x14ac:dyDescent="0.15">
      <c r="B244" s="91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  <c r="AA244" s="91"/>
      <c r="AB244" s="91"/>
      <c r="AC244" s="91"/>
      <c r="AD244" s="91"/>
      <c r="AE244" s="91"/>
      <c r="AF244" s="91"/>
      <c r="AG244" s="91"/>
      <c r="AH244" s="91"/>
      <c r="AI244" s="91"/>
      <c r="AJ244" s="91"/>
      <c r="AK244" s="91"/>
      <c r="AL244" s="91"/>
      <c r="AM244" s="91"/>
      <c r="AN244" s="91"/>
      <c r="AO244" s="91"/>
      <c r="AP244" s="91"/>
      <c r="AQ244" s="91"/>
      <c r="AR244" s="91"/>
      <c r="AS244" s="91"/>
      <c r="AT244" s="91"/>
      <c r="AU244" s="91"/>
      <c r="AV244" s="91"/>
      <c r="AW244" s="91"/>
      <c r="AX244" s="91"/>
      <c r="AY244" s="91"/>
      <c r="AZ244" s="91"/>
      <c r="BA244" s="91"/>
      <c r="BB244" s="91"/>
      <c r="BC244" s="91"/>
      <c r="BD244" s="91"/>
      <c r="BE244" s="91"/>
      <c r="BF244" s="91"/>
      <c r="BG244" s="91"/>
      <c r="BH244" s="91"/>
      <c r="BI244" s="91"/>
      <c r="BJ244" s="91"/>
      <c r="BK244" s="91"/>
      <c r="BL244" s="91"/>
      <c r="BM244" s="91"/>
      <c r="BN244" s="91"/>
      <c r="BO244" s="91"/>
      <c r="BP244" s="91"/>
      <c r="BQ244" s="91"/>
      <c r="BR244" s="91"/>
      <c r="BS244" s="91"/>
      <c r="BT244" s="91"/>
      <c r="BU244" s="91"/>
      <c r="BV244" s="91"/>
      <c r="BW244" s="91"/>
      <c r="BX244" s="91"/>
      <c r="BY244" s="91"/>
      <c r="BZ244" s="91"/>
      <c r="CA244" s="91"/>
      <c r="CB244" s="91"/>
      <c r="CC244" s="91"/>
      <c r="CD244" s="91"/>
      <c r="CE244" s="91"/>
      <c r="CF244" s="91"/>
      <c r="CG244" s="91"/>
      <c r="CH244" s="91"/>
      <c r="CI244" s="91"/>
      <c r="CJ244" s="91"/>
      <c r="CK244" s="91"/>
      <c r="CL244" s="91"/>
      <c r="CM244" s="91"/>
      <c r="CN244" s="91"/>
      <c r="CO244" s="91"/>
      <c r="CP244" s="91"/>
      <c r="CQ244" s="91"/>
      <c r="CR244" s="91"/>
      <c r="CS244" s="91"/>
      <c r="CT244" s="91"/>
      <c r="CU244" s="91"/>
      <c r="CV244" s="91"/>
      <c r="CW244" s="91"/>
      <c r="CX244" s="91"/>
      <c r="CY244" s="91"/>
      <c r="CZ244" s="91"/>
      <c r="DA244" s="91"/>
      <c r="DB244" s="91"/>
      <c r="DC244" s="91"/>
      <c r="DD244" s="91"/>
      <c r="DE244" s="91"/>
      <c r="DF244" s="91"/>
      <c r="DG244" s="91"/>
      <c r="DH244" s="91"/>
      <c r="DI244" s="91"/>
      <c r="DJ244" s="91"/>
      <c r="DK244" s="91"/>
      <c r="DL244" s="91"/>
      <c r="DM244" s="91"/>
      <c r="DN244" s="91"/>
      <c r="DO244" s="91"/>
      <c r="DP244" s="91"/>
      <c r="DQ244" s="91"/>
      <c r="DR244" s="91"/>
      <c r="DS244" s="91"/>
      <c r="DT244" s="91"/>
      <c r="DU244" s="91"/>
      <c r="DV244" s="91"/>
      <c r="DW244" s="91"/>
      <c r="DX244" s="91"/>
      <c r="DY244" s="91"/>
      <c r="DZ244" s="91"/>
      <c r="EA244" s="91"/>
      <c r="EB244" s="91"/>
      <c r="EC244" s="91"/>
      <c r="ED244" s="91"/>
      <c r="EE244" s="91"/>
      <c r="EF244" s="91"/>
      <c r="EG244" s="91"/>
      <c r="EH244" s="91"/>
      <c r="EI244" s="91"/>
      <c r="EJ244" s="91"/>
      <c r="EK244" s="91"/>
      <c r="EL244" s="91"/>
      <c r="EM244" s="91"/>
      <c r="EN244" s="91"/>
      <c r="EO244" s="91"/>
      <c r="EP244" s="91"/>
      <c r="EQ244" s="91"/>
      <c r="ER244" s="91"/>
      <c r="ES244" s="91"/>
      <c r="ET244" s="91"/>
      <c r="EU244" s="91"/>
      <c r="EV244" s="91"/>
      <c r="EW244" s="91"/>
      <c r="EX244" s="91"/>
      <c r="EY244" s="91"/>
      <c r="EZ244" s="91"/>
      <c r="FA244" s="91"/>
      <c r="FB244" s="91"/>
      <c r="FC244" s="91"/>
      <c r="FD244" s="91"/>
      <c r="FE244" s="91"/>
      <c r="FF244" s="91"/>
      <c r="FG244" s="91"/>
      <c r="FH244" s="91"/>
      <c r="FI244" s="91"/>
      <c r="FJ244" s="91"/>
      <c r="FK244" s="91"/>
      <c r="FL244" s="91"/>
      <c r="FM244" s="91"/>
      <c r="FN244" s="91"/>
      <c r="FO244" s="91"/>
      <c r="FP244" s="91"/>
      <c r="FQ244" s="91"/>
      <c r="FR244" s="91"/>
      <c r="FS244" s="91"/>
      <c r="FT244" s="91"/>
      <c r="FU244" s="91"/>
      <c r="FV244" s="91"/>
      <c r="FW244" s="91"/>
      <c r="FX244" s="91"/>
      <c r="FY244" s="91"/>
      <c r="FZ244" s="91"/>
      <c r="GA244" s="91"/>
      <c r="GB244" s="91"/>
      <c r="GC244" s="91"/>
      <c r="GD244" s="91"/>
      <c r="GE244" s="91"/>
      <c r="GF244" s="91"/>
      <c r="GG244" s="91"/>
      <c r="GH244" s="91"/>
      <c r="GI244" s="91"/>
      <c r="GJ244" s="91"/>
      <c r="GK244" s="91"/>
      <c r="GL244" s="91"/>
      <c r="GM244" s="91"/>
      <c r="GN244" s="91"/>
      <c r="GO244" s="91"/>
      <c r="GP244" s="91"/>
      <c r="GQ244" s="91"/>
      <c r="GR244" s="91"/>
    </row>
    <row r="245" spans="2:200" x14ac:dyDescent="0.15"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1"/>
      <c r="AN245" s="91"/>
      <c r="AO245" s="91"/>
      <c r="AP245" s="91"/>
      <c r="AQ245" s="91"/>
      <c r="AR245" s="91"/>
      <c r="AS245" s="91"/>
      <c r="AT245" s="91"/>
      <c r="AU245" s="91"/>
      <c r="AV245" s="91"/>
      <c r="AW245" s="91"/>
      <c r="AX245" s="91"/>
      <c r="AY245" s="91"/>
      <c r="AZ245" s="91"/>
      <c r="BA245" s="91"/>
      <c r="BB245" s="91"/>
      <c r="BC245" s="91"/>
      <c r="BD245" s="91"/>
      <c r="BE245" s="91"/>
      <c r="BF245" s="91"/>
      <c r="BG245" s="91"/>
      <c r="BH245" s="91"/>
      <c r="BI245" s="91"/>
      <c r="BJ245" s="91"/>
      <c r="BK245" s="91"/>
      <c r="BL245" s="91"/>
      <c r="BM245" s="91"/>
      <c r="BN245" s="91"/>
      <c r="BO245" s="91"/>
      <c r="BP245" s="91"/>
      <c r="BQ245" s="91"/>
      <c r="BR245" s="91"/>
      <c r="BS245" s="91"/>
      <c r="BT245" s="91"/>
      <c r="BU245" s="91"/>
      <c r="BV245" s="91"/>
      <c r="BW245" s="91"/>
      <c r="BX245" s="91"/>
      <c r="BY245" s="91"/>
      <c r="BZ245" s="91"/>
      <c r="CA245" s="91"/>
      <c r="CB245" s="91"/>
      <c r="CC245" s="91"/>
      <c r="CD245" s="91"/>
      <c r="CE245" s="91"/>
      <c r="CF245" s="91"/>
      <c r="CG245" s="91"/>
      <c r="CH245" s="91"/>
      <c r="CI245" s="91"/>
      <c r="CJ245" s="91"/>
      <c r="CK245" s="91"/>
      <c r="CL245" s="91"/>
      <c r="CM245" s="91"/>
      <c r="CN245" s="91"/>
      <c r="CO245" s="91"/>
      <c r="CP245" s="91"/>
      <c r="CQ245" s="91"/>
      <c r="CR245" s="91"/>
      <c r="CS245" s="91"/>
      <c r="CT245" s="91"/>
      <c r="CU245" s="91"/>
      <c r="CV245" s="91"/>
      <c r="CW245" s="91"/>
      <c r="CX245" s="91"/>
      <c r="CY245" s="91"/>
      <c r="CZ245" s="91"/>
      <c r="DA245" s="91"/>
      <c r="DB245" s="91"/>
      <c r="DC245" s="91"/>
      <c r="DD245" s="91"/>
      <c r="DE245" s="91"/>
      <c r="DF245" s="91"/>
      <c r="DG245" s="91"/>
      <c r="DH245" s="91"/>
      <c r="DI245" s="91"/>
      <c r="DJ245" s="91"/>
      <c r="DK245" s="91"/>
      <c r="DL245" s="91"/>
      <c r="DM245" s="91"/>
      <c r="DN245" s="91"/>
      <c r="DO245" s="91"/>
      <c r="DP245" s="91"/>
      <c r="DQ245" s="91"/>
      <c r="DR245" s="91"/>
      <c r="DS245" s="91"/>
      <c r="DT245" s="91"/>
      <c r="DU245" s="91"/>
      <c r="DV245" s="91"/>
      <c r="DW245" s="91"/>
      <c r="DX245" s="91"/>
      <c r="DY245" s="91"/>
      <c r="DZ245" s="91"/>
      <c r="EA245" s="91"/>
      <c r="EB245" s="91"/>
      <c r="EC245" s="91"/>
      <c r="ED245" s="91"/>
      <c r="EE245" s="91"/>
      <c r="EF245" s="91"/>
      <c r="EG245" s="91"/>
      <c r="EH245" s="91"/>
      <c r="EI245" s="91"/>
      <c r="EJ245" s="91"/>
      <c r="EK245" s="91"/>
      <c r="EL245" s="91"/>
      <c r="EM245" s="91"/>
      <c r="EN245" s="91"/>
      <c r="EO245" s="91"/>
      <c r="EP245" s="91"/>
      <c r="EQ245" s="91"/>
      <c r="ER245" s="91"/>
      <c r="ES245" s="91"/>
      <c r="ET245" s="91"/>
      <c r="EU245" s="91"/>
      <c r="EV245" s="91"/>
      <c r="EW245" s="91"/>
      <c r="EX245" s="91"/>
      <c r="EY245" s="91"/>
      <c r="EZ245" s="91"/>
      <c r="FA245" s="91"/>
      <c r="FB245" s="91"/>
      <c r="FC245" s="91"/>
      <c r="FD245" s="91"/>
      <c r="FE245" s="91"/>
      <c r="FF245" s="91"/>
      <c r="FG245" s="91"/>
      <c r="FH245" s="91"/>
      <c r="FI245" s="91"/>
      <c r="FJ245" s="91"/>
      <c r="FK245" s="91"/>
      <c r="FL245" s="91"/>
      <c r="FM245" s="91"/>
      <c r="FN245" s="91"/>
      <c r="FO245" s="91"/>
      <c r="FP245" s="91"/>
      <c r="FQ245" s="91"/>
      <c r="FR245" s="91"/>
      <c r="FS245" s="91"/>
      <c r="FT245" s="91"/>
      <c r="FU245" s="91"/>
      <c r="FV245" s="91"/>
      <c r="FW245" s="91"/>
      <c r="FX245" s="91"/>
      <c r="FY245" s="91"/>
      <c r="FZ245" s="91"/>
      <c r="GA245" s="91"/>
      <c r="GB245" s="91"/>
      <c r="GC245" s="91"/>
      <c r="GD245" s="91"/>
      <c r="GE245" s="91"/>
      <c r="GF245" s="91"/>
      <c r="GG245" s="91"/>
      <c r="GH245" s="91"/>
      <c r="GI245" s="91"/>
      <c r="GJ245" s="91"/>
      <c r="GK245" s="91"/>
      <c r="GL245" s="91"/>
      <c r="GM245" s="91"/>
      <c r="GN245" s="91"/>
      <c r="GO245" s="91"/>
      <c r="GP245" s="91"/>
      <c r="GQ245" s="91"/>
      <c r="GR245" s="91"/>
    </row>
    <row r="246" spans="2:200" x14ac:dyDescent="0.15">
      <c r="B246" s="91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1"/>
      <c r="AN246" s="91"/>
      <c r="AO246" s="91"/>
      <c r="AP246" s="91"/>
      <c r="AQ246" s="91"/>
      <c r="AR246" s="91"/>
      <c r="AS246" s="91"/>
      <c r="AT246" s="91"/>
      <c r="AU246" s="91"/>
      <c r="AV246" s="91"/>
      <c r="AW246" s="91"/>
      <c r="AX246" s="91"/>
      <c r="AY246" s="91"/>
      <c r="AZ246" s="91"/>
      <c r="BA246" s="91"/>
      <c r="BB246" s="91"/>
      <c r="BC246" s="91"/>
      <c r="BD246" s="91"/>
      <c r="BE246" s="91"/>
      <c r="BF246" s="91"/>
      <c r="BG246" s="91"/>
      <c r="BH246" s="91"/>
      <c r="BI246" s="91"/>
      <c r="BJ246" s="91"/>
      <c r="BK246" s="91"/>
      <c r="BL246" s="91"/>
      <c r="BM246" s="91"/>
      <c r="BN246" s="91"/>
      <c r="BO246" s="91"/>
      <c r="BP246" s="91"/>
      <c r="BQ246" s="91"/>
      <c r="BR246" s="91"/>
      <c r="BS246" s="91"/>
      <c r="BT246" s="91"/>
      <c r="BU246" s="91"/>
      <c r="BV246" s="91"/>
      <c r="BW246" s="91"/>
      <c r="BX246" s="91"/>
      <c r="BY246" s="91"/>
      <c r="BZ246" s="91"/>
      <c r="CA246" s="91"/>
      <c r="CB246" s="91"/>
      <c r="CC246" s="91"/>
      <c r="CD246" s="91"/>
      <c r="CE246" s="91"/>
      <c r="CF246" s="91"/>
      <c r="CG246" s="91"/>
      <c r="CH246" s="91"/>
      <c r="CI246" s="91"/>
      <c r="CJ246" s="91"/>
      <c r="CK246" s="91"/>
      <c r="CL246" s="91"/>
      <c r="CM246" s="91"/>
      <c r="CN246" s="91"/>
      <c r="CO246" s="91"/>
      <c r="CP246" s="91"/>
      <c r="CQ246" s="91"/>
      <c r="CR246" s="91"/>
      <c r="CS246" s="91"/>
      <c r="CT246" s="91"/>
      <c r="CU246" s="91"/>
      <c r="CV246" s="91"/>
      <c r="CW246" s="91"/>
      <c r="CX246" s="91"/>
      <c r="CY246" s="91"/>
      <c r="CZ246" s="91"/>
      <c r="DA246" s="91"/>
      <c r="DB246" s="91"/>
      <c r="DC246" s="91"/>
      <c r="DD246" s="91"/>
      <c r="DE246" s="91"/>
      <c r="DF246" s="91"/>
      <c r="DG246" s="91"/>
      <c r="DH246" s="91"/>
      <c r="DI246" s="91"/>
      <c r="DJ246" s="91"/>
      <c r="DK246" s="91"/>
      <c r="DL246" s="91"/>
      <c r="DM246" s="91"/>
      <c r="DN246" s="91"/>
      <c r="DO246" s="91"/>
      <c r="DP246" s="91"/>
      <c r="DQ246" s="91"/>
      <c r="DR246" s="91"/>
      <c r="DS246" s="91"/>
      <c r="DT246" s="91"/>
      <c r="DU246" s="91"/>
      <c r="DV246" s="91"/>
      <c r="DW246" s="91"/>
      <c r="DX246" s="91"/>
      <c r="DY246" s="91"/>
      <c r="DZ246" s="91"/>
      <c r="EA246" s="91"/>
      <c r="EB246" s="91"/>
      <c r="EC246" s="91"/>
      <c r="ED246" s="91"/>
      <c r="EE246" s="91"/>
      <c r="EF246" s="91"/>
      <c r="EG246" s="91"/>
      <c r="EH246" s="91"/>
      <c r="EI246" s="91"/>
      <c r="EJ246" s="91"/>
      <c r="EK246" s="91"/>
      <c r="EL246" s="91"/>
      <c r="EM246" s="91"/>
      <c r="EN246" s="91"/>
      <c r="EO246" s="91"/>
      <c r="EP246" s="91"/>
      <c r="EQ246" s="91"/>
      <c r="ER246" s="91"/>
      <c r="ES246" s="91"/>
      <c r="ET246" s="91"/>
      <c r="EU246" s="91"/>
      <c r="EV246" s="91"/>
      <c r="EW246" s="91"/>
      <c r="EX246" s="91"/>
      <c r="EY246" s="91"/>
      <c r="EZ246" s="91"/>
      <c r="FA246" s="91"/>
      <c r="FB246" s="91"/>
      <c r="FC246" s="91"/>
      <c r="FD246" s="91"/>
      <c r="FE246" s="91"/>
      <c r="FF246" s="91"/>
      <c r="FG246" s="91"/>
      <c r="FH246" s="91"/>
      <c r="FI246" s="91"/>
      <c r="FJ246" s="91"/>
      <c r="FK246" s="91"/>
      <c r="FL246" s="91"/>
      <c r="FM246" s="91"/>
      <c r="FN246" s="91"/>
      <c r="FO246" s="91"/>
      <c r="FP246" s="91"/>
      <c r="FQ246" s="91"/>
      <c r="FR246" s="91"/>
      <c r="FS246" s="91"/>
      <c r="FT246" s="91"/>
      <c r="FU246" s="91"/>
      <c r="FV246" s="91"/>
      <c r="FW246" s="91"/>
      <c r="FX246" s="91"/>
      <c r="FY246" s="91"/>
      <c r="FZ246" s="91"/>
      <c r="GA246" s="91"/>
      <c r="GB246" s="91"/>
      <c r="GC246" s="91"/>
      <c r="GD246" s="91"/>
      <c r="GE246" s="91"/>
      <c r="GF246" s="91"/>
      <c r="GG246" s="91"/>
      <c r="GH246" s="91"/>
      <c r="GI246" s="91"/>
      <c r="GJ246" s="91"/>
      <c r="GK246" s="91"/>
      <c r="GL246" s="91"/>
      <c r="GM246" s="91"/>
      <c r="GN246" s="91"/>
      <c r="GO246" s="91"/>
      <c r="GP246" s="91"/>
      <c r="GQ246" s="91"/>
      <c r="GR246" s="91"/>
    </row>
    <row r="247" spans="2:200" x14ac:dyDescent="0.15"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  <c r="AD247" s="91"/>
      <c r="AE247" s="91"/>
      <c r="AF247" s="91"/>
      <c r="AG247" s="91"/>
      <c r="AH247" s="91"/>
      <c r="AI247" s="91"/>
      <c r="AJ247" s="91"/>
      <c r="AK247" s="91"/>
      <c r="AL247" s="91"/>
      <c r="AM247" s="91"/>
      <c r="AN247" s="91"/>
      <c r="AO247" s="91"/>
      <c r="AP247" s="91"/>
      <c r="AQ247" s="91"/>
      <c r="AR247" s="91"/>
      <c r="AS247" s="91"/>
      <c r="AT247" s="91"/>
      <c r="AU247" s="91"/>
      <c r="AV247" s="91"/>
      <c r="AW247" s="91"/>
      <c r="AX247" s="91"/>
      <c r="AY247" s="91"/>
      <c r="AZ247" s="91"/>
      <c r="BA247" s="91"/>
      <c r="BB247" s="91"/>
      <c r="BC247" s="91"/>
      <c r="BD247" s="91"/>
      <c r="BE247" s="91"/>
      <c r="BF247" s="91"/>
      <c r="BG247" s="91"/>
      <c r="BH247" s="91"/>
      <c r="BI247" s="91"/>
      <c r="BJ247" s="91"/>
      <c r="BK247" s="91"/>
      <c r="BL247" s="91"/>
      <c r="BM247" s="91"/>
      <c r="BN247" s="91"/>
      <c r="BO247" s="91"/>
      <c r="BP247" s="91"/>
      <c r="BQ247" s="91"/>
      <c r="BR247" s="91"/>
      <c r="BS247" s="91"/>
      <c r="BT247" s="91"/>
      <c r="BU247" s="91"/>
      <c r="BV247" s="91"/>
      <c r="BW247" s="91"/>
      <c r="BX247" s="91"/>
      <c r="BY247" s="91"/>
      <c r="BZ247" s="91"/>
      <c r="CA247" s="91"/>
      <c r="CB247" s="91"/>
      <c r="CC247" s="91"/>
      <c r="CD247" s="91"/>
      <c r="CE247" s="91"/>
      <c r="CF247" s="91"/>
      <c r="CG247" s="91"/>
      <c r="CH247" s="91"/>
      <c r="CI247" s="91"/>
      <c r="CJ247" s="91"/>
      <c r="CK247" s="91"/>
      <c r="CL247" s="91"/>
      <c r="CM247" s="91"/>
      <c r="CN247" s="91"/>
      <c r="CO247" s="91"/>
      <c r="CP247" s="91"/>
      <c r="CQ247" s="91"/>
      <c r="CR247" s="91"/>
      <c r="CS247" s="91"/>
      <c r="CT247" s="91"/>
      <c r="CU247" s="91"/>
      <c r="CV247" s="91"/>
      <c r="CW247" s="91"/>
      <c r="CX247" s="91"/>
      <c r="CY247" s="91"/>
      <c r="CZ247" s="91"/>
      <c r="DA247" s="91"/>
      <c r="DB247" s="91"/>
      <c r="DC247" s="91"/>
      <c r="DD247" s="91"/>
      <c r="DE247" s="91"/>
      <c r="DF247" s="91"/>
      <c r="DG247" s="91"/>
      <c r="DH247" s="91"/>
      <c r="DI247" s="91"/>
      <c r="DJ247" s="91"/>
      <c r="DK247" s="91"/>
      <c r="DL247" s="91"/>
      <c r="DM247" s="91"/>
      <c r="DN247" s="91"/>
      <c r="DO247" s="91"/>
      <c r="DP247" s="91"/>
      <c r="DQ247" s="91"/>
      <c r="DR247" s="91"/>
      <c r="DS247" s="91"/>
      <c r="DT247" s="91"/>
      <c r="DU247" s="91"/>
      <c r="DV247" s="91"/>
      <c r="DW247" s="91"/>
      <c r="DX247" s="91"/>
      <c r="DY247" s="91"/>
      <c r="DZ247" s="91"/>
      <c r="EA247" s="91"/>
      <c r="EB247" s="91"/>
      <c r="EC247" s="91"/>
      <c r="ED247" s="91"/>
      <c r="EE247" s="91"/>
      <c r="EF247" s="91"/>
      <c r="EG247" s="91"/>
      <c r="EH247" s="91"/>
      <c r="EI247" s="91"/>
      <c r="EJ247" s="91"/>
      <c r="EK247" s="91"/>
      <c r="EL247" s="91"/>
      <c r="EM247" s="91"/>
      <c r="EN247" s="91"/>
      <c r="EO247" s="91"/>
      <c r="EP247" s="91"/>
      <c r="EQ247" s="91"/>
      <c r="ER247" s="91"/>
      <c r="ES247" s="91"/>
      <c r="ET247" s="91"/>
      <c r="EU247" s="91"/>
      <c r="EV247" s="91"/>
      <c r="EW247" s="91"/>
      <c r="EX247" s="91"/>
      <c r="EY247" s="91"/>
      <c r="EZ247" s="91"/>
      <c r="FA247" s="91"/>
      <c r="FB247" s="91"/>
      <c r="FC247" s="91"/>
      <c r="FD247" s="91"/>
      <c r="FE247" s="91"/>
      <c r="FF247" s="91"/>
      <c r="FG247" s="91"/>
      <c r="FH247" s="91"/>
      <c r="FI247" s="91"/>
      <c r="FJ247" s="91"/>
      <c r="FK247" s="91"/>
      <c r="FL247" s="91"/>
      <c r="FM247" s="91"/>
      <c r="FN247" s="91"/>
      <c r="FO247" s="91"/>
      <c r="FP247" s="91"/>
      <c r="FQ247" s="91"/>
      <c r="FR247" s="91"/>
      <c r="FS247" s="91"/>
      <c r="FT247" s="91"/>
      <c r="FU247" s="91"/>
      <c r="FV247" s="91"/>
      <c r="FW247" s="91"/>
      <c r="FX247" s="91"/>
      <c r="FY247" s="91"/>
      <c r="FZ247" s="91"/>
      <c r="GA247" s="91"/>
      <c r="GB247" s="91"/>
      <c r="GC247" s="91"/>
      <c r="GD247" s="91"/>
      <c r="GE247" s="91"/>
      <c r="GF247" s="91"/>
      <c r="GG247" s="91"/>
      <c r="GH247" s="91"/>
      <c r="GI247" s="91"/>
      <c r="GJ247" s="91"/>
      <c r="GK247" s="91"/>
      <c r="GL247" s="91"/>
      <c r="GM247" s="91"/>
      <c r="GN247" s="91"/>
      <c r="GO247" s="91"/>
      <c r="GP247" s="91"/>
      <c r="GQ247" s="91"/>
      <c r="GR247" s="91"/>
    </row>
    <row r="248" spans="2:200" x14ac:dyDescent="0.15">
      <c r="B248" s="91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1"/>
      <c r="AN248" s="91"/>
      <c r="AO248" s="91"/>
      <c r="AP248" s="91"/>
      <c r="AQ248" s="91"/>
      <c r="AR248" s="91"/>
      <c r="AS248" s="91"/>
      <c r="AT248" s="91"/>
      <c r="AU248" s="91"/>
      <c r="AV248" s="91"/>
      <c r="AW248" s="91"/>
      <c r="AX248" s="91"/>
      <c r="AY248" s="91"/>
      <c r="AZ248" s="91"/>
      <c r="BA248" s="91"/>
      <c r="BB248" s="91"/>
      <c r="BC248" s="91"/>
      <c r="BD248" s="91"/>
      <c r="BE248" s="91"/>
      <c r="BF248" s="91"/>
      <c r="BG248" s="91"/>
      <c r="BH248" s="91"/>
      <c r="BI248" s="91"/>
      <c r="BJ248" s="91"/>
      <c r="BK248" s="91"/>
      <c r="BL248" s="91"/>
      <c r="BM248" s="91"/>
      <c r="BN248" s="91"/>
      <c r="BO248" s="91"/>
      <c r="BP248" s="91"/>
      <c r="BQ248" s="91"/>
      <c r="BR248" s="91"/>
      <c r="BS248" s="91"/>
      <c r="BT248" s="91"/>
      <c r="BU248" s="91"/>
      <c r="BV248" s="91"/>
      <c r="BW248" s="91"/>
      <c r="BX248" s="91"/>
      <c r="BY248" s="91"/>
      <c r="BZ248" s="91"/>
      <c r="CA248" s="91"/>
      <c r="CB248" s="91"/>
      <c r="CC248" s="91"/>
      <c r="CD248" s="91"/>
      <c r="CE248" s="91"/>
      <c r="CF248" s="91"/>
      <c r="CG248" s="91"/>
      <c r="CH248" s="91"/>
      <c r="CI248" s="91"/>
      <c r="CJ248" s="91"/>
      <c r="CK248" s="91"/>
      <c r="CL248" s="91"/>
      <c r="CM248" s="91"/>
      <c r="CN248" s="91"/>
      <c r="CO248" s="91"/>
      <c r="CP248" s="91"/>
      <c r="CQ248" s="91"/>
      <c r="CR248" s="91"/>
      <c r="CS248" s="91"/>
      <c r="CT248" s="91"/>
      <c r="CU248" s="91"/>
      <c r="CV248" s="91"/>
      <c r="CW248" s="91"/>
      <c r="CX248" s="91"/>
      <c r="CY248" s="91"/>
      <c r="CZ248" s="91"/>
      <c r="DA248" s="91"/>
      <c r="DB248" s="91"/>
      <c r="DC248" s="91"/>
      <c r="DD248" s="91"/>
      <c r="DE248" s="91"/>
      <c r="DF248" s="91"/>
      <c r="DG248" s="91"/>
      <c r="DH248" s="91"/>
      <c r="DI248" s="91"/>
      <c r="DJ248" s="91"/>
      <c r="DK248" s="91"/>
      <c r="DL248" s="91"/>
      <c r="DM248" s="91"/>
      <c r="DN248" s="91"/>
      <c r="DO248" s="91"/>
      <c r="DP248" s="91"/>
      <c r="DQ248" s="91"/>
      <c r="DR248" s="91"/>
      <c r="DS248" s="91"/>
      <c r="DT248" s="91"/>
      <c r="DU248" s="91"/>
      <c r="DV248" s="91"/>
      <c r="DW248" s="91"/>
      <c r="DX248" s="91"/>
      <c r="DY248" s="91"/>
      <c r="DZ248" s="91"/>
      <c r="EA248" s="91"/>
      <c r="EB248" s="91"/>
      <c r="EC248" s="91"/>
      <c r="ED248" s="91"/>
      <c r="EE248" s="91"/>
      <c r="EF248" s="91"/>
      <c r="EG248" s="91"/>
      <c r="EH248" s="91"/>
      <c r="EI248" s="91"/>
      <c r="EJ248" s="91"/>
      <c r="EK248" s="91"/>
      <c r="EL248" s="91"/>
      <c r="EM248" s="91"/>
      <c r="EN248" s="91"/>
      <c r="EO248" s="91"/>
      <c r="EP248" s="91"/>
      <c r="EQ248" s="91"/>
      <c r="ER248" s="91"/>
      <c r="ES248" s="91"/>
      <c r="ET248" s="91"/>
      <c r="EU248" s="91"/>
      <c r="EV248" s="91"/>
      <c r="EW248" s="91"/>
      <c r="EX248" s="91"/>
      <c r="EY248" s="91"/>
      <c r="EZ248" s="91"/>
      <c r="FA248" s="91"/>
      <c r="FB248" s="91"/>
      <c r="FC248" s="91"/>
      <c r="FD248" s="91"/>
      <c r="FE248" s="91"/>
      <c r="FF248" s="91"/>
      <c r="FG248" s="91"/>
      <c r="FH248" s="91"/>
      <c r="FI248" s="91"/>
      <c r="FJ248" s="91"/>
      <c r="FK248" s="91"/>
      <c r="FL248" s="91"/>
      <c r="FM248" s="91"/>
      <c r="FN248" s="91"/>
      <c r="FO248" s="91"/>
      <c r="FP248" s="91"/>
      <c r="FQ248" s="91"/>
      <c r="FR248" s="91"/>
      <c r="FS248" s="91"/>
      <c r="FT248" s="91"/>
      <c r="FU248" s="91"/>
      <c r="FV248" s="91"/>
      <c r="FW248" s="91"/>
      <c r="FX248" s="91"/>
      <c r="FY248" s="91"/>
      <c r="FZ248" s="91"/>
      <c r="GA248" s="91"/>
      <c r="GB248" s="91"/>
      <c r="GC248" s="91"/>
      <c r="GD248" s="91"/>
      <c r="GE248" s="91"/>
      <c r="GF248" s="91"/>
      <c r="GG248" s="91"/>
      <c r="GH248" s="91"/>
      <c r="GI248" s="91"/>
      <c r="GJ248" s="91"/>
      <c r="GK248" s="91"/>
      <c r="GL248" s="91"/>
      <c r="GM248" s="91"/>
      <c r="GN248" s="91"/>
      <c r="GO248" s="91"/>
      <c r="GP248" s="91"/>
      <c r="GQ248" s="91"/>
      <c r="GR248" s="91"/>
    </row>
    <row r="249" spans="2:200" x14ac:dyDescent="0.15"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  <c r="AD249" s="91"/>
      <c r="AE249" s="91"/>
      <c r="AF249" s="91"/>
      <c r="AG249" s="91"/>
      <c r="AH249" s="91"/>
      <c r="AI249" s="91"/>
      <c r="AJ249" s="91"/>
      <c r="AK249" s="91"/>
      <c r="AL249" s="91"/>
      <c r="AM249" s="91"/>
      <c r="AN249" s="91"/>
      <c r="AO249" s="91"/>
      <c r="AP249" s="91"/>
      <c r="AQ249" s="91"/>
      <c r="AR249" s="91"/>
      <c r="AS249" s="91"/>
      <c r="AT249" s="91"/>
      <c r="AU249" s="91"/>
      <c r="AV249" s="91"/>
      <c r="AW249" s="91"/>
      <c r="AX249" s="91"/>
      <c r="AY249" s="91"/>
      <c r="AZ249" s="91"/>
      <c r="BA249" s="91"/>
      <c r="BB249" s="91"/>
      <c r="BC249" s="91"/>
      <c r="BD249" s="91"/>
      <c r="BE249" s="91"/>
      <c r="BF249" s="91"/>
      <c r="BG249" s="91"/>
      <c r="BH249" s="91"/>
      <c r="BI249" s="91"/>
      <c r="BJ249" s="91"/>
      <c r="BK249" s="91"/>
      <c r="BL249" s="91"/>
      <c r="BM249" s="91"/>
      <c r="BN249" s="91"/>
      <c r="BO249" s="91"/>
      <c r="BP249" s="91"/>
      <c r="BQ249" s="91"/>
      <c r="BR249" s="91"/>
      <c r="BS249" s="91"/>
      <c r="BT249" s="91"/>
      <c r="BU249" s="91"/>
      <c r="BV249" s="91"/>
      <c r="BW249" s="91"/>
      <c r="BX249" s="91"/>
      <c r="BY249" s="91"/>
      <c r="BZ249" s="91"/>
      <c r="CA249" s="91"/>
      <c r="CB249" s="91"/>
      <c r="CC249" s="91"/>
      <c r="CD249" s="91"/>
      <c r="CE249" s="91"/>
      <c r="CF249" s="91"/>
      <c r="CG249" s="91"/>
      <c r="CH249" s="91"/>
      <c r="CI249" s="91"/>
      <c r="CJ249" s="91"/>
      <c r="CK249" s="91"/>
      <c r="CL249" s="91"/>
      <c r="CM249" s="91"/>
      <c r="CN249" s="91"/>
      <c r="CO249" s="91"/>
      <c r="CP249" s="91"/>
      <c r="CQ249" s="91"/>
      <c r="CR249" s="91"/>
      <c r="CS249" s="91"/>
      <c r="CT249" s="91"/>
      <c r="CU249" s="91"/>
      <c r="CV249" s="91"/>
      <c r="CW249" s="91"/>
      <c r="CX249" s="91"/>
      <c r="CY249" s="91"/>
      <c r="CZ249" s="91"/>
      <c r="DA249" s="91"/>
      <c r="DB249" s="91"/>
      <c r="DC249" s="91"/>
      <c r="DD249" s="91"/>
      <c r="DE249" s="91"/>
      <c r="DF249" s="91"/>
      <c r="DG249" s="91"/>
      <c r="DH249" s="91"/>
      <c r="DI249" s="91"/>
      <c r="DJ249" s="91"/>
      <c r="DK249" s="91"/>
      <c r="DL249" s="91"/>
      <c r="DM249" s="91"/>
      <c r="DN249" s="91"/>
      <c r="DO249" s="91"/>
      <c r="DP249" s="91"/>
      <c r="DQ249" s="91"/>
      <c r="DR249" s="91"/>
      <c r="DS249" s="91"/>
      <c r="DT249" s="91"/>
      <c r="DU249" s="91"/>
      <c r="DV249" s="91"/>
      <c r="DW249" s="91"/>
      <c r="DX249" s="91"/>
      <c r="DY249" s="91"/>
      <c r="DZ249" s="91"/>
      <c r="EA249" s="91"/>
      <c r="EB249" s="91"/>
      <c r="EC249" s="91"/>
      <c r="ED249" s="91"/>
      <c r="EE249" s="91"/>
      <c r="EF249" s="91"/>
      <c r="EG249" s="91"/>
      <c r="EH249" s="91"/>
      <c r="EI249" s="91"/>
      <c r="EJ249" s="91"/>
      <c r="EK249" s="91"/>
      <c r="EL249" s="91"/>
      <c r="EM249" s="91"/>
      <c r="EN249" s="91"/>
      <c r="EO249" s="91"/>
      <c r="EP249" s="91"/>
      <c r="EQ249" s="91"/>
      <c r="ER249" s="91"/>
      <c r="ES249" s="91"/>
      <c r="ET249" s="91"/>
      <c r="EU249" s="91"/>
      <c r="EV249" s="91"/>
      <c r="EW249" s="91"/>
      <c r="EX249" s="91"/>
      <c r="EY249" s="91"/>
      <c r="EZ249" s="91"/>
      <c r="FA249" s="91"/>
      <c r="FB249" s="91"/>
      <c r="FC249" s="91"/>
      <c r="FD249" s="91"/>
      <c r="FE249" s="91"/>
      <c r="FF249" s="91"/>
      <c r="FG249" s="91"/>
      <c r="FH249" s="91"/>
      <c r="FI249" s="91"/>
      <c r="FJ249" s="91"/>
      <c r="FK249" s="91"/>
      <c r="FL249" s="91"/>
      <c r="FM249" s="91"/>
      <c r="FN249" s="91"/>
      <c r="FO249" s="91"/>
      <c r="FP249" s="91"/>
      <c r="FQ249" s="91"/>
      <c r="FR249" s="91"/>
      <c r="FS249" s="91"/>
      <c r="FT249" s="91"/>
      <c r="FU249" s="91"/>
      <c r="FV249" s="91"/>
      <c r="FW249" s="91"/>
      <c r="FX249" s="91"/>
      <c r="FY249" s="91"/>
      <c r="FZ249" s="91"/>
      <c r="GA249" s="91"/>
      <c r="GB249" s="91"/>
      <c r="GC249" s="91"/>
      <c r="GD249" s="91"/>
      <c r="GE249" s="91"/>
      <c r="GF249" s="91"/>
      <c r="GG249" s="91"/>
      <c r="GH249" s="91"/>
      <c r="GI249" s="91"/>
      <c r="GJ249" s="91"/>
      <c r="GK249" s="91"/>
      <c r="GL249" s="91"/>
      <c r="GM249" s="91"/>
      <c r="GN249" s="91"/>
      <c r="GO249" s="91"/>
      <c r="GP249" s="91"/>
      <c r="GQ249" s="91"/>
      <c r="GR249" s="91"/>
    </row>
    <row r="250" spans="2:200" x14ac:dyDescent="0.15">
      <c r="B250" s="91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  <c r="AA250" s="91"/>
      <c r="AB250" s="91"/>
      <c r="AC250" s="91"/>
      <c r="AD250" s="91"/>
      <c r="AE250" s="91"/>
      <c r="AF250" s="91"/>
      <c r="AG250" s="91"/>
      <c r="AH250" s="91"/>
      <c r="AI250" s="91"/>
      <c r="AJ250" s="91"/>
      <c r="AK250" s="91"/>
      <c r="AL250" s="91"/>
      <c r="AM250" s="91"/>
      <c r="AN250" s="91"/>
      <c r="AO250" s="91"/>
      <c r="AP250" s="91"/>
      <c r="AQ250" s="91"/>
      <c r="AR250" s="91"/>
      <c r="AS250" s="91"/>
      <c r="AT250" s="91"/>
      <c r="AU250" s="91"/>
      <c r="AV250" s="91"/>
      <c r="AW250" s="91"/>
      <c r="AX250" s="91"/>
      <c r="AY250" s="91"/>
      <c r="AZ250" s="91"/>
      <c r="BA250" s="91"/>
      <c r="BB250" s="91"/>
      <c r="BC250" s="91"/>
      <c r="BD250" s="91"/>
      <c r="BE250" s="91"/>
      <c r="BF250" s="91"/>
      <c r="BG250" s="91"/>
      <c r="BH250" s="91"/>
      <c r="BI250" s="91"/>
      <c r="BJ250" s="91"/>
      <c r="BK250" s="91"/>
      <c r="BL250" s="91"/>
      <c r="BM250" s="91"/>
      <c r="BN250" s="91"/>
      <c r="BO250" s="91"/>
      <c r="BP250" s="91"/>
      <c r="BQ250" s="91"/>
      <c r="BR250" s="91"/>
      <c r="BS250" s="91"/>
      <c r="BT250" s="91"/>
      <c r="BU250" s="91"/>
      <c r="BV250" s="91"/>
      <c r="BW250" s="91"/>
      <c r="BX250" s="91"/>
      <c r="BY250" s="91"/>
      <c r="BZ250" s="91"/>
      <c r="CA250" s="91"/>
      <c r="CB250" s="91"/>
      <c r="CC250" s="91"/>
      <c r="CD250" s="91"/>
      <c r="CE250" s="91"/>
      <c r="CF250" s="91"/>
      <c r="CG250" s="91"/>
      <c r="CH250" s="91"/>
      <c r="CI250" s="91"/>
      <c r="CJ250" s="91"/>
      <c r="CK250" s="91"/>
      <c r="CL250" s="91"/>
      <c r="CM250" s="91"/>
      <c r="CN250" s="91"/>
      <c r="CO250" s="91"/>
      <c r="CP250" s="91"/>
      <c r="CQ250" s="91"/>
      <c r="CR250" s="91"/>
      <c r="CS250" s="91"/>
      <c r="CT250" s="91"/>
      <c r="CU250" s="91"/>
      <c r="CV250" s="91"/>
      <c r="CW250" s="91"/>
      <c r="CX250" s="91"/>
      <c r="CY250" s="91"/>
      <c r="CZ250" s="91"/>
      <c r="DA250" s="91"/>
      <c r="DB250" s="91"/>
      <c r="DC250" s="91"/>
      <c r="DD250" s="91"/>
      <c r="DE250" s="91"/>
      <c r="DF250" s="91"/>
      <c r="DG250" s="91"/>
      <c r="DH250" s="91"/>
      <c r="DI250" s="91"/>
      <c r="DJ250" s="91"/>
      <c r="DK250" s="91"/>
      <c r="DL250" s="91"/>
      <c r="DM250" s="91"/>
      <c r="DN250" s="91"/>
      <c r="DO250" s="91"/>
      <c r="DP250" s="91"/>
      <c r="DQ250" s="91"/>
      <c r="DR250" s="91"/>
      <c r="DS250" s="91"/>
      <c r="DT250" s="91"/>
      <c r="DU250" s="91"/>
      <c r="DV250" s="91"/>
      <c r="DW250" s="91"/>
      <c r="DX250" s="91"/>
      <c r="DY250" s="91"/>
      <c r="DZ250" s="91"/>
      <c r="EA250" s="91"/>
      <c r="EB250" s="91"/>
      <c r="EC250" s="91"/>
      <c r="ED250" s="91"/>
      <c r="EE250" s="91"/>
      <c r="EF250" s="91"/>
      <c r="EG250" s="91"/>
      <c r="EH250" s="91"/>
      <c r="EI250" s="91"/>
      <c r="EJ250" s="91"/>
      <c r="EK250" s="91"/>
      <c r="EL250" s="91"/>
      <c r="EM250" s="91"/>
      <c r="EN250" s="91"/>
      <c r="EO250" s="91"/>
      <c r="EP250" s="91"/>
      <c r="EQ250" s="91"/>
      <c r="ER250" s="91"/>
      <c r="ES250" s="91"/>
      <c r="ET250" s="91"/>
      <c r="EU250" s="91"/>
      <c r="EV250" s="91"/>
      <c r="EW250" s="91"/>
      <c r="EX250" s="91"/>
      <c r="EY250" s="91"/>
      <c r="EZ250" s="91"/>
      <c r="FA250" s="91"/>
      <c r="FB250" s="91"/>
      <c r="FC250" s="91"/>
      <c r="FD250" s="91"/>
      <c r="FE250" s="91"/>
      <c r="FF250" s="91"/>
      <c r="FG250" s="91"/>
      <c r="FH250" s="91"/>
      <c r="FI250" s="91"/>
      <c r="FJ250" s="91"/>
      <c r="FK250" s="91"/>
      <c r="FL250" s="91"/>
      <c r="FM250" s="91"/>
      <c r="FN250" s="91"/>
      <c r="FO250" s="91"/>
      <c r="FP250" s="91"/>
      <c r="FQ250" s="91"/>
      <c r="FR250" s="91"/>
      <c r="FS250" s="91"/>
      <c r="FT250" s="91"/>
      <c r="FU250" s="91"/>
      <c r="FV250" s="91"/>
      <c r="FW250" s="91"/>
      <c r="FX250" s="91"/>
      <c r="FY250" s="91"/>
      <c r="FZ250" s="91"/>
      <c r="GA250" s="91"/>
      <c r="GB250" s="91"/>
      <c r="GC250" s="91"/>
      <c r="GD250" s="91"/>
      <c r="GE250" s="91"/>
      <c r="GF250" s="91"/>
      <c r="GG250" s="91"/>
      <c r="GH250" s="91"/>
      <c r="GI250" s="91"/>
      <c r="GJ250" s="91"/>
      <c r="GK250" s="91"/>
      <c r="GL250" s="91"/>
      <c r="GM250" s="91"/>
      <c r="GN250" s="91"/>
      <c r="GO250" s="91"/>
      <c r="GP250" s="91"/>
      <c r="GQ250" s="91"/>
      <c r="GR250" s="91"/>
    </row>
    <row r="251" spans="2:200" x14ac:dyDescent="0.15">
      <c r="D251" s="91"/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81E20-1548-490B-8031-52C4533CA02C}">
  <sheetPr codeName="Sheet18"/>
  <dimension ref="A1:H33"/>
  <sheetViews>
    <sheetView zoomScale="90" zoomScaleNormal="90" workbookViewId="0">
      <selection activeCell="C25" sqref="C25"/>
    </sheetView>
  </sheetViews>
  <sheetFormatPr defaultRowHeight="12" x14ac:dyDescent="0.15"/>
  <cols>
    <col min="1" max="1" width="10.7109375" customWidth="1"/>
    <col min="2" max="2" width="17.85546875" customWidth="1"/>
    <col min="3" max="8" width="7.5703125" customWidth="1"/>
    <col min="9" max="16" width="6.7109375" customWidth="1"/>
    <col min="17" max="17" width="9.5703125" customWidth="1"/>
    <col min="18" max="22" width="6.7109375" customWidth="1"/>
    <col min="23" max="23" width="16.85546875" customWidth="1"/>
    <col min="24" max="56" width="6.7109375" customWidth="1"/>
  </cols>
  <sheetData>
    <row r="1" spans="1:8" x14ac:dyDescent="0.15">
      <c r="A1" s="64" t="s">
        <v>0</v>
      </c>
      <c r="B1" s="64" t="s">
        <v>19</v>
      </c>
      <c r="C1" t="s">
        <v>20</v>
      </c>
      <c r="D1" t="s">
        <v>21</v>
      </c>
    </row>
    <row r="2" spans="1:8" x14ac:dyDescent="0.15">
      <c r="A2">
        <v>6</v>
      </c>
      <c r="B2">
        <v>6</v>
      </c>
      <c r="C2">
        <v>3.8499999046325684</v>
      </c>
      <c r="D2">
        <v>3665</v>
      </c>
    </row>
    <row r="3" spans="1:8" x14ac:dyDescent="0.15">
      <c r="B3">
        <v>5</v>
      </c>
      <c r="C3">
        <v>6.7800002098083496</v>
      </c>
      <c r="D3">
        <v>16962</v>
      </c>
    </row>
    <row r="4" spans="1:8" x14ac:dyDescent="0.15">
      <c r="B4">
        <v>4</v>
      </c>
      <c r="C4">
        <v>6.4499998092651367</v>
      </c>
      <c r="D4">
        <v>16883</v>
      </c>
    </row>
    <row r="5" spans="1:8" x14ac:dyDescent="0.15">
      <c r="B5">
        <v>3</v>
      </c>
      <c r="C5">
        <v>6.630000114440918</v>
      </c>
      <c r="D5">
        <v>142516</v>
      </c>
    </row>
    <row r="6" spans="1:8" x14ac:dyDescent="0.15">
      <c r="B6">
        <v>2</v>
      </c>
      <c r="C6">
        <v>5.1399998664855957</v>
      </c>
      <c r="D6">
        <v>102283</v>
      </c>
    </row>
    <row r="7" spans="1:8" x14ac:dyDescent="0.15">
      <c r="B7">
        <v>1</v>
      </c>
      <c r="C7">
        <v>8.0200004577636719</v>
      </c>
      <c r="D7">
        <v>2131880</v>
      </c>
    </row>
    <row r="11" spans="1:8" x14ac:dyDescent="0.15">
      <c r="B11" t="s">
        <v>40</v>
      </c>
      <c r="C11">
        <v>447.47310264597832</v>
      </c>
      <c r="D11">
        <v>1596.1901586915099</v>
      </c>
      <c r="E11">
        <v>5876.9108799207052</v>
      </c>
      <c r="F11">
        <v>9690.4478497597174</v>
      </c>
      <c r="G11">
        <v>61779.192316305474</v>
      </c>
      <c r="H11">
        <v>265820.44647262729</v>
      </c>
    </row>
    <row r="12" spans="1:8" x14ac:dyDescent="0.15">
      <c r="B12" t="s">
        <v>41</v>
      </c>
      <c r="C12">
        <v>21.153560046620481</v>
      </c>
      <c r="D12">
        <v>39.952348600445376</v>
      </c>
      <c r="E12">
        <v>76.661012776513104</v>
      </c>
      <c r="F12">
        <v>98.440072377867125</v>
      </c>
      <c r="G12">
        <v>248.55420398035008</v>
      </c>
      <c r="H12">
        <v>515.5777792657741</v>
      </c>
    </row>
    <row r="13" spans="1:8" x14ac:dyDescent="0.15">
      <c r="B13" t="s">
        <v>42</v>
      </c>
      <c r="C13">
        <v>0.29702735355253429</v>
      </c>
      <c r="D13">
        <v>0.15726699878645586</v>
      </c>
      <c r="E13">
        <v>8.1960643765292204E-2</v>
      </c>
      <c r="F13">
        <v>6.3827522746468357E-2</v>
      </c>
      <c r="G13">
        <v>2.5278936578996804E-2</v>
      </c>
      <c r="H13">
        <v>1.2186688820860525E-2</v>
      </c>
    </row>
    <row r="15" spans="1:8" x14ac:dyDescent="0.15">
      <c r="B15" t="s">
        <v>38</v>
      </c>
      <c r="C15">
        <v>1.4989999608035096</v>
      </c>
      <c r="D15">
        <v>0.47137236148501571</v>
      </c>
      <c r="E15">
        <v>0.50434039693093924</v>
      </c>
      <c r="F15">
        <v>0.67144710528125695</v>
      </c>
      <c r="G15">
        <v>0.26519104687571704</v>
      </c>
      <c r="H15">
        <v>1</v>
      </c>
    </row>
    <row r="17" spans="2:8" x14ac:dyDescent="0.15">
      <c r="B17" t="s">
        <v>37</v>
      </c>
    </row>
    <row r="18" spans="2:8" x14ac:dyDescent="0.15">
      <c r="B18">
        <v>6</v>
      </c>
      <c r="C18">
        <v>1</v>
      </c>
      <c r="D18">
        <v>-1</v>
      </c>
      <c r="E18">
        <v>0.1469110352492618</v>
      </c>
      <c r="F18">
        <v>-6.3690017254983298E-3</v>
      </c>
      <c r="G18">
        <v>-7.4387024734371321E-4</v>
      </c>
      <c r="H18">
        <v>0</v>
      </c>
    </row>
    <row r="19" spans="2:8" x14ac:dyDescent="0.15">
      <c r="B19">
        <v>5</v>
      </c>
      <c r="C19">
        <v>0.5295934728069891</v>
      </c>
      <c r="D19">
        <v>0.68620070540398326</v>
      </c>
      <c r="E19">
        <v>-0.85490955174022798</v>
      </c>
      <c r="F19">
        <v>0.16862260281941507</v>
      </c>
      <c r="G19">
        <v>1.6030102358075973E-2</v>
      </c>
      <c r="H19">
        <v>0</v>
      </c>
    </row>
    <row r="20" spans="2:8" x14ac:dyDescent="0.15">
      <c r="B20">
        <v>4</v>
      </c>
      <c r="C20">
        <v>0.33513909194693076</v>
      </c>
      <c r="D20">
        <v>0.59323895112170333</v>
      </c>
      <c r="E20">
        <v>1</v>
      </c>
      <c r="F20">
        <v>-0.58446959092893447</v>
      </c>
      <c r="G20">
        <v>1.5415723412482785E-3</v>
      </c>
      <c r="H20">
        <v>0</v>
      </c>
    </row>
    <row r="21" spans="2:8" x14ac:dyDescent="0.15">
      <c r="B21">
        <v>3</v>
      </c>
      <c r="C21">
        <v>7.6695947725546582E-2</v>
      </c>
      <c r="D21">
        <v>0.15743114427268898</v>
      </c>
      <c r="E21">
        <v>0.4957350664448601</v>
      </c>
      <c r="F21">
        <v>1</v>
      </c>
      <c r="G21">
        <v>-0.57607880457726546</v>
      </c>
      <c r="H21">
        <v>0</v>
      </c>
    </row>
    <row r="22" spans="2:8" x14ac:dyDescent="0.15">
      <c r="B22">
        <v>2</v>
      </c>
      <c r="C22">
        <v>4.5701531294371503E-2</v>
      </c>
      <c r="D22">
        <v>0.10076872471214228</v>
      </c>
      <c r="E22">
        <v>0.384592304495112</v>
      </c>
      <c r="F22">
        <v>0.74063602414673402</v>
      </c>
      <c r="G22">
        <v>1</v>
      </c>
      <c r="H22">
        <v>0</v>
      </c>
    </row>
    <row r="23" spans="2:8" x14ac:dyDescent="0.15">
      <c r="B23">
        <v>1</v>
      </c>
      <c r="C23">
        <v>0</v>
      </c>
      <c r="D23">
        <v>0</v>
      </c>
      <c r="E23">
        <v>0</v>
      </c>
      <c r="F23">
        <v>0</v>
      </c>
      <c r="G23">
        <v>0</v>
      </c>
      <c r="H23">
        <v>1</v>
      </c>
    </row>
    <row r="27" spans="2:8" x14ac:dyDescent="0.15">
      <c r="B27" t="s">
        <v>39</v>
      </c>
    </row>
    <row r="28" spans="2:8" x14ac:dyDescent="0.15">
      <c r="B28">
        <v>6</v>
      </c>
      <c r="C28">
        <v>1.4989999608035096</v>
      </c>
      <c r="D28">
        <v>-0.47137236148501571</v>
      </c>
      <c r="E28">
        <v>7.4093169831147901E-2</v>
      </c>
      <c r="F28">
        <v>-4.2764477721171845E-3</v>
      </c>
      <c r="G28">
        <v>-1.9726772963277788E-4</v>
      </c>
      <c r="H28">
        <v>0</v>
      </c>
    </row>
    <row r="29" spans="2:8" x14ac:dyDescent="0.15">
      <c r="B29">
        <v>5</v>
      </c>
      <c r="C29">
        <v>0.79386059497947115</v>
      </c>
      <c r="D29">
        <v>0.32345604695895919</v>
      </c>
      <c r="E29">
        <v>-0.43116542266471791</v>
      </c>
      <c r="F29">
        <v>0.11322115854808737</v>
      </c>
      <c r="G29">
        <v>4.2510396258630678E-3</v>
      </c>
      <c r="H29">
        <v>0</v>
      </c>
    </row>
    <row r="30" spans="2:8" x14ac:dyDescent="0.15">
      <c r="B30">
        <v>4</v>
      </c>
      <c r="C30">
        <v>0.50237348569217299</v>
      </c>
      <c r="D30">
        <v>0.2796364453151311</v>
      </c>
      <c r="E30">
        <v>0.50434039693093924</v>
      </c>
      <c r="F30">
        <v>-0.39244041495415344</v>
      </c>
      <c r="G30">
        <v>4.0881118301028111E-4</v>
      </c>
      <c r="H30">
        <v>0</v>
      </c>
    </row>
    <row r="31" spans="2:8" x14ac:dyDescent="0.15">
      <c r="B31">
        <v>3</v>
      </c>
      <c r="C31">
        <v>0.11496722263438235</v>
      </c>
      <c r="D31">
        <v>7.4208690247105608E-2</v>
      </c>
      <c r="E31">
        <v>0.25001922018338629</v>
      </c>
      <c r="F31">
        <v>0.67144710528125695</v>
      </c>
      <c r="G31">
        <v>-0.15277094126875665</v>
      </c>
      <c r="H31">
        <v>0</v>
      </c>
    </row>
    <row r="32" spans="2:8" x14ac:dyDescent="0.15">
      <c r="B32">
        <v>2</v>
      </c>
      <c r="C32">
        <v>6.850659361892325E-2</v>
      </c>
      <c r="D32">
        <v>4.7499591731395965E-2</v>
      </c>
      <c r="E32">
        <v>0.19396543550564943</v>
      </c>
      <c r="F32">
        <v>0.49729791448034366</v>
      </c>
      <c r="G32">
        <v>0.26519104687571704</v>
      </c>
      <c r="H32">
        <v>0</v>
      </c>
    </row>
    <row r="33" spans="2:8" x14ac:dyDescent="0.15"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Jacobi2_ready">
                <anchor moveWithCells="1" sizeWithCells="1">
                  <from>
                    <xdr:col>0</xdr:col>
                    <xdr:colOff>133350</xdr:colOff>
                    <xdr:row>3</xdr:row>
                    <xdr:rowOff>38100</xdr:rowOff>
                  </from>
                  <to>
                    <xdr:col>0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Yacobi2">
                <anchor moveWithCells="1" sizeWithCells="1">
                  <from>
                    <xdr:col>0</xdr:col>
                    <xdr:colOff>152400</xdr:colOff>
                    <xdr:row>9</xdr:row>
                    <xdr:rowOff>0</xdr:rowOff>
                  </from>
                  <to>
                    <xdr:col>0</xdr:col>
                    <xdr:colOff>628650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A5C4-636F-426E-93BD-5DA04DF69980}">
  <sheetPr codeName="Sheet19"/>
  <dimension ref="A3:R16"/>
  <sheetViews>
    <sheetView workbookViewId="0">
      <selection activeCell="G16" sqref="G16"/>
    </sheetView>
  </sheetViews>
  <sheetFormatPr defaultRowHeight="12" x14ac:dyDescent="0.15"/>
  <cols>
    <col min="6" max="6" width="10" customWidth="1"/>
    <col min="9" max="9" width="7.5703125" customWidth="1"/>
  </cols>
  <sheetData>
    <row r="3" spans="1:18" x14ac:dyDescent="0.15">
      <c r="A3" s="64" t="s">
        <v>0</v>
      </c>
    </row>
    <row r="4" spans="1:18" x14ac:dyDescent="0.15">
      <c r="A4">
        <v>6</v>
      </c>
      <c r="B4">
        <v>6</v>
      </c>
      <c r="C4">
        <v>3.8499999046325684</v>
      </c>
      <c r="D4">
        <v>3665</v>
      </c>
      <c r="E4">
        <v>1</v>
      </c>
      <c r="F4">
        <v>1</v>
      </c>
      <c r="G4">
        <v>3.8499999046325684</v>
      </c>
      <c r="H4">
        <v>1</v>
      </c>
      <c r="I4">
        <v>3.8499999046325684</v>
      </c>
      <c r="J4">
        <v>1</v>
      </c>
      <c r="K4">
        <v>3.8499999046325684</v>
      </c>
      <c r="L4">
        <v>1</v>
      </c>
      <c r="M4">
        <v>3.8499999046325684</v>
      </c>
      <c r="N4">
        <v>1</v>
      </c>
      <c r="O4">
        <v>3.8499999046325684</v>
      </c>
      <c r="P4">
        <v>1</v>
      </c>
      <c r="Q4">
        <v>3.8499999046325684</v>
      </c>
      <c r="R4">
        <v>1</v>
      </c>
    </row>
    <row r="5" spans="1:18" x14ac:dyDescent="0.15">
      <c r="B5">
        <v>5</v>
      </c>
      <c r="C5">
        <v>6.7800002098083496</v>
      </c>
      <c r="D5">
        <v>16962</v>
      </c>
      <c r="E5">
        <v>1</v>
      </c>
      <c r="F5">
        <v>0.66699749231338501</v>
      </c>
      <c r="G5">
        <v>4.5222431378263934</v>
      </c>
      <c r="H5">
        <v>0.56903046369552612</v>
      </c>
      <c r="I5">
        <v>3.8580266632430096</v>
      </c>
      <c r="J5">
        <v>0.54097229242324829</v>
      </c>
      <c r="K5">
        <v>3.6677922561301273</v>
      </c>
      <c r="L5">
        <v>0.53304469585418701</v>
      </c>
      <c r="M5">
        <v>3.6140431497286158</v>
      </c>
      <c r="N5">
        <v>0.53081649541854858</v>
      </c>
      <c r="O5">
        <v>3.5989359503074922</v>
      </c>
      <c r="P5">
        <v>0.53019136190414429</v>
      </c>
      <c r="Q5">
        <v>3.5946975449486729</v>
      </c>
      <c r="R5">
        <v>0.53001600503921509</v>
      </c>
    </row>
    <row r="6" spans="1:18" x14ac:dyDescent="0.15">
      <c r="B6">
        <v>4</v>
      </c>
      <c r="C6">
        <v>6.4499998092651367</v>
      </c>
      <c r="D6">
        <v>16883</v>
      </c>
      <c r="E6">
        <v>1</v>
      </c>
      <c r="F6">
        <v>0.46833455562591553</v>
      </c>
      <c r="G6">
        <v>3.0207577944594277</v>
      </c>
      <c r="H6">
        <v>0.36653059720993042</v>
      </c>
      <c r="I6">
        <v>2.3641222820938879</v>
      </c>
      <c r="J6">
        <v>0.34240016341209412</v>
      </c>
      <c r="K6">
        <v>2.2084809887003587</v>
      </c>
      <c r="L6">
        <v>0.3360285758972168</v>
      </c>
      <c r="M6">
        <v>2.1673842504446839</v>
      </c>
      <c r="N6">
        <v>0.33427557349205017</v>
      </c>
      <c r="O6">
        <v>2.1560773852657178</v>
      </c>
      <c r="P6">
        <v>0.33378684520721436</v>
      </c>
      <c r="Q6">
        <v>2.1529250879217443</v>
      </c>
      <c r="R6">
        <v>0.33364999294281006</v>
      </c>
    </row>
    <row r="7" spans="1:18" x14ac:dyDescent="0.15">
      <c r="B7">
        <v>3</v>
      </c>
      <c r="C7">
        <v>6.630000114440918</v>
      </c>
      <c r="D7">
        <v>142516</v>
      </c>
      <c r="E7">
        <v>1</v>
      </c>
      <c r="F7">
        <v>0.14763453602790833</v>
      </c>
      <c r="G7">
        <v>0.97881699076046402</v>
      </c>
      <c r="H7">
        <v>8.9678153395652771E-2</v>
      </c>
      <c r="I7">
        <v>0.59456616727602807</v>
      </c>
      <c r="J7">
        <v>8.1709988415241241E-2</v>
      </c>
      <c r="K7">
        <v>0.54173723254401551</v>
      </c>
      <c r="L7">
        <v>7.9942852258682251E-2</v>
      </c>
      <c r="M7">
        <v>0.53002111962379672</v>
      </c>
      <c r="N7">
        <v>7.9477027058601379E-2</v>
      </c>
      <c r="O7">
        <v>0.52693269849395108</v>
      </c>
      <c r="P7">
        <v>7.9348437488079071E-2</v>
      </c>
      <c r="Q7">
        <v>0.52608014962667227</v>
      </c>
      <c r="R7">
        <v>7.9312525689601898E-2</v>
      </c>
    </row>
    <row r="8" spans="1:18" x14ac:dyDescent="0.15">
      <c r="B8">
        <v>2</v>
      </c>
      <c r="C8">
        <v>5.1399998664855957</v>
      </c>
      <c r="D8">
        <v>102283</v>
      </c>
      <c r="E8">
        <v>1</v>
      </c>
      <c r="F8">
        <v>9.4895914196968079E-2</v>
      </c>
      <c r="G8">
        <v>0.48776498630244447</v>
      </c>
      <c r="H8">
        <v>5.4063405841588974E-2</v>
      </c>
      <c r="I8">
        <v>0.2778858988075239</v>
      </c>
      <c r="J8">
        <v>4.9004603177309036E-2</v>
      </c>
      <c r="K8">
        <v>0.25188365378854805</v>
      </c>
      <c r="L8">
        <v>4.7916222363710403E-2</v>
      </c>
      <c r="M8">
        <v>0.24628937655196559</v>
      </c>
      <c r="N8">
        <v>4.7631535679101944E-2</v>
      </c>
      <c r="O8">
        <v>0.24482608703108788</v>
      </c>
      <c r="P8">
        <v>4.7553092241287231E-2</v>
      </c>
      <c r="Q8">
        <v>0.24442288777119359</v>
      </c>
      <c r="R8">
        <v>4.7531194984912872E-2</v>
      </c>
    </row>
    <row r="9" spans="1:18" x14ac:dyDescent="0.15">
      <c r="B9">
        <v>1</v>
      </c>
      <c r="C9">
        <v>8.0200004577636719</v>
      </c>
      <c r="D9">
        <v>2131880</v>
      </c>
      <c r="E9">
        <v>1</v>
      </c>
      <c r="F9">
        <v>5.482405424118042E-3</v>
      </c>
      <c r="G9">
        <v>4.3968894011072734E-2</v>
      </c>
      <c r="H9">
        <v>2.4831695482134819E-3</v>
      </c>
      <c r="I9">
        <v>1.9915020913376935E-2</v>
      </c>
      <c r="J9">
        <v>2.2473919671028852E-3</v>
      </c>
      <c r="K9">
        <v>1.8024084604939539E-2</v>
      </c>
      <c r="L9">
        <v>2.1972556132823229E-3</v>
      </c>
      <c r="M9">
        <v>1.7621991024348027E-2</v>
      </c>
      <c r="N9">
        <v>2.1841588895767927E-3</v>
      </c>
      <c r="O9">
        <v>1.7516955294234471E-2</v>
      </c>
      <c r="P9">
        <v>2.1805514115840197E-3</v>
      </c>
      <c r="Q9">
        <v>1.7488023319081059E-2</v>
      </c>
      <c r="R9">
        <v>2.1795444190502167E-3</v>
      </c>
    </row>
    <row r="10" spans="1:18" x14ac:dyDescent="0.15">
      <c r="F10">
        <v>8.4720849990844727</v>
      </c>
      <c r="H10">
        <v>6.980250358581543</v>
      </c>
      <c r="J10">
        <v>6.6470069885253906</v>
      </c>
      <c r="L10">
        <v>6.5589604377746582</v>
      </c>
      <c r="N10">
        <v>6.5346775054931641</v>
      </c>
      <c r="P10">
        <v>6.527900218963623</v>
      </c>
      <c r="R10">
        <v>6.5260028839111328</v>
      </c>
    </row>
    <row r="11" spans="1:18" x14ac:dyDescent="0.15">
      <c r="F11">
        <v>4087.36572265625</v>
      </c>
      <c r="H11">
        <v>3135.71044921875</v>
      </c>
      <c r="J11">
        <v>2974.731201171875</v>
      </c>
      <c r="L11">
        <v>2934.48681640625</v>
      </c>
      <c r="N11">
        <v>2923.559326171875</v>
      </c>
      <c r="P11">
        <v>2920.5234375</v>
      </c>
      <c r="R11">
        <v>2919.674072265625</v>
      </c>
    </row>
    <row r="12" spans="1:18" x14ac:dyDescent="0.15">
      <c r="F12">
        <v>0.28605747222900391</v>
      </c>
      <c r="H12">
        <v>0.29644724726676941</v>
      </c>
      <c r="J12">
        <v>0.29700866341590881</v>
      </c>
      <c r="L12">
        <v>0.29705122113227844</v>
      </c>
      <c r="N12">
        <v>0.29705443978309631</v>
      </c>
      <c r="P12">
        <v>0.29705461859703064</v>
      </c>
      <c r="R12">
        <v>0.29705464839935303</v>
      </c>
    </row>
    <row r="13" spans="1:18" x14ac:dyDescent="0.15">
      <c r="C13">
        <v>3.62</v>
      </c>
    </row>
    <row r="14" spans="1:18" x14ac:dyDescent="0.15">
      <c r="C14">
        <v>6.53</v>
      </c>
    </row>
    <row r="15" spans="1:18" x14ac:dyDescent="0.15">
      <c r="C15">
        <v>2920</v>
      </c>
    </row>
    <row r="16" spans="1:18" x14ac:dyDescent="0.15">
      <c r="C16">
        <v>0.29699999999999999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todola_ready">
                <anchor moveWithCells="1" sizeWithCells="1">
                  <from>
                    <xdr:col>1</xdr:col>
                    <xdr:colOff>438150</xdr:colOff>
                    <xdr:row>1</xdr:row>
                    <xdr:rowOff>19050</xdr:rowOff>
                  </from>
                  <to>
                    <xdr:col>3</xdr:col>
                    <xdr:colOff>47625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D2A61-E3D5-4181-8F28-8A525EDA946B}">
  <sheetPr codeName="Sheet20"/>
  <dimension ref="A1:AG1000"/>
  <sheetViews>
    <sheetView workbookViewId="0">
      <selection activeCell="D10" sqref="D10"/>
    </sheetView>
  </sheetViews>
  <sheetFormatPr defaultRowHeight="12" x14ac:dyDescent="0.15"/>
  <cols>
    <col min="1" max="1" width="8" customWidth="1"/>
    <col min="2" max="5" width="8.7109375" customWidth="1"/>
    <col min="6" max="10" width="6.5703125" customWidth="1"/>
    <col min="11" max="11" width="4.7109375" customWidth="1"/>
    <col min="12" max="12" width="8.7109375" style="67" customWidth="1"/>
    <col min="13" max="16" width="8.7109375" customWidth="1"/>
    <col min="17" max="18" width="4.85546875" customWidth="1"/>
    <col min="19" max="27" width="6.7109375" customWidth="1"/>
    <col min="28" max="28" width="4.140625" customWidth="1"/>
    <col min="29" max="33" width="8.7109375" customWidth="1"/>
  </cols>
  <sheetData>
    <row r="1" spans="1:33" x14ac:dyDescent="0.1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2" spans="1:33" x14ac:dyDescent="0.15">
      <c r="A2" s="67"/>
      <c r="B2" t="s">
        <v>228</v>
      </c>
      <c r="C2" t="s">
        <v>229</v>
      </c>
      <c r="D2" t="s">
        <v>183</v>
      </c>
      <c r="E2" t="s">
        <v>86</v>
      </c>
      <c r="S2" t="s">
        <v>228</v>
      </c>
      <c r="T2" t="s">
        <v>229</v>
      </c>
      <c r="U2" t="s">
        <v>183</v>
      </c>
      <c r="V2" t="s">
        <v>86</v>
      </c>
    </row>
    <row r="3" spans="1:33" x14ac:dyDescent="0.15">
      <c r="B3">
        <v>2.5799999237060547</v>
      </c>
      <c r="C3">
        <v>1.7200000286102295</v>
      </c>
      <c r="D3">
        <v>0.34400001168251038</v>
      </c>
      <c r="E3">
        <v>0.11500000208616257</v>
      </c>
      <c r="S3">
        <v>2.1700000762939453</v>
      </c>
      <c r="T3">
        <v>1.0499999523162842</v>
      </c>
      <c r="U3">
        <v>0.45800000429153442</v>
      </c>
      <c r="V3">
        <v>0.15299999713897705</v>
      </c>
    </row>
    <row r="4" spans="1:33" x14ac:dyDescent="0.15">
      <c r="B4" t="s">
        <v>218</v>
      </c>
      <c r="C4" t="s">
        <v>219</v>
      </c>
      <c r="D4" t="s">
        <v>220</v>
      </c>
      <c r="E4" t="s">
        <v>221</v>
      </c>
      <c r="F4" t="s">
        <v>222</v>
      </c>
      <c r="G4" t="s">
        <v>223</v>
      </c>
      <c r="H4" t="s">
        <v>224</v>
      </c>
      <c r="I4" t="s">
        <v>183</v>
      </c>
      <c r="J4" t="s">
        <v>213</v>
      </c>
      <c r="L4" s="67" t="s">
        <v>216</v>
      </c>
      <c r="M4" t="s">
        <v>225</v>
      </c>
      <c r="N4" t="s">
        <v>226</v>
      </c>
      <c r="O4" t="s">
        <v>3</v>
      </c>
      <c r="P4" t="s">
        <v>4</v>
      </c>
      <c r="S4" t="s">
        <v>218</v>
      </c>
      <c r="T4" t="s">
        <v>219</v>
      </c>
      <c r="U4" t="s">
        <v>220</v>
      </c>
      <c r="V4" t="s">
        <v>221</v>
      </c>
      <c r="W4" t="s">
        <v>222</v>
      </c>
      <c r="X4" t="s">
        <v>223</v>
      </c>
      <c r="Y4" t="s">
        <v>224</v>
      </c>
      <c r="Z4" t="s">
        <v>183</v>
      </c>
      <c r="AA4" t="s">
        <v>213</v>
      </c>
      <c r="AC4" s="67" t="s">
        <v>216</v>
      </c>
      <c r="AD4" t="s">
        <v>225</v>
      </c>
      <c r="AE4" t="s">
        <v>226</v>
      </c>
      <c r="AF4" t="s">
        <v>3</v>
      </c>
      <c r="AG4" t="s">
        <v>4</v>
      </c>
    </row>
    <row r="5" spans="1:33" x14ac:dyDescent="0.15">
      <c r="B5">
        <v>1.5800000429153442</v>
      </c>
      <c r="C5">
        <v>251</v>
      </c>
      <c r="D5">
        <v>0.32069239020347595</v>
      </c>
      <c r="E5">
        <v>0.02</v>
      </c>
      <c r="F5">
        <v>2.8399999141693115</v>
      </c>
      <c r="G5">
        <v>2.4100000858306885</v>
      </c>
      <c r="H5">
        <v>8.9000001549720764E-2</v>
      </c>
      <c r="I5">
        <v>0.31200000643730164</v>
      </c>
      <c r="J5">
        <v>0.10400000214576721</v>
      </c>
      <c r="K5">
        <v>1</v>
      </c>
      <c r="L5">
        <v>8.3128100000000003E-3</v>
      </c>
      <c r="M5">
        <v>4.6171999999999999E-4</v>
      </c>
      <c r="N5">
        <v>0.67700000000000005</v>
      </c>
      <c r="O5">
        <v>8.4000000000000005E-2</v>
      </c>
      <c r="P5">
        <v>1.8938362598419189E-2</v>
      </c>
      <c r="S5">
        <v>1.5800000429153442</v>
      </c>
      <c r="T5">
        <v>251</v>
      </c>
      <c r="U5">
        <v>0.32069239020347595</v>
      </c>
      <c r="V5">
        <v>0.02</v>
      </c>
      <c r="W5">
        <v>2.8399999141693115</v>
      </c>
      <c r="X5">
        <v>2.4100000858306885</v>
      </c>
      <c r="Y5">
        <v>8.9000001549720764E-2</v>
      </c>
      <c r="Z5">
        <v>0.31200000643730164</v>
      </c>
      <c r="AA5">
        <v>0.10400000214576721</v>
      </c>
      <c r="AB5">
        <v>1</v>
      </c>
      <c r="AC5">
        <v>4.1564070000000002E-2</v>
      </c>
      <c r="AD5">
        <v>2.3086199999999999E-3</v>
      </c>
      <c r="AE5">
        <v>0.35699999999999998</v>
      </c>
      <c r="AF5">
        <v>0.16900000000000001</v>
      </c>
      <c r="AG5">
        <v>0.24941329658031464</v>
      </c>
    </row>
    <row r="6" spans="1:33" x14ac:dyDescent="0.15">
      <c r="K6">
        <v>2</v>
      </c>
      <c r="L6">
        <v>4.4059299999999997E-3</v>
      </c>
      <c r="M6">
        <v>2.7206000000000002E-4</v>
      </c>
      <c r="N6">
        <v>0.78300000000000003</v>
      </c>
      <c r="O6">
        <v>5.7000000000000002E-2</v>
      </c>
      <c r="P6">
        <v>1.7690336331725121E-2</v>
      </c>
      <c r="AB6">
        <v>2</v>
      </c>
      <c r="AC6">
        <v>2.202962E-2</v>
      </c>
      <c r="AD6">
        <v>1.3602899999999999E-3</v>
      </c>
      <c r="AE6">
        <v>0.46300000000000002</v>
      </c>
      <c r="AF6">
        <v>0.14099999999999999</v>
      </c>
      <c r="AG6">
        <v>0.26141029596328735</v>
      </c>
    </row>
    <row r="7" spans="1:33" x14ac:dyDescent="0.15">
      <c r="K7">
        <v>3</v>
      </c>
      <c r="L7">
        <v>2.7735699999999999E-3</v>
      </c>
      <c r="M7">
        <v>2.9240000000000001E-4</v>
      </c>
      <c r="N7">
        <v>0.76800000000000002</v>
      </c>
      <c r="O7">
        <v>6.0999999999999999E-2</v>
      </c>
      <c r="P7">
        <v>2.8994927182793617E-2</v>
      </c>
      <c r="AB7">
        <v>3</v>
      </c>
      <c r="AC7">
        <v>1.3867849999999999E-2</v>
      </c>
      <c r="AD7">
        <v>1.46199E-3</v>
      </c>
      <c r="AE7">
        <v>0.44900000000000001</v>
      </c>
      <c r="AF7">
        <v>0.14399999999999999</v>
      </c>
      <c r="AG7">
        <v>0.42365539073944092</v>
      </c>
    </row>
    <row r="8" spans="1:33" x14ac:dyDescent="0.15">
      <c r="K8">
        <v>4</v>
      </c>
      <c r="L8">
        <v>6.5930999999999997E-4</v>
      </c>
      <c r="M8">
        <v>5.5399999999999998E-5</v>
      </c>
      <c r="N8">
        <v>0.91100000000000003</v>
      </c>
      <c r="O8">
        <v>2.5000000000000001E-2</v>
      </c>
      <c r="P8">
        <v>4.5293448492884636E-3</v>
      </c>
      <c r="AB8">
        <v>4</v>
      </c>
      <c r="AC8">
        <v>3.2965500000000001E-3</v>
      </c>
      <c r="AD8">
        <v>2.7698000000000002E-4</v>
      </c>
      <c r="AE8">
        <v>0.60499999999999998</v>
      </c>
      <c r="AF8">
        <v>0.112</v>
      </c>
      <c r="AG8">
        <v>7.5210504233837128E-2</v>
      </c>
    </row>
    <row r="9" spans="1:33" x14ac:dyDescent="0.15">
      <c r="K9">
        <v>5</v>
      </c>
      <c r="L9">
        <v>3.9512E-4</v>
      </c>
      <c r="M9">
        <v>1.021E-4</v>
      </c>
      <c r="N9">
        <v>0.91800000000000004</v>
      </c>
      <c r="O9">
        <v>2.1000000000000001E-2</v>
      </c>
      <c r="P9">
        <v>6.6740592010319233E-3</v>
      </c>
      <c r="AB9">
        <v>5</v>
      </c>
      <c r="AC9">
        <v>1.9755900000000002E-3</v>
      </c>
      <c r="AD9">
        <v>5.1051999999999998E-4</v>
      </c>
      <c r="AE9">
        <v>0.65500000000000003</v>
      </c>
      <c r="AF9">
        <v>0.09</v>
      </c>
      <c r="AG9">
        <v>0.11900635808706284</v>
      </c>
    </row>
    <row r="10" spans="1:33" x14ac:dyDescent="0.15">
      <c r="K10">
        <v>6</v>
      </c>
      <c r="L10">
        <v>1.8119999999999999E-5</v>
      </c>
      <c r="M10">
        <v>0</v>
      </c>
      <c r="N10">
        <v>0</v>
      </c>
      <c r="O10">
        <v>0</v>
      </c>
      <c r="P10">
        <v>0</v>
      </c>
      <c r="AB10">
        <v>6</v>
      </c>
      <c r="AC10">
        <v>9.0589999999999998E-5</v>
      </c>
      <c r="AD10">
        <v>0</v>
      </c>
      <c r="AE10">
        <v>0</v>
      </c>
      <c r="AF10">
        <v>0</v>
      </c>
      <c r="AG10">
        <v>0</v>
      </c>
    </row>
    <row r="11" spans="1:33" x14ac:dyDescent="0.15">
      <c r="L11"/>
    </row>
    <row r="12" spans="1:33" x14ac:dyDescent="0.15">
      <c r="L12"/>
    </row>
    <row r="13" spans="1:33" x14ac:dyDescent="0.15">
      <c r="B13">
        <v>1.5800000429153442</v>
      </c>
      <c r="C13">
        <v>229</v>
      </c>
      <c r="D13">
        <v>0.291451096534729</v>
      </c>
      <c r="E13">
        <v>5.9999998658895493E-2</v>
      </c>
      <c r="F13">
        <v>2.5899999141693115</v>
      </c>
      <c r="G13">
        <v>1.7400000095367432</v>
      </c>
      <c r="H13">
        <v>0.24400000274181366</v>
      </c>
      <c r="I13">
        <v>0.34299999475479126</v>
      </c>
      <c r="J13">
        <v>0.11400000005960464</v>
      </c>
      <c r="K13">
        <v>1</v>
      </c>
      <c r="L13">
        <v>8.5778199999999999E-3</v>
      </c>
      <c r="M13">
        <v>4.7644000000000001E-4</v>
      </c>
      <c r="N13">
        <v>0.67</v>
      </c>
      <c r="O13">
        <v>8.5999999999999993E-2</v>
      </c>
      <c r="P13">
        <v>1.9959021359682083E-2</v>
      </c>
      <c r="S13">
        <v>1.5800000429153442</v>
      </c>
      <c r="T13">
        <v>181</v>
      </c>
      <c r="U13">
        <v>0.23076869547367096</v>
      </c>
      <c r="V13">
        <v>0.14100000262260437</v>
      </c>
      <c r="W13">
        <v>2.2100000381469727</v>
      </c>
      <c r="X13">
        <v>1.1200000047683716</v>
      </c>
      <c r="Y13">
        <v>0.49000000953674316</v>
      </c>
      <c r="Z13">
        <v>0.43299999833106995</v>
      </c>
      <c r="AA13">
        <v>0.14399999380111694</v>
      </c>
      <c r="AB13">
        <v>1</v>
      </c>
      <c r="AC13">
        <v>5.0113669999999999E-2</v>
      </c>
      <c r="AD13">
        <v>2.78349E-3</v>
      </c>
      <c r="AE13">
        <v>0.32500000000000001</v>
      </c>
      <c r="AF13">
        <v>0.17699999999999999</v>
      </c>
      <c r="AG13">
        <v>0.33070936799049377</v>
      </c>
    </row>
    <row r="14" spans="1:33" x14ac:dyDescent="0.15">
      <c r="K14">
        <v>2</v>
      </c>
      <c r="L14">
        <v>4.54638E-3</v>
      </c>
      <c r="M14">
        <v>2.8072999999999998E-4</v>
      </c>
      <c r="N14">
        <v>0.77700000000000002</v>
      </c>
      <c r="O14">
        <v>5.8999999999999997E-2</v>
      </c>
      <c r="P14">
        <v>1.8688051030039787E-2</v>
      </c>
      <c r="AB14">
        <v>2</v>
      </c>
      <c r="AC14">
        <v>2.6561049999999999E-2</v>
      </c>
      <c r="AD14">
        <v>1.6401E-3</v>
      </c>
      <c r="AE14">
        <v>0.42499999999999999</v>
      </c>
      <c r="AF14">
        <v>0.15</v>
      </c>
      <c r="AG14">
        <v>0.34922093152999878</v>
      </c>
    </row>
    <row r="15" spans="1:33" x14ac:dyDescent="0.15">
      <c r="K15">
        <v>3</v>
      </c>
      <c r="L15">
        <v>2.86199E-3</v>
      </c>
      <c r="M15">
        <v>3.0172E-4</v>
      </c>
      <c r="N15">
        <v>0.76200000000000001</v>
      </c>
      <c r="O15">
        <v>6.2E-2</v>
      </c>
      <c r="P15">
        <v>3.0616821721196175E-2</v>
      </c>
      <c r="AB15">
        <v>3</v>
      </c>
      <c r="AC15">
        <v>1.6720430000000001E-2</v>
      </c>
      <c r="AD15">
        <v>1.76271E-3</v>
      </c>
      <c r="AE15">
        <v>0.40899999999999997</v>
      </c>
      <c r="AF15">
        <v>0.155</v>
      </c>
      <c r="AG15">
        <v>0.5606076717376709</v>
      </c>
    </row>
    <row r="16" spans="1:33" x14ac:dyDescent="0.15">
      <c r="K16">
        <v>4</v>
      </c>
      <c r="L16">
        <v>6.8033000000000004E-4</v>
      </c>
      <c r="M16">
        <v>5.7160000000000002E-5</v>
      </c>
      <c r="N16">
        <v>0.90700000000000003</v>
      </c>
      <c r="O16">
        <v>2.5999999999999999E-2</v>
      </c>
      <c r="P16">
        <v>4.8030936159193516E-3</v>
      </c>
      <c r="AB16">
        <v>4</v>
      </c>
      <c r="AC16">
        <v>3.9746399999999998E-3</v>
      </c>
      <c r="AD16">
        <v>3.3395000000000001E-4</v>
      </c>
      <c r="AE16">
        <v>0.56100000000000005</v>
      </c>
      <c r="AF16">
        <v>0.124</v>
      </c>
      <c r="AG16">
        <v>0.10133017599582672</v>
      </c>
    </row>
    <row r="17" spans="2:33" x14ac:dyDescent="0.15">
      <c r="K17">
        <v>5</v>
      </c>
      <c r="L17">
        <v>4.0770999999999998E-4</v>
      </c>
      <c r="M17">
        <v>1.0535999999999999E-4</v>
      </c>
      <c r="N17">
        <v>0.91500000000000004</v>
      </c>
      <c r="O17">
        <v>2.1999999999999999E-2</v>
      </c>
      <c r="P17">
        <v>7.0847021415829659E-3</v>
      </c>
      <c r="AB17">
        <v>5</v>
      </c>
      <c r="AC17">
        <v>2.3819599999999998E-3</v>
      </c>
      <c r="AD17">
        <v>6.1552999999999998E-4</v>
      </c>
      <c r="AE17">
        <v>0.61499999999999999</v>
      </c>
      <c r="AF17">
        <v>0.10100000000000001</v>
      </c>
      <c r="AG17">
        <v>0.16242754459381104</v>
      </c>
    </row>
    <row r="18" spans="2:33" x14ac:dyDescent="0.15">
      <c r="K18">
        <v>6</v>
      </c>
      <c r="L18">
        <v>1.8700000000000001E-5</v>
      </c>
      <c r="M18">
        <v>0</v>
      </c>
      <c r="N18">
        <v>0</v>
      </c>
      <c r="O18">
        <v>0</v>
      </c>
      <c r="P18">
        <v>0</v>
      </c>
      <c r="AB18">
        <v>6</v>
      </c>
      <c r="AC18">
        <v>1.0922E-4</v>
      </c>
      <c r="AD18">
        <v>0</v>
      </c>
      <c r="AE18">
        <v>0</v>
      </c>
      <c r="AF18">
        <v>0</v>
      </c>
      <c r="AG18">
        <v>0</v>
      </c>
    </row>
    <row r="19" spans="2:33" x14ac:dyDescent="0.15">
      <c r="L19"/>
    </row>
    <row r="20" spans="2:33" x14ac:dyDescent="0.15">
      <c r="L20"/>
    </row>
    <row r="21" spans="2:33" x14ac:dyDescent="0.15">
      <c r="B21">
        <v>1.5800000429153442</v>
      </c>
      <c r="C21">
        <v>228</v>
      </c>
      <c r="D21">
        <v>0.29055678844451904</v>
      </c>
      <c r="E21">
        <v>6.1999998986721039E-2</v>
      </c>
      <c r="F21">
        <v>2.5799999237060547</v>
      </c>
      <c r="G21">
        <v>1.7200000286102295</v>
      </c>
      <c r="H21">
        <v>0.25099998712539673</v>
      </c>
      <c r="I21">
        <v>0.34400001168251038</v>
      </c>
      <c r="J21">
        <v>0.11500000208616257</v>
      </c>
      <c r="K21">
        <v>1</v>
      </c>
      <c r="L21">
        <v>8.5482200000000005E-3</v>
      </c>
      <c r="M21">
        <v>4.7479999999999999E-4</v>
      </c>
      <c r="N21">
        <v>0.67100000000000004</v>
      </c>
      <c r="O21">
        <v>8.5999999999999993E-2</v>
      </c>
      <c r="P21">
        <v>1.9844381138682365E-2</v>
      </c>
      <c r="S21">
        <v>1.5800000429153442</v>
      </c>
      <c r="T21">
        <v>174</v>
      </c>
      <c r="U21">
        <v>0.2217119038105011</v>
      </c>
      <c r="V21">
        <v>0.15099999308586121</v>
      </c>
      <c r="W21">
        <v>2.1800000667572021</v>
      </c>
      <c r="X21">
        <v>1.0700000524520874</v>
      </c>
      <c r="Y21">
        <v>0.51700001955032349</v>
      </c>
      <c r="Z21">
        <v>0.45100000500679016</v>
      </c>
      <c r="AA21">
        <v>0.15000000596046448</v>
      </c>
      <c r="AB21">
        <v>1</v>
      </c>
      <c r="AC21">
        <v>5.2499179999999999E-2</v>
      </c>
      <c r="AD21">
        <v>2.9159899999999998E-3</v>
      </c>
      <c r="AE21">
        <v>0.317</v>
      </c>
      <c r="AF21">
        <v>0.17899999999999999</v>
      </c>
      <c r="AG21">
        <v>0.35318633913993835</v>
      </c>
    </row>
    <row r="22" spans="2:33" x14ac:dyDescent="0.15">
      <c r="K22">
        <v>2</v>
      </c>
      <c r="L22">
        <v>4.5306900000000004E-3</v>
      </c>
      <c r="M22">
        <v>2.7975999999999999E-4</v>
      </c>
      <c r="N22">
        <v>0.77700000000000002</v>
      </c>
      <c r="O22">
        <v>5.8000000000000003E-2</v>
      </c>
      <c r="P22">
        <v>1.8575742840766907E-2</v>
      </c>
      <c r="AB22">
        <v>2</v>
      </c>
      <c r="AC22">
        <v>2.7825409999999998E-2</v>
      </c>
      <c r="AD22">
        <v>1.7181799999999999E-3</v>
      </c>
      <c r="AE22">
        <v>0.41499999999999998</v>
      </c>
      <c r="AF22">
        <v>0.153</v>
      </c>
      <c r="AG22">
        <v>0.37383031845092773</v>
      </c>
    </row>
    <row r="23" spans="2:33" x14ac:dyDescent="0.15">
      <c r="K23">
        <v>3</v>
      </c>
      <c r="L23">
        <v>2.8521100000000001E-3</v>
      </c>
      <c r="M23">
        <v>3.0068E-4</v>
      </c>
      <c r="N23">
        <v>0.76300000000000001</v>
      </c>
      <c r="O23">
        <v>6.2E-2</v>
      </c>
      <c r="P23">
        <v>3.0429577454924583E-2</v>
      </c>
      <c r="AB23">
        <v>3</v>
      </c>
      <c r="AC23">
        <v>1.751635E-2</v>
      </c>
      <c r="AD23">
        <v>1.84662E-3</v>
      </c>
      <c r="AE23">
        <v>0.39800000000000002</v>
      </c>
      <c r="AF23">
        <v>0.158</v>
      </c>
      <c r="AG23">
        <v>0.59832799434661865</v>
      </c>
    </row>
    <row r="24" spans="2:33" x14ac:dyDescent="0.15">
      <c r="K24">
        <v>4</v>
      </c>
      <c r="L24">
        <v>6.7798000000000001E-4</v>
      </c>
      <c r="M24">
        <v>5.6959999999999997E-5</v>
      </c>
      <c r="N24">
        <v>0.90700000000000003</v>
      </c>
      <c r="O24">
        <v>2.5999999999999999E-2</v>
      </c>
      <c r="P24">
        <v>4.7721830196678638E-3</v>
      </c>
      <c r="AB24">
        <v>4</v>
      </c>
      <c r="AC24">
        <v>4.1638400000000002E-3</v>
      </c>
      <c r="AD24">
        <v>3.4985000000000002E-4</v>
      </c>
      <c r="AE24">
        <v>0.55000000000000004</v>
      </c>
      <c r="AF24">
        <v>0.127</v>
      </c>
      <c r="AG24">
        <v>0.1091255396604538</v>
      </c>
    </row>
    <row r="25" spans="2:33" x14ac:dyDescent="0.15">
      <c r="K25">
        <v>5</v>
      </c>
      <c r="L25">
        <v>4.0631E-4</v>
      </c>
      <c r="M25">
        <v>1.05E-4</v>
      </c>
      <c r="N25">
        <v>0.91600000000000004</v>
      </c>
      <c r="O25">
        <v>2.1999999999999999E-2</v>
      </c>
      <c r="P25">
        <v>7.0382989943027496E-3</v>
      </c>
      <c r="AB25">
        <v>5</v>
      </c>
      <c r="AC25">
        <v>2.4953499999999999E-3</v>
      </c>
      <c r="AD25">
        <v>6.4482999999999999E-4</v>
      </c>
      <c r="AE25">
        <v>0.60499999999999998</v>
      </c>
      <c r="AF25">
        <v>0.104</v>
      </c>
      <c r="AG25">
        <v>0.17545613646507263</v>
      </c>
    </row>
    <row r="26" spans="2:33" x14ac:dyDescent="0.15">
      <c r="K26">
        <v>6</v>
      </c>
      <c r="L26">
        <v>1.863E-5</v>
      </c>
      <c r="M26">
        <v>0</v>
      </c>
      <c r="N26">
        <v>0</v>
      </c>
      <c r="O26">
        <v>0</v>
      </c>
      <c r="P26">
        <v>0</v>
      </c>
      <c r="AB26">
        <v>6</v>
      </c>
      <c r="AC26">
        <v>1.1442000000000001E-4</v>
      </c>
      <c r="AD26">
        <v>0</v>
      </c>
      <c r="AE26">
        <v>0</v>
      </c>
      <c r="AF26">
        <v>0</v>
      </c>
      <c r="AG26">
        <v>0</v>
      </c>
    </row>
    <row r="27" spans="2:33" x14ac:dyDescent="0.15">
      <c r="L27"/>
    </row>
    <row r="28" spans="2:33" x14ac:dyDescent="0.15">
      <c r="L28"/>
    </row>
    <row r="29" spans="2:33" x14ac:dyDescent="0.15">
      <c r="B29">
        <v>1.5800000429153442</v>
      </c>
      <c r="C29">
        <v>228</v>
      </c>
      <c r="D29">
        <v>0.29065209627151489</v>
      </c>
      <c r="E29">
        <v>6.1999998986721039E-2</v>
      </c>
      <c r="F29">
        <v>2.5799999237060547</v>
      </c>
      <c r="G29">
        <v>1.7200000286102295</v>
      </c>
      <c r="H29">
        <v>0.25099998712539673</v>
      </c>
      <c r="I29">
        <v>0.34400001168251038</v>
      </c>
      <c r="J29">
        <v>0.11500000208616257</v>
      </c>
      <c r="K29">
        <v>1</v>
      </c>
      <c r="L29">
        <v>8.5461200000000008E-3</v>
      </c>
      <c r="M29">
        <v>4.7468E-4</v>
      </c>
      <c r="N29">
        <v>0.67100000000000004</v>
      </c>
      <c r="O29">
        <v>8.5999999999999993E-2</v>
      </c>
      <c r="P29">
        <v>1.9836252555251122E-2</v>
      </c>
      <c r="S29">
        <v>1.5800000429153442</v>
      </c>
      <c r="T29">
        <v>172</v>
      </c>
      <c r="U29">
        <v>0.21929299831390381</v>
      </c>
      <c r="V29">
        <v>0.15299999713897705</v>
      </c>
      <c r="W29">
        <v>2.1800000667572021</v>
      </c>
      <c r="X29">
        <v>1.059999942779541</v>
      </c>
      <c r="Y29">
        <v>0.52300000190734863</v>
      </c>
      <c r="Z29">
        <v>0.45600000023841858</v>
      </c>
      <c r="AA29">
        <v>0.15199999511241913</v>
      </c>
      <c r="AB29">
        <v>1</v>
      </c>
      <c r="AC29">
        <v>5.3364929999999998E-2</v>
      </c>
      <c r="AD29">
        <v>2.96408E-3</v>
      </c>
      <c r="AE29">
        <v>0.313</v>
      </c>
      <c r="AF29">
        <v>0.18</v>
      </c>
      <c r="AG29">
        <v>0.36127206683158875</v>
      </c>
    </row>
    <row r="30" spans="2:33" x14ac:dyDescent="0.15">
      <c r="K30">
        <v>2</v>
      </c>
      <c r="L30">
        <v>4.5295800000000001E-3</v>
      </c>
      <c r="M30">
        <v>2.7968999999999997E-4</v>
      </c>
      <c r="N30">
        <v>0.77700000000000002</v>
      </c>
      <c r="O30">
        <v>5.8000000000000003E-2</v>
      </c>
      <c r="P30">
        <v>1.8567787483334541E-2</v>
      </c>
      <c r="AB30">
        <v>2</v>
      </c>
      <c r="AC30">
        <v>2.8284259999999999E-2</v>
      </c>
      <c r="AD30">
        <v>1.7465099999999999E-3</v>
      </c>
      <c r="AE30">
        <v>0.41099999999999998</v>
      </c>
      <c r="AF30">
        <v>0.154</v>
      </c>
      <c r="AG30">
        <v>0.38272547721862793</v>
      </c>
    </row>
    <row r="31" spans="2:33" x14ac:dyDescent="0.15">
      <c r="K31">
        <v>3</v>
      </c>
      <c r="L31">
        <v>2.85141E-3</v>
      </c>
      <c r="M31">
        <v>3.0059999999999999E-4</v>
      </c>
      <c r="N31">
        <v>0.76300000000000001</v>
      </c>
      <c r="O31">
        <v>6.2E-2</v>
      </c>
      <c r="P31">
        <v>3.041631355881691E-2</v>
      </c>
      <c r="AB31">
        <v>3</v>
      </c>
      <c r="AC31">
        <v>1.7805209999999998E-2</v>
      </c>
      <c r="AD31">
        <v>1.8770799999999999E-3</v>
      </c>
      <c r="AE31">
        <v>0.39300000000000002</v>
      </c>
      <c r="AF31">
        <v>0.159</v>
      </c>
      <c r="AG31">
        <v>0.61187863349914551</v>
      </c>
    </row>
    <row r="32" spans="2:33" x14ac:dyDescent="0.15">
      <c r="K32">
        <v>4</v>
      </c>
      <c r="L32">
        <v>6.7781000000000004E-4</v>
      </c>
      <c r="M32">
        <v>5.6950000000000002E-5</v>
      </c>
      <c r="N32">
        <v>0.90700000000000003</v>
      </c>
      <c r="O32">
        <v>2.5999999999999999E-2</v>
      </c>
      <c r="P32">
        <v>4.7699939459562302E-3</v>
      </c>
      <c r="AB32">
        <v>4</v>
      </c>
      <c r="AC32">
        <v>4.2325100000000001E-3</v>
      </c>
      <c r="AD32">
        <v>3.5561000000000002E-4</v>
      </c>
      <c r="AE32">
        <v>0.54600000000000004</v>
      </c>
      <c r="AF32">
        <v>0.129</v>
      </c>
      <c r="AG32">
        <v>0.11197388917207718</v>
      </c>
    </row>
    <row r="33" spans="11:33" x14ac:dyDescent="0.15">
      <c r="K33">
        <v>5</v>
      </c>
      <c r="L33">
        <v>4.0621E-4</v>
      </c>
      <c r="M33">
        <v>1.0497000000000001E-4</v>
      </c>
      <c r="N33">
        <v>0.91600000000000004</v>
      </c>
      <c r="O33">
        <v>2.1999999999999999E-2</v>
      </c>
      <c r="P33">
        <v>7.0350128225982189E-3</v>
      </c>
      <c r="AB33">
        <v>5</v>
      </c>
      <c r="AC33">
        <v>2.5365000000000001E-3</v>
      </c>
      <c r="AD33">
        <v>6.5547000000000001E-4</v>
      </c>
      <c r="AE33">
        <v>0.60199999999999998</v>
      </c>
      <c r="AF33">
        <v>0.104</v>
      </c>
      <c r="AG33">
        <v>0.18023945391178131</v>
      </c>
    </row>
    <row r="34" spans="11:33" x14ac:dyDescent="0.15">
      <c r="K34">
        <v>6</v>
      </c>
      <c r="L34">
        <v>1.863E-5</v>
      </c>
      <c r="M34">
        <v>0</v>
      </c>
      <c r="N34">
        <v>0</v>
      </c>
      <c r="O34">
        <v>0</v>
      </c>
      <c r="P34">
        <v>0</v>
      </c>
      <c r="AB34">
        <v>6</v>
      </c>
      <c r="AC34">
        <v>1.1631E-4</v>
      </c>
      <c r="AD34">
        <v>0</v>
      </c>
      <c r="AE34">
        <v>0</v>
      </c>
      <c r="AF34">
        <v>0</v>
      </c>
      <c r="AG34">
        <v>0</v>
      </c>
    </row>
    <row r="35" spans="11:33" x14ac:dyDescent="0.15">
      <c r="L35"/>
    </row>
    <row r="36" spans="11:33" x14ac:dyDescent="0.15">
      <c r="L36"/>
    </row>
    <row r="37" spans="11:33" x14ac:dyDescent="0.15">
      <c r="L37"/>
      <c r="S37">
        <v>1.5800000429153442</v>
      </c>
      <c r="T37">
        <v>171</v>
      </c>
      <c r="U37">
        <v>0.21840819716453552</v>
      </c>
      <c r="V37">
        <v>0.15399999916553497</v>
      </c>
      <c r="W37">
        <v>2.1700000762939453</v>
      </c>
      <c r="X37">
        <v>1.059999942779541</v>
      </c>
      <c r="Y37">
        <v>0.52499997615814209</v>
      </c>
      <c r="Z37">
        <v>0.45800000429153442</v>
      </c>
      <c r="AA37">
        <v>0.15299999713897705</v>
      </c>
      <c r="AB37">
        <v>1</v>
      </c>
      <c r="AC37">
        <v>5.3642839999999997E-2</v>
      </c>
      <c r="AD37">
        <v>2.9795099999999999E-3</v>
      </c>
      <c r="AE37">
        <v>0.312</v>
      </c>
      <c r="AF37">
        <v>0.18099999999999999</v>
      </c>
      <c r="AG37">
        <v>0.36385795474052429</v>
      </c>
    </row>
    <row r="38" spans="11:33" x14ac:dyDescent="0.15">
      <c r="L38"/>
      <c r="AB38">
        <v>2</v>
      </c>
      <c r="AC38">
        <v>2.8431560000000002E-2</v>
      </c>
      <c r="AD38">
        <v>1.7556E-3</v>
      </c>
      <c r="AE38">
        <v>0.41</v>
      </c>
      <c r="AF38">
        <v>0.154</v>
      </c>
      <c r="AG38">
        <v>0.38557523488998413</v>
      </c>
    </row>
    <row r="39" spans="11:33" x14ac:dyDescent="0.15">
      <c r="L39"/>
      <c r="AB39">
        <v>3</v>
      </c>
      <c r="AC39">
        <v>1.7897929999999999E-2</v>
      </c>
      <c r="AD39">
        <v>1.88685E-3</v>
      </c>
      <c r="AE39">
        <v>0.39200000000000002</v>
      </c>
      <c r="AF39">
        <v>0.159</v>
      </c>
      <c r="AG39">
        <v>0.61621004343032837</v>
      </c>
    </row>
    <row r="40" spans="11:33" x14ac:dyDescent="0.15">
      <c r="L40"/>
      <c r="AB40">
        <v>4</v>
      </c>
      <c r="AC40">
        <v>4.2545500000000002E-3</v>
      </c>
      <c r="AD40">
        <v>3.5746999999999998E-4</v>
      </c>
      <c r="AE40">
        <v>0.54500000000000004</v>
      </c>
      <c r="AF40">
        <v>0.129</v>
      </c>
      <c r="AG40">
        <v>0.11289004236459732</v>
      </c>
    </row>
    <row r="41" spans="11:33" x14ac:dyDescent="0.15">
      <c r="L41"/>
      <c r="AB41">
        <v>5</v>
      </c>
      <c r="AC41">
        <v>2.5497100000000002E-3</v>
      </c>
      <c r="AD41">
        <v>6.5888000000000003E-4</v>
      </c>
      <c r="AE41">
        <v>0.60099999999999998</v>
      </c>
      <c r="AF41">
        <v>0.105</v>
      </c>
      <c r="AG41">
        <v>0.18178068101406097</v>
      </c>
    </row>
    <row r="42" spans="11:33" x14ac:dyDescent="0.15">
      <c r="L42"/>
      <c r="AB42">
        <v>6</v>
      </c>
      <c r="AC42">
        <v>1.1692E-4</v>
      </c>
      <c r="AD42">
        <v>0</v>
      </c>
      <c r="AE42">
        <v>0</v>
      </c>
      <c r="AF42">
        <v>0</v>
      </c>
      <c r="AG42">
        <v>0</v>
      </c>
    </row>
    <row r="43" spans="11:33" x14ac:dyDescent="0.15">
      <c r="L43"/>
    </row>
    <row r="44" spans="11:33" x14ac:dyDescent="0.15">
      <c r="L44"/>
    </row>
    <row r="45" spans="11:33" x14ac:dyDescent="0.15">
      <c r="L45"/>
      <c r="S45">
        <v>1.5800000429153442</v>
      </c>
      <c r="T45">
        <v>171</v>
      </c>
      <c r="U45">
        <v>0.21812330186367035</v>
      </c>
      <c r="V45">
        <v>0.1550000011920929</v>
      </c>
      <c r="W45">
        <v>2.1700000762939453</v>
      </c>
      <c r="X45">
        <v>1.0499999523162842</v>
      </c>
      <c r="Y45">
        <v>0.52700001001358032</v>
      </c>
      <c r="Z45">
        <v>0.45800000429153442</v>
      </c>
      <c r="AA45">
        <v>0.15299999713897705</v>
      </c>
      <c r="AB45">
        <v>1</v>
      </c>
      <c r="AC45">
        <v>5.3382680000000002E-2</v>
      </c>
      <c r="AD45">
        <v>2.9650599999999998E-3</v>
      </c>
      <c r="AE45">
        <v>0.313</v>
      </c>
      <c r="AF45">
        <v>0.18</v>
      </c>
      <c r="AG45">
        <v>0.36143741011619568</v>
      </c>
    </row>
    <row r="46" spans="11:33" x14ac:dyDescent="0.15">
      <c r="L46"/>
      <c r="AB46">
        <v>2</v>
      </c>
      <c r="AC46">
        <v>2.829367E-2</v>
      </c>
      <c r="AD46">
        <v>1.74709E-3</v>
      </c>
      <c r="AE46">
        <v>0.41099999999999998</v>
      </c>
      <c r="AF46">
        <v>0.154</v>
      </c>
      <c r="AG46">
        <v>0.38290765881538391</v>
      </c>
    </row>
    <row r="47" spans="11:33" x14ac:dyDescent="0.15">
      <c r="L47"/>
      <c r="AB47">
        <v>3</v>
      </c>
      <c r="AC47">
        <v>1.7811130000000001E-2</v>
      </c>
      <c r="AD47">
        <v>1.8776999999999999E-3</v>
      </c>
      <c r="AE47">
        <v>0.39300000000000002</v>
      </c>
      <c r="AF47">
        <v>0.159</v>
      </c>
      <c r="AG47">
        <v>0.61215555667877197</v>
      </c>
    </row>
    <row r="48" spans="11:33" x14ac:dyDescent="0.15">
      <c r="L48"/>
      <c r="AB48">
        <v>4</v>
      </c>
      <c r="AC48">
        <v>4.2339200000000004E-3</v>
      </c>
      <c r="AD48">
        <v>3.5573000000000001E-4</v>
      </c>
      <c r="AE48">
        <v>0.54600000000000004</v>
      </c>
      <c r="AF48">
        <v>0.129</v>
      </c>
      <c r="AG48">
        <v>0.11203239858150482</v>
      </c>
    </row>
    <row r="49" spans="12:33" x14ac:dyDescent="0.15">
      <c r="L49"/>
      <c r="AB49">
        <v>5</v>
      </c>
      <c r="AC49">
        <v>2.5373399999999999E-3</v>
      </c>
      <c r="AD49">
        <v>6.5569000000000001E-4</v>
      </c>
      <c r="AE49">
        <v>0.60199999999999998</v>
      </c>
      <c r="AF49">
        <v>0.104</v>
      </c>
      <c r="AG49">
        <v>0.1803378164768219</v>
      </c>
    </row>
    <row r="50" spans="12:33" x14ac:dyDescent="0.15">
      <c r="L50"/>
      <c r="AB50">
        <v>6</v>
      </c>
      <c r="AC50">
        <v>1.1635E-4</v>
      </c>
      <c r="AD50">
        <v>0</v>
      </c>
      <c r="AE50">
        <v>0</v>
      </c>
      <c r="AF50">
        <v>0</v>
      </c>
      <c r="AG50">
        <v>0</v>
      </c>
    </row>
    <row r="51" spans="12:33" x14ac:dyDescent="0.15">
      <c r="L51"/>
    </row>
    <row r="52" spans="12:33" x14ac:dyDescent="0.15">
      <c r="L52"/>
    </row>
    <row r="53" spans="12:33" x14ac:dyDescent="0.15">
      <c r="L53"/>
    </row>
    <row r="54" spans="12:33" x14ac:dyDescent="0.15">
      <c r="L54"/>
    </row>
    <row r="55" spans="12:33" x14ac:dyDescent="0.15">
      <c r="L55"/>
    </row>
    <row r="56" spans="12:33" x14ac:dyDescent="0.15">
      <c r="L56"/>
    </row>
    <row r="57" spans="12:33" x14ac:dyDescent="0.15">
      <c r="L57"/>
    </row>
    <row r="58" spans="12:33" x14ac:dyDescent="0.15">
      <c r="L58"/>
    </row>
    <row r="59" spans="12:33" x14ac:dyDescent="0.15">
      <c r="L59"/>
    </row>
    <row r="60" spans="12:33" x14ac:dyDescent="0.15">
      <c r="L60"/>
    </row>
    <row r="61" spans="12:33" x14ac:dyDescent="0.15">
      <c r="L61"/>
    </row>
    <row r="62" spans="12:33" x14ac:dyDescent="0.15">
      <c r="L62"/>
    </row>
    <row r="63" spans="12:33" x14ac:dyDescent="0.15">
      <c r="L63"/>
    </row>
    <row r="64" spans="12:33" x14ac:dyDescent="0.15">
      <c r="L64"/>
    </row>
    <row r="65" spans="12:12" x14ac:dyDescent="0.15">
      <c r="L65"/>
    </row>
    <row r="66" spans="12:12" x14ac:dyDescent="0.15">
      <c r="L66"/>
    </row>
    <row r="67" spans="12:12" x14ac:dyDescent="0.15">
      <c r="L67"/>
    </row>
    <row r="68" spans="12:12" x14ac:dyDescent="0.15">
      <c r="L68"/>
    </row>
    <row r="69" spans="12:12" x14ac:dyDescent="0.15">
      <c r="L69"/>
    </row>
    <row r="70" spans="12:12" x14ac:dyDescent="0.15">
      <c r="L70"/>
    </row>
    <row r="71" spans="12:12" x14ac:dyDescent="0.15">
      <c r="L71"/>
    </row>
    <row r="72" spans="12:12" x14ac:dyDescent="0.15">
      <c r="L72"/>
    </row>
    <row r="73" spans="12:12" x14ac:dyDescent="0.15">
      <c r="L73"/>
    </row>
    <row r="74" spans="12:12" x14ac:dyDescent="0.15">
      <c r="L74"/>
    </row>
    <row r="75" spans="12:12" x14ac:dyDescent="0.15">
      <c r="L75"/>
    </row>
    <row r="76" spans="12:12" x14ac:dyDescent="0.15">
      <c r="L76"/>
    </row>
    <row r="77" spans="12:12" x14ac:dyDescent="0.15">
      <c r="L77"/>
    </row>
    <row r="78" spans="12:12" x14ac:dyDescent="0.15">
      <c r="L78"/>
    </row>
    <row r="79" spans="12:12" x14ac:dyDescent="0.15">
      <c r="L79"/>
    </row>
    <row r="80" spans="12:12" x14ac:dyDescent="0.15">
      <c r="L80"/>
    </row>
    <row r="81" spans="12:12" x14ac:dyDescent="0.15">
      <c r="L81"/>
    </row>
    <row r="82" spans="12:12" x14ac:dyDescent="0.15">
      <c r="L82"/>
    </row>
    <row r="83" spans="12:12" x14ac:dyDescent="0.15">
      <c r="L83"/>
    </row>
    <row r="84" spans="12:12" x14ac:dyDescent="0.15">
      <c r="L84"/>
    </row>
    <row r="85" spans="12:12" x14ac:dyDescent="0.15">
      <c r="L85"/>
    </row>
    <row r="86" spans="12:12" x14ac:dyDescent="0.15">
      <c r="L86"/>
    </row>
    <row r="87" spans="12:12" x14ac:dyDescent="0.15">
      <c r="L87"/>
    </row>
    <row r="88" spans="12:12" x14ac:dyDescent="0.15">
      <c r="L88"/>
    </row>
    <row r="89" spans="12:12" x14ac:dyDescent="0.15">
      <c r="L89"/>
    </row>
    <row r="90" spans="12:12" x14ac:dyDescent="0.15">
      <c r="L90"/>
    </row>
    <row r="91" spans="12:12" x14ac:dyDescent="0.15">
      <c r="L91"/>
    </row>
    <row r="92" spans="12:12" x14ac:dyDescent="0.15">
      <c r="L92"/>
    </row>
    <row r="93" spans="12:12" x14ac:dyDescent="0.15">
      <c r="L93"/>
    </row>
    <row r="94" spans="12:12" x14ac:dyDescent="0.15">
      <c r="L94"/>
    </row>
    <row r="95" spans="12:12" x14ac:dyDescent="0.15">
      <c r="L95"/>
    </row>
    <row r="96" spans="12:12" x14ac:dyDescent="0.15">
      <c r="L96"/>
    </row>
    <row r="97" spans="12:12" x14ac:dyDescent="0.15">
      <c r="L97"/>
    </row>
    <row r="98" spans="12:12" x14ac:dyDescent="0.15">
      <c r="L98"/>
    </row>
    <row r="99" spans="12:12" x14ac:dyDescent="0.15">
      <c r="L99"/>
    </row>
    <row r="100" spans="12:12" x14ac:dyDescent="0.15">
      <c r="L100"/>
    </row>
    <row r="101" spans="12:12" x14ac:dyDescent="0.15">
      <c r="L101"/>
    </row>
    <row r="102" spans="12:12" x14ac:dyDescent="0.15">
      <c r="L102"/>
    </row>
    <row r="103" spans="12:12" x14ac:dyDescent="0.15">
      <c r="L103"/>
    </row>
    <row r="104" spans="12:12" x14ac:dyDescent="0.15">
      <c r="L104"/>
    </row>
    <row r="105" spans="12:12" x14ac:dyDescent="0.15">
      <c r="L105"/>
    </row>
    <row r="106" spans="12:12" x14ac:dyDescent="0.15">
      <c r="L106"/>
    </row>
    <row r="107" spans="12:12" x14ac:dyDescent="0.15">
      <c r="L107"/>
    </row>
    <row r="108" spans="12:12" x14ac:dyDescent="0.15">
      <c r="L108"/>
    </row>
    <row r="109" spans="12:12" x14ac:dyDescent="0.15">
      <c r="L109"/>
    </row>
    <row r="110" spans="12:12" x14ac:dyDescent="0.15">
      <c r="L110"/>
    </row>
    <row r="111" spans="12:12" x14ac:dyDescent="0.15">
      <c r="L111"/>
    </row>
    <row r="112" spans="12:12" x14ac:dyDescent="0.15">
      <c r="L112"/>
    </row>
    <row r="113" spans="12:12" x14ac:dyDescent="0.15">
      <c r="L113"/>
    </row>
    <row r="114" spans="12:12" x14ac:dyDescent="0.15">
      <c r="L114"/>
    </row>
    <row r="115" spans="12:12" x14ac:dyDescent="0.15">
      <c r="L115"/>
    </row>
    <row r="116" spans="12:12" x14ac:dyDescent="0.15">
      <c r="L116"/>
    </row>
    <row r="117" spans="12:12" x14ac:dyDescent="0.15">
      <c r="L117"/>
    </row>
    <row r="118" spans="12:12" x14ac:dyDescent="0.15">
      <c r="L118"/>
    </row>
    <row r="119" spans="12:12" x14ac:dyDescent="0.15">
      <c r="L119"/>
    </row>
    <row r="120" spans="12:12" x14ac:dyDescent="0.15">
      <c r="L120"/>
    </row>
    <row r="121" spans="12:12" x14ac:dyDescent="0.15">
      <c r="L121"/>
    </row>
    <row r="122" spans="12:12" x14ac:dyDescent="0.15">
      <c r="L122"/>
    </row>
    <row r="123" spans="12:12" x14ac:dyDescent="0.15">
      <c r="L123"/>
    </row>
    <row r="124" spans="12:12" x14ac:dyDescent="0.15">
      <c r="L124"/>
    </row>
    <row r="125" spans="12:12" x14ac:dyDescent="0.15">
      <c r="L125"/>
    </row>
    <row r="126" spans="12:12" x14ac:dyDescent="0.15">
      <c r="L126"/>
    </row>
    <row r="127" spans="12:12" x14ac:dyDescent="0.15">
      <c r="L127"/>
    </row>
    <row r="128" spans="12:12" x14ac:dyDescent="0.15">
      <c r="L128"/>
    </row>
    <row r="129" spans="12:12" x14ac:dyDescent="0.15">
      <c r="L129"/>
    </row>
    <row r="130" spans="12:12" x14ac:dyDescent="0.15">
      <c r="L130"/>
    </row>
    <row r="131" spans="12:12" x14ac:dyDescent="0.15">
      <c r="L131"/>
    </row>
    <row r="132" spans="12:12" x14ac:dyDescent="0.15">
      <c r="L132"/>
    </row>
    <row r="133" spans="12:12" x14ac:dyDescent="0.15">
      <c r="L133"/>
    </row>
    <row r="134" spans="12:12" x14ac:dyDescent="0.15">
      <c r="L134"/>
    </row>
    <row r="135" spans="12:12" x14ac:dyDescent="0.15">
      <c r="L135"/>
    </row>
    <row r="136" spans="12:12" x14ac:dyDescent="0.15">
      <c r="L136"/>
    </row>
    <row r="137" spans="12:12" x14ac:dyDescent="0.15">
      <c r="L137"/>
    </row>
    <row r="138" spans="12:12" x14ac:dyDescent="0.15">
      <c r="L138"/>
    </row>
    <row r="139" spans="12:12" x14ac:dyDescent="0.15">
      <c r="L139"/>
    </row>
    <row r="140" spans="12:12" x14ac:dyDescent="0.15">
      <c r="L140"/>
    </row>
    <row r="141" spans="12:12" x14ac:dyDescent="0.15">
      <c r="L141"/>
    </row>
    <row r="142" spans="12:12" x14ac:dyDescent="0.15">
      <c r="L142"/>
    </row>
    <row r="143" spans="12:12" x14ac:dyDescent="0.15">
      <c r="L143"/>
    </row>
    <row r="144" spans="12:12" x14ac:dyDescent="0.15">
      <c r="L144"/>
    </row>
    <row r="145" spans="12:12" x14ac:dyDescent="0.15">
      <c r="L145"/>
    </row>
    <row r="146" spans="12:12" x14ac:dyDescent="0.15">
      <c r="L146"/>
    </row>
    <row r="147" spans="12:12" x14ac:dyDescent="0.15">
      <c r="L147"/>
    </row>
    <row r="148" spans="12:12" x14ac:dyDescent="0.15">
      <c r="L148"/>
    </row>
    <row r="149" spans="12:12" x14ac:dyDescent="0.15">
      <c r="L149"/>
    </row>
    <row r="150" spans="12:12" x14ac:dyDescent="0.15">
      <c r="L150"/>
    </row>
    <row r="151" spans="12:12" x14ac:dyDescent="0.15">
      <c r="L151"/>
    </row>
    <row r="152" spans="12:12" x14ac:dyDescent="0.15">
      <c r="L152"/>
    </row>
    <row r="153" spans="12:12" x14ac:dyDescent="0.15">
      <c r="L153"/>
    </row>
    <row r="154" spans="12:12" x14ac:dyDescent="0.15">
      <c r="L154"/>
    </row>
    <row r="155" spans="12:12" x14ac:dyDescent="0.15">
      <c r="L155"/>
    </row>
    <row r="156" spans="12:12" x14ac:dyDescent="0.15">
      <c r="L156"/>
    </row>
    <row r="157" spans="12:12" x14ac:dyDescent="0.15">
      <c r="L157"/>
    </row>
    <row r="158" spans="12:12" x14ac:dyDescent="0.15">
      <c r="L158"/>
    </row>
    <row r="159" spans="12:12" x14ac:dyDescent="0.15">
      <c r="L159"/>
    </row>
    <row r="160" spans="12:12" x14ac:dyDescent="0.15">
      <c r="L160"/>
    </row>
    <row r="161" spans="12:12" x14ac:dyDescent="0.15">
      <c r="L161"/>
    </row>
    <row r="162" spans="12:12" x14ac:dyDescent="0.15">
      <c r="L162"/>
    </row>
    <row r="163" spans="12:12" x14ac:dyDescent="0.15">
      <c r="L163"/>
    </row>
    <row r="164" spans="12:12" x14ac:dyDescent="0.15">
      <c r="L164"/>
    </row>
    <row r="165" spans="12:12" x14ac:dyDescent="0.15">
      <c r="L165"/>
    </row>
    <row r="166" spans="12:12" x14ac:dyDescent="0.15">
      <c r="L166"/>
    </row>
    <row r="167" spans="12:12" x14ac:dyDescent="0.15">
      <c r="L167"/>
    </row>
    <row r="168" spans="12:12" x14ac:dyDescent="0.15">
      <c r="L168"/>
    </row>
    <row r="169" spans="12:12" x14ac:dyDescent="0.15">
      <c r="L169"/>
    </row>
    <row r="170" spans="12:12" x14ac:dyDescent="0.15">
      <c r="L170"/>
    </row>
    <row r="171" spans="12:12" x14ac:dyDescent="0.15">
      <c r="L171"/>
    </row>
    <row r="172" spans="12:12" x14ac:dyDescent="0.15">
      <c r="L172"/>
    </row>
    <row r="173" spans="12:12" x14ac:dyDescent="0.15">
      <c r="L173"/>
    </row>
    <row r="174" spans="12:12" x14ac:dyDescent="0.15">
      <c r="L174"/>
    </row>
    <row r="175" spans="12:12" x14ac:dyDescent="0.15">
      <c r="L175"/>
    </row>
    <row r="176" spans="12:12" x14ac:dyDescent="0.15">
      <c r="L176"/>
    </row>
    <row r="177" spans="12:12" x14ac:dyDescent="0.15">
      <c r="L177"/>
    </row>
    <row r="178" spans="12:12" x14ac:dyDescent="0.15">
      <c r="L178"/>
    </row>
    <row r="179" spans="12:12" x14ac:dyDescent="0.15">
      <c r="L179"/>
    </row>
    <row r="180" spans="12:12" x14ac:dyDescent="0.15">
      <c r="L180"/>
    </row>
    <row r="181" spans="12:12" x14ac:dyDescent="0.15">
      <c r="L181"/>
    </row>
    <row r="182" spans="12:12" x14ac:dyDescent="0.15">
      <c r="L182"/>
    </row>
    <row r="183" spans="12:12" x14ac:dyDescent="0.15">
      <c r="L183"/>
    </row>
    <row r="184" spans="12:12" x14ac:dyDescent="0.15">
      <c r="L184"/>
    </row>
    <row r="185" spans="12:12" x14ac:dyDescent="0.15">
      <c r="L185"/>
    </row>
    <row r="186" spans="12:12" x14ac:dyDescent="0.15">
      <c r="L186"/>
    </row>
    <row r="187" spans="12:12" x14ac:dyDescent="0.15">
      <c r="L187"/>
    </row>
    <row r="188" spans="12:12" x14ac:dyDescent="0.15">
      <c r="L188"/>
    </row>
    <row r="189" spans="12:12" x14ac:dyDescent="0.15">
      <c r="L189"/>
    </row>
    <row r="190" spans="12:12" x14ac:dyDescent="0.15">
      <c r="L190"/>
    </row>
    <row r="191" spans="12:12" x14ac:dyDescent="0.15">
      <c r="L191"/>
    </row>
    <row r="192" spans="12:12" x14ac:dyDescent="0.15">
      <c r="L192"/>
    </row>
    <row r="193" spans="12:12" x14ac:dyDescent="0.15">
      <c r="L193"/>
    </row>
    <row r="194" spans="12:12" x14ac:dyDescent="0.15">
      <c r="L194"/>
    </row>
    <row r="195" spans="12:12" x14ac:dyDescent="0.15">
      <c r="L195"/>
    </row>
    <row r="196" spans="12:12" x14ac:dyDescent="0.15">
      <c r="L196"/>
    </row>
    <row r="197" spans="12:12" x14ac:dyDescent="0.15">
      <c r="L197"/>
    </row>
    <row r="198" spans="12:12" x14ac:dyDescent="0.15">
      <c r="L198"/>
    </row>
    <row r="199" spans="12:12" x14ac:dyDescent="0.15">
      <c r="L199"/>
    </row>
    <row r="200" spans="12:12" x14ac:dyDescent="0.15">
      <c r="L200"/>
    </row>
    <row r="201" spans="12:12" x14ac:dyDescent="0.15">
      <c r="L201"/>
    </row>
    <row r="202" spans="12:12" x14ac:dyDescent="0.15">
      <c r="L202"/>
    </row>
    <row r="203" spans="12:12" x14ac:dyDescent="0.15">
      <c r="L203"/>
    </row>
    <row r="204" spans="12:12" x14ac:dyDescent="0.15">
      <c r="L204"/>
    </row>
    <row r="205" spans="12:12" x14ac:dyDescent="0.15">
      <c r="L205"/>
    </row>
    <row r="206" spans="12:12" x14ac:dyDescent="0.15">
      <c r="L206"/>
    </row>
    <row r="207" spans="12:12" x14ac:dyDescent="0.15">
      <c r="L207"/>
    </row>
    <row r="208" spans="12:12" x14ac:dyDescent="0.15">
      <c r="L208"/>
    </row>
    <row r="209" spans="12:12" x14ac:dyDescent="0.15">
      <c r="L209"/>
    </row>
    <row r="210" spans="12:12" x14ac:dyDescent="0.15">
      <c r="L210"/>
    </row>
    <row r="211" spans="12:12" x14ac:dyDescent="0.15">
      <c r="L211"/>
    </row>
    <row r="212" spans="12:12" x14ac:dyDescent="0.15">
      <c r="L212"/>
    </row>
    <row r="213" spans="12:12" x14ac:dyDescent="0.15">
      <c r="L213"/>
    </row>
    <row r="214" spans="12:12" x14ac:dyDescent="0.15">
      <c r="L214"/>
    </row>
    <row r="215" spans="12:12" x14ac:dyDescent="0.15">
      <c r="L215"/>
    </row>
    <row r="216" spans="12:12" x14ac:dyDescent="0.15">
      <c r="L216"/>
    </row>
    <row r="217" spans="12:12" x14ac:dyDescent="0.15">
      <c r="L217"/>
    </row>
    <row r="218" spans="12:12" x14ac:dyDescent="0.15">
      <c r="L218"/>
    </row>
    <row r="219" spans="12:12" x14ac:dyDescent="0.15">
      <c r="L219"/>
    </row>
    <row r="220" spans="12:12" x14ac:dyDescent="0.15">
      <c r="L220"/>
    </row>
    <row r="221" spans="12:12" x14ac:dyDescent="0.15">
      <c r="L221"/>
    </row>
    <row r="222" spans="12:12" x14ac:dyDescent="0.15">
      <c r="L222"/>
    </row>
    <row r="223" spans="12:12" x14ac:dyDescent="0.15">
      <c r="L223"/>
    </row>
    <row r="224" spans="12:12" x14ac:dyDescent="0.15">
      <c r="L224"/>
    </row>
    <row r="225" spans="12:12" x14ac:dyDescent="0.15">
      <c r="L225"/>
    </row>
    <row r="226" spans="12:12" x14ac:dyDescent="0.15">
      <c r="L226"/>
    </row>
    <row r="227" spans="12:12" x14ac:dyDescent="0.15">
      <c r="L227"/>
    </row>
    <row r="228" spans="12:12" x14ac:dyDescent="0.15">
      <c r="L228"/>
    </row>
    <row r="229" spans="12:12" x14ac:dyDescent="0.15">
      <c r="L229"/>
    </row>
    <row r="230" spans="12:12" x14ac:dyDescent="0.15">
      <c r="L230"/>
    </row>
    <row r="231" spans="12:12" x14ac:dyDescent="0.15">
      <c r="L231"/>
    </row>
    <row r="232" spans="12:12" x14ac:dyDescent="0.15">
      <c r="L232"/>
    </row>
    <row r="233" spans="12:12" x14ac:dyDescent="0.15">
      <c r="L233"/>
    </row>
    <row r="234" spans="12:12" x14ac:dyDescent="0.15">
      <c r="L234"/>
    </row>
    <row r="235" spans="12:12" x14ac:dyDescent="0.15">
      <c r="L235"/>
    </row>
    <row r="236" spans="12:12" x14ac:dyDescent="0.15">
      <c r="L236"/>
    </row>
    <row r="237" spans="12:12" x14ac:dyDescent="0.15">
      <c r="L237"/>
    </row>
    <row r="238" spans="12:12" x14ac:dyDescent="0.15">
      <c r="L238"/>
    </row>
    <row r="239" spans="12:12" x14ac:dyDescent="0.15">
      <c r="L239"/>
    </row>
    <row r="240" spans="12:12" x14ac:dyDescent="0.15">
      <c r="L240"/>
    </row>
    <row r="241" spans="12:12" x14ac:dyDescent="0.15">
      <c r="L241"/>
    </row>
    <row r="242" spans="12:12" x14ac:dyDescent="0.15">
      <c r="L242"/>
    </row>
    <row r="243" spans="12:12" x14ac:dyDescent="0.15">
      <c r="L243"/>
    </row>
    <row r="244" spans="12:12" x14ac:dyDescent="0.15">
      <c r="L244"/>
    </row>
    <row r="245" spans="12:12" x14ac:dyDescent="0.15">
      <c r="L245"/>
    </row>
    <row r="246" spans="12:12" x14ac:dyDescent="0.15">
      <c r="L246"/>
    </row>
    <row r="247" spans="12:12" x14ac:dyDescent="0.15">
      <c r="L247"/>
    </row>
    <row r="248" spans="12:12" x14ac:dyDescent="0.15">
      <c r="L248"/>
    </row>
    <row r="249" spans="12:12" x14ac:dyDescent="0.15">
      <c r="L249"/>
    </row>
    <row r="250" spans="12:12" x14ac:dyDescent="0.15">
      <c r="L250"/>
    </row>
    <row r="251" spans="12:12" x14ac:dyDescent="0.15">
      <c r="L251"/>
    </row>
    <row r="252" spans="12:12" x14ac:dyDescent="0.15">
      <c r="L252"/>
    </row>
    <row r="253" spans="12:12" x14ac:dyDescent="0.15">
      <c r="L253"/>
    </row>
    <row r="254" spans="12:12" x14ac:dyDescent="0.15">
      <c r="L254"/>
    </row>
    <row r="255" spans="12:12" x14ac:dyDescent="0.15">
      <c r="L255"/>
    </row>
    <row r="256" spans="12:12" x14ac:dyDescent="0.15">
      <c r="L256"/>
    </row>
    <row r="257" spans="12:12" x14ac:dyDescent="0.15">
      <c r="L257"/>
    </row>
    <row r="258" spans="12:12" x14ac:dyDescent="0.15">
      <c r="L258"/>
    </row>
    <row r="259" spans="12:12" x14ac:dyDescent="0.15">
      <c r="L259"/>
    </row>
    <row r="260" spans="12:12" x14ac:dyDescent="0.15">
      <c r="L260"/>
    </row>
    <row r="261" spans="12:12" x14ac:dyDescent="0.15">
      <c r="L261"/>
    </row>
    <row r="262" spans="12:12" x14ac:dyDescent="0.15">
      <c r="L262"/>
    </row>
    <row r="263" spans="12:12" x14ac:dyDescent="0.15">
      <c r="L263"/>
    </row>
    <row r="264" spans="12:12" x14ac:dyDescent="0.15">
      <c r="L264"/>
    </row>
    <row r="265" spans="12:12" x14ac:dyDescent="0.15">
      <c r="L265"/>
    </row>
    <row r="266" spans="12:12" x14ac:dyDescent="0.15">
      <c r="L266"/>
    </row>
    <row r="267" spans="12:12" x14ac:dyDescent="0.15">
      <c r="L267"/>
    </row>
    <row r="268" spans="12:12" x14ac:dyDescent="0.15">
      <c r="L268"/>
    </row>
    <row r="269" spans="12:12" x14ac:dyDescent="0.15">
      <c r="L269"/>
    </row>
    <row r="270" spans="12:12" x14ac:dyDescent="0.15">
      <c r="L270"/>
    </row>
    <row r="271" spans="12:12" x14ac:dyDescent="0.15">
      <c r="L271"/>
    </row>
    <row r="272" spans="12:12" x14ac:dyDescent="0.15">
      <c r="L272"/>
    </row>
    <row r="273" spans="12:12" x14ac:dyDescent="0.15">
      <c r="L273"/>
    </row>
    <row r="274" spans="12:12" x14ac:dyDescent="0.15">
      <c r="L274"/>
    </row>
    <row r="275" spans="12:12" x14ac:dyDescent="0.15">
      <c r="L275"/>
    </row>
    <row r="276" spans="12:12" x14ac:dyDescent="0.15">
      <c r="L276"/>
    </row>
    <row r="277" spans="12:12" x14ac:dyDescent="0.15">
      <c r="L277"/>
    </row>
    <row r="278" spans="12:12" x14ac:dyDescent="0.15">
      <c r="L278"/>
    </row>
    <row r="279" spans="12:12" x14ac:dyDescent="0.15">
      <c r="L279"/>
    </row>
    <row r="280" spans="12:12" x14ac:dyDescent="0.15">
      <c r="L280"/>
    </row>
    <row r="281" spans="12:12" x14ac:dyDescent="0.15">
      <c r="L281"/>
    </row>
    <row r="282" spans="12:12" x14ac:dyDescent="0.15">
      <c r="L282"/>
    </row>
    <row r="283" spans="12:12" x14ac:dyDescent="0.15">
      <c r="L283"/>
    </row>
    <row r="284" spans="12:12" x14ac:dyDescent="0.15">
      <c r="L284"/>
    </row>
    <row r="285" spans="12:12" x14ac:dyDescent="0.15">
      <c r="L285"/>
    </row>
    <row r="286" spans="12:12" x14ac:dyDescent="0.15">
      <c r="L286"/>
    </row>
    <row r="287" spans="12:12" x14ac:dyDescent="0.15">
      <c r="L287"/>
    </row>
    <row r="288" spans="12:12" x14ac:dyDescent="0.15">
      <c r="L288"/>
    </row>
    <row r="289" spans="12:12" x14ac:dyDescent="0.15">
      <c r="L289"/>
    </row>
    <row r="290" spans="12:12" x14ac:dyDescent="0.15">
      <c r="L290"/>
    </row>
    <row r="291" spans="12:12" x14ac:dyDescent="0.15">
      <c r="L291"/>
    </row>
    <row r="292" spans="12:12" x14ac:dyDescent="0.15">
      <c r="L292"/>
    </row>
    <row r="293" spans="12:12" x14ac:dyDescent="0.15">
      <c r="L293"/>
    </row>
    <row r="294" spans="12:12" x14ac:dyDescent="0.15">
      <c r="L294"/>
    </row>
    <row r="295" spans="12:12" x14ac:dyDescent="0.15">
      <c r="L295"/>
    </row>
    <row r="296" spans="12:12" x14ac:dyDescent="0.15">
      <c r="L296"/>
    </row>
    <row r="297" spans="12:12" x14ac:dyDescent="0.15">
      <c r="L297"/>
    </row>
    <row r="298" spans="12:12" x14ac:dyDescent="0.15">
      <c r="L298"/>
    </row>
    <row r="299" spans="12:12" x14ac:dyDescent="0.15">
      <c r="L299"/>
    </row>
    <row r="300" spans="12:12" x14ac:dyDescent="0.15">
      <c r="L300"/>
    </row>
    <row r="301" spans="12:12" x14ac:dyDescent="0.15">
      <c r="L301"/>
    </row>
    <row r="302" spans="12:12" x14ac:dyDescent="0.15">
      <c r="L302"/>
    </row>
    <row r="303" spans="12:12" x14ac:dyDescent="0.15">
      <c r="L303"/>
    </row>
    <row r="304" spans="12:12" x14ac:dyDescent="0.15">
      <c r="L304"/>
    </row>
    <row r="305" spans="12:12" x14ac:dyDescent="0.15">
      <c r="L305"/>
    </row>
    <row r="306" spans="12:12" x14ac:dyDescent="0.15">
      <c r="L306"/>
    </row>
    <row r="307" spans="12:12" x14ac:dyDescent="0.15">
      <c r="L307"/>
    </row>
    <row r="308" spans="12:12" x14ac:dyDescent="0.15">
      <c r="L308"/>
    </row>
    <row r="309" spans="12:12" x14ac:dyDescent="0.15">
      <c r="L309"/>
    </row>
    <row r="310" spans="12:12" x14ac:dyDescent="0.15">
      <c r="L310"/>
    </row>
    <row r="311" spans="12:12" x14ac:dyDescent="0.15">
      <c r="L311"/>
    </row>
    <row r="312" spans="12:12" x14ac:dyDescent="0.15">
      <c r="L312"/>
    </row>
    <row r="313" spans="12:12" x14ac:dyDescent="0.15">
      <c r="L313"/>
    </row>
    <row r="314" spans="12:12" x14ac:dyDescent="0.15">
      <c r="L314"/>
    </row>
    <row r="315" spans="12:12" x14ac:dyDescent="0.15">
      <c r="L315"/>
    </row>
    <row r="316" spans="12:12" x14ac:dyDescent="0.15">
      <c r="L316"/>
    </row>
    <row r="317" spans="12:12" x14ac:dyDescent="0.15">
      <c r="L317"/>
    </row>
    <row r="318" spans="12:12" x14ac:dyDescent="0.15">
      <c r="L318"/>
    </row>
    <row r="319" spans="12:12" x14ac:dyDescent="0.15">
      <c r="L319"/>
    </row>
    <row r="320" spans="12:12" x14ac:dyDescent="0.15">
      <c r="L320"/>
    </row>
    <row r="321" spans="12:12" x14ac:dyDescent="0.15">
      <c r="L321"/>
    </row>
    <row r="322" spans="12:12" x14ac:dyDescent="0.15">
      <c r="L322"/>
    </row>
    <row r="323" spans="12:12" x14ac:dyDescent="0.15">
      <c r="L323"/>
    </row>
    <row r="324" spans="12:12" x14ac:dyDescent="0.15">
      <c r="L324"/>
    </row>
    <row r="325" spans="12:12" x14ac:dyDescent="0.15">
      <c r="L325"/>
    </row>
    <row r="326" spans="12:12" x14ac:dyDescent="0.15">
      <c r="L326"/>
    </row>
    <row r="327" spans="12:12" x14ac:dyDescent="0.15">
      <c r="L327"/>
    </row>
    <row r="328" spans="12:12" x14ac:dyDescent="0.15">
      <c r="L328"/>
    </row>
    <row r="329" spans="12:12" x14ac:dyDescent="0.15">
      <c r="L329"/>
    </row>
    <row r="330" spans="12:12" x14ac:dyDescent="0.15">
      <c r="L330"/>
    </row>
    <row r="331" spans="12:12" x14ac:dyDescent="0.15">
      <c r="L331"/>
    </row>
    <row r="332" spans="12:12" x14ac:dyDescent="0.15">
      <c r="L332"/>
    </row>
    <row r="333" spans="12:12" x14ac:dyDescent="0.15">
      <c r="L333"/>
    </row>
    <row r="334" spans="12:12" x14ac:dyDescent="0.15">
      <c r="L334"/>
    </row>
    <row r="335" spans="12:12" x14ac:dyDescent="0.15">
      <c r="L335"/>
    </row>
    <row r="336" spans="12:12" x14ac:dyDescent="0.15">
      <c r="L336"/>
    </row>
    <row r="337" spans="12:12" x14ac:dyDescent="0.15">
      <c r="L337"/>
    </row>
    <row r="338" spans="12:12" x14ac:dyDescent="0.15">
      <c r="L338"/>
    </row>
    <row r="339" spans="12:12" x14ac:dyDescent="0.15">
      <c r="L339"/>
    </row>
    <row r="340" spans="12:12" x14ac:dyDescent="0.15">
      <c r="L340"/>
    </row>
    <row r="341" spans="12:12" x14ac:dyDescent="0.15">
      <c r="L341"/>
    </row>
    <row r="342" spans="12:12" x14ac:dyDescent="0.15">
      <c r="L342"/>
    </row>
    <row r="343" spans="12:12" x14ac:dyDescent="0.15">
      <c r="L343"/>
    </row>
    <row r="344" spans="12:12" x14ac:dyDescent="0.15">
      <c r="L344"/>
    </row>
    <row r="345" spans="12:12" x14ac:dyDescent="0.15">
      <c r="L345"/>
    </row>
    <row r="346" spans="12:12" x14ac:dyDescent="0.15">
      <c r="L346"/>
    </row>
    <row r="347" spans="12:12" x14ac:dyDescent="0.15">
      <c r="L347"/>
    </row>
    <row r="348" spans="12:12" x14ac:dyDescent="0.15">
      <c r="L348"/>
    </row>
    <row r="349" spans="12:12" x14ac:dyDescent="0.15">
      <c r="L349"/>
    </row>
    <row r="350" spans="12:12" x14ac:dyDescent="0.15">
      <c r="L350"/>
    </row>
    <row r="351" spans="12:12" x14ac:dyDescent="0.15">
      <c r="L351"/>
    </row>
    <row r="352" spans="12:12" x14ac:dyDescent="0.15">
      <c r="L352"/>
    </row>
    <row r="353" spans="12:12" x14ac:dyDescent="0.15">
      <c r="L353"/>
    </row>
    <row r="354" spans="12:12" x14ac:dyDescent="0.15">
      <c r="L354"/>
    </row>
    <row r="355" spans="12:12" x14ac:dyDescent="0.15">
      <c r="L355"/>
    </row>
    <row r="356" spans="12:12" x14ac:dyDescent="0.15">
      <c r="L356"/>
    </row>
    <row r="357" spans="12:12" x14ac:dyDescent="0.15">
      <c r="L357"/>
    </row>
    <row r="358" spans="12:12" x14ac:dyDescent="0.15">
      <c r="L358"/>
    </row>
    <row r="359" spans="12:12" x14ac:dyDescent="0.15">
      <c r="L359"/>
    </row>
    <row r="360" spans="12:12" x14ac:dyDescent="0.15">
      <c r="L360"/>
    </row>
    <row r="361" spans="12:12" x14ac:dyDescent="0.15">
      <c r="L361"/>
    </row>
    <row r="362" spans="12:12" x14ac:dyDescent="0.15">
      <c r="L362"/>
    </row>
    <row r="363" spans="12:12" x14ac:dyDescent="0.15">
      <c r="L363"/>
    </row>
    <row r="364" spans="12:12" x14ac:dyDescent="0.15">
      <c r="L364"/>
    </row>
    <row r="365" spans="12:12" x14ac:dyDescent="0.15">
      <c r="L365"/>
    </row>
    <row r="366" spans="12:12" x14ac:dyDescent="0.15">
      <c r="L366"/>
    </row>
    <row r="367" spans="12:12" x14ac:dyDescent="0.15">
      <c r="L367"/>
    </row>
    <row r="368" spans="12:12" x14ac:dyDescent="0.15">
      <c r="L368"/>
    </row>
    <row r="369" spans="12:12" x14ac:dyDescent="0.15">
      <c r="L369"/>
    </row>
    <row r="370" spans="12:12" x14ac:dyDescent="0.15">
      <c r="L370"/>
    </row>
    <row r="371" spans="12:12" x14ac:dyDescent="0.15">
      <c r="L371"/>
    </row>
    <row r="372" spans="12:12" x14ac:dyDescent="0.15">
      <c r="L372"/>
    </row>
    <row r="373" spans="12:12" x14ac:dyDescent="0.15">
      <c r="L373"/>
    </row>
    <row r="374" spans="12:12" x14ac:dyDescent="0.15">
      <c r="L374"/>
    </row>
    <row r="375" spans="12:12" x14ac:dyDescent="0.15">
      <c r="L375"/>
    </row>
    <row r="376" spans="12:12" x14ac:dyDescent="0.15">
      <c r="L376"/>
    </row>
    <row r="377" spans="12:12" x14ac:dyDescent="0.15">
      <c r="L377"/>
    </row>
    <row r="378" spans="12:12" x14ac:dyDescent="0.15">
      <c r="L378"/>
    </row>
    <row r="379" spans="12:12" x14ac:dyDescent="0.15">
      <c r="L379"/>
    </row>
    <row r="380" spans="12:12" x14ac:dyDescent="0.15">
      <c r="L380"/>
    </row>
    <row r="381" spans="12:12" x14ac:dyDescent="0.15">
      <c r="L381"/>
    </row>
    <row r="382" spans="12:12" x14ac:dyDescent="0.15">
      <c r="L382"/>
    </row>
    <row r="383" spans="12:12" x14ac:dyDescent="0.15">
      <c r="L383"/>
    </row>
    <row r="384" spans="12:12" x14ac:dyDescent="0.15">
      <c r="L384"/>
    </row>
    <row r="385" spans="12:12" x14ac:dyDescent="0.15">
      <c r="L385"/>
    </row>
    <row r="386" spans="12:12" x14ac:dyDescent="0.15">
      <c r="L386"/>
    </row>
    <row r="387" spans="12:12" x14ac:dyDescent="0.15">
      <c r="L387"/>
    </row>
    <row r="388" spans="12:12" x14ac:dyDescent="0.15">
      <c r="L388"/>
    </row>
    <row r="389" spans="12:12" x14ac:dyDescent="0.15">
      <c r="L389"/>
    </row>
    <row r="390" spans="12:12" x14ac:dyDescent="0.15">
      <c r="L390"/>
    </row>
    <row r="391" spans="12:12" x14ac:dyDescent="0.15">
      <c r="L391"/>
    </row>
    <row r="392" spans="12:12" x14ac:dyDescent="0.15">
      <c r="L392"/>
    </row>
    <row r="393" spans="12:12" x14ac:dyDescent="0.15">
      <c r="L393"/>
    </row>
    <row r="394" spans="12:12" x14ac:dyDescent="0.15">
      <c r="L394"/>
    </row>
    <row r="395" spans="12:12" x14ac:dyDescent="0.15">
      <c r="L395"/>
    </row>
    <row r="396" spans="12:12" x14ac:dyDescent="0.15">
      <c r="L396"/>
    </row>
    <row r="397" spans="12:12" x14ac:dyDescent="0.15">
      <c r="L397"/>
    </row>
    <row r="398" spans="12:12" x14ac:dyDescent="0.15">
      <c r="L398"/>
    </row>
    <row r="399" spans="12:12" x14ac:dyDescent="0.15">
      <c r="L399"/>
    </row>
    <row r="400" spans="12:12" x14ac:dyDescent="0.15">
      <c r="L400"/>
    </row>
    <row r="401" spans="12:12" x14ac:dyDescent="0.15">
      <c r="L401"/>
    </row>
    <row r="402" spans="12:12" x14ac:dyDescent="0.15">
      <c r="L402"/>
    </row>
    <row r="403" spans="12:12" x14ac:dyDescent="0.15">
      <c r="L403"/>
    </row>
    <row r="404" spans="12:12" x14ac:dyDescent="0.15">
      <c r="L404"/>
    </row>
    <row r="405" spans="12:12" x14ac:dyDescent="0.15">
      <c r="L405"/>
    </row>
    <row r="406" spans="12:12" x14ac:dyDescent="0.15">
      <c r="L406"/>
    </row>
    <row r="407" spans="12:12" x14ac:dyDescent="0.15">
      <c r="L407"/>
    </row>
    <row r="408" spans="12:12" x14ac:dyDescent="0.15">
      <c r="L408"/>
    </row>
    <row r="409" spans="12:12" x14ac:dyDescent="0.15">
      <c r="L409"/>
    </row>
    <row r="410" spans="12:12" x14ac:dyDescent="0.15">
      <c r="L410"/>
    </row>
    <row r="411" spans="12:12" x14ac:dyDescent="0.15">
      <c r="L411"/>
    </row>
    <row r="412" spans="12:12" x14ac:dyDescent="0.15">
      <c r="L412"/>
    </row>
    <row r="413" spans="12:12" x14ac:dyDescent="0.15">
      <c r="L413"/>
    </row>
    <row r="414" spans="12:12" x14ac:dyDescent="0.15">
      <c r="L414"/>
    </row>
    <row r="415" spans="12:12" x14ac:dyDescent="0.15">
      <c r="L415"/>
    </row>
    <row r="416" spans="12:12" x14ac:dyDescent="0.15">
      <c r="L416"/>
    </row>
    <row r="417" spans="12:12" x14ac:dyDescent="0.15">
      <c r="L417"/>
    </row>
    <row r="418" spans="12:12" x14ac:dyDescent="0.15">
      <c r="L418"/>
    </row>
    <row r="419" spans="12:12" x14ac:dyDescent="0.15">
      <c r="L419"/>
    </row>
    <row r="420" spans="12:12" x14ac:dyDescent="0.15">
      <c r="L420"/>
    </row>
    <row r="421" spans="12:12" x14ac:dyDescent="0.15">
      <c r="L421"/>
    </row>
    <row r="422" spans="12:12" x14ac:dyDescent="0.15">
      <c r="L422"/>
    </row>
    <row r="423" spans="12:12" x14ac:dyDescent="0.15">
      <c r="L423"/>
    </row>
    <row r="424" spans="12:12" x14ac:dyDescent="0.15">
      <c r="L424"/>
    </row>
    <row r="425" spans="12:12" x14ac:dyDescent="0.15">
      <c r="L425"/>
    </row>
    <row r="426" spans="12:12" x14ac:dyDescent="0.15">
      <c r="L426"/>
    </row>
    <row r="427" spans="12:12" x14ac:dyDescent="0.15">
      <c r="L427"/>
    </row>
    <row r="428" spans="12:12" x14ac:dyDescent="0.15">
      <c r="L428"/>
    </row>
    <row r="429" spans="12:12" x14ac:dyDescent="0.15">
      <c r="L429"/>
    </row>
    <row r="430" spans="12:12" x14ac:dyDescent="0.15">
      <c r="L430"/>
    </row>
    <row r="431" spans="12:12" x14ac:dyDescent="0.15">
      <c r="L431"/>
    </row>
    <row r="432" spans="12:12" x14ac:dyDescent="0.15">
      <c r="L432"/>
    </row>
    <row r="433" spans="12:12" x14ac:dyDescent="0.15">
      <c r="L433"/>
    </row>
    <row r="434" spans="12:12" x14ac:dyDescent="0.15">
      <c r="L434"/>
    </row>
    <row r="435" spans="12:12" x14ac:dyDescent="0.15">
      <c r="L435"/>
    </row>
    <row r="436" spans="12:12" x14ac:dyDescent="0.15">
      <c r="L436"/>
    </row>
    <row r="437" spans="12:12" x14ac:dyDescent="0.15">
      <c r="L437"/>
    </row>
    <row r="438" spans="12:12" x14ac:dyDescent="0.15">
      <c r="L438"/>
    </row>
    <row r="439" spans="12:12" x14ac:dyDescent="0.15">
      <c r="L439"/>
    </row>
    <row r="440" spans="12:12" x14ac:dyDescent="0.15">
      <c r="L440"/>
    </row>
    <row r="441" spans="12:12" x14ac:dyDescent="0.15">
      <c r="L441"/>
    </row>
    <row r="442" spans="12:12" x14ac:dyDescent="0.15">
      <c r="L442"/>
    </row>
    <row r="443" spans="12:12" x14ac:dyDescent="0.15">
      <c r="L443"/>
    </row>
    <row r="444" spans="12:12" x14ac:dyDescent="0.15">
      <c r="L444"/>
    </row>
    <row r="445" spans="12:12" x14ac:dyDescent="0.15">
      <c r="L445"/>
    </row>
    <row r="446" spans="12:12" x14ac:dyDescent="0.15">
      <c r="L446"/>
    </row>
    <row r="447" spans="12:12" x14ac:dyDescent="0.15">
      <c r="L447"/>
    </row>
    <row r="448" spans="12:12" x14ac:dyDescent="0.15">
      <c r="L448"/>
    </row>
    <row r="449" spans="12:12" x14ac:dyDescent="0.15">
      <c r="L449"/>
    </row>
    <row r="450" spans="12:12" x14ac:dyDescent="0.15">
      <c r="L450"/>
    </row>
    <row r="451" spans="12:12" x14ac:dyDescent="0.15">
      <c r="L451"/>
    </row>
    <row r="452" spans="12:12" x14ac:dyDescent="0.15">
      <c r="L452"/>
    </row>
    <row r="453" spans="12:12" x14ac:dyDescent="0.15">
      <c r="L453"/>
    </row>
    <row r="454" spans="12:12" x14ac:dyDescent="0.15">
      <c r="L454"/>
    </row>
    <row r="455" spans="12:12" x14ac:dyDescent="0.15">
      <c r="L455"/>
    </row>
    <row r="456" spans="12:12" x14ac:dyDescent="0.15">
      <c r="L456"/>
    </row>
    <row r="457" spans="12:12" x14ac:dyDescent="0.15">
      <c r="L457"/>
    </row>
    <row r="458" spans="12:12" x14ac:dyDescent="0.15">
      <c r="L458"/>
    </row>
    <row r="459" spans="12:12" x14ac:dyDescent="0.15">
      <c r="L459"/>
    </row>
    <row r="460" spans="12:12" x14ac:dyDescent="0.15">
      <c r="L460"/>
    </row>
    <row r="461" spans="12:12" x14ac:dyDescent="0.15">
      <c r="L461"/>
    </row>
    <row r="462" spans="12:12" x14ac:dyDescent="0.15">
      <c r="L462"/>
    </row>
    <row r="463" spans="12:12" x14ac:dyDescent="0.15">
      <c r="L463"/>
    </row>
    <row r="464" spans="12:12" x14ac:dyDescent="0.15">
      <c r="L464"/>
    </row>
    <row r="465" spans="12:12" x14ac:dyDescent="0.15">
      <c r="L465"/>
    </row>
    <row r="466" spans="12:12" x14ac:dyDescent="0.15">
      <c r="L466"/>
    </row>
    <row r="467" spans="12:12" x14ac:dyDescent="0.15">
      <c r="L467"/>
    </row>
    <row r="468" spans="12:12" x14ac:dyDescent="0.15">
      <c r="L468"/>
    </row>
    <row r="469" spans="12:12" x14ac:dyDescent="0.15">
      <c r="L469"/>
    </row>
    <row r="470" spans="12:12" x14ac:dyDescent="0.15">
      <c r="L470"/>
    </row>
    <row r="471" spans="12:12" x14ac:dyDescent="0.15">
      <c r="L471"/>
    </row>
    <row r="472" spans="12:12" x14ac:dyDescent="0.15">
      <c r="L472"/>
    </row>
    <row r="473" spans="12:12" x14ac:dyDescent="0.15">
      <c r="L473"/>
    </row>
    <row r="474" spans="12:12" x14ac:dyDescent="0.15">
      <c r="L474"/>
    </row>
    <row r="475" spans="12:12" x14ac:dyDescent="0.15">
      <c r="L475"/>
    </row>
    <row r="476" spans="12:12" x14ac:dyDescent="0.15">
      <c r="L476"/>
    </row>
    <row r="477" spans="12:12" x14ac:dyDescent="0.15">
      <c r="L477"/>
    </row>
    <row r="478" spans="12:12" x14ac:dyDescent="0.15">
      <c r="L478"/>
    </row>
    <row r="479" spans="12:12" x14ac:dyDescent="0.15">
      <c r="L479"/>
    </row>
    <row r="480" spans="12:12" x14ac:dyDescent="0.15">
      <c r="L480"/>
    </row>
    <row r="481" spans="12:12" x14ac:dyDescent="0.15">
      <c r="L481"/>
    </row>
    <row r="482" spans="12:12" x14ac:dyDescent="0.15">
      <c r="L482"/>
    </row>
    <row r="483" spans="12:12" x14ac:dyDescent="0.15">
      <c r="L483"/>
    </row>
    <row r="484" spans="12:12" x14ac:dyDescent="0.15">
      <c r="L484"/>
    </row>
    <row r="485" spans="12:12" x14ac:dyDescent="0.15">
      <c r="L485"/>
    </row>
    <row r="486" spans="12:12" x14ac:dyDescent="0.15">
      <c r="L486"/>
    </row>
    <row r="487" spans="12:12" x14ac:dyDescent="0.15">
      <c r="L487"/>
    </row>
    <row r="488" spans="12:12" x14ac:dyDescent="0.15">
      <c r="L488"/>
    </row>
    <row r="489" spans="12:12" x14ac:dyDescent="0.15">
      <c r="L489"/>
    </row>
    <row r="490" spans="12:12" x14ac:dyDescent="0.15">
      <c r="L490"/>
    </row>
    <row r="491" spans="12:12" x14ac:dyDescent="0.15">
      <c r="L491"/>
    </row>
    <row r="492" spans="12:12" x14ac:dyDescent="0.15">
      <c r="L492"/>
    </row>
    <row r="493" spans="12:12" x14ac:dyDescent="0.15">
      <c r="L493"/>
    </row>
    <row r="494" spans="12:12" x14ac:dyDescent="0.15">
      <c r="L494"/>
    </row>
    <row r="495" spans="12:12" x14ac:dyDescent="0.15">
      <c r="L495"/>
    </row>
    <row r="496" spans="12:12" x14ac:dyDescent="0.15">
      <c r="L496"/>
    </row>
    <row r="497" spans="12:12" x14ac:dyDescent="0.15">
      <c r="L497"/>
    </row>
    <row r="498" spans="12:12" x14ac:dyDescent="0.15">
      <c r="L498"/>
    </row>
    <row r="499" spans="12:12" x14ac:dyDescent="0.15">
      <c r="L499"/>
    </row>
    <row r="500" spans="12:12" x14ac:dyDescent="0.15">
      <c r="L500"/>
    </row>
    <row r="501" spans="12:12" x14ac:dyDescent="0.15">
      <c r="L501"/>
    </row>
    <row r="502" spans="12:12" x14ac:dyDescent="0.15">
      <c r="L502"/>
    </row>
    <row r="503" spans="12:12" x14ac:dyDescent="0.15">
      <c r="L503"/>
    </row>
    <row r="504" spans="12:12" x14ac:dyDescent="0.15">
      <c r="L504"/>
    </row>
    <row r="505" spans="12:12" x14ac:dyDescent="0.15">
      <c r="L505"/>
    </row>
    <row r="506" spans="12:12" x14ac:dyDescent="0.15">
      <c r="L506"/>
    </row>
    <row r="507" spans="12:12" x14ac:dyDescent="0.15">
      <c r="L507"/>
    </row>
    <row r="508" spans="12:12" x14ac:dyDescent="0.15">
      <c r="L508"/>
    </row>
    <row r="509" spans="12:12" x14ac:dyDescent="0.15">
      <c r="L509"/>
    </row>
    <row r="510" spans="12:12" x14ac:dyDescent="0.15">
      <c r="L510"/>
    </row>
    <row r="511" spans="12:12" x14ac:dyDescent="0.15">
      <c r="L511"/>
    </row>
    <row r="512" spans="12:12" x14ac:dyDescent="0.15">
      <c r="L512"/>
    </row>
    <row r="513" spans="12:12" x14ac:dyDescent="0.15">
      <c r="L513"/>
    </row>
    <row r="514" spans="12:12" x14ac:dyDescent="0.15">
      <c r="L514"/>
    </row>
    <row r="515" spans="12:12" x14ac:dyDescent="0.15">
      <c r="L515"/>
    </row>
    <row r="516" spans="12:12" x14ac:dyDescent="0.15">
      <c r="L516"/>
    </row>
    <row r="517" spans="12:12" x14ac:dyDescent="0.15">
      <c r="L517"/>
    </row>
    <row r="518" spans="12:12" x14ac:dyDescent="0.15">
      <c r="L518"/>
    </row>
    <row r="519" spans="12:12" x14ac:dyDescent="0.15">
      <c r="L519"/>
    </row>
    <row r="520" spans="12:12" x14ac:dyDescent="0.15">
      <c r="L520"/>
    </row>
    <row r="521" spans="12:12" x14ac:dyDescent="0.15">
      <c r="L521"/>
    </row>
    <row r="522" spans="12:12" x14ac:dyDescent="0.15">
      <c r="L522"/>
    </row>
    <row r="523" spans="12:12" x14ac:dyDescent="0.15">
      <c r="L523"/>
    </row>
    <row r="524" spans="12:12" x14ac:dyDescent="0.15">
      <c r="L524"/>
    </row>
    <row r="525" spans="12:12" x14ac:dyDescent="0.15">
      <c r="L525"/>
    </row>
    <row r="526" spans="12:12" x14ac:dyDescent="0.15">
      <c r="L526"/>
    </row>
    <row r="527" spans="12:12" x14ac:dyDescent="0.15">
      <c r="L527"/>
    </row>
    <row r="528" spans="12:12" x14ac:dyDescent="0.15">
      <c r="L528"/>
    </row>
    <row r="529" spans="12:12" x14ac:dyDescent="0.15">
      <c r="L529"/>
    </row>
    <row r="530" spans="12:12" x14ac:dyDescent="0.15">
      <c r="L530"/>
    </row>
    <row r="531" spans="12:12" x14ac:dyDescent="0.15">
      <c r="L531"/>
    </row>
    <row r="532" spans="12:12" x14ac:dyDescent="0.15">
      <c r="L532"/>
    </row>
    <row r="533" spans="12:12" x14ac:dyDescent="0.15">
      <c r="L533"/>
    </row>
    <row r="534" spans="12:12" x14ac:dyDescent="0.15">
      <c r="L534"/>
    </row>
    <row r="535" spans="12:12" x14ac:dyDescent="0.15">
      <c r="L535"/>
    </row>
    <row r="536" spans="12:12" x14ac:dyDescent="0.15">
      <c r="L536"/>
    </row>
    <row r="537" spans="12:12" x14ac:dyDescent="0.15">
      <c r="L537"/>
    </row>
    <row r="538" spans="12:12" x14ac:dyDescent="0.15">
      <c r="L538"/>
    </row>
    <row r="539" spans="12:12" x14ac:dyDescent="0.15">
      <c r="L539"/>
    </row>
    <row r="540" spans="12:12" x14ac:dyDescent="0.15">
      <c r="L540"/>
    </row>
    <row r="541" spans="12:12" x14ac:dyDescent="0.15">
      <c r="L541"/>
    </row>
    <row r="542" spans="12:12" x14ac:dyDescent="0.15">
      <c r="L542"/>
    </row>
    <row r="543" spans="12:12" x14ac:dyDescent="0.15">
      <c r="L543"/>
    </row>
    <row r="544" spans="12:12" x14ac:dyDescent="0.15">
      <c r="L544"/>
    </row>
    <row r="545" spans="12:12" x14ac:dyDescent="0.15">
      <c r="L545"/>
    </row>
    <row r="546" spans="12:12" x14ac:dyDescent="0.15">
      <c r="L546"/>
    </row>
    <row r="547" spans="12:12" x14ac:dyDescent="0.15">
      <c r="L547"/>
    </row>
    <row r="548" spans="12:12" x14ac:dyDescent="0.15">
      <c r="L548"/>
    </row>
    <row r="549" spans="12:12" x14ac:dyDescent="0.15">
      <c r="L549"/>
    </row>
    <row r="550" spans="12:12" x14ac:dyDescent="0.15">
      <c r="L550"/>
    </row>
    <row r="551" spans="12:12" x14ac:dyDescent="0.15">
      <c r="L551"/>
    </row>
    <row r="552" spans="12:12" x14ac:dyDescent="0.15">
      <c r="L552"/>
    </row>
    <row r="553" spans="12:12" x14ac:dyDescent="0.15">
      <c r="L553"/>
    </row>
    <row r="554" spans="12:12" x14ac:dyDescent="0.15">
      <c r="L554"/>
    </row>
    <row r="555" spans="12:12" x14ac:dyDescent="0.15">
      <c r="L555"/>
    </row>
    <row r="556" spans="12:12" x14ac:dyDescent="0.15">
      <c r="L556"/>
    </row>
    <row r="557" spans="12:12" x14ac:dyDescent="0.15">
      <c r="L557"/>
    </row>
    <row r="558" spans="12:12" x14ac:dyDescent="0.15">
      <c r="L558"/>
    </row>
    <row r="559" spans="12:12" x14ac:dyDescent="0.15">
      <c r="L559"/>
    </row>
    <row r="560" spans="12:12" x14ac:dyDescent="0.15">
      <c r="L560"/>
    </row>
    <row r="561" spans="12:12" x14ac:dyDescent="0.15">
      <c r="L561"/>
    </row>
    <row r="562" spans="12:12" x14ac:dyDescent="0.15">
      <c r="L562"/>
    </row>
    <row r="563" spans="12:12" x14ac:dyDescent="0.15">
      <c r="L563"/>
    </row>
    <row r="564" spans="12:12" x14ac:dyDescent="0.15">
      <c r="L564"/>
    </row>
    <row r="565" spans="12:12" x14ac:dyDescent="0.15">
      <c r="L565"/>
    </row>
    <row r="566" spans="12:12" x14ac:dyDescent="0.15">
      <c r="L566"/>
    </row>
    <row r="567" spans="12:12" x14ac:dyDescent="0.15">
      <c r="L567"/>
    </row>
    <row r="568" spans="12:12" x14ac:dyDescent="0.15">
      <c r="L568"/>
    </row>
    <row r="569" spans="12:12" x14ac:dyDescent="0.15">
      <c r="L569"/>
    </row>
    <row r="570" spans="12:12" x14ac:dyDescent="0.15">
      <c r="L570"/>
    </row>
    <row r="571" spans="12:12" x14ac:dyDescent="0.15">
      <c r="L571"/>
    </row>
    <row r="572" spans="12:12" x14ac:dyDescent="0.15">
      <c r="L572"/>
    </row>
    <row r="573" spans="12:12" x14ac:dyDescent="0.15">
      <c r="L573"/>
    </row>
    <row r="574" spans="12:12" x14ac:dyDescent="0.15">
      <c r="L574"/>
    </row>
    <row r="575" spans="12:12" x14ac:dyDescent="0.15">
      <c r="L575"/>
    </row>
    <row r="576" spans="12:12" x14ac:dyDescent="0.15">
      <c r="L576"/>
    </row>
    <row r="577" spans="12:12" x14ac:dyDescent="0.15">
      <c r="L577"/>
    </row>
    <row r="578" spans="12:12" x14ac:dyDescent="0.15">
      <c r="L578"/>
    </row>
    <row r="579" spans="12:12" x14ac:dyDescent="0.15">
      <c r="L579"/>
    </row>
    <row r="580" spans="12:12" x14ac:dyDescent="0.15">
      <c r="L580"/>
    </row>
    <row r="581" spans="12:12" x14ac:dyDescent="0.15">
      <c r="L581"/>
    </row>
    <row r="582" spans="12:12" x14ac:dyDescent="0.15">
      <c r="L582"/>
    </row>
    <row r="583" spans="12:12" x14ac:dyDescent="0.15">
      <c r="L583"/>
    </row>
    <row r="584" spans="12:12" x14ac:dyDescent="0.15">
      <c r="L584"/>
    </row>
    <row r="585" spans="12:12" x14ac:dyDescent="0.15">
      <c r="L585"/>
    </row>
    <row r="586" spans="12:12" x14ac:dyDescent="0.15">
      <c r="L586"/>
    </row>
    <row r="587" spans="12:12" x14ac:dyDescent="0.15">
      <c r="L587"/>
    </row>
    <row r="588" spans="12:12" x14ac:dyDescent="0.15">
      <c r="L588"/>
    </row>
    <row r="589" spans="12:12" x14ac:dyDescent="0.15">
      <c r="L589"/>
    </row>
    <row r="590" spans="12:12" x14ac:dyDescent="0.15">
      <c r="L590"/>
    </row>
    <row r="591" spans="12:12" x14ac:dyDescent="0.15">
      <c r="L591"/>
    </row>
    <row r="592" spans="12:12" x14ac:dyDescent="0.15">
      <c r="L592"/>
    </row>
    <row r="593" spans="12:12" x14ac:dyDescent="0.15">
      <c r="L593"/>
    </row>
    <row r="594" spans="12:12" x14ac:dyDescent="0.15">
      <c r="L594"/>
    </row>
    <row r="595" spans="12:12" x14ac:dyDescent="0.15">
      <c r="L595"/>
    </row>
    <row r="596" spans="12:12" x14ac:dyDescent="0.15">
      <c r="L596"/>
    </row>
    <row r="597" spans="12:12" x14ac:dyDescent="0.15">
      <c r="L597"/>
    </row>
    <row r="598" spans="12:12" x14ac:dyDescent="0.15">
      <c r="L598"/>
    </row>
    <row r="599" spans="12:12" x14ac:dyDescent="0.15">
      <c r="L599"/>
    </row>
    <row r="600" spans="12:12" x14ac:dyDescent="0.15">
      <c r="L600"/>
    </row>
    <row r="601" spans="12:12" x14ac:dyDescent="0.15">
      <c r="L601"/>
    </row>
    <row r="602" spans="12:12" x14ac:dyDescent="0.15">
      <c r="L602"/>
    </row>
    <row r="603" spans="12:12" x14ac:dyDescent="0.15">
      <c r="L603"/>
    </row>
    <row r="604" spans="12:12" x14ac:dyDescent="0.15">
      <c r="L604"/>
    </row>
    <row r="605" spans="12:12" x14ac:dyDescent="0.15">
      <c r="L605"/>
    </row>
    <row r="606" spans="12:12" x14ac:dyDescent="0.15">
      <c r="L606"/>
    </row>
    <row r="607" spans="12:12" x14ac:dyDescent="0.15">
      <c r="L607"/>
    </row>
    <row r="608" spans="12:12" x14ac:dyDescent="0.15">
      <c r="L608"/>
    </row>
    <row r="609" spans="12:12" x14ac:dyDescent="0.15">
      <c r="L609"/>
    </row>
    <row r="610" spans="12:12" x14ac:dyDescent="0.15">
      <c r="L610"/>
    </row>
    <row r="611" spans="12:12" x14ac:dyDescent="0.15">
      <c r="L611"/>
    </row>
    <row r="612" spans="12:12" x14ac:dyDescent="0.15">
      <c r="L612"/>
    </row>
    <row r="613" spans="12:12" x14ac:dyDescent="0.15">
      <c r="L613"/>
    </row>
    <row r="614" spans="12:12" x14ac:dyDescent="0.15">
      <c r="L614"/>
    </row>
    <row r="615" spans="12:12" x14ac:dyDescent="0.15">
      <c r="L615"/>
    </row>
    <row r="616" spans="12:12" x14ac:dyDescent="0.15">
      <c r="L616"/>
    </row>
    <row r="617" spans="12:12" x14ac:dyDescent="0.15">
      <c r="L617"/>
    </row>
    <row r="618" spans="12:12" x14ac:dyDescent="0.15">
      <c r="L618"/>
    </row>
    <row r="619" spans="12:12" x14ac:dyDescent="0.15">
      <c r="L619"/>
    </row>
    <row r="620" spans="12:12" x14ac:dyDescent="0.15">
      <c r="L620"/>
    </row>
    <row r="621" spans="12:12" x14ac:dyDescent="0.15">
      <c r="L621"/>
    </row>
    <row r="622" spans="12:12" x14ac:dyDescent="0.15">
      <c r="L622"/>
    </row>
    <row r="623" spans="12:12" x14ac:dyDescent="0.15">
      <c r="L623"/>
    </row>
    <row r="624" spans="12:12" x14ac:dyDescent="0.15">
      <c r="L624"/>
    </row>
    <row r="625" spans="12:12" x14ac:dyDescent="0.15">
      <c r="L625"/>
    </row>
    <row r="626" spans="12:12" x14ac:dyDescent="0.15">
      <c r="L626"/>
    </row>
    <row r="627" spans="12:12" x14ac:dyDescent="0.15">
      <c r="L627"/>
    </row>
    <row r="628" spans="12:12" x14ac:dyDescent="0.15">
      <c r="L628"/>
    </row>
    <row r="629" spans="12:12" x14ac:dyDescent="0.15">
      <c r="L629"/>
    </row>
    <row r="630" spans="12:12" x14ac:dyDescent="0.15">
      <c r="L630"/>
    </row>
    <row r="631" spans="12:12" x14ac:dyDescent="0.15">
      <c r="L631"/>
    </row>
    <row r="632" spans="12:12" x14ac:dyDescent="0.15">
      <c r="L632"/>
    </row>
    <row r="633" spans="12:12" x14ac:dyDescent="0.15">
      <c r="L633"/>
    </row>
    <row r="634" spans="12:12" x14ac:dyDescent="0.15">
      <c r="L634"/>
    </row>
    <row r="635" spans="12:12" x14ac:dyDescent="0.15">
      <c r="L635"/>
    </row>
    <row r="636" spans="12:12" x14ac:dyDescent="0.15">
      <c r="L636"/>
    </row>
    <row r="637" spans="12:12" x14ac:dyDescent="0.15">
      <c r="L637"/>
    </row>
    <row r="638" spans="12:12" x14ac:dyDescent="0.15">
      <c r="L638"/>
    </row>
    <row r="639" spans="12:12" x14ac:dyDescent="0.15">
      <c r="L639"/>
    </row>
    <row r="640" spans="12:12" x14ac:dyDescent="0.15">
      <c r="L640"/>
    </row>
    <row r="641" spans="12:12" x14ac:dyDescent="0.15">
      <c r="L641"/>
    </row>
    <row r="642" spans="12:12" x14ac:dyDescent="0.15">
      <c r="L642"/>
    </row>
    <row r="643" spans="12:12" x14ac:dyDescent="0.15">
      <c r="L643"/>
    </row>
    <row r="644" spans="12:12" x14ac:dyDescent="0.15">
      <c r="L644"/>
    </row>
    <row r="645" spans="12:12" x14ac:dyDescent="0.15">
      <c r="L645"/>
    </row>
    <row r="646" spans="12:12" x14ac:dyDescent="0.15">
      <c r="L646"/>
    </row>
    <row r="647" spans="12:12" x14ac:dyDescent="0.15">
      <c r="L647"/>
    </row>
    <row r="648" spans="12:12" x14ac:dyDescent="0.15">
      <c r="L648"/>
    </row>
    <row r="649" spans="12:12" x14ac:dyDescent="0.15">
      <c r="L649"/>
    </row>
    <row r="650" spans="12:12" x14ac:dyDescent="0.15">
      <c r="L650"/>
    </row>
    <row r="651" spans="12:12" x14ac:dyDescent="0.15">
      <c r="L651"/>
    </row>
    <row r="652" spans="12:12" x14ac:dyDescent="0.15">
      <c r="L652"/>
    </row>
    <row r="653" spans="12:12" x14ac:dyDescent="0.15">
      <c r="L653"/>
    </row>
    <row r="654" spans="12:12" x14ac:dyDescent="0.15">
      <c r="L654"/>
    </row>
    <row r="655" spans="12:12" x14ac:dyDescent="0.15">
      <c r="L655"/>
    </row>
    <row r="656" spans="12:12" x14ac:dyDescent="0.15">
      <c r="L656"/>
    </row>
    <row r="657" spans="12:12" x14ac:dyDescent="0.15">
      <c r="L657"/>
    </row>
    <row r="658" spans="12:12" x14ac:dyDescent="0.15">
      <c r="L658"/>
    </row>
    <row r="659" spans="12:12" x14ac:dyDescent="0.15">
      <c r="L659"/>
    </row>
    <row r="660" spans="12:12" x14ac:dyDescent="0.15">
      <c r="L660"/>
    </row>
    <row r="661" spans="12:12" x14ac:dyDescent="0.15">
      <c r="L661"/>
    </row>
    <row r="662" spans="12:12" x14ac:dyDescent="0.15">
      <c r="L662"/>
    </row>
    <row r="663" spans="12:12" x14ac:dyDescent="0.15">
      <c r="L663"/>
    </row>
    <row r="664" spans="12:12" x14ac:dyDescent="0.15">
      <c r="L664"/>
    </row>
    <row r="665" spans="12:12" x14ac:dyDescent="0.15">
      <c r="L665"/>
    </row>
    <row r="666" spans="12:12" x14ac:dyDescent="0.15">
      <c r="L666"/>
    </row>
    <row r="667" spans="12:12" x14ac:dyDescent="0.15">
      <c r="L667"/>
    </row>
    <row r="668" spans="12:12" x14ac:dyDescent="0.15">
      <c r="L668"/>
    </row>
    <row r="669" spans="12:12" x14ac:dyDescent="0.15">
      <c r="L669"/>
    </row>
    <row r="670" spans="12:12" x14ac:dyDescent="0.15">
      <c r="L670"/>
    </row>
    <row r="671" spans="12:12" x14ac:dyDescent="0.15">
      <c r="L671"/>
    </row>
    <row r="672" spans="12:12" x14ac:dyDescent="0.15">
      <c r="L672"/>
    </row>
    <row r="673" spans="12:12" x14ac:dyDescent="0.15">
      <c r="L673"/>
    </row>
    <row r="674" spans="12:12" x14ac:dyDescent="0.15">
      <c r="L674"/>
    </row>
    <row r="675" spans="12:12" x14ac:dyDescent="0.15">
      <c r="L675"/>
    </row>
    <row r="676" spans="12:12" x14ac:dyDescent="0.15">
      <c r="L676"/>
    </row>
    <row r="677" spans="12:12" x14ac:dyDescent="0.15">
      <c r="L677"/>
    </row>
    <row r="678" spans="12:12" x14ac:dyDescent="0.15">
      <c r="L678"/>
    </row>
    <row r="679" spans="12:12" x14ac:dyDescent="0.15">
      <c r="L679"/>
    </row>
    <row r="680" spans="12:12" x14ac:dyDescent="0.15">
      <c r="L680"/>
    </row>
    <row r="681" spans="12:12" x14ac:dyDescent="0.15">
      <c r="L681"/>
    </row>
    <row r="682" spans="12:12" x14ac:dyDescent="0.15">
      <c r="L682"/>
    </row>
    <row r="683" spans="12:12" x14ac:dyDescent="0.15">
      <c r="L683"/>
    </row>
    <row r="684" spans="12:12" x14ac:dyDescent="0.15">
      <c r="L684"/>
    </row>
    <row r="685" spans="12:12" x14ac:dyDescent="0.15">
      <c r="L685"/>
    </row>
    <row r="686" spans="12:12" x14ac:dyDescent="0.15">
      <c r="L686"/>
    </row>
    <row r="687" spans="12:12" x14ac:dyDescent="0.15">
      <c r="L687"/>
    </row>
    <row r="688" spans="12:12" x14ac:dyDescent="0.15">
      <c r="L688"/>
    </row>
    <row r="689" spans="12:12" x14ac:dyDescent="0.15">
      <c r="L689"/>
    </row>
    <row r="690" spans="12:12" x14ac:dyDescent="0.15">
      <c r="L690"/>
    </row>
    <row r="691" spans="12:12" x14ac:dyDescent="0.15">
      <c r="L691"/>
    </row>
    <row r="692" spans="12:12" x14ac:dyDescent="0.15">
      <c r="L692"/>
    </row>
    <row r="693" spans="12:12" x14ac:dyDescent="0.15">
      <c r="L693"/>
    </row>
    <row r="694" spans="12:12" x14ac:dyDescent="0.15">
      <c r="L694"/>
    </row>
    <row r="695" spans="12:12" x14ac:dyDescent="0.15">
      <c r="L695"/>
    </row>
    <row r="696" spans="12:12" x14ac:dyDescent="0.15">
      <c r="L696"/>
    </row>
    <row r="697" spans="12:12" x14ac:dyDescent="0.15">
      <c r="L697"/>
    </row>
    <row r="698" spans="12:12" x14ac:dyDescent="0.15">
      <c r="L698"/>
    </row>
    <row r="699" spans="12:12" x14ac:dyDescent="0.15">
      <c r="L699"/>
    </row>
    <row r="700" spans="12:12" x14ac:dyDescent="0.15">
      <c r="L700"/>
    </row>
    <row r="701" spans="12:12" x14ac:dyDescent="0.15">
      <c r="L701"/>
    </row>
    <row r="702" spans="12:12" x14ac:dyDescent="0.15">
      <c r="L702"/>
    </row>
    <row r="703" spans="12:12" x14ac:dyDescent="0.15">
      <c r="L703"/>
    </row>
    <row r="704" spans="12:12" x14ac:dyDescent="0.15">
      <c r="L704"/>
    </row>
    <row r="705" spans="12:12" x14ac:dyDescent="0.15">
      <c r="L705"/>
    </row>
    <row r="706" spans="12:12" x14ac:dyDescent="0.15">
      <c r="L706"/>
    </row>
    <row r="707" spans="12:12" x14ac:dyDescent="0.15">
      <c r="L707"/>
    </row>
    <row r="708" spans="12:12" x14ac:dyDescent="0.15">
      <c r="L708"/>
    </row>
    <row r="709" spans="12:12" x14ac:dyDescent="0.15">
      <c r="L709"/>
    </row>
    <row r="710" spans="12:12" x14ac:dyDescent="0.15">
      <c r="L710"/>
    </row>
    <row r="711" spans="12:12" x14ac:dyDescent="0.15">
      <c r="L711"/>
    </row>
    <row r="712" spans="12:12" x14ac:dyDescent="0.15">
      <c r="L712"/>
    </row>
    <row r="713" spans="12:12" x14ac:dyDescent="0.15">
      <c r="L713"/>
    </row>
    <row r="714" spans="12:12" x14ac:dyDescent="0.15">
      <c r="L714"/>
    </row>
    <row r="715" spans="12:12" x14ac:dyDescent="0.15">
      <c r="L715"/>
    </row>
    <row r="716" spans="12:12" x14ac:dyDescent="0.15">
      <c r="L716"/>
    </row>
    <row r="717" spans="12:12" x14ac:dyDescent="0.15">
      <c r="L717"/>
    </row>
    <row r="718" spans="12:12" x14ac:dyDescent="0.15">
      <c r="L718"/>
    </row>
    <row r="719" spans="12:12" x14ac:dyDescent="0.15">
      <c r="L719"/>
    </row>
    <row r="720" spans="12:12" x14ac:dyDescent="0.15">
      <c r="L720"/>
    </row>
    <row r="721" spans="12:12" x14ac:dyDescent="0.15">
      <c r="L721"/>
    </row>
    <row r="722" spans="12:12" x14ac:dyDescent="0.15">
      <c r="L722"/>
    </row>
    <row r="723" spans="12:12" x14ac:dyDescent="0.15">
      <c r="L723"/>
    </row>
    <row r="724" spans="12:12" x14ac:dyDescent="0.15">
      <c r="L724"/>
    </row>
    <row r="725" spans="12:12" x14ac:dyDescent="0.15">
      <c r="L725"/>
    </row>
    <row r="726" spans="12:12" x14ac:dyDescent="0.15">
      <c r="L726"/>
    </row>
    <row r="727" spans="12:12" x14ac:dyDescent="0.15">
      <c r="L727"/>
    </row>
    <row r="728" spans="12:12" x14ac:dyDescent="0.15">
      <c r="L728"/>
    </row>
    <row r="729" spans="12:12" x14ac:dyDescent="0.15">
      <c r="L729"/>
    </row>
    <row r="730" spans="12:12" x14ac:dyDescent="0.15">
      <c r="L730"/>
    </row>
    <row r="731" spans="12:12" x14ac:dyDescent="0.15">
      <c r="L731"/>
    </row>
    <row r="732" spans="12:12" x14ac:dyDescent="0.15">
      <c r="L732"/>
    </row>
    <row r="733" spans="12:12" x14ac:dyDescent="0.15">
      <c r="L733"/>
    </row>
    <row r="734" spans="12:12" x14ac:dyDescent="0.15">
      <c r="L734"/>
    </row>
    <row r="735" spans="12:12" x14ac:dyDescent="0.15">
      <c r="L735"/>
    </row>
    <row r="736" spans="12:12" x14ac:dyDescent="0.15">
      <c r="L736"/>
    </row>
    <row r="737" spans="12:12" x14ac:dyDescent="0.15">
      <c r="L737"/>
    </row>
    <row r="738" spans="12:12" x14ac:dyDescent="0.15">
      <c r="L738"/>
    </row>
    <row r="739" spans="12:12" x14ac:dyDescent="0.15">
      <c r="L739"/>
    </row>
    <row r="740" spans="12:12" x14ac:dyDescent="0.15">
      <c r="L740"/>
    </row>
    <row r="741" spans="12:12" x14ac:dyDescent="0.15">
      <c r="L741"/>
    </row>
    <row r="742" spans="12:12" x14ac:dyDescent="0.15">
      <c r="L742"/>
    </row>
    <row r="743" spans="12:12" x14ac:dyDescent="0.15">
      <c r="L743"/>
    </row>
    <row r="744" spans="12:12" x14ac:dyDescent="0.15">
      <c r="L744"/>
    </row>
    <row r="745" spans="12:12" x14ac:dyDescent="0.15">
      <c r="L745"/>
    </row>
    <row r="746" spans="12:12" x14ac:dyDescent="0.15">
      <c r="L746"/>
    </row>
    <row r="747" spans="12:12" x14ac:dyDescent="0.15">
      <c r="L747"/>
    </row>
    <row r="748" spans="12:12" x14ac:dyDescent="0.15">
      <c r="L748"/>
    </row>
    <row r="749" spans="12:12" x14ac:dyDescent="0.15">
      <c r="L749"/>
    </row>
    <row r="750" spans="12:12" x14ac:dyDescent="0.15">
      <c r="L750"/>
    </row>
    <row r="751" spans="12:12" x14ac:dyDescent="0.15">
      <c r="L751"/>
    </row>
    <row r="752" spans="12:12" x14ac:dyDescent="0.15">
      <c r="L752"/>
    </row>
    <row r="753" spans="12:12" x14ac:dyDescent="0.15">
      <c r="L753"/>
    </row>
    <row r="754" spans="12:12" x14ac:dyDescent="0.15">
      <c r="L754"/>
    </row>
    <row r="755" spans="12:12" x14ac:dyDescent="0.15">
      <c r="L755"/>
    </row>
    <row r="756" spans="12:12" x14ac:dyDescent="0.15">
      <c r="L756"/>
    </row>
    <row r="757" spans="12:12" x14ac:dyDescent="0.15">
      <c r="L757"/>
    </row>
    <row r="758" spans="12:12" x14ac:dyDescent="0.15">
      <c r="L758"/>
    </row>
    <row r="759" spans="12:12" x14ac:dyDescent="0.15">
      <c r="L759"/>
    </row>
    <row r="760" spans="12:12" x14ac:dyDescent="0.15">
      <c r="L760"/>
    </row>
    <row r="761" spans="12:12" x14ac:dyDescent="0.15">
      <c r="L761"/>
    </row>
    <row r="762" spans="12:12" x14ac:dyDescent="0.15">
      <c r="L762"/>
    </row>
    <row r="763" spans="12:12" x14ac:dyDescent="0.15">
      <c r="L763"/>
    </row>
    <row r="764" spans="12:12" x14ac:dyDescent="0.15">
      <c r="L764"/>
    </row>
    <row r="765" spans="12:12" x14ac:dyDescent="0.15">
      <c r="L765"/>
    </row>
    <row r="766" spans="12:12" x14ac:dyDescent="0.15">
      <c r="L766"/>
    </row>
    <row r="767" spans="12:12" x14ac:dyDescent="0.15">
      <c r="L767"/>
    </row>
    <row r="768" spans="12:12" x14ac:dyDescent="0.15">
      <c r="L768"/>
    </row>
    <row r="769" spans="12:12" x14ac:dyDescent="0.15">
      <c r="L769"/>
    </row>
    <row r="770" spans="12:12" x14ac:dyDescent="0.15">
      <c r="L770"/>
    </row>
    <row r="771" spans="12:12" x14ac:dyDescent="0.15">
      <c r="L771"/>
    </row>
    <row r="772" spans="12:12" x14ac:dyDescent="0.15">
      <c r="L772"/>
    </row>
    <row r="773" spans="12:12" x14ac:dyDescent="0.15">
      <c r="L773"/>
    </row>
    <row r="774" spans="12:12" x14ac:dyDescent="0.15">
      <c r="L774"/>
    </row>
    <row r="775" spans="12:12" x14ac:dyDescent="0.15">
      <c r="L775"/>
    </row>
    <row r="776" spans="12:12" x14ac:dyDescent="0.15">
      <c r="L776"/>
    </row>
    <row r="777" spans="12:12" x14ac:dyDescent="0.15">
      <c r="L777"/>
    </row>
    <row r="778" spans="12:12" x14ac:dyDescent="0.15">
      <c r="L778"/>
    </row>
    <row r="779" spans="12:12" x14ac:dyDescent="0.15">
      <c r="L779"/>
    </row>
    <row r="780" spans="12:12" x14ac:dyDescent="0.15">
      <c r="L780"/>
    </row>
    <row r="781" spans="12:12" x14ac:dyDescent="0.15">
      <c r="L781"/>
    </row>
    <row r="782" spans="12:12" x14ac:dyDescent="0.15">
      <c r="L782"/>
    </row>
    <row r="783" spans="12:12" x14ac:dyDescent="0.15">
      <c r="L783"/>
    </row>
    <row r="784" spans="12:12" x14ac:dyDescent="0.15">
      <c r="L784"/>
    </row>
    <row r="785" spans="12:12" x14ac:dyDescent="0.15">
      <c r="L785"/>
    </row>
    <row r="786" spans="12:12" x14ac:dyDescent="0.15">
      <c r="L786"/>
    </row>
    <row r="787" spans="12:12" x14ac:dyDescent="0.15">
      <c r="L787"/>
    </row>
    <row r="788" spans="12:12" x14ac:dyDescent="0.15">
      <c r="L788"/>
    </row>
    <row r="789" spans="12:12" x14ac:dyDescent="0.15">
      <c r="L789"/>
    </row>
    <row r="790" spans="12:12" x14ac:dyDescent="0.15">
      <c r="L790"/>
    </row>
    <row r="791" spans="12:12" x14ac:dyDescent="0.15">
      <c r="L791"/>
    </row>
    <row r="792" spans="12:12" x14ac:dyDescent="0.15">
      <c r="L792"/>
    </row>
    <row r="793" spans="12:12" x14ac:dyDescent="0.15">
      <c r="L793"/>
    </row>
    <row r="794" spans="12:12" x14ac:dyDescent="0.15">
      <c r="L794"/>
    </row>
    <row r="795" spans="12:12" x14ac:dyDescent="0.15">
      <c r="L795"/>
    </row>
    <row r="796" spans="12:12" x14ac:dyDescent="0.15">
      <c r="L796"/>
    </row>
    <row r="797" spans="12:12" x14ac:dyDescent="0.15">
      <c r="L797"/>
    </row>
    <row r="798" spans="12:12" x14ac:dyDescent="0.15">
      <c r="L798"/>
    </row>
    <row r="799" spans="12:12" x14ac:dyDescent="0.15">
      <c r="L799"/>
    </row>
    <row r="800" spans="12:12" x14ac:dyDescent="0.15">
      <c r="L800"/>
    </row>
    <row r="801" spans="12:12" x14ac:dyDescent="0.15">
      <c r="L801"/>
    </row>
    <row r="802" spans="12:12" x14ac:dyDescent="0.15">
      <c r="L802"/>
    </row>
    <row r="803" spans="12:12" x14ac:dyDescent="0.15">
      <c r="L803"/>
    </row>
    <row r="804" spans="12:12" x14ac:dyDescent="0.15">
      <c r="L804"/>
    </row>
    <row r="805" spans="12:12" x14ac:dyDescent="0.15">
      <c r="L805"/>
    </row>
    <row r="806" spans="12:12" x14ac:dyDescent="0.15">
      <c r="L806"/>
    </row>
    <row r="807" spans="12:12" x14ac:dyDescent="0.15">
      <c r="L807"/>
    </row>
    <row r="808" spans="12:12" x14ac:dyDescent="0.15">
      <c r="L808"/>
    </row>
    <row r="809" spans="12:12" x14ac:dyDescent="0.15">
      <c r="L809"/>
    </row>
    <row r="810" spans="12:12" x14ac:dyDescent="0.15">
      <c r="L810"/>
    </row>
    <row r="811" spans="12:12" x14ac:dyDescent="0.15">
      <c r="L811"/>
    </row>
    <row r="812" spans="12:12" x14ac:dyDescent="0.15">
      <c r="L812"/>
    </row>
    <row r="813" spans="12:12" x14ac:dyDescent="0.15">
      <c r="L813"/>
    </row>
    <row r="814" spans="12:12" x14ac:dyDescent="0.15">
      <c r="L814"/>
    </row>
    <row r="815" spans="12:12" x14ac:dyDescent="0.15">
      <c r="L815"/>
    </row>
    <row r="816" spans="12:12" x14ac:dyDescent="0.15">
      <c r="L816"/>
    </row>
    <row r="817" spans="12:12" x14ac:dyDescent="0.15">
      <c r="L817"/>
    </row>
    <row r="818" spans="12:12" x14ac:dyDescent="0.15">
      <c r="L818"/>
    </row>
    <row r="819" spans="12:12" x14ac:dyDescent="0.15">
      <c r="L819"/>
    </row>
    <row r="820" spans="12:12" x14ac:dyDescent="0.15">
      <c r="L820"/>
    </row>
    <row r="821" spans="12:12" x14ac:dyDescent="0.15">
      <c r="L821"/>
    </row>
    <row r="822" spans="12:12" x14ac:dyDescent="0.15">
      <c r="L822"/>
    </row>
    <row r="823" spans="12:12" x14ac:dyDescent="0.15">
      <c r="L823"/>
    </row>
    <row r="824" spans="12:12" x14ac:dyDescent="0.15">
      <c r="L824"/>
    </row>
    <row r="825" spans="12:12" x14ac:dyDescent="0.15">
      <c r="L825"/>
    </row>
    <row r="826" spans="12:12" x14ac:dyDescent="0.15">
      <c r="L826"/>
    </row>
    <row r="827" spans="12:12" x14ac:dyDescent="0.15">
      <c r="L827"/>
    </row>
    <row r="828" spans="12:12" x14ac:dyDescent="0.15">
      <c r="L828"/>
    </row>
    <row r="829" spans="12:12" x14ac:dyDescent="0.15">
      <c r="L829"/>
    </row>
    <row r="830" spans="12:12" x14ac:dyDescent="0.15">
      <c r="L830"/>
    </row>
    <row r="831" spans="12:12" x14ac:dyDescent="0.15">
      <c r="L831"/>
    </row>
    <row r="832" spans="12:12" x14ac:dyDescent="0.15">
      <c r="L832"/>
    </row>
    <row r="833" spans="12:12" x14ac:dyDescent="0.15">
      <c r="L833"/>
    </row>
    <row r="834" spans="12:12" x14ac:dyDescent="0.15">
      <c r="L834"/>
    </row>
    <row r="835" spans="12:12" x14ac:dyDescent="0.15">
      <c r="L835"/>
    </row>
    <row r="836" spans="12:12" x14ac:dyDescent="0.15">
      <c r="L836"/>
    </row>
    <row r="837" spans="12:12" x14ac:dyDescent="0.15">
      <c r="L837"/>
    </row>
    <row r="838" spans="12:12" x14ac:dyDescent="0.15">
      <c r="L838"/>
    </row>
    <row r="839" spans="12:12" x14ac:dyDescent="0.15">
      <c r="L839"/>
    </row>
    <row r="840" spans="12:12" x14ac:dyDescent="0.15">
      <c r="L840"/>
    </row>
    <row r="841" spans="12:12" x14ac:dyDescent="0.15">
      <c r="L841"/>
    </row>
    <row r="842" spans="12:12" x14ac:dyDescent="0.15">
      <c r="L842"/>
    </row>
    <row r="843" spans="12:12" x14ac:dyDescent="0.15">
      <c r="L843"/>
    </row>
    <row r="844" spans="12:12" x14ac:dyDescent="0.15">
      <c r="L844"/>
    </row>
    <row r="845" spans="12:12" x14ac:dyDescent="0.15">
      <c r="L845"/>
    </row>
    <row r="846" spans="12:12" x14ac:dyDescent="0.15">
      <c r="L846"/>
    </row>
    <row r="847" spans="12:12" x14ac:dyDescent="0.15">
      <c r="L847"/>
    </row>
    <row r="848" spans="12:12" x14ac:dyDescent="0.15">
      <c r="L848"/>
    </row>
    <row r="849" spans="12:12" x14ac:dyDescent="0.15">
      <c r="L849"/>
    </row>
    <row r="850" spans="12:12" x14ac:dyDescent="0.15">
      <c r="L850"/>
    </row>
    <row r="851" spans="12:12" x14ac:dyDescent="0.15">
      <c r="L851"/>
    </row>
    <row r="852" spans="12:12" x14ac:dyDescent="0.15">
      <c r="L852"/>
    </row>
    <row r="853" spans="12:12" x14ac:dyDescent="0.15">
      <c r="L853"/>
    </row>
    <row r="854" spans="12:12" x14ac:dyDescent="0.15">
      <c r="L854"/>
    </row>
    <row r="855" spans="12:12" x14ac:dyDescent="0.15">
      <c r="L855"/>
    </row>
    <row r="856" spans="12:12" x14ac:dyDescent="0.15">
      <c r="L856"/>
    </row>
    <row r="857" spans="12:12" x14ac:dyDescent="0.15">
      <c r="L857"/>
    </row>
    <row r="858" spans="12:12" x14ac:dyDescent="0.15">
      <c r="L858"/>
    </row>
    <row r="859" spans="12:12" x14ac:dyDescent="0.15">
      <c r="L859"/>
    </row>
    <row r="860" spans="12:12" x14ac:dyDescent="0.15">
      <c r="L860"/>
    </row>
    <row r="861" spans="12:12" x14ac:dyDescent="0.15">
      <c r="L861"/>
    </row>
    <row r="862" spans="12:12" x14ac:dyDescent="0.15">
      <c r="L862"/>
    </row>
    <row r="863" spans="12:12" x14ac:dyDescent="0.15">
      <c r="L863"/>
    </row>
    <row r="864" spans="12:12" x14ac:dyDescent="0.15">
      <c r="L864"/>
    </row>
    <row r="865" spans="12:12" x14ac:dyDescent="0.15">
      <c r="L865"/>
    </row>
    <row r="866" spans="12:12" x14ac:dyDescent="0.15">
      <c r="L866"/>
    </row>
    <row r="867" spans="12:12" x14ac:dyDescent="0.15">
      <c r="L867"/>
    </row>
    <row r="868" spans="12:12" x14ac:dyDescent="0.15">
      <c r="L868"/>
    </row>
    <row r="869" spans="12:12" x14ac:dyDescent="0.15">
      <c r="L869"/>
    </row>
    <row r="870" spans="12:12" x14ac:dyDescent="0.15">
      <c r="L870"/>
    </row>
    <row r="871" spans="12:12" x14ac:dyDescent="0.15">
      <c r="L871"/>
    </row>
    <row r="872" spans="12:12" x14ac:dyDescent="0.15">
      <c r="L872"/>
    </row>
    <row r="873" spans="12:12" x14ac:dyDescent="0.15">
      <c r="L873"/>
    </row>
    <row r="874" spans="12:12" x14ac:dyDescent="0.15">
      <c r="L874"/>
    </row>
    <row r="875" spans="12:12" x14ac:dyDescent="0.15">
      <c r="L875"/>
    </row>
    <row r="876" spans="12:12" x14ac:dyDescent="0.15">
      <c r="L876"/>
    </row>
    <row r="877" spans="12:12" x14ac:dyDescent="0.15">
      <c r="L877"/>
    </row>
    <row r="878" spans="12:12" x14ac:dyDescent="0.15">
      <c r="L878"/>
    </row>
    <row r="879" spans="12:12" x14ac:dyDescent="0.15">
      <c r="L879"/>
    </row>
    <row r="880" spans="12:12" x14ac:dyDescent="0.15">
      <c r="L880"/>
    </row>
    <row r="881" spans="12:12" x14ac:dyDescent="0.15">
      <c r="L881"/>
    </row>
    <row r="882" spans="12:12" x14ac:dyDescent="0.15">
      <c r="L882"/>
    </row>
    <row r="883" spans="12:12" x14ac:dyDescent="0.15">
      <c r="L883"/>
    </row>
    <row r="884" spans="12:12" x14ac:dyDescent="0.15">
      <c r="L884"/>
    </row>
    <row r="885" spans="12:12" x14ac:dyDescent="0.15">
      <c r="L885"/>
    </row>
    <row r="886" spans="12:12" x14ac:dyDescent="0.15">
      <c r="L886"/>
    </row>
    <row r="887" spans="12:12" x14ac:dyDescent="0.15">
      <c r="L887"/>
    </row>
    <row r="888" spans="12:12" x14ac:dyDescent="0.15">
      <c r="L888"/>
    </row>
    <row r="889" spans="12:12" x14ac:dyDescent="0.15">
      <c r="L889"/>
    </row>
    <row r="890" spans="12:12" x14ac:dyDescent="0.15">
      <c r="L890"/>
    </row>
    <row r="891" spans="12:12" x14ac:dyDescent="0.15">
      <c r="L891"/>
    </row>
    <row r="892" spans="12:12" x14ac:dyDescent="0.15">
      <c r="L892"/>
    </row>
    <row r="893" spans="12:12" x14ac:dyDescent="0.15">
      <c r="L893"/>
    </row>
    <row r="894" spans="12:12" x14ac:dyDescent="0.15">
      <c r="L894"/>
    </row>
    <row r="895" spans="12:12" x14ac:dyDescent="0.15">
      <c r="L895"/>
    </row>
    <row r="896" spans="12:12" x14ac:dyDescent="0.15">
      <c r="L896"/>
    </row>
    <row r="897" spans="12:12" x14ac:dyDescent="0.15">
      <c r="L897"/>
    </row>
    <row r="898" spans="12:12" x14ac:dyDescent="0.15">
      <c r="L898"/>
    </row>
    <row r="899" spans="12:12" x14ac:dyDescent="0.15">
      <c r="L899"/>
    </row>
    <row r="900" spans="12:12" x14ac:dyDescent="0.15">
      <c r="L900"/>
    </row>
    <row r="901" spans="12:12" x14ac:dyDescent="0.15">
      <c r="L901"/>
    </row>
    <row r="902" spans="12:12" x14ac:dyDescent="0.15">
      <c r="L902"/>
    </row>
    <row r="903" spans="12:12" x14ac:dyDescent="0.15">
      <c r="L903"/>
    </row>
    <row r="904" spans="12:12" x14ac:dyDescent="0.15">
      <c r="L904"/>
    </row>
    <row r="905" spans="12:12" x14ac:dyDescent="0.15">
      <c r="L905"/>
    </row>
    <row r="906" spans="12:12" x14ac:dyDescent="0.15">
      <c r="L906"/>
    </row>
    <row r="907" spans="12:12" x14ac:dyDescent="0.15">
      <c r="L907"/>
    </row>
    <row r="908" spans="12:12" x14ac:dyDescent="0.15">
      <c r="L908"/>
    </row>
    <row r="909" spans="12:12" x14ac:dyDescent="0.15">
      <c r="L909"/>
    </row>
    <row r="910" spans="12:12" x14ac:dyDescent="0.15">
      <c r="L910"/>
    </row>
    <row r="911" spans="12:12" x14ac:dyDescent="0.15">
      <c r="L911"/>
    </row>
    <row r="912" spans="12:12" x14ac:dyDescent="0.15">
      <c r="L912"/>
    </row>
    <row r="913" spans="12:12" x14ac:dyDescent="0.15">
      <c r="L913"/>
    </row>
    <row r="914" spans="12:12" x14ac:dyDescent="0.15">
      <c r="L914"/>
    </row>
    <row r="915" spans="12:12" x14ac:dyDescent="0.15">
      <c r="L915"/>
    </row>
    <row r="916" spans="12:12" x14ac:dyDescent="0.15">
      <c r="L916"/>
    </row>
    <row r="917" spans="12:12" x14ac:dyDescent="0.15">
      <c r="L917"/>
    </row>
    <row r="918" spans="12:12" x14ac:dyDescent="0.15">
      <c r="L918"/>
    </row>
    <row r="919" spans="12:12" x14ac:dyDescent="0.15">
      <c r="L919"/>
    </row>
    <row r="920" spans="12:12" x14ac:dyDescent="0.15">
      <c r="L920"/>
    </row>
    <row r="921" spans="12:12" x14ac:dyDescent="0.15">
      <c r="L921"/>
    </row>
    <row r="922" spans="12:12" x14ac:dyDescent="0.15">
      <c r="L922"/>
    </row>
    <row r="923" spans="12:12" x14ac:dyDescent="0.15">
      <c r="L923"/>
    </row>
    <row r="924" spans="12:12" x14ac:dyDescent="0.15">
      <c r="L924"/>
    </row>
    <row r="925" spans="12:12" x14ac:dyDescent="0.15">
      <c r="L925"/>
    </row>
    <row r="926" spans="12:12" x14ac:dyDescent="0.15">
      <c r="L926"/>
    </row>
    <row r="927" spans="12:12" x14ac:dyDescent="0.15">
      <c r="L927"/>
    </row>
    <row r="928" spans="12:12" x14ac:dyDescent="0.15">
      <c r="L928"/>
    </row>
    <row r="929" spans="12:12" x14ac:dyDescent="0.15">
      <c r="L929"/>
    </row>
    <row r="930" spans="12:12" x14ac:dyDescent="0.15">
      <c r="L930"/>
    </row>
    <row r="931" spans="12:12" x14ac:dyDescent="0.15">
      <c r="L931"/>
    </row>
    <row r="932" spans="12:12" x14ac:dyDescent="0.15">
      <c r="L932"/>
    </row>
    <row r="933" spans="12:12" x14ac:dyDescent="0.15">
      <c r="L933"/>
    </row>
    <row r="934" spans="12:12" x14ac:dyDescent="0.15">
      <c r="L934"/>
    </row>
    <row r="935" spans="12:12" x14ac:dyDescent="0.15">
      <c r="L935"/>
    </row>
    <row r="936" spans="12:12" x14ac:dyDescent="0.15">
      <c r="L936"/>
    </row>
    <row r="937" spans="12:12" x14ac:dyDescent="0.15">
      <c r="L937"/>
    </row>
    <row r="938" spans="12:12" x14ac:dyDescent="0.15">
      <c r="L938"/>
    </row>
    <row r="939" spans="12:12" x14ac:dyDescent="0.15">
      <c r="L939"/>
    </row>
    <row r="940" spans="12:12" x14ac:dyDescent="0.15">
      <c r="L940"/>
    </row>
    <row r="941" spans="12:12" x14ac:dyDescent="0.15">
      <c r="L941"/>
    </row>
    <row r="942" spans="12:12" x14ac:dyDescent="0.15">
      <c r="L942"/>
    </row>
    <row r="943" spans="12:12" x14ac:dyDescent="0.15">
      <c r="L943"/>
    </row>
    <row r="944" spans="12:12" x14ac:dyDescent="0.15">
      <c r="L944"/>
    </row>
    <row r="945" spans="12:12" x14ac:dyDescent="0.15">
      <c r="L945"/>
    </row>
    <row r="946" spans="12:12" x14ac:dyDescent="0.15">
      <c r="L946"/>
    </row>
    <row r="947" spans="12:12" x14ac:dyDescent="0.15">
      <c r="L947"/>
    </row>
    <row r="948" spans="12:12" x14ac:dyDescent="0.15">
      <c r="L948"/>
    </row>
    <row r="949" spans="12:12" x14ac:dyDescent="0.15">
      <c r="L949"/>
    </row>
    <row r="950" spans="12:12" x14ac:dyDescent="0.15">
      <c r="L950"/>
    </row>
    <row r="951" spans="12:12" x14ac:dyDescent="0.15">
      <c r="L951"/>
    </row>
    <row r="952" spans="12:12" x14ac:dyDescent="0.15">
      <c r="L952"/>
    </row>
    <row r="953" spans="12:12" x14ac:dyDescent="0.15">
      <c r="L953"/>
    </row>
    <row r="954" spans="12:12" x14ac:dyDescent="0.15">
      <c r="L954"/>
    </row>
    <row r="955" spans="12:12" x14ac:dyDescent="0.15">
      <c r="L955"/>
    </row>
    <row r="956" spans="12:12" x14ac:dyDescent="0.15">
      <c r="L956"/>
    </row>
    <row r="957" spans="12:12" x14ac:dyDescent="0.15">
      <c r="L957"/>
    </row>
    <row r="958" spans="12:12" x14ac:dyDescent="0.15">
      <c r="L958"/>
    </row>
    <row r="959" spans="12:12" x14ac:dyDescent="0.15">
      <c r="L959"/>
    </row>
    <row r="960" spans="12:12" x14ac:dyDescent="0.15">
      <c r="L960"/>
    </row>
    <row r="961" spans="12:12" x14ac:dyDescent="0.15">
      <c r="L961"/>
    </row>
    <row r="962" spans="12:12" x14ac:dyDescent="0.15">
      <c r="L962"/>
    </row>
    <row r="963" spans="12:12" x14ac:dyDescent="0.15">
      <c r="L963"/>
    </row>
    <row r="964" spans="12:12" x14ac:dyDescent="0.15">
      <c r="L964"/>
    </row>
    <row r="965" spans="12:12" x14ac:dyDescent="0.15">
      <c r="L965"/>
    </row>
    <row r="966" spans="12:12" x14ac:dyDescent="0.15">
      <c r="L966"/>
    </row>
    <row r="967" spans="12:12" x14ac:dyDescent="0.15">
      <c r="L967"/>
    </row>
    <row r="968" spans="12:12" x14ac:dyDescent="0.15">
      <c r="L968"/>
    </row>
    <row r="969" spans="12:12" x14ac:dyDescent="0.15">
      <c r="L969"/>
    </row>
    <row r="970" spans="12:12" x14ac:dyDescent="0.15">
      <c r="L970"/>
    </row>
    <row r="971" spans="12:12" x14ac:dyDescent="0.15">
      <c r="L971"/>
    </row>
    <row r="972" spans="12:12" x14ac:dyDescent="0.15">
      <c r="L972"/>
    </row>
    <row r="973" spans="12:12" x14ac:dyDescent="0.15">
      <c r="L973"/>
    </row>
    <row r="974" spans="12:12" x14ac:dyDescent="0.15">
      <c r="L974"/>
    </row>
    <row r="975" spans="12:12" x14ac:dyDescent="0.15">
      <c r="L975"/>
    </row>
    <row r="976" spans="12:12" x14ac:dyDescent="0.15">
      <c r="L976"/>
    </row>
    <row r="977" spans="12:12" x14ac:dyDescent="0.15">
      <c r="L977"/>
    </row>
    <row r="978" spans="12:12" x14ac:dyDescent="0.15">
      <c r="L978"/>
    </row>
    <row r="979" spans="12:12" x14ac:dyDescent="0.15">
      <c r="L979"/>
    </row>
    <row r="980" spans="12:12" x14ac:dyDescent="0.15">
      <c r="L980"/>
    </row>
    <row r="981" spans="12:12" x14ac:dyDescent="0.15">
      <c r="L981"/>
    </row>
    <row r="982" spans="12:12" x14ac:dyDescent="0.15">
      <c r="L982"/>
    </row>
    <row r="983" spans="12:12" x14ac:dyDescent="0.15">
      <c r="L983"/>
    </row>
    <row r="984" spans="12:12" x14ac:dyDescent="0.15">
      <c r="L984"/>
    </row>
    <row r="985" spans="12:12" x14ac:dyDescent="0.15">
      <c r="L985"/>
    </row>
    <row r="986" spans="12:12" x14ac:dyDescent="0.15">
      <c r="L986"/>
    </row>
    <row r="987" spans="12:12" x14ac:dyDescent="0.15">
      <c r="L987"/>
    </row>
    <row r="988" spans="12:12" x14ac:dyDescent="0.15">
      <c r="L988"/>
    </row>
    <row r="989" spans="12:12" x14ac:dyDescent="0.15">
      <c r="L989"/>
    </row>
    <row r="990" spans="12:12" x14ac:dyDescent="0.15">
      <c r="L990"/>
    </row>
    <row r="991" spans="12:12" x14ac:dyDescent="0.15">
      <c r="L991"/>
    </row>
    <row r="992" spans="12:12" x14ac:dyDescent="0.15">
      <c r="L992"/>
    </row>
    <row r="993" spans="12:12" x14ac:dyDescent="0.15">
      <c r="L993"/>
    </row>
    <row r="994" spans="12:12" x14ac:dyDescent="0.15">
      <c r="L994"/>
    </row>
    <row r="995" spans="12:12" x14ac:dyDescent="0.15">
      <c r="L995"/>
    </row>
    <row r="996" spans="12:12" x14ac:dyDescent="0.15">
      <c r="L996"/>
    </row>
    <row r="997" spans="12:12" x14ac:dyDescent="0.15">
      <c r="L997"/>
    </row>
    <row r="998" spans="12:12" x14ac:dyDescent="0.15">
      <c r="L998"/>
    </row>
    <row r="999" spans="12:12" x14ac:dyDescent="0.15">
      <c r="L999"/>
    </row>
    <row r="1000" spans="12:12" x14ac:dyDescent="0.15">
      <c r="L1000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56B9-44A5-41E7-B01C-01A85A872703}">
  <sheetPr codeName="Sheet9"/>
  <dimension ref="A1:AL107"/>
  <sheetViews>
    <sheetView zoomScaleNormal="100" workbookViewId="0">
      <selection activeCell="F5" sqref="F5"/>
    </sheetView>
  </sheetViews>
  <sheetFormatPr defaultColWidth="17.85546875" defaultRowHeight="13.5" x14ac:dyDescent="0.15"/>
  <cols>
    <col min="1" max="1" width="5.28515625" style="34" customWidth="1"/>
    <col min="2" max="54" width="11" style="34" customWidth="1"/>
    <col min="55" max="256" width="17.85546875" style="34"/>
    <col min="257" max="257" width="5.28515625" style="34" customWidth="1"/>
    <col min="258" max="310" width="11" style="34" customWidth="1"/>
    <col min="311" max="512" width="17.85546875" style="34"/>
    <col min="513" max="513" width="5.28515625" style="34" customWidth="1"/>
    <col min="514" max="566" width="11" style="34" customWidth="1"/>
    <col min="567" max="768" width="17.85546875" style="34"/>
    <col min="769" max="769" width="5.28515625" style="34" customWidth="1"/>
    <col min="770" max="822" width="11" style="34" customWidth="1"/>
    <col min="823" max="1024" width="17.85546875" style="34"/>
    <col min="1025" max="1025" width="5.28515625" style="34" customWidth="1"/>
    <col min="1026" max="1078" width="11" style="34" customWidth="1"/>
    <col min="1079" max="1280" width="17.85546875" style="34"/>
    <col min="1281" max="1281" width="5.28515625" style="34" customWidth="1"/>
    <col min="1282" max="1334" width="11" style="34" customWidth="1"/>
    <col min="1335" max="1536" width="17.85546875" style="34"/>
    <col min="1537" max="1537" width="5.28515625" style="34" customWidth="1"/>
    <col min="1538" max="1590" width="11" style="34" customWidth="1"/>
    <col min="1591" max="1792" width="17.85546875" style="34"/>
    <col min="1793" max="1793" width="5.28515625" style="34" customWidth="1"/>
    <col min="1794" max="1846" width="11" style="34" customWidth="1"/>
    <col min="1847" max="2048" width="17.85546875" style="34"/>
    <col min="2049" max="2049" width="5.28515625" style="34" customWidth="1"/>
    <col min="2050" max="2102" width="11" style="34" customWidth="1"/>
    <col min="2103" max="2304" width="17.85546875" style="34"/>
    <col min="2305" max="2305" width="5.28515625" style="34" customWidth="1"/>
    <col min="2306" max="2358" width="11" style="34" customWidth="1"/>
    <col min="2359" max="2560" width="17.85546875" style="34"/>
    <col min="2561" max="2561" width="5.28515625" style="34" customWidth="1"/>
    <col min="2562" max="2614" width="11" style="34" customWidth="1"/>
    <col min="2615" max="2816" width="17.85546875" style="34"/>
    <col min="2817" max="2817" width="5.28515625" style="34" customWidth="1"/>
    <col min="2818" max="2870" width="11" style="34" customWidth="1"/>
    <col min="2871" max="3072" width="17.85546875" style="34"/>
    <col min="3073" max="3073" width="5.28515625" style="34" customWidth="1"/>
    <col min="3074" max="3126" width="11" style="34" customWidth="1"/>
    <col min="3127" max="3328" width="17.85546875" style="34"/>
    <col min="3329" max="3329" width="5.28515625" style="34" customWidth="1"/>
    <col min="3330" max="3382" width="11" style="34" customWidth="1"/>
    <col min="3383" max="3584" width="17.85546875" style="34"/>
    <col min="3585" max="3585" width="5.28515625" style="34" customWidth="1"/>
    <col min="3586" max="3638" width="11" style="34" customWidth="1"/>
    <col min="3639" max="3840" width="17.85546875" style="34"/>
    <col min="3841" max="3841" width="5.28515625" style="34" customWidth="1"/>
    <col min="3842" max="3894" width="11" style="34" customWidth="1"/>
    <col min="3895" max="4096" width="17.85546875" style="34"/>
    <col min="4097" max="4097" width="5.28515625" style="34" customWidth="1"/>
    <col min="4098" max="4150" width="11" style="34" customWidth="1"/>
    <col min="4151" max="4352" width="17.85546875" style="34"/>
    <col min="4353" max="4353" width="5.28515625" style="34" customWidth="1"/>
    <col min="4354" max="4406" width="11" style="34" customWidth="1"/>
    <col min="4407" max="4608" width="17.85546875" style="34"/>
    <col min="4609" max="4609" width="5.28515625" style="34" customWidth="1"/>
    <col min="4610" max="4662" width="11" style="34" customWidth="1"/>
    <col min="4663" max="4864" width="17.85546875" style="34"/>
    <col min="4865" max="4865" width="5.28515625" style="34" customWidth="1"/>
    <col min="4866" max="4918" width="11" style="34" customWidth="1"/>
    <col min="4919" max="5120" width="17.85546875" style="34"/>
    <col min="5121" max="5121" width="5.28515625" style="34" customWidth="1"/>
    <col min="5122" max="5174" width="11" style="34" customWidth="1"/>
    <col min="5175" max="5376" width="17.85546875" style="34"/>
    <col min="5377" max="5377" width="5.28515625" style="34" customWidth="1"/>
    <col min="5378" max="5430" width="11" style="34" customWidth="1"/>
    <col min="5431" max="5632" width="17.85546875" style="34"/>
    <col min="5633" max="5633" width="5.28515625" style="34" customWidth="1"/>
    <col min="5634" max="5686" width="11" style="34" customWidth="1"/>
    <col min="5687" max="5888" width="17.85546875" style="34"/>
    <col min="5889" max="5889" width="5.28515625" style="34" customWidth="1"/>
    <col min="5890" max="5942" width="11" style="34" customWidth="1"/>
    <col min="5943" max="6144" width="17.85546875" style="34"/>
    <col min="6145" max="6145" width="5.28515625" style="34" customWidth="1"/>
    <col min="6146" max="6198" width="11" style="34" customWidth="1"/>
    <col min="6199" max="6400" width="17.85546875" style="34"/>
    <col min="6401" max="6401" width="5.28515625" style="34" customWidth="1"/>
    <col min="6402" max="6454" width="11" style="34" customWidth="1"/>
    <col min="6455" max="6656" width="17.85546875" style="34"/>
    <col min="6657" max="6657" width="5.28515625" style="34" customWidth="1"/>
    <col min="6658" max="6710" width="11" style="34" customWidth="1"/>
    <col min="6711" max="6912" width="17.85546875" style="34"/>
    <col min="6913" max="6913" width="5.28515625" style="34" customWidth="1"/>
    <col min="6914" max="6966" width="11" style="34" customWidth="1"/>
    <col min="6967" max="7168" width="17.85546875" style="34"/>
    <col min="7169" max="7169" width="5.28515625" style="34" customWidth="1"/>
    <col min="7170" max="7222" width="11" style="34" customWidth="1"/>
    <col min="7223" max="7424" width="17.85546875" style="34"/>
    <col min="7425" max="7425" width="5.28515625" style="34" customWidth="1"/>
    <col min="7426" max="7478" width="11" style="34" customWidth="1"/>
    <col min="7479" max="7680" width="17.85546875" style="34"/>
    <col min="7681" max="7681" width="5.28515625" style="34" customWidth="1"/>
    <col min="7682" max="7734" width="11" style="34" customWidth="1"/>
    <col min="7735" max="7936" width="17.85546875" style="34"/>
    <col min="7937" max="7937" width="5.28515625" style="34" customWidth="1"/>
    <col min="7938" max="7990" width="11" style="34" customWidth="1"/>
    <col min="7991" max="8192" width="17.85546875" style="34"/>
    <col min="8193" max="8193" width="5.28515625" style="34" customWidth="1"/>
    <col min="8194" max="8246" width="11" style="34" customWidth="1"/>
    <col min="8247" max="8448" width="17.85546875" style="34"/>
    <col min="8449" max="8449" width="5.28515625" style="34" customWidth="1"/>
    <col min="8450" max="8502" width="11" style="34" customWidth="1"/>
    <col min="8503" max="8704" width="17.85546875" style="34"/>
    <col min="8705" max="8705" width="5.28515625" style="34" customWidth="1"/>
    <col min="8706" max="8758" width="11" style="34" customWidth="1"/>
    <col min="8759" max="8960" width="17.85546875" style="34"/>
    <col min="8961" max="8961" width="5.28515625" style="34" customWidth="1"/>
    <col min="8962" max="9014" width="11" style="34" customWidth="1"/>
    <col min="9015" max="9216" width="17.85546875" style="34"/>
    <col min="9217" max="9217" width="5.28515625" style="34" customWidth="1"/>
    <col min="9218" max="9270" width="11" style="34" customWidth="1"/>
    <col min="9271" max="9472" width="17.85546875" style="34"/>
    <col min="9473" max="9473" width="5.28515625" style="34" customWidth="1"/>
    <col min="9474" max="9526" width="11" style="34" customWidth="1"/>
    <col min="9527" max="9728" width="17.85546875" style="34"/>
    <col min="9729" max="9729" width="5.28515625" style="34" customWidth="1"/>
    <col min="9730" max="9782" width="11" style="34" customWidth="1"/>
    <col min="9783" max="9984" width="17.85546875" style="34"/>
    <col min="9985" max="9985" width="5.28515625" style="34" customWidth="1"/>
    <col min="9986" max="10038" width="11" style="34" customWidth="1"/>
    <col min="10039" max="10240" width="17.85546875" style="34"/>
    <col min="10241" max="10241" width="5.28515625" style="34" customWidth="1"/>
    <col min="10242" max="10294" width="11" style="34" customWidth="1"/>
    <col min="10295" max="10496" width="17.85546875" style="34"/>
    <col min="10497" max="10497" width="5.28515625" style="34" customWidth="1"/>
    <col min="10498" max="10550" width="11" style="34" customWidth="1"/>
    <col min="10551" max="10752" width="17.85546875" style="34"/>
    <col min="10753" max="10753" width="5.28515625" style="34" customWidth="1"/>
    <col min="10754" max="10806" width="11" style="34" customWidth="1"/>
    <col min="10807" max="11008" width="17.85546875" style="34"/>
    <col min="11009" max="11009" width="5.28515625" style="34" customWidth="1"/>
    <col min="11010" max="11062" width="11" style="34" customWidth="1"/>
    <col min="11063" max="11264" width="17.85546875" style="34"/>
    <col min="11265" max="11265" width="5.28515625" style="34" customWidth="1"/>
    <col min="11266" max="11318" width="11" style="34" customWidth="1"/>
    <col min="11319" max="11520" width="17.85546875" style="34"/>
    <col min="11521" max="11521" width="5.28515625" style="34" customWidth="1"/>
    <col min="11522" max="11574" width="11" style="34" customWidth="1"/>
    <col min="11575" max="11776" width="17.85546875" style="34"/>
    <col min="11777" max="11777" width="5.28515625" style="34" customWidth="1"/>
    <col min="11778" max="11830" width="11" style="34" customWidth="1"/>
    <col min="11831" max="12032" width="17.85546875" style="34"/>
    <col min="12033" max="12033" width="5.28515625" style="34" customWidth="1"/>
    <col min="12034" max="12086" width="11" style="34" customWidth="1"/>
    <col min="12087" max="12288" width="17.85546875" style="34"/>
    <col min="12289" max="12289" width="5.28515625" style="34" customWidth="1"/>
    <col min="12290" max="12342" width="11" style="34" customWidth="1"/>
    <col min="12343" max="12544" width="17.85546875" style="34"/>
    <col min="12545" max="12545" width="5.28515625" style="34" customWidth="1"/>
    <col min="12546" max="12598" width="11" style="34" customWidth="1"/>
    <col min="12599" max="12800" width="17.85546875" style="34"/>
    <col min="12801" max="12801" width="5.28515625" style="34" customWidth="1"/>
    <col min="12802" max="12854" width="11" style="34" customWidth="1"/>
    <col min="12855" max="13056" width="17.85546875" style="34"/>
    <col min="13057" max="13057" width="5.28515625" style="34" customWidth="1"/>
    <col min="13058" max="13110" width="11" style="34" customWidth="1"/>
    <col min="13111" max="13312" width="17.85546875" style="34"/>
    <col min="13313" max="13313" width="5.28515625" style="34" customWidth="1"/>
    <col min="13314" max="13366" width="11" style="34" customWidth="1"/>
    <col min="13367" max="13568" width="17.85546875" style="34"/>
    <col min="13569" max="13569" width="5.28515625" style="34" customWidth="1"/>
    <col min="13570" max="13622" width="11" style="34" customWidth="1"/>
    <col min="13623" max="13824" width="17.85546875" style="34"/>
    <col min="13825" max="13825" width="5.28515625" style="34" customWidth="1"/>
    <col min="13826" max="13878" width="11" style="34" customWidth="1"/>
    <col min="13879" max="14080" width="17.85546875" style="34"/>
    <col min="14081" max="14081" width="5.28515625" style="34" customWidth="1"/>
    <col min="14082" max="14134" width="11" style="34" customWidth="1"/>
    <col min="14135" max="14336" width="17.85546875" style="34"/>
    <col min="14337" max="14337" width="5.28515625" style="34" customWidth="1"/>
    <col min="14338" max="14390" width="11" style="34" customWidth="1"/>
    <col min="14391" max="14592" width="17.85546875" style="34"/>
    <col min="14593" max="14593" width="5.28515625" style="34" customWidth="1"/>
    <col min="14594" max="14646" width="11" style="34" customWidth="1"/>
    <col min="14647" max="14848" width="17.85546875" style="34"/>
    <col min="14849" max="14849" width="5.28515625" style="34" customWidth="1"/>
    <col min="14850" max="14902" width="11" style="34" customWidth="1"/>
    <col min="14903" max="15104" width="17.85546875" style="34"/>
    <col min="15105" max="15105" width="5.28515625" style="34" customWidth="1"/>
    <col min="15106" max="15158" width="11" style="34" customWidth="1"/>
    <col min="15159" max="15360" width="17.85546875" style="34"/>
    <col min="15361" max="15361" width="5.28515625" style="34" customWidth="1"/>
    <col min="15362" max="15414" width="11" style="34" customWidth="1"/>
    <col min="15415" max="15616" width="17.85546875" style="34"/>
    <col min="15617" max="15617" width="5.28515625" style="34" customWidth="1"/>
    <col min="15618" max="15670" width="11" style="34" customWidth="1"/>
    <col min="15671" max="15872" width="17.85546875" style="34"/>
    <col min="15873" max="15873" width="5.28515625" style="34" customWidth="1"/>
    <col min="15874" max="15926" width="11" style="34" customWidth="1"/>
    <col min="15927" max="16128" width="17.85546875" style="34"/>
    <col min="16129" max="16129" width="5.28515625" style="34" customWidth="1"/>
    <col min="16130" max="16182" width="11" style="34" customWidth="1"/>
    <col min="16183" max="16384" width="17.85546875" style="34"/>
  </cols>
  <sheetData>
    <row r="1" spans="1:38" x14ac:dyDescent="0.15">
      <c r="A1" s="34">
        <v>1</v>
      </c>
      <c r="B1" s="34">
        <v>2</v>
      </c>
      <c r="C1" s="34">
        <v>3</v>
      </c>
      <c r="D1" s="34">
        <v>4</v>
      </c>
      <c r="E1" s="34">
        <v>5</v>
      </c>
      <c r="F1" s="34">
        <v>6</v>
      </c>
      <c r="G1" s="34">
        <v>7</v>
      </c>
      <c r="H1" s="34">
        <v>8</v>
      </c>
      <c r="I1" s="34">
        <v>9</v>
      </c>
      <c r="J1" s="34">
        <v>10</v>
      </c>
      <c r="K1" s="34">
        <v>11</v>
      </c>
      <c r="L1" s="34">
        <v>12</v>
      </c>
      <c r="M1" s="34">
        <v>13</v>
      </c>
      <c r="N1" s="34">
        <v>14</v>
      </c>
      <c r="O1" s="34">
        <v>15</v>
      </c>
      <c r="P1" s="34">
        <v>16</v>
      </c>
      <c r="Q1" s="34">
        <v>17</v>
      </c>
    </row>
    <row r="2" spans="1:38" x14ac:dyDescent="0.15">
      <c r="B2" s="34" t="s">
        <v>50</v>
      </c>
      <c r="D2" s="34" t="s">
        <v>87</v>
      </c>
    </row>
    <row r="3" spans="1:38" x14ac:dyDescent="0.15">
      <c r="B3" s="34">
        <v>5</v>
      </c>
      <c r="H3" s="34" t="s">
        <v>52</v>
      </c>
      <c r="J3" s="34" t="s">
        <v>53</v>
      </c>
      <c r="K3" s="34" t="s">
        <v>54</v>
      </c>
    </row>
    <row r="4" spans="1:38" x14ac:dyDescent="0.15">
      <c r="B4" s="34" t="s">
        <v>55</v>
      </c>
      <c r="C4" s="34" t="s">
        <v>56</v>
      </c>
      <c r="D4" s="34" t="s">
        <v>57</v>
      </c>
      <c r="E4" s="34" t="s">
        <v>58</v>
      </c>
      <c r="F4" s="34" t="s">
        <v>59</v>
      </c>
      <c r="G4" s="34" t="s">
        <v>60</v>
      </c>
      <c r="H4" s="34" t="s">
        <v>61</v>
      </c>
      <c r="I4" s="34" t="s">
        <v>62</v>
      </c>
      <c r="J4" s="34" t="s">
        <v>63</v>
      </c>
      <c r="K4" s="34" t="s">
        <v>64</v>
      </c>
      <c r="L4" s="34" t="s">
        <v>65</v>
      </c>
      <c r="N4" s="34" t="s">
        <v>66</v>
      </c>
      <c r="O4" s="34" t="s">
        <v>67</v>
      </c>
      <c r="P4" s="34" t="s">
        <v>68</v>
      </c>
      <c r="Q4" s="34" t="s">
        <v>69</v>
      </c>
      <c r="R4" s="34" t="s">
        <v>70</v>
      </c>
      <c r="S4" s="34" t="s">
        <v>71</v>
      </c>
      <c r="T4" s="34" t="s">
        <v>72</v>
      </c>
      <c r="U4" s="34" t="s">
        <v>73</v>
      </c>
      <c r="V4" s="34" t="s">
        <v>74</v>
      </c>
    </row>
    <row r="5" spans="1:38" x14ac:dyDescent="0.15">
      <c r="B5" s="34">
        <v>1</v>
      </c>
      <c r="C5" s="34">
        <v>6</v>
      </c>
      <c r="D5" s="34">
        <v>1.6</v>
      </c>
      <c r="E5" s="34">
        <v>240</v>
      </c>
      <c r="F5" s="34">
        <v>100</v>
      </c>
      <c r="G5" s="34" t="s">
        <v>75</v>
      </c>
      <c r="H5" s="34">
        <v>16000</v>
      </c>
      <c r="I5" s="34">
        <v>1</v>
      </c>
      <c r="J5" s="34">
        <v>16000</v>
      </c>
      <c r="K5" s="34">
        <v>2667</v>
      </c>
      <c r="L5" s="34">
        <v>4.8000000000000007</v>
      </c>
      <c r="N5" s="34">
        <v>1.76</v>
      </c>
      <c r="O5" s="34">
        <v>80.7</v>
      </c>
      <c r="P5" s="34">
        <v>0.19700000000000001</v>
      </c>
      <c r="Q5" s="34">
        <v>0.182</v>
      </c>
      <c r="R5" s="34">
        <v>2.0680000000000001</v>
      </c>
      <c r="S5" s="34">
        <v>0.94699999999999995</v>
      </c>
      <c r="T5" s="34">
        <v>0.59199999999999997</v>
      </c>
      <c r="U5" s="34">
        <v>1.4859999418258667</v>
      </c>
      <c r="V5" s="34">
        <v>0.49500000476837158</v>
      </c>
    </row>
    <row r="6" spans="1:38" x14ac:dyDescent="0.15">
      <c r="B6" s="34">
        <v>2</v>
      </c>
      <c r="C6" s="34">
        <v>10</v>
      </c>
      <c r="D6" s="34">
        <v>1.8</v>
      </c>
      <c r="E6" s="34">
        <v>340</v>
      </c>
      <c r="F6" s="34">
        <v>130</v>
      </c>
      <c r="G6" s="34" t="s">
        <v>76</v>
      </c>
      <c r="H6" s="34">
        <v>30420</v>
      </c>
      <c r="I6" s="34">
        <v>1</v>
      </c>
      <c r="J6" s="34">
        <v>30420</v>
      </c>
      <c r="K6" s="34">
        <v>3042</v>
      </c>
      <c r="L6" s="34">
        <v>13.8</v>
      </c>
      <c r="O6" s="35" t="s">
        <v>88</v>
      </c>
      <c r="P6" s="36" t="s">
        <v>89</v>
      </c>
      <c r="R6" s="34">
        <v>1.5</v>
      </c>
    </row>
    <row r="7" spans="1:38" x14ac:dyDescent="0.15">
      <c r="B7" s="34">
        <v>3</v>
      </c>
      <c r="C7" s="34">
        <v>6</v>
      </c>
      <c r="D7" s="34">
        <v>1.8</v>
      </c>
      <c r="E7" s="34">
        <v>360</v>
      </c>
      <c r="F7" s="34">
        <v>150</v>
      </c>
      <c r="G7" s="34" t="s">
        <v>77</v>
      </c>
      <c r="H7" s="34">
        <v>40500</v>
      </c>
      <c r="I7" s="34">
        <v>1</v>
      </c>
      <c r="J7" s="34">
        <v>40500</v>
      </c>
      <c r="K7" s="34">
        <v>6750</v>
      </c>
      <c r="L7" s="34">
        <v>14.4</v>
      </c>
      <c r="O7" s="35" t="s">
        <v>90</v>
      </c>
      <c r="P7" s="36" t="s">
        <v>91</v>
      </c>
      <c r="R7" s="34">
        <v>1.5</v>
      </c>
    </row>
    <row r="8" spans="1:38" x14ac:dyDescent="0.15">
      <c r="B8" s="34">
        <v>4</v>
      </c>
      <c r="C8" s="34">
        <v>8</v>
      </c>
      <c r="D8" s="34">
        <v>1.8</v>
      </c>
      <c r="E8" s="34">
        <v>400</v>
      </c>
      <c r="F8" s="34">
        <v>200</v>
      </c>
      <c r="G8" s="34" t="s">
        <v>77</v>
      </c>
      <c r="H8" s="34">
        <v>72000</v>
      </c>
      <c r="I8" s="34">
        <v>1</v>
      </c>
      <c r="J8" s="34">
        <v>72000</v>
      </c>
      <c r="K8" s="34">
        <v>9000</v>
      </c>
      <c r="L8" s="34">
        <v>12.600000000000001</v>
      </c>
      <c r="O8" s="35" t="s">
        <v>92</v>
      </c>
      <c r="P8" s="36">
        <v>2.0680000000000001</v>
      </c>
      <c r="R8" s="34">
        <v>1.5</v>
      </c>
    </row>
    <row r="9" spans="1:38" x14ac:dyDescent="0.15">
      <c r="B9" s="34">
        <v>5</v>
      </c>
      <c r="D9" s="34">
        <v>1.8</v>
      </c>
      <c r="E9" s="34">
        <v>1220</v>
      </c>
      <c r="F9" s="34">
        <v>400</v>
      </c>
      <c r="G9" s="34" t="s">
        <v>77</v>
      </c>
      <c r="H9" s="34">
        <v>288000</v>
      </c>
      <c r="I9" s="34">
        <v>1</v>
      </c>
      <c r="J9" s="34">
        <v>288000</v>
      </c>
      <c r="K9" s="34">
        <v>833146</v>
      </c>
      <c r="L9" s="34">
        <v>7.2</v>
      </c>
      <c r="O9" s="35" t="s">
        <v>93</v>
      </c>
      <c r="P9" s="36" t="s">
        <v>94</v>
      </c>
      <c r="R9" s="34">
        <v>1.35</v>
      </c>
    </row>
    <row r="10" spans="1:38" x14ac:dyDescent="0.15">
      <c r="A10" s="34">
        <v>1</v>
      </c>
      <c r="M10" s="34">
        <v>13</v>
      </c>
      <c r="N10" s="34">
        <v>14</v>
      </c>
      <c r="O10" s="34">
        <v>15</v>
      </c>
      <c r="P10" s="34">
        <v>16</v>
      </c>
      <c r="Q10" s="34">
        <v>17</v>
      </c>
      <c r="R10" s="34">
        <v>18</v>
      </c>
      <c r="S10" s="34">
        <v>19</v>
      </c>
      <c r="T10" s="34">
        <v>20</v>
      </c>
      <c r="U10" s="34">
        <v>21</v>
      </c>
      <c r="V10" s="34">
        <v>22</v>
      </c>
      <c r="W10" s="34">
        <v>23</v>
      </c>
      <c r="X10" s="34">
        <v>24</v>
      </c>
      <c r="Y10" s="34">
        <v>24</v>
      </c>
      <c r="Z10" s="34">
        <v>25</v>
      </c>
      <c r="AA10" s="34">
        <v>26</v>
      </c>
      <c r="AB10" s="34">
        <v>27</v>
      </c>
      <c r="AC10" s="34">
        <v>28</v>
      </c>
      <c r="AD10" s="34">
        <v>29</v>
      </c>
      <c r="AE10" s="34">
        <v>30</v>
      </c>
    </row>
    <row r="11" spans="1:38" x14ac:dyDescent="0.15">
      <c r="B11" s="34" t="s">
        <v>78</v>
      </c>
      <c r="C11" s="34" t="s">
        <v>79</v>
      </c>
      <c r="D11" s="34" t="s">
        <v>80</v>
      </c>
      <c r="E11" s="34" t="s">
        <v>81</v>
      </c>
      <c r="F11" s="34" t="s">
        <v>82</v>
      </c>
      <c r="G11" s="34" t="s">
        <v>83</v>
      </c>
      <c r="H11" s="34" t="s">
        <v>84</v>
      </c>
      <c r="I11" s="34" t="s">
        <v>85</v>
      </c>
      <c r="J11" s="34" t="s">
        <v>86</v>
      </c>
      <c r="K11" s="34" t="s">
        <v>95</v>
      </c>
      <c r="L11" s="34" t="s">
        <v>96</v>
      </c>
      <c r="M11" s="34" t="s">
        <v>97</v>
      </c>
      <c r="N11" s="34" t="s">
        <v>98</v>
      </c>
      <c r="O11" s="34" t="s">
        <v>99</v>
      </c>
      <c r="P11" s="34" t="s">
        <v>100</v>
      </c>
      <c r="Q11" s="34" t="s">
        <v>101</v>
      </c>
    </row>
    <row r="12" spans="1:38" x14ac:dyDescent="0.15">
      <c r="B12" s="34">
        <v>1.7600000000000002</v>
      </c>
      <c r="C12" s="34">
        <v>146.69999999999999</v>
      </c>
      <c r="D12" s="34">
        <v>0.35899999999999999</v>
      </c>
      <c r="E12" s="34">
        <v>0.02</v>
      </c>
      <c r="F12" s="34">
        <v>2.5649999999999999</v>
      </c>
      <c r="G12" s="34">
        <v>2.2090000000000001</v>
      </c>
      <c r="H12" s="34">
        <v>8.1000000000000003E-2</v>
      </c>
      <c r="I12" s="34">
        <v>0.81800001859664917</v>
      </c>
      <c r="J12" s="34">
        <v>0.27300000190734863</v>
      </c>
      <c r="K12" s="34">
        <v>1</v>
      </c>
      <c r="L12" s="34">
        <v>1</v>
      </c>
      <c r="M12" s="34">
        <v>0.18076974026604106</v>
      </c>
      <c r="N12" s="34">
        <v>2.5631733770515716E-3</v>
      </c>
      <c r="O12" s="34">
        <v>0.33983055711459631</v>
      </c>
      <c r="P12" s="34">
        <v>0.17313712078692828</v>
      </c>
      <c r="Q12" s="34">
        <v>0.74639804146661759</v>
      </c>
      <c r="T12" s="34">
        <v>1771.427490234375</v>
      </c>
      <c r="U12" s="34">
        <v>4.8000000000000007</v>
      </c>
      <c r="V12" s="34">
        <v>1.7933328197770104E-2</v>
      </c>
      <c r="W12" s="34">
        <v>1</v>
      </c>
      <c r="X12" s="34">
        <v>4.8000000000000007</v>
      </c>
      <c r="Y12" s="34">
        <v>1.4443064953267037E-2</v>
      </c>
      <c r="Z12" s="34">
        <v>1</v>
      </c>
      <c r="AA12" s="34">
        <v>4.8000000000000007</v>
      </c>
      <c r="AB12" s="34">
        <v>1.3876899550954187E-2</v>
      </c>
      <c r="AC12" s="34">
        <v>1</v>
      </c>
      <c r="AD12" s="34">
        <v>4.8000000000000007</v>
      </c>
      <c r="AE12" s="34">
        <v>1.3774112628133106E-2</v>
      </c>
      <c r="AF12" s="34">
        <v>1</v>
      </c>
      <c r="AG12" s="34">
        <v>4.8000000000000007</v>
      </c>
      <c r="AH12" s="34">
        <v>1.3755738354843575E-2</v>
      </c>
      <c r="AI12" s="34">
        <v>1</v>
      </c>
      <c r="AJ12" s="34">
        <v>4.8000000000000007</v>
      </c>
      <c r="AK12" s="34">
        <v>1.3752522007184194E-2</v>
      </c>
      <c r="AL12" s="34">
        <v>1</v>
      </c>
    </row>
    <row r="13" spans="1:38" x14ac:dyDescent="0.15">
      <c r="K13" s="34">
        <v>2</v>
      </c>
      <c r="L13" s="34">
        <v>0.86911491985775002</v>
      </c>
      <c r="M13" s="34">
        <v>0.15710967832402656</v>
      </c>
      <c r="N13" s="34">
        <v>4.7169043078188547E-3</v>
      </c>
      <c r="O13" s="34">
        <v>0.2482097750732532</v>
      </c>
      <c r="P13" s="34">
        <v>0.197018330154732</v>
      </c>
      <c r="Q13" s="34">
        <v>8.0097070496832217</v>
      </c>
      <c r="T13" s="34">
        <v>1387.1944580078125</v>
      </c>
      <c r="U13" s="34">
        <v>13.8</v>
      </c>
      <c r="V13" s="34">
        <v>1.6133328252701744E-2</v>
      </c>
      <c r="W13" s="34">
        <v>0.89962822710777246</v>
      </c>
      <c r="X13" s="34">
        <v>12.414869534087261</v>
      </c>
      <c r="Y13" s="34">
        <v>1.2643065008198676E-2</v>
      </c>
      <c r="Z13" s="34">
        <v>0.87537271687882301</v>
      </c>
      <c r="AA13" s="34">
        <v>12.080143492927759</v>
      </c>
      <c r="AB13" s="34">
        <v>1.2076899605885826E-2</v>
      </c>
      <c r="AC13" s="34">
        <v>0.87028803239088148</v>
      </c>
      <c r="AD13" s="34">
        <v>12.009974846994165</v>
      </c>
      <c r="AE13" s="34">
        <v>1.1974112683064744E-2</v>
      </c>
      <c r="AF13" s="34">
        <v>0.86932007936453704</v>
      </c>
      <c r="AG13" s="34">
        <v>11.996617095230611</v>
      </c>
      <c r="AH13" s="34">
        <v>1.1955738409775214E-2</v>
      </c>
      <c r="AI13" s="34">
        <v>0.86914552322561756</v>
      </c>
      <c r="AJ13" s="34">
        <v>11.994208220513523</v>
      </c>
      <c r="AK13" s="34">
        <v>1.1952522062115833E-2</v>
      </c>
      <c r="AL13" s="34">
        <v>0.86911491985775002</v>
      </c>
    </row>
    <row r="14" spans="1:38" x14ac:dyDescent="0.15">
      <c r="D14" s="34">
        <v>26.964670181274414</v>
      </c>
      <c r="J14" s="34">
        <v>12</v>
      </c>
      <c r="K14" s="34">
        <v>3</v>
      </c>
      <c r="L14" s="34">
        <v>0.46767738681140242</v>
      </c>
      <c r="M14" s="34">
        <v>8.4541919742198032E-2</v>
      </c>
      <c r="N14" s="34">
        <v>4.9638492984578272E-3</v>
      </c>
      <c r="O14" s="34">
        <v>0.13765071262775913</v>
      </c>
      <c r="P14" s="34">
        <v>0.24381924649228914</v>
      </c>
      <c r="Q14" s="34">
        <v>7.0857649295212584</v>
      </c>
      <c r="T14" s="34">
        <v>762.0712890625</v>
      </c>
      <c r="U14" s="34">
        <v>14.4</v>
      </c>
      <c r="V14" s="34">
        <v>1.0018929830611013E-2</v>
      </c>
      <c r="W14" s="34">
        <v>0.55867654459459481</v>
      </c>
      <c r="X14" s="34">
        <v>8.0449422421621648</v>
      </c>
      <c r="Y14" s="34">
        <v>6.9840020449878724E-3</v>
      </c>
      <c r="Z14" s="34">
        <v>0.48355401485666544</v>
      </c>
      <c r="AA14" s="34">
        <v>6.9631778139359826</v>
      </c>
      <c r="AB14" s="34">
        <v>6.5278715017018166E-3</v>
      </c>
      <c r="AC14" s="34">
        <v>0.47041282368098969</v>
      </c>
      <c r="AD14" s="34">
        <v>6.7739446610062517</v>
      </c>
      <c r="AE14" s="34">
        <v>6.4481511949009817E-3</v>
      </c>
      <c r="AF14" s="34">
        <v>0.46813550672809773</v>
      </c>
      <c r="AG14" s="34">
        <v>6.741151296884607</v>
      </c>
      <c r="AH14" s="34">
        <v>6.4341680300149875E-3</v>
      </c>
      <c r="AI14" s="34">
        <v>0.46774428707779492</v>
      </c>
      <c r="AJ14" s="34">
        <v>6.735517733920247</v>
      </c>
      <c r="AK14" s="34">
        <v>6.4317435543862064E-3</v>
      </c>
      <c r="AL14" s="34">
        <v>0.46767738681140242</v>
      </c>
    </row>
    <row r="15" spans="1:38" x14ac:dyDescent="0.15">
      <c r="D15" s="34">
        <v>0.18662991974606757</v>
      </c>
      <c r="K15" s="34">
        <v>4</v>
      </c>
      <c r="L15" s="34">
        <v>0.21420494555577047</v>
      </c>
      <c r="M15" s="34">
        <v>3.8721772371818092E-2</v>
      </c>
      <c r="N15" s="34">
        <v>3.1125002833754254E-3</v>
      </c>
      <c r="O15" s="34">
        <v>0.1798499920654881</v>
      </c>
      <c r="P15" s="34">
        <v>0.23190000226700341</v>
      </c>
      <c r="Q15" s="34">
        <v>6.6036580071845803</v>
      </c>
      <c r="T15" s="34">
        <v>1992.51416015625</v>
      </c>
      <c r="U15" s="34">
        <v>12.600000000000001</v>
      </c>
      <c r="V15" s="34">
        <v>5.1300409417221237E-3</v>
      </c>
      <c r="W15" s="34">
        <v>0.28606184446900446</v>
      </c>
      <c r="X15" s="34">
        <v>3.6043792403094566</v>
      </c>
      <c r="Y15" s="34">
        <v>3.2418077077657347E-3</v>
      </c>
      <c r="Z15" s="34">
        <v>0.224454277416542</v>
      </c>
      <c r="AA15" s="34">
        <v>2.8281238954484293</v>
      </c>
      <c r="AB15" s="34">
        <v>2.9955276043886706E-3</v>
      </c>
      <c r="AC15" s="34">
        <v>0.2158643285835917</v>
      </c>
      <c r="AD15" s="34">
        <v>2.7198905401532558</v>
      </c>
      <c r="AE15" s="34">
        <v>2.9542371937157342E-3</v>
      </c>
      <c r="AF15" s="34">
        <v>0.21447749655261392</v>
      </c>
      <c r="AG15" s="34">
        <v>2.7024164565629358</v>
      </c>
      <c r="AH15" s="34">
        <v>2.9470912311831028E-3</v>
      </c>
      <c r="AI15" s="34">
        <v>0.21424449601757609</v>
      </c>
      <c r="AJ15" s="34">
        <v>2.6994806498214592</v>
      </c>
      <c r="AK15" s="34">
        <v>2.9458582278034254E-3</v>
      </c>
      <c r="AL15" s="34">
        <v>0.21420494555577047</v>
      </c>
    </row>
    <row r="16" spans="1:38" x14ac:dyDescent="0.15">
      <c r="D16" s="34">
        <v>5.8601794800265221E-3</v>
      </c>
      <c r="K16" s="34">
        <v>5</v>
      </c>
      <c r="L16" s="34">
        <v>2.2906299241169477E-3</v>
      </c>
      <c r="M16" s="34">
        <v>4.1407657642824198E-4</v>
      </c>
      <c r="T16" s="34">
        <v>833145.625</v>
      </c>
      <c r="U16" s="34">
        <v>7.2</v>
      </c>
      <c r="V16" s="34">
        <v>6.3374275055456242E-5</v>
      </c>
      <c r="W16" s="34">
        <v>3.5338825206654295E-3</v>
      </c>
      <c r="X16" s="34">
        <v>2.5443954148791092E-2</v>
      </c>
      <c r="Y16" s="34">
        <v>3.4675372592525676E-5</v>
      </c>
      <c r="Z16" s="34">
        <v>2.4008320051681323E-3</v>
      </c>
      <c r="AA16" s="34">
        <v>1.7285990437210554E-2</v>
      </c>
      <c r="AB16" s="34">
        <v>3.2033693020652153E-5</v>
      </c>
      <c r="AC16" s="34">
        <v>2.308418599055831E-3</v>
      </c>
      <c r="AD16" s="34">
        <v>1.6620613913201982E-2</v>
      </c>
      <c r="AE16" s="34">
        <v>3.1591632809770645E-5</v>
      </c>
      <c r="AF16" s="34">
        <v>2.2935512190633556E-3</v>
      </c>
      <c r="AG16" s="34">
        <v>1.6513568777256162E-2</v>
      </c>
      <c r="AH16" s="34">
        <v>3.1515136885529955E-5</v>
      </c>
      <c r="AI16" s="34">
        <v>2.2910538186002253E-3</v>
      </c>
      <c r="AJ16" s="34">
        <v>1.6495587493921621E-2</v>
      </c>
      <c r="AK16" s="34">
        <v>3.1501938441732982E-5</v>
      </c>
      <c r="AL16" s="34">
        <v>2.2906299241169477E-3</v>
      </c>
    </row>
    <row r="17" spans="2:38" x14ac:dyDescent="0.15">
      <c r="W17" s="34">
        <v>21.494452891633006</v>
      </c>
      <c r="Z17" s="34">
        <v>19.376526623936225</v>
      </c>
      <c r="AC17" s="34">
        <v>19.025853526702576</v>
      </c>
      <c r="AF17" s="34">
        <v>18.96431779459169</v>
      </c>
      <c r="AI17" s="34">
        <v>18.953598983656516</v>
      </c>
      <c r="AL17" s="34">
        <v>18.951750193149394</v>
      </c>
    </row>
    <row r="18" spans="2:38" x14ac:dyDescent="0.15">
      <c r="W18" s="34">
        <v>1610.8342543529525</v>
      </c>
      <c r="Z18" s="34">
        <v>1410.0976791986432</v>
      </c>
      <c r="AC18" s="34">
        <v>1383.4962069733429</v>
      </c>
      <c r="AF18" s="34">
        <v>1378.9910201340317</v>
      </c>
      <c r="AI18" s="34">
        <v>1378.2107815615273</v>
      </c>
      <c r="AL18" s="34">
        <v>1378.0763336655291</v>
      </c>
    </row>
    <row r="19" spans="2:38" x14ac:dyDescent="0.15">
      <c r="W19" s="34">
        <v>0.72580111400689729</v>
      </c>
      <c r="Z19" s="34">
        <v>0.7365347243962479</v>
      </c>
      <c r="AC19" s="34">
        <v>0.73682261839281971</v>
      </c>
      <c r="AF19" s="34">
        <v>0.73683077072295478</v>
      </c>
      <c r="AI19" s="34">
        <v>0.73683098988505835</v>
      </c>
      <c r="AL19" s="34">
        <v>0.73683099339008151</v>
      </c>
    </row>
    <row r="20" spans="2:38" x14ac:dyDescent="0.15">
      <c r="B20" s="34">
        <v>1.7600000000000002</v>
      </c>
      <c r="C20" s="34">
        <v>67</v>
      </c>
      <c r="D20" s="34">
        <v>0.16400000000000001</v>
      </c>
      <c r="E20" s="34">
        <v>0.221</v>
      </c>
      <c r="F20" s="34">
        <v>1.956</v>
      </c>
      <c r="G20" s="34">
        <v>0.82899999999999996</v>
      </c>
      <c r="H20" s="34">
        <v>0.68</v>
      </c>
      <c r="I20" s="34">
        <v>1.7910000085830688</v>
      </c>
      <c r="J20" s="34">
        <v>0.59700000286102295</v>
      </c>
      <c r="K20" s="34">
        <v>1</v>
      </c>
      <c r="L20" s="34">
        <v>1</v>
      </c>
      <c r="M20" s="34">
        <v>0.14296261296459112</v>
      </c>
      <c r="N20" s="34">
        <v>1.0853714392572711E-3</v>
      </c>
      <c r="O20" s="34">
        <v>0.49956022713952569</v>
      </c>
      <c r="P20" s="34">
        <v>0.13098800037400449</v>
      </c>
      <c r="Q20" s="34">
        <v>4.5481390102016885E-2</v>
      </c>
      <c r="U20" s="34">
        <v>4.8000000000000007</v>
      </c>
      <c r="V20" s="34">
        <v>6.9095939662853212E-2</v>
      </c>
      <c r="W20" s="34">
        <v>1</v>
      </c>
      <c r="X20" s="34">
        <v>4.8000000000000007</v>
      </c>
      <c r="Y20" s="34">
        <v>7.4782993947727402E-2</v>
      </c>
      <c r="Z20" s="34">
        <v>1</v>
      </c>
      <c r="AA20" s="34">
        <v>4.8000000000000007</v>
      </c>
      <c r="AB20" s="34">
        <v>7.5492478774802127E-2</v>
      </c>
      <c r="AC20" s="34">
        <v>1</v>
      </c>
      <c r="AD20" s="34">
        <v>4.8000000000000007</v>
      </c>
      <c r="AE20" s="34">
        <v>7.5581631100582539E-2</v>
      </c>
      <c r="AF20" s="34">
        <v>1</v>
      </c>
    </row>
    <row r="21" spans="2:38" x14ac:dyDescent="0.15">
      <c r="K21" s="34">
        <v>2</v>
      </c>
      <c r="L21" s="34">
        <v>0.92992004638350312</v>
      </c>
      <c r="M21" s="34">
        <v>0.13294379967913939</v>
      </c>
      <c r="N21" s="34">
        <v>2.8710252571126096E-3</v>
      </c>
      <c r="O21" s="34">
        <v>0.31951233303056775</v>
      </c>
      <c r="P21" s="34">
        <v>0.17867845462802698</v>
      </c>
      <c r="Q21" s="34">
        <v>0.73653842366398592</v>
      </c>
      <c r="U21" s="34">
        <v>11.99378589403695</v>
      </c>
      <c r="V21" s="34">
        <v>6.379918246106521E-2</v>
      </c>
      <c r="W21" s="34">
        <v>2</v>
      </c>
      <c r="X21" s="34">
        <v>12.742119468360437</v>
      </c>
      <c r="Y21" s="34">
        <v>6.94862367459394E-2</v>
      </c>
      <c r="Z21" s="34">
        <v>0.92917163485737964</v>
      </c>
      <c r="AA21" s="34">
        <v>12.82256856103184</v>
      </c>
      <c r="AB21" s="34">
        <v>7.0195721573014125E-2</v>
      </c>
      <c r="AC21" s="34">
        <v>0.92983728594223936</v>
      </c>
      <c r="AD21" s="34">
        <v>12.831754546002903</v>
      </c>
      <c r="AE21" s="34">
        <v>7.0284873898794537E-2</v>
      </c>
      <c r="AF21" s="34">
        <v>0.92992004638350312</v>
      </c>
    </row>
    <row r="22" spans="2:38" x14ac:dyDescent="0.15">
      <c r="D22" s="34">
        <v>8.6574201583862305</v>
      </c>
      <c r="K22" s="34">
        <v>3</v>
      </c>
      <c r="L22" s="34">
        <v>0.62096081274712656</v>
      </c>
      <c r="M22" s="34">
        <v>8.8774180338945394E-2</v>
      </c>
      <c r="N22" s="34">
        <v>5.859612363848664E-3</v>
      </c>
      <c r="O22" s="34">
        <v>0.1249654269061187</v>
      </c>
      <c r="P22" s="34">
        <v>0.24743844945539464</v>
      </c>
      <c r="Q22" s="34">
        <v>1.3591450324464915</v>
      </c>
      <c r="U22" s="34">
        <v>6.7345543700841946</v>
      </c>
      <c r="V22" s="34">
        <v>4.1557352313048072E-2</v>
      </c>
      <c r="W22" s="34">
        <v>0.60144420230512896</v>
      </c>
      <c r="X22" s="34">
        <v>8.6607965131938567</v>
      </c>
      <c r="Y22" s="34">
        <v>4.625330736876801E-2</v>
      </c>
      <c r="Z22" s="34">
        <v>0.61850034248560082</v>
      </c>
      <c r="AA22" s="34">
        <v>8.9064049317926521</v>
      </c>
      <c r="AB22" s="34">
        <v>4.6856244746324827E-2</v>
      </c>
      <c r="AC22" s="34">
        <v>0.62067434407736655</v>
      </c>
      <c r="AD22" s="34">
        <v>8.9377105547140783</v>
      </c>
      <c r="AE22" s="34">
        <v>4.6933231076971227E-2</v>
      </c>
      <c r="AF22" s="34">
        <v>0.62096081274712656</v>
      </c>
    </row>
    <row r="23" spans="2:38" x14ac:dyDescent="0.15">
      <c r="D23" s="34">
        <v>0.21905948494592858</v>
      </c>
      <c r="K23" s="34">
        <v>4</v>
      </c>
      <c r="L23" s="34">
        <v>0.24261903239756158</v>
      </c>
      <c r="M23" s="34">
        <v>3.4685450826496191E-2</v>
      </c>
      <c r="N23" s="34">
        <v>2.8127276386772067E-3</v>
      </c>
      <c r="O23" s="34">
        <v>0.19180180098217128</v>
      </c>
      <c r="P23" s="34">
        <v>0.2285654593028037</v>
      </c>
      <c r="Q23" s="34">
        <v>0.96991027213589631</v>
      </c>
      <c r="U23" s="34">
        <v>2.6989823140027083</v>
      </c>
      <c r="V23" s="34">
        <v>1.6234708619453534E-2</v>
      </c>
      <c r="W23" s="34">
        <v>0.23495893823384104</v>
      </c>
      <c r="X23" s="34">
        <v>2.9604826217463973</v>
      </c>
      <c r="Y23" s="34">
        <v>1.8052121153099416E-2</v>
      </c>
      <c r="Z23" s="34">
        <v>0.24139339975767318</v>
      </c>
      <c r="AA23" s="34">
        <v>3.0415568369466826</v>
      </c>
      <c r="AB23" s="34">
        <v>1.8304135427333643E-2</v>
      </c>
      <c r="AC23" s="34">
        <v>0.24246303372731742</v>
      </c>
      <c r="AD23" s="34">
        <v>3.0550342249641997</v>
      </c>
      <c r="AE23" s="34">
        <v>1.8337542204652783E-2</v>
      </c>
      <c r="AF23" s="34">
        <v>0.24261903239756158</v>
      </c>
    </row>
    <row r="24" spans="2:38" x14ac:dyDescent="0.15">
      <c r="D24" s="34">
        <v>7.6096871981337452E-2</v>
      </c>
      <c r="K24" s="34">
        <v>5</v>
      </c>
      <c r="L24" s="34">
        <v>4.7050416133513027E-4</v>
      </c>
      <c r="M24" s="34">
        <v>6.7264504315183769E-5</v>
      </c>
      <c r="U24" s="34">
        <v>1.6492535453642022E-2</v>
      </c>
      <c r="V24" s="34">
        <v>3.1499673437734849E-5</v>
      </c>
      <c r="W24" s="34">
        <v>4.5588313280685354E-4</v>
      </c>
      <c r="X24" s="34">
        <v>3.2823585562093455E-3</v>
      </c>
      <c r="Y24" s="34">
        <v>3.5007902684307929E-5</v>
      </c>
      <c r="Z24" s="34">
        <v>4.6812651963062778E-4</v>
      </c>
      <c r="AA24" s="34">
        <v>3.37051094134052E-3</v>
      </c>
      <c r="AB24" s="34">
        <v>3.549667663526711E-5</v>
      </c>
      <c r="AC24" s="34">
        <v>4.7020149836589001E-4</v>
      </c>
      <c r="AD24" s="34">
        <v>3.3854507882344082E-3</v>
      </c>
      <c r="AE24" s="34">
        <v>3.5561471953320785E-5</v>
      </c>
      <c r="AF24" s="34">
        <v>4.7050416133513027E-4</v>
      </c>
    </row>
    <row r="25" spans="2:38" x14ac:dyDescent="0.15">
      <c r="W25" s="34">
        <v>22.469913152648619</v>
      </c>
      <c r="Z25" s="34">
        <v>22.957194816806307</v>
      </c>
      <c r="AC25" s="34">
        <v>23.019585915202487</v>
      </c>
      <c r="AF25" s="34">
        <v>23.027785334123671</v>
      </c>
    </row>
    <row r="26" spans="2:38" x14ac:dyDescent="0.15">
      <c r="W26" s="34">
        <v>297.54221760735027</v>
      </c>
      <c r="Z26" s="34">
        <v>303.69120522712001</v>
      </c>
      <c r="AC26" s="34">
        <v>304.51138217143398</v>
      </c>
      <c r="AF26" s="34">
        <v>304.61975237907245</v>
      </c>
    </row>
    <row r="27" spans="2:38" x14ac:dyDescent="0.15">
      <c r="W27" s="34">
        <v>1.7266577413842636</v>
      </c>
      <c r="Z27" s="34">
        <v>1.7275203151057577</v>
      </c>
      <c r="AC27" s="34">
        <v>1.7275349771719946</v>
      </c>
      <c r="AF27" s="34">
        <v>1.7275352455921269</v>
      </c>
    </row>
    <row r="28" spans="2:38" x14ac:dyDescent="0.15">
      <c r="B28" s="34">
        <v>1.7600000000000002</v>
      </c>
      <c r="C28" s="34">
        <v>72.599999999999994</v>
      </c>
      <c r="D28" s="34">
        <v>0.17699999999999999</v>
      </c>
      <c r="E28" s="34">
        <v>0.224</v>
      </c>
      <c r="F28" s="34">
        <v>1.8919999999999999</v>
      </c>
      <c r="G28" s="34">
        <v>0.81299999999999994</v>
      </c>
      <c r="H28" s="34">
        <v>0.66400000000000003</v>
      </c>
      <c r="I28" s="34">
        <v>1.6529999971389771</v>
      </c>
      <c r="J28" s="34">
        <v>0.55099999904632568</v>
      </c>
      <c r="K28" s="34">
        <v>1</v>
      </c>
      <c r="L28" s="34">
        <v>1</v>
      </c>
      <c r="M28" s="34">
        <v>0.13157457443065601</v>
      </c>
      <c r="N28" s="34">
        <v>7.0121975919614963E-4</v>
      </c>
      <c r="O28" s="34">
        <v>0.58664626983311652</v>
      </c>
      <c r="P28" s="34">
        <v>0.10809758073569196</v>
      </c>
      <c r="Q28" s="34">
        <v>2.7906840426471079E-2</v>
      </c>
      <c r="U28" s="34">
        <v>4.8000000000000007</v>
      </c>
      <c r="V28" s="34">
        <v>7.0450797674681598E-2</v>
      </c>
      <c r="W28" s="34">
        <v>1</v>
      </c>
      <c r="X28" s="34">
        <v>4.8000000000000007</v>
      </c>
      <c r="Y28" s="34">
        <v>7.2982371572254109E-2</v>
      </c>
      <c r="Z28" s="34">
        <v>1</v>
      </c>
      <c r="AA28" s="34">
        <v>4.8000000000000007</v>
      </c>
      <c r="AB28" s="34">
        <v>7.3242738345753899E-2</v>
      </c>
      <c r="AC28" s="34">
        <v>1</v>
      </c>
    </row>
    <row r="29" spans="2:38" x14ac:dyDescent="0.15">
      <c r="K29" s="34">
        <v>2</v>
      </c>
      <c r="L29" s="34">
        <v>0.95080510193398649</v>
      </c>
      <c r="M29" s="34">
        <v>0.12510177665346078</v>
      </c>
      <c r="N29" s="34">
        <v>2.1526832342241651E-3</v>
      </c>
      <c r="O29" s="34">
        <v>0.36692290654120513</v>
      </c>
      <c r="P29" s="34">
        <v>0.16574829821603498</v>
      </c>
      <c r="Q29" s="34">
        <v>0.53302844285195061</v>
      </c>
      <c r="U29" s="34">
        <v>12.832896640092343</v>
      </c>
      <c r="V29" s="34">
        <v>6.6847628627686534E-2</v>
      </c>
      <c r="W29" s="34">
        <v>0.94885552519031369</v>
      </c>
      <c r="X29" s="34">
        <v>13.09420624762633</v>
      </c>
      <c r="Y29" s="34">
        <v>6.9379202525259046E-2</v>
      </c>
      <c r="Z29" s="34">
        <v>0.95062959767718913</v>
      </c>
      <c r="AA29" s="34">
        <v>13.11868844794521</v>
      </c>
      <c r="AB29" s="34">
        <v>6.9639569298758836E-2</v>
      </c>
      <c r="AC29" s="34">
        <v>0.95080510193398649</v>
      </c>
    </row>
    <row r="30" spans="2:38" x14ac:dyDescent="0.15">
      <c r="D30" s="34">
        <v>9.7254667282104492</v>
      </c>
      <c r="K30" s="34">
        <v>3</v>
      </c>
      <c r="L30" s="34">
        <v>0.69909838924457524</v>
      </c>
      <c r="M30" s="34">
        <v>9.1983573050012091E-2</v>
      </c>
      <c r="N30" s="34">
        <v>6.4543028328861484E-3</v>
      </c>
      <c r="O30" s="34">
        <v>0.11800266883825238</v>
      </c>
      <c r="P30" s="34">
        <v>0.24936290849865844</v>
      </c>
      <c r="Q30" s="34">
        <v>1.4970562499170463</v>
      </c>
      <c r="U30" s="34">
        <v>8.9418357035586222</v>
      </c>
      <c r="V30" s="34">
        <v>4.8705977370075454E-2</v>
      </c>
      <c r="W30" s="34">
        <v>0.69134742228162549</v>
      </c>
      <c r="X30" s="34">
        <v>9.9554028808554076</v>
      </c>
      <c r="Y30" s="34">
        <v>5.0968702202919366E-2</v>
      </c>
      <c r="Z30" s="34">
        <v>0.69837004614818887</v>
      </c>
      <c r="AA30" s="34">
        <v>10.05652866453392</v>
      </c>
      <c r="AB30" s="34">
        <v>5.1203880401378438E-2</v>
      </c>
      <c r="AC30" s="34">
        <v>0.69909838924457524</v>
      </c>
    </row>
    <row r="31" spans="2:38" x14ac:dyDescent="0.15">
      <c r="D31" s="34">
        <v>0.2027375426869244</v>
      </c>
      <c r="K31" s="34">
        <v>4</v>
      </c>
      <c r="L31" s="34">
        <v>0.24628917246636148</v>
      </c>
      <c r="M31" s="34">
        <v>3.2405393054139954E-2</v>
      </c>
      <c r="N31" s="34">
        <v>2.6274935714532925E-3</v>
      </c>
      <c r="O31" s="34">
        <v>0.20050780214169525</v>
      </c>
      <c r="P31" s="34">
        <v>0.22615741642889281</v>
      </c>
      <c r="Q31" s="34">
        <v>0.90261340596565653</v>
      </c>
      <c r="U31" s="34">
        <v>3.0569998082092762</v>
      </c>
      <c r="V31" s="34">
        <v>1.7201283456019845E-2</v>
      </c>
      <c r="W31" s="34">
        <v>0.24416023698481973</v>
      </c>
      <c r="X31" s="34">
        <v>3.0764189860087288</v>
      </c>
      <c r="Y31" s="34">
        <v>1.7952625131176951E-2</v>
      </c>
      <c r="Z31" s="34">
        <v>0.24598577361114482</v>
      </c>
      <c r="AA31" s="34">
        <v>3.099420747500425</v>
      </c>
      <c r="AB31" s="34">
        <v>1.8038893416345968E-2</v>
      </c>
      <c r="AC31" s="34">
        <v>0.24628917246636148</v>
      </c>
    </row>
    <row r="32" spans="2:38" x14ac:dyDescent="0.15">
      <c r="D32" s="34">
        <v>7.1162968256268389E-2</v>
      </c>
      <c r="K32" s="34">
        <v>5</v>
      </c>
      <c r="L32" s="34">
        <v>5.0929776169326589E-4</v>
      </c>
      <c r="M32" s="34">
        <v>6.7010636253277126E-5</v>
      </c>
      <c r="U32" s="34">
        <v>3.3876299616129378E-3</v>
      </c>
      <c r="V32" s="34">
        <v>3.557015591580626E-5</v>
      </c>
      <c r="W32" s="34">
        <v>5.0489358658588129E-4</v>
      </c>
      <c r="X32" s="34">
        <v>3.6352338234183455E-3</v>
      </c>
      <c r="Y32" s="34">
        <v>3.7123958189558856E-5</v>
      </c>
      <c r="Z32" s="34">
        <v>5.0867020884358828E-4</v>
      </c>
      <c r="AA32" s="34">
        <v>3.6624255036738357E-3</v>
      </c>
      <c r="AB32" s="34">
        <v>3.7302362699777997E-5</v>
      </c>
      <c r="AC32" s="34">
        <v>5.0929776169326589E-4</v>
      </c>
    </row>
    <row r="33" spans="2:29" x14ac:dyDescent="0.15">
      <c r="W33" s="34">
        <v>24.858293089590962</v>
      </c>
      <c r="Z33" s="34">
        <v>25.056607182150749</v>
      </c>
      <c r="AC33" s="34">
        <v>25.07775110981861</v>
      </c>
    </row>
    <row r="34" spans="2:29" x14ac:dyDescent="0.15">
      <c r="W34" s="34">
        <v>339.31267268706915</v>
      </c>
      <c r="Z34" s="34">
        <v>341.9595609804519</v>
      </c>
      <c r="AC34" s="34">
        <v>342.24746787924414</v>
      </c>
    </row>
    <row r="35" spans="2:29" x14ac:dyDescent="0.15">
      <c r="W35" s="34">
        <v>1.7006520739968414</v>
      </c>
      <c r="Z35" s="34">
        <v>1.7008014513663861</v>
      </c>
      <c r="AC35" s="34">
        <v>1.7008030774987142</v>
      </c>
    </row>
    <row r="36" spans="2:29" x14ac:dyDescent="0.15">
      <c r="B36" s="34">
        <v>1.7600000000000002</v>
      </c>
      <c r="C36" s="34">
        <v>75.8</v>
      </c>
      <c r="D36" s="34">
        <v>0.185</v>
      </c>
      <c r="E36" s="34">
        <v>0.22600000000000001</v>
      </c>
      <c r="F36" s="34">
        <v>1.8520000000000001</v>
      </c>
      <c r="G36" s="34">
        <v>0.80100000000000005</v>
      </c>
      <c r="H36" s="34">
        <v>0.65700000000000003</v>
      </c>
      <c r="I36" s="34">
        <v>1.5839999914169312</v>
      </c>
      <c r="J36" s="34">
        <v>0.52799999713897705</v>
      </c>
      <c r="K36" s="34">
        <v>1</v>
      </c>
      <c r="L36" s="34">
        <v>1</v>
      </c>
      <c r="M36" s="34">
        <v>0.12510593190497005</v>
      </c>
      <c r="N36" s="34">
        <v>5.7196405295086548E-4</v>
      </c>
      <c r="O36" s="34">
        <v>0.63093401934916249</v>
      </c>
      <c r="P36" s="34">
        <v>9.6916045824595204E-2</v>
      </c>
      <c r="Q36" s="34">
        <v>2.1803605093913925E-2</v>
      </c>
      <c r="U36" s="34">
        <v>4.8000000000000007</v>
      </c>
      <c r="V36" s="34">
        <v>7.152870822047952E-2</v>
      </c>
      <c r="W36" s="34">
        <v>1</v>
      </c>
      <c r="X36" s="34">
        <v>4.8000000000000007</v>
      </c>
      <c r="Y36" s="34">
        <v>7.2604308662159514E-2</v>
      </c>
      <c r="Z36" s="34">
        <v>1</v>
      </c>
      <c r="AA36" s="34">
        <v>4.8000000000000007</v>
      </c>
      <c r="AB36" s="34">
        <v>7.2705535207883393E-2</v>
      </c>
      <c r="AC36" s="34">
        <v>1</v>
      </c>
    </row>
    <row r="37" spans="2:29" x14ac:dyDescent="0.15">
      <c r="K37" s="34">
        <v>2</v>
      </c>
      <c r="L37" s="34">
        <v>0.95779841850268677</v>
      </c>
      <c r="M37" s="34">
        <v>0.11982626372388513</v>
      </c>
      <c r="N37" s="34">
        <v>1.8053756077491109E-3</v>
      </c>
      <c r="O37" s="34">
        <v>0.40307966856161914</v>
      </c>
      <c r="P37" s="34">
        <v>0.15618814627121888</v>
      </c>
      <c r="Q37" s="34">
        <v>0.43053896925143298</v>
      </c>
      <c r="U37" s="34">
        <v>13.121110406689015</v>
      </c>
      <c r="V37" s="34">
        <v>6.8460419651098253E-2</v>
      </c>
      <c r="W37" s="34">
        <v>0.95710409644301697</v>
      </c>
      <c r="X37" s="34">
        <v>13.208036530913635</v>
      </c>
      <c r="Y37" s="34">
        <v>6.9536020092778247E-2</v>
      </c>
      <c r="Z37" s="34">
        <v>0.95773958011695215</v>
      </c>
      <c r="AA37" s="34">
        <v>13.21680620561394</v>
      </c>
      <c r="AB37" s="34">
        <v>6.9637246638502126E-2</v>
      </c>
      <c r="AC37" s="34">
        <v>0.95779841850268677</v>
      </c>
    </row>
    <row r="38" spans="2:29" x14ac:dyDescent="0.15">
      <c r="D38" s="34">
        <v>10.345622062683105</v>
      </c>
      <c r="K38" s="34">
        <v>3</v>
      </c>
      <c r="L38" s="34">
        <v>0.73578648887584774</v>
      </c>
      <c r="M38" s="34">
        <v>9.2051254373898814E-2</v>
      </c>
      <c r="N38" s="34">
        <v>6.6953037191949238E-3</v>
      </c>
      <c r="O38" s="34">
        <v>0.11535165908885583</v>
      </c>
      <c r="P38" s="34">
        <v>0.25008591115758477</v>
      </c>
      <c r="Q38" s="34">
        <v>1.5211847390880595</v>
      </c>
      <c r="U38" s="34">
        <v>10.067016805121884</v>
      </c>
      <c r="V38" s="34">
        <v>5.2404658623326869E-2</v>
      </c>
      <c r="W38" s="34">
        <v>0.7326381242870369</v>
      </c>
      <c r="X38" s="34">
        <v>10.549988989733331</v>
      </c>
      <c r="Y38" s="34">
        <v>5.3402380794857936E-2</v>
      </c>
      <c r="Z38" s="34">
        <v>0.7355263314102819</v>
      </c>
      <c r="AA38" s="34">
        <v>10.591579172308059</v>
      </c>
      <c r="AB38" s="34">
        <v>5.3495750472447853E-2</v>
      </c>
      <c r="AC38" s="34">
        <v>0.73578648887584774</v>
      </c>
    </row>
    <row r="39" spans="2:29" x14ac:dyDescent="0.15">
      <c r="D39" s="34">
        <v>0.19386260383777029</v>
      </c>
      <c r="K39" s="34">
        <v>4</v>
      </c>
      <c r="L39" s="34">
        <v>0.24178270647531022</v>
      </c>
      <c r="M39" s="34">
        <v>3.0248450812099523E-2</v>
      </c>
      <c r="N39" s="34">
        <v>2.45237422306272E-3</v>
      </c>
      <c r="O39" s="34">
        <v>0.20873841151605216</v>
      </c>
      <c r="P39" s="34">
        <v>0.22388086489981537</v>
      </c>
      <c r="Q39" s="34">
        <v>0.82199757477008262</v>
      </c>
      <c r="U39" s="34">
        <v>3.1032435730761549</v>
      </c>
      <c r="V39" s="34">
        <v>1.7266561275770528E-2</v>
      </c>
      <c r="W39" s="34">
        <v>0.2413934447487604</v>
      </c>
      <c r="X39" s="34">
        <v>3.0415574038343816</v>
      </c>
      <c r="Y39" s="34">
        <v>1.7548796408724789E-2</v>
      </c>
      <c r="Z39" s="34">
        <v>0.24170461412121411</v>
      </c>
      <c r="AA39" s="34">
        <v>3.0454781379272982</v>
      </c>
      <c r="AB39" s="34">
        <v>1.7578941078298004E-2</v>
      </c>
      <c r="AC39" s="34">
        <v>0.24178270647531022</v>
      </c>
    </row>
    <row r="40" spans="2:29" x14ac:dyDescent="0.15">
      <c r="D40" s="34">
        <v>6.8756671932800245E-2</v>
      </c>
      <c r="K40" s="34">
        <v>5</v>
      </c>
      <c r="L40" s="34">
        <v>5.2262470957212845E-4</v>
      </c>
      <c r="M40" s="34">
        <v>6.5383451327585446E-5</v>
      </c>
      <c r="U40" s="34">
        <v>3.6669438841915145E-3</v>
      </c>
      <c r="V40" s="34">
        <v>3.7322452156873832E-5</v>
      </c>
      <c r="W40" s="34">
        <v>5.217828349679041E-4</v>
      </c>
      <c r="X40" s="34">
        <v>3.7568364117689097E-3</v>
      </c>
      <c r="Y40" s="34">
        <v>3.7932552020414333E-5</v>
      </c>
      <c r="Z40" s="34">
        <v>5.2245593573407747E-4</v>
      </c>
      <c r="AA40" s="34">
        <v>3.7616827372853579E-3</v>
      </c>
      <c r="AB40" s="34">
        <v>3.7997709222306218E-5</v>
      </c>
      <c r="AC40" s="34">
        <v>5.2262470957212845E-4</v>
      </c>
    </row>
    <row r="41" spans="2:29" x14ac:dyDescent="0.15">
      <c r="W41" s="34">
        <v>25.905003993759006</v>
      </c>
      <c r="Z41" s="34">
        <v>25.984751881756903</v>
      </c>
      <c r="AC41" s="34">
        <v>25.992294907246645</v>
      </c>
    </row>
    <row r="42" spans="2:29" x14ac:dyDescent="0.15">
      <c r="W42" s="34">
        <v>356.26000930431564</v>
      </c>
      <c r="Z42" s="34">
        <v>357.34489034698345</v>
      </c>
      <c r="AC42" s="34">
        <v>357.44853448151298</v>
      </c>
    </row>
    <row r="43" spans="2:29" x14ac:dyDescent="0.15">
      <c r="W43" s="34">
        <v>1.694291590611632</v>
      </c>
      <c r="Z43" s="34">
        <v>1.6943196975436414</v>
      </c>
      <c r="AC43" s="34">
        <v>1.6943199068202519</v>
      </c>
    </row>
    <row r="44" spans="2:29" x14ac:dyDescent="0.15">
      <c r="B44" s="34">
        <v>1.7600000000000002</v>
      </c>
      <c r="C44" s="34">
        <v>78</v>
      </c>
      <c r="D44" s="34">
        <v>0.191</v>
      </c>
      <c r="E44" s="34">
        <v>0.22700000000000001</v>
      </c>
      <c r="F44" s="34">
        <v>1.83</v>
      </c>
      <c r="G44" s="34">
        <v>0.79500000000000004</v>
      </c>
      <c r="H44" s="34">
        <v>0.65100000000000002</v>
      </c>
      <c r="I44" s="34">
        <v>1.5390000343322754</v>
      </c>
      <c r="J44" s="34">
        <v>0.5130000114440918</v>
      </c>
      <c r="K44" s="34">
        <v>1</v>
      </c>
      <c r="L44" s="34">
        <v>1</v>
      </c>
      <c r="M44" s="34">
        <v>0.12140635178116985</v>
      </c>
      <c r="N44" s="34">
        <v>5.2300789831805051E-4</v>
      </c>
      <c r="O44" s="34">
        <v>0.65002691965596027</v>
      </c>
      <c r="P44" s="34">
        <v>9.1530868814985553E-2</v>
      </c>
      <c r="Q44" s="34">
        <v>1.9607172237793482E-2</v>
      </c>
      <c r="U44" s="34">
        <v>4.8000000000000007</v>
      </c>
      <c r="V44" s="34">
        <v>7.1185513363006492E-2</v>
      </c>
      <c r="W44" s="34">
        <v>1</v>
      </c>
      <c r="X44" s="34">
        <v>4.8000000000000007</v>
      </c>
      <c r="Y44" s="34">
        <v>7.169609194548851E-2</v>
      </c>
      <c r="Z44" s="34">
        <v>1</v>
      </c>
      <c r="AA44" s="34">
        <v>4.8000000000000007</v>
      </c>
      <c r="AB44" s="34">
        <v>7.1743709299888991E-2</v>
      </c>
      <c r="AC44" s="34">
        <v>1</v>
      </c>
    </row>
    <row r="45" spans="2:29" x14ac:dyDescent="0.15">
      <c r="K45" s="34">
        <v>2</v>
      </c>
      <c r="L45" s="34">
        <v>0.96023465704705957</v>
      </c>
      <c r="M45" s="34">
        <v>0.1165785865659263</v>
      </c>
      <c r="N45" s="34">
        <v>1.6192692629759882E-3</v>
      </c>
      <c r="O45" s="34">
        <v>0.42801791876121759</v>
      </c>
      <c r="P45" s="34">
        <v>0.14967442420415958</v>
      </c>
      <c r="Q45" s="34">
        <v>0.38047974150200531</v>
      </c>
      <c r="U45" s="34">
        <v>13.217618175337078</v>
      </c>
      <c r="V45" s="34">
        <v>6.8332600157980344E-2</v>
      </c>
      <c r="W45" s="34">
        <v>0.95992284005204997</v>
      </c>
      <c r="X45" s="34">
        <v>13.24693519271829</v>
      </c>
      <c r="Y45" s="34">
        <v>6.8843178740462363E-2</v>
      </c>
      <c r="Z45" s="34">
        <v>0.96020824667549165</v>
      </c>
      <c r="AA45" s="34">
        <v>13.250873804121785</v>
      </c>
      <c r="AB45" s="34">
        <v>6.8890796094862844E-2</v>
      </c>
      <c r="AC45" s="34">
        <v>0.96023465704705957</v>
      </c>
    </row>
    <row r="46" spans="2:29" x14ac:dyDescent="0.15">
      <c r="D46" s="34">
        <v>10.783988952636719</v>
      </c>
      <c r="K46" s="34">
        <v>3</v>
      </c>
      <c r="L46" s="34">
        <v>0.75504082287339302</v>
      </c>
      <c r="M46" s="34">
        <v>9.1666751750911102E-2</v>
      </c>
      <c r="N46" s="34">
        <v>6.8095253050220505E-3</v>
      </c>
      <c r="O46" s="34">
        <v>0.11409522164475745</v>
      </c>
      <c r="P46" s="34">
        <v>0.25042857591506618</v>
      </c>
      <c r="Q46" s="34">
        <v>1.538179737843127</v>
      </c>
      <c r="U46" s="34">
        <v>10.595325439812207</v>
      </c>
      <c r="V46" s="34">
        <v>5.3638354953947184E-2</v>
      </c>
      <c r="W46" s="34">
        <v>0.75350099226539857</v>
      </c>
      <c r="X46" s="34">
        <v>10.850414288621741</v>
      </c>
      <c r="Y46" s="34">
        <v>5.4125024080814252E-2</v>
      </c>
      <c r="Z46" s="34">
        <v>0.75492293390225829</v>
      </c>
      <c r="AA46" s="34">
        <v>10.87089024819252</v>
      </c>
      <c r="AB46" s="34">
        <v>5.4169429305777686E-2</v>
      </c>
      <c r="AC46" s="34">
        <v>0.75504082287339302</v>
      </c>
    </row>
    <row r="47" spans="2:29" x14ac:dyDescent="0.15">
      <c r="D47" s="34">
        <v>0.18850683112897273</v>
      </c>
      <c r="K47" s="34">
        <v>4</v>
      </c>
      <c r="L47" s="34">
        <v>0.23729891118956653</v>
      </c>
      <c r="M47" s="34">
        <v>2.8809595089169096E-2</v>
      </c>
      <c r="N47" s="34">
        <v>2.3355126592675534E-3</v>
      </c>
      <c r="O47" s="34">
        <v>0.21423090501442499</v>
      </c>
      <c r="P47" s="34">
        <v>0.22236166457047821</v>
      </c>
      <c r="Q47" s="34">
        <v>0.77612665685258697</v>
      </c>
      <c r="U47" s="34">
        <v>3.0464621015889093</v>
      </c>
      <c r="V47" s="34">
        <v>1.6890253214858344E-2</v>
      </c>
      <c r="W47" s="34">
        <v>0.23727093360593546</v>
      </c>
      <c r="X47" s="34">
        <v>2.9896137634347872</v>
      </c>
      <c r="Y47" s="34">
        <v>1.7011654935248661E-2</v>
      </c>
      <c r="Z47" s="34">
        <v>0.23727450790738841</v>
      </c>
      <c r="AA47" s="34">
        <v>2.9896587996330943</v>
      </c>
      <c r="AB47" s="34">
        <v>1.7024704101564436E-2</v>
      </c>
      <c r="AC47" s="34">
        <v>0.23729891118956653</v>
      </c>
    </row>
    <row r="48" spans="2:29" x14ac:dyDescent="0.15">
      <c r="D48" s="34">
        <v>6.7100479347802888E-2</v>
      </c>
      <c r="K48" s="34">
        <v>5</v>
      </c>
      <c r="L48" s="34">
        <v>5.3394157087156271E-4</v>
      </c>
      <c r="M48" s="34">
        <v>6.4823898183823377E-5</v>
      </c>
      <c r="U48" s="34">
        <v>3.7628979089193251E-3</v>
      </c>
      <c r="V48" s="34">
        <v>3.8004362820301808E-5</v>
      </c>
      <c r="W48" s="34">
        <v>5.3387776564173543E-4</v>
      </c>
      <c r="X48" s="34">
        <v>3.8439199126204951E-3</v>
      </c>
      <c r="Y48" s="34">
        <v>3.827759062491318E-5</v>
      </c>
      <c r="Z48" s="34">
        <v>5.3388670966914259E-4</v>
      </c>
      <c r="AA48" s="34">
        <v>3.8439843096178265E-3</v>
      </c>
      <c r="AB48" s="34">
        <v>3.830694884373547E-5</v>
      </c>
      <c r="AC48" s="34">
        <v>5.3394157087156271E-4</v>
      </c>
    </row>
    <row r="49" spans="2:29" x14ac:dyDescent="0.15">
      <c r="W49" s="34">
        <v>26.401184086101427</v>
      </c>
      <c r="Z49" s="34">
        <v>26.439654535415002</v>
      </c>
      <c r="AC49" s="34">
        <v>26.443063705203908</v>
      </c>
    </row>
    <row r="50" spans="2:29" x14ac:dyDescent="0.15">
      <c r="W50" s="34">
        <v>367.97209672602366</v>
      </c>
      <c r="Z50" s="34">
        <v>368.50496424675293</v>
      </c>
      <c r="AC50" s="34">
        <v>368.55246048055596</v>
      </c>
    </row>
    <row r="51" spans="2:29" x14ac:dyDescent="0.15">
      <c r="W51" s="34">
        <v>1.6830000151450535</v>
      </c>
      <c r="Z51" s="34">
        <v>1.6830076022665283</v>
      </c>
      <c r="AC51" s="34">
        <v>1.6830076464797354</v>
      </c>
    </row>
    <row r="52" spans="2:29" x14ac:dyDescent="0.15">
      <c r="B52" s="34">
        <v>1.7600000000000002</v>
      </c>
      <c r="C52" s="34">
        <v>79.3</v>
      </c>
      <c r="D52" s="34">
        <v>0.19400000000000001</v>
      </c>
      <c r="E52" s="34">
        <v>0.22700000000000001</v>
      </c>
      <c r="F52" s="34">
        <v>1.8169999999999999</v>
      </c>
      <c r="G52" s="34">
        <v>0.79100000000000004</v>
      </c>
      <c r="H52" s="34">
        <v>0.64800000000000002</v>
      </c>
      <c r="I52" s="34">
        <v>1.5130000114440918</v>
      </c>
      <c r="J52" s="34">
        <v>0.50400000810623169</v>
      </c>
      <c r="K52" s="34">
        <v>1</v>
      </c>
      <c r="L52" s="34">
        <v>1</v>
      </c>
      <c r="M52" s="34">
        <v>0.11929945688060999</v>
      </c>
      <c r="N52" s="34">
        <v>5.0374432387914755E-4</v>
      </c>
      <c r="O52" s="34">
        <v>0.65753971368713249</v>
      </c>
      <c r="P52" s="34">
        <v>8.941187562670623E-2</v>
      </c>
      <c r="Q52" s="34">
        <v>1.8739853775179574E-2</v>
      </c>
      <c r="U52" s="34">
        <v>4.8000000000000007</v>
      </c>
      <c r="V52" s="34">
        <v>7.0779912764546149E-2</v>
      </c>
      <c r="W52" s="34">
        <v>1</v>
      </c>
      <c r="X52" s="34">
        <v>4.8000000000000007</v>
      </c>
      <c r="Y52" s="34">
        <v>7.104467987349801E-2</v>
      </c>
      <c r="Z52" s="34">
        <v>1</v>
      </c>
    </row>
    <row r="53" spans="2:29" x14ac:dyDescent="0.15">
      <c r="K53" s="34">
        <v>2</v>
      </c>
      <c r="L53" s="34">
        <v>0.96102289376143801</v>
      </c>
      <c r="M53" s="34">
        <v>0.1146495092755717</v>
      </c>
      <c r="N53" s="34">
        <v>1.513977223460842E-3</v>
      </c>
      <c r="O53" s="34">
        <v>0.44212705205624719</v>
      </c>
      <c r="P53" s="34">
        <v>0.14598920282112948</v>
      </c>
      <c r="Q53" s="34">
        <v>0.35318571921673103</v>
      </c>
      <c r="U53" s="34">
        <v>13.251238267249423</v>
      </c>
      <c r="V53" s="34">
        <v>6.8010796729432194E-2</v>
      </c>
      <c r="W53" s="34">
        <v>0.96087709172056213</v>
      </c>
      <c r="X53" s="34">
        <v>13.260103865743758</v>
      </c>
      <c r="Y53" s="34">
        <v>6.8275563838384054E-2</v>
      </c>
      <c r="Z53" s="34">
        <v>0.96102289376143801</v>
      </c>
    </row>
    <row r="54" spans="2:29" x14ac:dyDescent="0.15">
      <c r="D54" s="34">
        <v>11.053760528564453</v>
      </c>
      <c r="K54" s="34">
        <v>3</v>
      </c>
      <c r="L54" s="34">
        <v>0.76578346943344133</v>
      </c>
      <c r="M54" s="34">
        <v>9.1357551991558747E-2</v>
      </c>
      <c r="N54" s="34">
        <v>6.8680705082008317E-3</v>
      </c>
      <c r="O54" s="34">
        <v>0.11345122440979086</v>
      </c>
      <c r="P54" s="34">
        <v>0.25060421152460249</v>
      </c>
      <c r="Q54" s="34">
        <v>1.5476990322883819</v>
      </c>
      <c r="U54" s="34">
        <v>10.87258784937686</v>
      </c>
      <c r="V54" s="34">
        <v>5.4146883385199615E-2</v>
      </c>
      <c r="W54" s="34">
        <v>0.76500353377550268</v>
      </c>
      <c r="X54" s="34">
        <v>11.016050886367239</v>
      </c>
      <c r="Y54" s="34">
        <v>5.440484143831549E-2</v>
      </c>
      <c r="Z54" s="34">
        <v>0.76578346943344133</v>
      </c>
    </row>
    <row r="55" spans="2:29" x14ac:dyDescent="0.15">
      <c r="D55" s="34">
        <v>0.18541991761452328</v>
      </c>
      <c r="K55" s="34">
        <v>4</v>
      </c>
      <c r="L55" s="34">
        <v>0.23436802480740648</v>
      </c>
      <c r="M55" s="34">
        <v>2.7959978069704922E-2</v>
      </c>
      <c r="N55" s="34">
        <v>2.2665024060591166E-3</v>
      </c>
      <c r="O55" s="34">
        <v>0.21747438691522153</v>
      </c>
      <c r="P55" s="34">
        <v>0.22146453127876853</v>
      </c>
      <c r="Q55" s="34">
        <v>0.75017099059397707</v>
      </c>
      <c r="U55" s="34">
        <v>2.9899662809885386</v>
      </c>
      <c r="V55" s="34">
        <v>1.659043596704269E-2</v>
      </c>
      <c r="W55" s="34">
        <v>0.23439469362207074</v>
      </c>
      <c r="X55" s="34">
        <v>2.9533731396380918</v>
      </c>
      <c r="Y55" s="34">
        <v>1.6650601295026234E-2</v>
      </c>
      <c r="Z55" s="34">
        <v>0.23436802480740648</v>
      </c>
    </row>
    <row r="56" spans="2:29" x14ac:dyDescent="0.15">
      <c r="D56" s="34">
        <v>6.6120460733913297E-2</v>
      </c>
      <c r="K56" s="34">
        <v>5</v>
      </c>
      <c r="L56" s="34">
        <v>5.4119141002997742E-4</v>
      </c>
      <c r="M56" s="34">
        <v>6.4563841285027805E-5</v>
      </c>
      <c r="U56" s="34">
        <v>3.8443793102752514E-3</v>
      </c>
      <c r="V56" s="34">
        <v>3.830979341327646E-5</v>
      </c>
      <c r="W56" s="34">
        <v>5.412523400631533E-4</v>
      </c>
      <c r="X56" s="34">
        <v>3.8970168484547037E-3</v>
      </c>
      <c r="Y56" s="34">
        <v>3.8448770475866743E-5</v>
      </c>
      <c r="Z56" s="34">
        <v>5.4119141002997742E-4</v>
      </c>
    </row>
    <row r="57" spans="2:29" x14ac:dyDescent="0.15">
      <c r="W57" s="34">
        <v>26.660904996236752</v>
      </c>
      <c r="Z57" s="34">
        <v>26.681806853883462</v>
      </c>
    </row>
    <row r="58" spans="2:29" x14ac:dyDescent="0.15">
      <c r="W58" s="34">
        <v>375.1230074873547</v>
      </c>
      <c r="Z58" s="34">
        <v>375.4160244215791</v>
      </c>
    </row>
    <row r="59" spans="2:29" x14ac:dyDescent="0.15">
      <c r="W59" s="34">
        <v>1.6750603312517096</v>
      </c>
      <c r="Z59" s="34">
        <v>1.6750627303948247</v>
      </c>
    </row>
    <row r="60" spans="2:29" x14ac:dyDescent="0.15">
      <c r="B60" s="34">
        <v>1.7600000000000002</v>
      </c>
      <c r="C60" s="34">
        <v>80</v>
      </c>
      <c r="D60" s="34">
        <v>0.19600000000000001</v>
      </c>
      <c r="E60" s="34">
        <v>0.22700000000000001</v>
      </c>
      <c r="F60" s="34">
        <v>1.8089999999999999</v>
      </c>
      <c r="G60" s="34">
        <v>0.78900000000000003</v>
      </c>
      <c r="H60" s="34">
        <v>0.64600000000000002</v>
      </c>
      <c r="I60" s="34">
        <v>1.5</v>
      </c>
      <c r="J60" s="34">
        <v>0.5</v>
      </c>
      <c r="K60" s="34">
        <v>1</v>
      </c>
      <c r="L60" s="34">
        <v>1</v>
      </c>
      <c r="M60" s="34">
        <v>0.11814224861493774</v>
      </c>
      <c r="N60" s="34">
        <v>4.956287216314277E-4</v>
      </c>
      <c r="O60" s="34">
        <v>0.66105450083322903</v>
      </c>
      <c r="P60" s="34">
        <v>8.847544659577132E-2</v>
      </c>
      <c r="Q60" s="34">
        <v>1.8350565144170508E-2</v>
      </c>
      <c r="U60" s="34">
        <v>4.8000000000000007</v>
      </c>
      <c r="V60" s="34">
        <v>7.0562349053460816E-2</v>
      </c>
      <c r="W60" s="34">
        <v>1</v>
      </c>
      <c r="X60" s="34">
        <v>4.8000000000000007</v>
      </c>
      <c r="Y60" s="34">
        <v>7.069055588214411E-2</v>
      </c>
      <c r="Z60" s="34">
        <v>1</v>
      </c>
    </row>
    <row r="61" spans="2:29" x14ac:dyDescent="0.15">
      <c r="K61" s="34">
        <v>2</v>
      </c>
      <c r="L61" s="34">
        <v>0.96127520504174313</v>
      </c>
      <c r="M61" s="34">
        <v>0.11356721426141687</v>
      </c>
      <c r="N61" s="34">
        <v>1.4590826944321626E-3</v>
      </c>
      <c r="O61" s="34">
        <v>0.44948291894609022</v>
      </c>
      <c r="P61" s="34">
        <v>0.1440678943051257</v>
      </c>
      <c r="Q61" s="34">
        <v>0.33885149206304899</v>
      </c>
      <c r="U61" s="34">
        <v>13.262115933907845</v>
      </c>
      <c r="V61" s="34">
        <v>6.7824871771439588E-2</v>
      </c>
      <c r="W61" s="34">
        <v>0.96120484481111579</v>
      </c>
      <c r="X61" s="34">
        <v>13.264626858393399</v>
      </c>
      <c r="Y61" s="34">
        <v>6.7953078600122882E-2</v>
      </c>
      <c r="Z61" s="34">
        <v>0.96127520504174313</v>
      </c>
    </row>
    <row r="62" spans="2:29" x14ac:dyDescent="0.15">
      <c r="D62" s="34">
        <v>11.198359489440918</v>
      </c>
      <c r="K62" s="34">
        <v>3</v>
      </c>
      <c r="L62" s="34">
        <v>0.77127182918464188</v>
      </c>
      <c r="M62" s="34">
        <v>9.1119788193229759E-2</v>
      </c>
      <c r="N62" s="34">
        <v>6.8954082819646257E-3</v>
      </c>
      <c r="O62" s="34">
        <v>0.11315050889838912</v>
      </c>
      <c r="P62" s="34">
        <v>0.25068622484589387</v>
      </c>
      <c r="Q62" s="34">
        <v>1.5512390335366428</v>
      </c>
      <c r="U62" s="34">
        <v>11.027281959841556</v>
      </c>
      <c r="V62" s="34">
        <v>5.4395294439763223E-2</v>
      </c>
      <c r="W62" s="34">
        <v>0.7708827040118974</v>
      </c>
      <c r="X62" s="34">
        <v>11.100710937771323</v>
      </c>
      <c r="Y62" s="34">
        <v>5.4521634341300432E-2</v>
      </c>
      <c r="Z62" s="34">
        <v>0.77127182918464188</v>
      </c>
    </row>
    <row r="63" spans="2:29" x14ac:dyDescent="0.15">
      <c r="D63" s="34">
        <v>0.1837615663298128</v>
      </c>
      <c r="K63" s="34">
        <v>4</v>
      </c>
      <c r="L63" s="34">
        <v>0.23251517482126299</v>
      </c>
      <c r="M63" s="34">
        <v>2.7469865590479366E-2</v>
      </c>
      <c r="N63" s="34">
        <v>2.2266948708164025E-3</v>
      </c>
      <c r="O63" s="34">
        <v>0.21934534107162909</v>
      </c>
      <c r="P63" s="34">
        <v>0.22094703332061325</v>
      </c>
      <c r="Q63" s="34">
        <v>0.73501348522747767</v>
      </c>
      <c r="U63" s="34">
        <v>2.9530371125733219</v>
      </c>
      <c r="V63" s="34">
        <v>1.640945174976453E-2</v>
      </c>
      <c r="W63" s="34">
        <v>0.23255251518528788</v>
      </c>
      <c r="X63" s="34">
        <v>2.9301616913346278</v>
      </c>
      <c r="Y63" s="34">
        <v>1.6436626959148999E-2</v>
      </c>
      <c r="Z63" s="34">
        <v>0.23251517482126299</v>
      </c>
    </row>
    <row r="64" spans="2:29" x14ac:dyDescent="0.15">
      <c r="D64" s="34">
        <v>6.5619317714875058E-2</v>
      </c>
      <c r="K64" s="34">
        <v>5</v>
      </c>
      <c r="L64" s="34">
        <v>5.4502312347447864E-4</v>
      </c>
      <c r="M64" s="34">
        <v>6.4390257354411773E-5</v>
      </c>
      <c r="U64" s="34">
        <v>3.8965781522158375E-3</v>
      </c>
      <c r="V64" s="34">
        <v>3.8464261976380107E-5</v>
      </c>
      <c r="W64" s="34">
        <v>5.4511028179118676E-4</v>
      </c>
      <c r="X64" s="34">
        <v>3.9247940288965446E-3</v>
      </c>
      <c r="Y64" s="34">
        <v>3.8527987567033364E-5</v>
      </c>
      <c r="Z64" s="34">
        <v>5.4502312347447864E-4</v>
      </c>
    </row>
    <row r="65" spans="2:26" x14ac:dyDescent="0.15">
      <c r="W65" s="34">
        <v>26.788788275728017</v>
      </c>
      <c r="Z65" s="34">
        <v>26.799077451278805</v>
      </c>
    </row>
    <row r="66" spans="2:26" x14ac:dyDescent="0.15">
      <c r="W66" s="34">
        <v>378.88546335678984</v>
      </c>
      <c r="Z66" s="34">
        <v>379.03069647680513</v>
      </c>
    </row>
    <row r="67" spans="2:26" x14ac:dyDescent="0.15">
      <c r="W67" s="34">
        <v>1.6707152020164149</v>
      </c>
      <c r="Z67" s="34">
        <v>1.6707158437063205</v>
      </c>
    </row>
    <row r="68" spans="2:26" x14ac:dyDescent="0.15">
      <c r="B68" s="34">
        <v>1.7600000000000002</v>
      </c>
      <c r="C68" s="34">
        <v>80.400000000000006</v>
      </c>
      <c r="D68" s="34">
        <v>0.19600000000000001</v>
      </c>
      <c r="E68" s="34">
        <v>0.22800000000000001</v>
      </c>
      <c r="F68" s="34">
        <v>1.806</v>
      </c>
      <c r="G68" s="34">
        <v>0.78800000000000003</v>
      </c>
      <c r="H68" s="34">
        <v>0.64500000000000002</v>
      </c>
      <c r="I68" s="34">
        <v>1.4930000305175781</v>
      </c>
      <c r="J68" s="34">
        <v>0.49799999594688416</v>
      </c>
      <c r="K68" s="34">
        <v>1</v>
      </c>
      <c r="L68" s="34">
        <v>1</v>
      </c>
      <c r="M68" s="34">
        <v>0.11753224471484219</v>
      </c>
      <c r="N68" s="34">
        <v>4.9184392800743885E-4</v>
      </c>
      <c r="O68" s="34">
        <v>0.66283335383650377</v>
      </c>
      <c r="P68" s="34">
        <v>8.8021271360892661E-2</v>
      </c>
      <c r="Q68" s="34">
        <v>1.8167970626536051E-2</v>
      </c>
      <c r="U68" s="34">
        <v>4.8000000000000007</v>
      </c>
      <c r="V68" s="34">
        <v>7.0429957080285308E-2</v>
      </c>
      <c r="W68" s="34">
        <v>1</v>
      </c>
      <c r="X68" s="34">
        <v>4.8000000000000007</v>
      </c>
      <c r="Y68" s="34">
        <v>7.0489926704472808E-2</v>
      </c>
      <c r="Z68" s="34">
        <v>1</v>
      </c>
    </row>
    <row r="69" spans="2:26" x14ac:dyDescent="0.15">
      <c r="K69" s="34">
        <v>2</v>
      </c>
      <c r="L69" s="34">
        <v>0.96137147037387938</v>
      </c>
      <c r="M69" s="34">
        <v>0.11299214691785045</v>
      </c>
      <c r="N69" s="34">
        <v>1.4320042007351134E-3</v>
      </c>
      <c r="O69" s="34">
        <v>0.45311143710149482</v>
      </c>
      <c r="P69" s="34">
        <v>0.14312014702572898</v>
      </c>
      <c r="Q69" s="34">
        <v>0.3318213127951079</v>
      </c>
      <c r="U69" s="34">
        <v>13.265597829576055</v>
      </c>
      <c r="V69" s="34">
        <v>6.7707034858238507E-2</v>
      </c>
      <c r="W69" s="34">
        <v>0.96133857899497432</v>
      </c>
      <c r="X69" s="34">
        <v>13.266472390130646</v>
      </c>
      <c r="Y69" s="34">
        <v>6.7767004482426008E-2</v>
      </c>
      <c r="Z69" s="34">
        <v>0.96137147037387938</v>
      </c>
    </row>
    <row r="70" spans="2:26" x14ac:dyDescent="0.15">
      <c r="D70" s="34">
        <v>11.274616241455078</v>
      </c>
      <c r="K70" s="34">
        <v>3</v>
      </c>
      <c r="L70" s="34">
        <v>0.77392645125666015</v>
      </c>
      <c r="M70" s="34">
        <v>9.0961313060387169E-2</v>
      </c>
      <c r="N70" s="34">
        <v>6.9077903628135496E-3</v>
      </c>
      <c r="O70" s="34">
        <v>0.11301430600905096</v>
      </c>
      <c r="P70" s="34">
        <v>0.25072337108844067</v>
      </c>
      <c r="Q70" s="34">
        <v>1.5526886361982291</v>
      </c>
      <c r="U70" s="34">
        <v>11.106314340258843</v>
      </c>
      <c r="V70" s="34">
        <v>5.4494688812849475E-2</v>
      </c>
      <c r="W70" s="34">
        <v>0.77374303594604321</v>
      </c>
      <c r="X70" s="34">
        <v>11.141899717623023</v>
      </c>
      <c r="Y70" s="34">
        <v>5.4554018823734722E-2</v>
      </c>
      <c r="Z70" s="34">
        <v>0.77392645125666015</v>
      </c>
    </row>
    <row r="71" spans="2:26" x14ac:dyDescent="0.15">
      <c r="D71" s="34">
        <v>0.18289260193058307</v>
      </c>
      <c r="K71" s="34">
        <v>4</v>
      </c>
      <c r="L71" s="34">
        <v>0.23140113075105029</v>
      </c>
      <c r="M71" s="34">
        <v>2.7197094326723639E-2</v>
      </c>
      <c r="N71" s="34">
        <v>2.2045396974372106E-3</v>
      </c>
      <c r="O71" s="34">
        <v>0.2203866342204511</v>
      </c>
      <c r="P71" s="34">
        <v>0.22065901606668373</v>
      </c>
      <c r="Q71" s="34">
        <v>0.7266579613461821</v>
      </c>
      <c r="U71" s="34">
        <v>2.9296912027479141</v>
      </c>
      <c r="V71" s="34">
        <v>1.6299855792317956E-2</v>
      </c>
      <c r="W71" s="34">
        <v>0.23143356134289905</v>
      </c>
      <c r="X71" s="34">
        <v>2.9160628729205285</v>
      </c>
      <c r="Y71" s="34">
        <v>1.6311448745973664E-2</v>
      </c>
      <c r="Z71" s="34">
        <v>0.23140113075105029</v>
      </c>
    </row>
    <row r="72" spans="2:26" x14ac:dyDescent="0.15">
      <c r="D72" s="34">
        <v>6.5360357215740877E-2</v>
      </c>
      <c r="K72" s="34">
        <v>5</v>
      </c>
      <c r="L72" s="34">
        <v>5.4706732377447222E-4</v>
      </c>
      <c r="M72" s="34">
        <v>6.4298050573355074E-5</v>
      </c>
      <c r="U72" s="34">
        <v>3.9241664890162465E-3</v>
      </c>
      <c r="V72" s="34">
        <v>3.8535313126167854E-5</v>
      </c>
      <c r="W72" s="34">
        <v>5.4714378261284816E-4</v>
      </c>
      <c r="X72" s="34">
        <v>3.9394352348125069E-3</v>
      </c>
      <c r="Y72" s="34">
        <v>3.8562735555274642E-5</v>
      </c>
      <c r="Z72" s="34">
        <v>5.4706732377447222E-4</v>
      </c>
    </row>
    <row r="73" spans="2:26" x14ac:dyDescent="0.15">
      <c r="W73" s="34">
        <v>26.849416000741559</v>
      </c>
      <c r="Z73" s="34">
        <v>26.854187268599222</v>
      </c>
    </row>
    <row r="74" spans="2:26" x14ac:dyDescent="0.15">
      <c r="W74" s="34">
        <v>380.86284370726571</v>
      </c>
      <c r="Z74" s="34">
        <v>380.93045328790231</v>
      </c>
    </row>
    <row r="75" spans="2:26" x14ac:dyDescent="0.15">
      <c r="W75" s="34">
        <v>1.6682570928590554</v>
      </c>
      <c r="Z75" s="34">
        <v>1.6682572495177552</v>
      </c>
    </row>
    <row r="76" spans="2:26" x14ac:dyDescent="0.15">
      <c r="B76" s="34">
        <v>1.7600000000000002</v>
      </c>
      <c r="C76" s="34">
        <v>80.599999999999994</v>
      </c>
      <c r="D76" s="34">
        <v>0.19700000000000001</v>
      </c>
      <c r="E76" s="34">
        <v>0.22800000000000001</v>
      </c>
      <c r="F76" s="34">
        <v>1.804</v>
      </c>
      <c r="G76" s="34">
        <v>0.78800000000000003</v>
      </c>
      <c r="H76" s="34">
        <v>0.64500000000000002</v>
      </c>
      <c r="I76" s="34">
        <v>1.4889999628067017</v>
      </c>
      <c r="J76" s="34">
        <v>0.49599999189376831</v>
      </c>
      <c r="K76" s="34">
        <v>1</v>
      </c>
      <c r="L76" s="34">
        <v>1</v>
      </c>
      <c r="M76" s="34">
        <v>0.11722512783037804</v>
      </c>
      <c r="N76" s="34">
        <v>4.900125128699175E-4</v>
      </c>
      <c r="O76" s="34">
        <v>0.66369411895113883</v>
      </c>
      <c r="P76" s="34">
        <v>8.7801501544390093E-2</v>
      </c>
      <c r="Q76" s="34">
        <v>1.8081448493653032E-2</v>
      </c>
      <c r="U76" s="34">
        <v>4.8000000000000007</v>
      </c>
      <c r="V76" s="34">
        <v>7.0351755572894997E-2</v>
      </c>
      <c r="W76" s="34">
        <v>1</v>
      </c>
      <c r="X76" s="34">
        <v>4.8000000000000007</v>
      </c>
      <c r="Y76" s="34">
        <v>7.0379112970004265E-2</v>
      </c>
      <c r="Z76" s="34">
        <v>1</v>
      </c>
    </row>
    <row r="77" spans="2:26" x14ac:dyDescent="0.15">
      <c r="K77" s="34">
        <v>2</v>
      </c>
      <c r="L77" s="34">
        <v>0.96141448074992508</v>
      </c>
      <c r="M77" s="34">
        <v>0.1127019354038865</v>
      </c>
      <c r="N77" s="34">
        <v>1.4191216051512416E-3</v>
      </c>
      <c r="O77" s="34">
        <v>0.45483770490973363</v>
      </c>
      <c r="P77" s="34">
        <v>0.14266925618029347</v>
      </c>
      <c r="Q77" s="34">
        <v>0.32850860430442336</v>
      </c>
      <c r="U77" s="34">
        <v>13.266926291159535</v>
      </c>
      <c r="V77" s="34">
        <v>6.7636140954587698E-2</v>
      </c>
      <c r="W77" s="34">
        <v>0.96139947615815335</v>
      </c>
      <c r="X77" s="34">
        <v>13.267312770982517</v>
      </c>
      <c r="Y77" s="34">
        <v>6.7663498351696966E-2</v>
      </c>
      <c r="Z77" s="34">
        <v>0.96141448074992508</v>
      </c>
    </row>
    <row r="78" spans="2:26" x14ac:dyDescent="0.15">
      <c r="D78" s="34">
        <v>11.313694000244141</v>
      </c>
      <c r="K78" s="34">
        <v>3</v>
      </c>
      <c r="L78" s="34">
        <v>0.77516908709301924</v>
      </c>
      <c r="M78" s="34">
        <v>9.0869295324636626E-2</v>
      </c>
      <c r="N78" s="34">
        <v>6.9136764876515993E-3</v>
      </c>
      <c r="O78" s="34">
        <v>0.11294955863583241</v>
      </c>
      <c r="P78" s="34">
        <v>0.25074102946295479</v>
      </c>
      <c r="Q78" s="34">
        <v>1.5534636464897444</v>
      </c>
      <c r="U78" s="34">
        <v>11.144540898095906</v>
      </c>
      <c r="V78" s="34">
        <v>5.4528635744311375E-2</v>
      </c>
      <c r="W78" s="34">
        <v>0.77508564356736642</v>
      </c>
      <c r="X78" s="34">
        <v>11.161233267370077</v>
      </c>
      <c r="Y78" s="34">
        <v>5.4555712751374677E-2</v>
      </c>
      <c r="Z78" s="34">
        <v>0.77516908709301924</v>
      </c>
    </row>
    <row r="79" spans="2:26" x14ac:dyDescent="0.15">
      <c r="D79" s="34">
        <v>0.18245329726303131</v>
      </c>
      <c r="K79" s="34">
        <v>4</v>
      </c>
      <c r="L79" s="34">
        <v>0.23075891348202526</v>
      </c>
      <c r="M79" s="34">
        <v>2.7050743130929557E-2</v>
      </c>
      <c r="N79" s="34">
        <v>2.1926521650780613E-3</v>
      </c>
      <c r="O79" s="34">
        <v>0.22094534824133114</v>
      </c>
      <c r="P79" s="34">
        <v>0.22050447814601479</v>
      </c>
      <c r="Q79" s="34">
        <v>0.7222549235586212</v>
      </c>
      <c r="U79" s="34">
        <v>2.9156542474632339</v>
      </c>
      <c r="V79" s="34">
        <v>1.623591894881346E-2</v>
      </c>
      <c r="W79" s="34">
        <v>0.23078200133883806</v>
      </c>
      <c r="X79" s="34">
        <v>2.90785321686936</v>
      </c>
      <c r="Y79" s="34">
        <v>1.6240607640786896E-2</v>
      </c>
      <c r="Z79" s="34">
        <v>0.23075891348202526</v>
      </c>
    </row>
    <row r="80" spans="2:26" x14ac:dyDescent="0.15">
      <c r="D80" s="34">
        <v>6.5228169432653263E-2</v>
      </c>
      <c r="K80" s="34">
        <v>5</v>
      </c>
      <c r="L80" s="34">
        <v>5.4813286658467555E-4</v>
      </c>
      <c r="M80" s="34">
        <v>6.425494535342015E-5</v>
      </c>
      <c r="U80" s="34">
        <v>3.9388847311762005E-3</v>
      </c>
      <c r="V80" s="34">
        <v>3.8565959368087489E-5</v>
      </c>
      <c r="W80" s="34">
        <v>5.4818759040245067E-4</v>
      </c>
      <c r="X80" s="34">
        <v>3.9469506508976451E-3</v>
      </c>
      <c r="Y80" s="34">
        <v>3.8577104939935153E-5</v>
      </c>
      <c r="Z80" s="34">
        <v>5.4813286658467555E-4</v>
      </c>
    </row>
    <row r="81" spans="2:26" x14ac:dyDescent="0.15">
      <c r="W81" s="34">
        <v>26.877181566752061</v>
      </c>
      <c r="Z81" s="34">
        <v>26.879308210743645</v>
      </c>
    </row>
    <row r="82" spans="2:26" x14ac:dyDescent="0.15">
      <c r="W82" s="34">
        <v>381.8757637279723</v>
      </c>
      <c r="Z82" s="34">
        <v>381.90596269277285</v>
      </c>
    </row>
    <row r="83" spans="2:26" x14ac:dyDescent="0.15">
      <c r="W83" s="34">
        <v>1.666904332805931</v>
      </c>
      <c r="Z83" s="34">
        <v>1.6669043694045806</v>
      </c>
    </row>
    <row r="84" spans="2:26" x14ac:dyDescent="0.15">
      <c r="B84" s="34">
        <v>1.7600000000000002</v>
      </c>
      <c r="C84" s="34">
        <v>80.7</v>
      </c>
      <c r="D84" s="34">
        <v>0.19700000000000001</v>
      </c>
      <c r="E84" s="34">
        <v>0.22800000000000001</v>
      </c>
      <c r="F84" s="34">
        <v>1.8029999999999999</v>
      </c>
      <c r="G84" s="34">
        <v>0.78700000000000003</v>
      </c>
      <c r="H84" s="34">
        <v>0.64500000000000002</v>
      </c>
      <c r="I84" s="34">
        <v>1.4880000352859497</v>
      </c>
      <c r="J84" s="34">
        <v>0.49599999189376831</v>
      </c>
      <c r="K84" s="34">
        <v>1</v>
      </c>
      <c r="L84" s="34">
        <v>1</v>
      </c>
      <c r="M84" s="34">
        <v>0.11707555410824651</v>
      </c>
      <c r="N84" s="34">
        <v>4.8915277044689451E-4</v>
      </c>
      <c r="O84" s="34">
        <v>0.66409819788995961</v>
      </c>
      <c r="P84" s="34">
        <v>8.7698332453627334E-2</v>
      </c>
      <c r="Q84" s="34">
        <v>1.804145372160703E-2</v>
      </c>
      <c r="U84" s="34">
        <v>4.8000000000000007</v>
      </c>
      <c r="V84" s="34">
        <v>7.0309394144753179E-2</v>
      </c>
      <c r="W84" s="34">
        <v>1</v>
      </c>
      <c r="X84" s="34">
        <v>4.8000000000000007</v>
      </c>
      <c r="Y84" s="34">
        <v>7.0321536951180347E-2</v>
      </c>
      <c r="Z84" s="34">
        <v>1</v>
      </c>
    </row>
    <row r="85" spans="2:26" x14ac:dyDescent="0.15">
      <c r="K85" s="34">
        <v>2</v>
      </c>
      <c r="L85" s="34">
        <v>0.96143297055496346</v>
      </c>
      <c r="M85" s="34">
        <v>0.11256029776565979</v>
      </c>
      <c r="N85" s="34">
        <v>1.4131166335461126E-3</v>
      </c>
      <c r="O85" s="34">
        <v>0.45564237110482092</v>
      </c>
      <c r="P85" s="34">
        <v>0.14245908217411393</v>
      </c>
      <c r="Q85" s="34">
        <v>0.32697532269372642</v>
      </c>
      <c r="U85" s="34">
        <v>13.267519834348967</v>
      </c>
      <c r="V85" s="34">
        <v>6.7597301358536782E-2</v>
      </c>
      <c r="W85" s="34">
        <v>0.96142630982379496</v>
      </c>
      <c r="X85" s="34">
        <v>13.267683075568371</v>
      </c>
      <c r="Y85" s="34">
        <v>6.760944416496395E-2</v>
      </c>
      <c r="Z85" s="34">
        <v>0.96143297055496346</v>
      </c>
    </row>
    <row r="86" spans="2:26" x14ac:dyDescent="0.15">
      <c r="D86" s="34">
        <v>11.333022117614746</v>
      </c>
      <c r="K86" s="34">
        <v>3</v>
      </c>
      <c r="L86" s="34">
        <v>0.77573873176785779</v>
      </c>
      <c r="M86" s="34">
        <v>9.0820041864950365E-2</v>
      </c>
      <c r="N86" s="34">
        <v>6.9166555819620574E-3</v>
      </c>
      <c r="O86" s="34">
        <v>0.11291678859841738</v>
      </c>
      <c r="P86" s="34">
        <v>0.25074996674588618</v>
      </c>
      <c r="Q86" s="34">
        <v>1.5539119391090799</v>
      </c>
      <c r="U86" s="34">
        <v>11.162434854139477</v>
      </c>
      <c r="V86" s="34">
        <v>5.4539115065612362E-2</v>
      </c>
      <c r="W86" s="34">
        <v>0.77570167868787321</v>
      </c>
      <c r="X86" s="34">
        <v>11.170104173105374</v>
      </c>
      <c r="Y86" s="34">
        <v>5.4551139890475192E-2</v>
      </c>
      <c r="Z86" s="34">
        <v>0.77573873176785779</v>
      </c>
    </row>
    <row r="87" spans="2:26" x14ac:dyDescent="0.15">
      <c r="D87" s="34">
        <v>0.1822383122140479</v>
      </c>
      <c r="K87" s="34">
        <v>4</v>
      </c>
      <c r="L87" s="34">
        <v>0.23039814369964001</v>
      </c>
      <c r="M87" s="34">
        <v>2.6973990339146759E-2</v>
      </c>
      <c r="N87" s="34">
        <v>2.1864176469349504E-3</v>
      </c>
      <c r="O87" s="34">
        <v>0.22123837059405735</v>
      </c>
      <c r="P87" s="34">
        <v>0.22042342941015436</v>
      </c>
      <c r="Q87" s="34">
        <v>0.7199741185495343</v>
      </c>
      <c r="U87" s="34">
        <v>2.9075623098735188</v>
      </c>
      <c r="V87" s="34">
        <v>1.620020017959355E-2</v>
      </c>
      <c r="W87" s="34">
        <v>0.23041302484047199</v>
      </c>
      <c r="X87" s="34">
        <v>2.9032041129899473</v>
      </c>
      <c r="Y87" s="34">
        <v>1.6201951575657594E-2</v>
      </c>
      <c r="Z87" s="34">
        <v>0.23039814369964001</v>
      </c>
    </row>
    <row r="88" spans="2:26" x14ac:dyDescent="0.15">
      <c r="D88" s="34">
        <v>6.5162758105801397E-2</v>
      </c>
      <c r="K88" s="34">
        <v>5</v>
      </c>
      <c r="L88" s="34">
        <v>5.4866009434697703E-4</v>
      </c>
      <c r="M88" s="34">
        <v>6.4234684562755137E-5</v>
      </c>
      <c r="U88" s="34">
        <v>3.9465566394096645E-3</v>
      </c>
      <c r="V88" s="34">
        <v>3.8578446060976881E-5</v>
      </c>
      <c r="W88" s="34">
        <v>5.4869546993324204E-4</v>
      </c>
      <c r="X88" s="34">
        <v>3.9506073835193431E-3</v>
      </c>
      <c r="Y88" s="34">
        <v>3.8582621098259044E-5</v>
      </c>
      <c r="Z88" s="34">
        <v>5.4866009434697703E-4</v>
      </c>
    </row>
    <row r="89" spans="2:26" x14ac:dyDescent="0.15">
      <c r="W89" s="34">
        <v>26.889506346535264</v>
      </c>
      <c r="Z89" s="34">
        <v>26.89042448191703</v>
      </c>
    </row>
    <row r="90" spans="2:26" x14ac:dyDescent="0.15">
      <c r="W90" s="34">
        <v>382.37226641307734</v>
      </c>
      <c r="Z90" s="34">
        <v>382.38531855590827</v>
      </c>
    </row>
    <row r="91" spans="2:26" x14ac:dyDescent="0.15">
      <c r="W91" s="34">
        <v>1.6662036556184565</v>
      </c>
      <c r="Z91" s="34">
        <v>1.66620366403113</v>
      </c>
    </row>
    <row r="92" spans="2:26" x14ac:dyDescent="0.15">
      <c r="B92" s="34">
        <v>1.7600000000000002</v>
      </c>
      <c r="C92" s="34">
        <v>80.7</v>
      </c>
      <c r="D92" s="34">
        <v>0.19700000000000001</v>
      </c>
      <c r="E92" s="34">
        <v>0.22800000000000001</v>
      </c>
      <c r="F92" s="34">
        <v>1.802</v>
      </c>
      <c r="G92" s="34">
        <v>0.78700000000000003</v>
      </c>
      <c r="H92" s="34">
        <v>0.64400000000000002</v>
      </c>
      <c r="I92" s="34">
        <v>1.4869999885559082</v>
      </c>
      <c r="J92" s="34">
        <v>0.49599999189376831</v>
      </c>
      <c r="K92" s="34">
        <v>1</v>
      </c>
      <c r="L92" s="34">
        <v>1</v>
      </c>
      <c r="M92" s="34">
        <v>0.11700393051078728</v>
      </c>
      <c r="N92" s="34">
        <v>4.8875468539700856E-4</v>
      </c>
      <c r="O92" s="34">
        <v>0.66428529786340595</v>
      </c>
      <c r="P92" s="34">
        <v>8.765056224764102E-2</v>
      </c>
      <c r="Q92" s="34">
        <v>1.8023066839385014E-2</v>
      </c>
      <c r="U92" s="34">
        <v>4.8000000000000007</v>
      </c>
      <c r="V92" s="34">
        <v>7.0287657971819101E-2</v>
      </c>
      <c r="W92" s="34">
        <v>1</v>
      </c>
      <c r="X92" s="34">
        <v>4.8000000000000007</v>
      </c>
      <c r="Y92" s="34">
        <v>7.0292961690837277E-2</v>
      </c>
      <c r="Z92" s="34">
        <v>1</v>
      </c>
    </row>
    <row r="93" spans="2:26" x14ac:dyDescent="0.15">
      <c r="K93" s="34">
        <v>2</v>
      </c>
      <c r="L93" s="34">
        <v>0.9614407679155611</v>
      </c>
      <c r="M93" s="34">
        <v>0.11249234879943028</v>
      </c>
      <c r="N93" s="34">
        <v>1.4103436566866687E-3</v>
      </c>
      <c r="O93" s="34">
        <v>0.45601395000398642</v>
      </c>
      <c r="P93" s="34">
        <v>0.14236202798403341</v>
      </c>
      <c r="Q93" s="34">
        <v>0.32626951928241832</v>
      </c>
      <c r="U93" s="34">
        <v>13.267774993658497</v>
      </c>
      <c r="V93" s="34">
        <v>6.7577215348079533E-2</v>
      </c>
      <c r="W93" s="34">
        <v>0.96143785833885254</v>
      </c>
      <c r="X93" s="34">
        <v>13.267842445076166</v>
      </c>
      <c r="Y93" s="34">
        <v>6.758251906709771E-2</v>
      </c>
      <c r="Z93" s="34">
        <v>0.9614407679155611</v>
      </c>
    </row>
    <row r="94" spans="2:26" x14ac:dyDescent="0.15">
      <c r="D94" s="34">
        <v>11.342384338378906</v>
      </c>
      <c r="K94" s="34">
        <v>3</v>
      </c>
      <c r="L94" s="34">
        <v>0.77599747021150656</v>
      </c>
      <c r="M94" s="34">
        <v>9.0794754081173837E-2</v>
      </c>
      <c r="N94" s="34">
        <v>6.9182317639734899E-3</v>
      </c>
      <c r="O94" s="34">
        <v>0.11289945059629161</v>
      </c>
      <c r="P94" s="34">
        <v>0.25075469529192046</v>
      </c>
      <c r="Q94" s="34">
        <v>1.5541691955202646</v>
      </c>
      <c r="U94" s="34">
        <v>11.170637737457152</v>
      </c>
      <c r="V94" s="34">
        <v>5.4541905390742246E-2</v>
      </c>
      <c r="W94" s="34">
        <v>0.77598125993343092</v>
      </c>
      <c r="X94" s="34">
        <v>11.174130143041406</v>
      </c>
      <c r="Y94" s="34">
        <v>5.4547160445764069E-2</v>
      </c>
      <c r="Z94" s="34">
        <v>0.77599747021150656</v>
      </c>
    </row>
    <row r="95" spans="2:26" x14ac:dyDescent="0.15">
      <c r="D95" s="34">
        <v>0.18213495423698212</v>
      </c>
      <c r="K95" s="34">
        <v>4</v>
      </c>
      <c r="L95" s="34">
        <v>0.230198704140745</v>
      </c>
      <c r="M95" s="34">
        <v>2.693415318295701E-2</v>
      </c>
      <c r="N95" s="34">
        <v>2.1831816907009654E-3</v>
      </c>
      <c r="O95" s="34">
        <v>0.22139046053705463</v>
      </c>
      <c r="P95" s="34">
        <v>0.22038136197911254</v>
      </c>
      <c r="Q95" s="34">
        <v>0.71879655444156021</v>
      </c>
      <c r="U95" s="34">
        <v>2.9030166106154645</v>
      </c>
      <c r="V95" s="34">
        <v>1.6180764210654078E-2</v>
      </c>
      <c r="W95" s="34">
        <v>0.23020775876671748</v>
      </c>
      <c r="X95" s="34">
        <v>2.9006177604606407</v>
      </c>
      <c r="Y95" s="34">
        <v>1.6181348691445774E-2</v>
      </c>
      <c r="Z95" s="34">
        <v>0.230198704140745</v>
      </c>
    </row>
    <row r="96" spans="2:26" x14ac:dyDescent="0.15">
      <c r="D96" s="34">
        <v>6.5131023726194837E-2</v>
      </c>
      <c r="K96" s="34">
        <v>5</v>
      </c>
      <c r="L96" s="34">
        <v>5.4891046601318041E-4</v>
      </c>
      <c r="M96" s="34">
        <v>6.4224682022050029E-5</v>
      </c>
      <c r="U96" s="34">
        <v>3.9503526792982347E-3</v>
      </c>
      <c r="V96" s="34">
        <v>3.8583146487038699E-5</v>
      </c>
      <c r="W96" s="34">
        <v>5.4893202591140672E-4</v>
      </c>
      <c r="X96" s="34">
        <v>3.9523105865621284E-3</v>
      </c>
      <c r="Y96" s="34">
        <v>3.8584542359164126E-5</v>
      </c>
      <c r="Z96" s="34">
        <v>5.4891046601318041E-4</v>
      </c>
    </row>
    <row r="97" spans="2:26" x14ac:dyDescent="0.15">
      <c r="W97" s="34">
        <v>26.894868495453196</v>
      </c>
      <c r="Z97" s="34">
        <v>26.895255451323177</v>
      </c>
    </row>
    <row r="98" spans="2:26" x14ac:dyDescent="0.15">
      <c r="W98" s="34">
        <v>382.60776416726549</v>
      </c>
      <c r="Z98" s="34">
        <v>382.61326813669803</v>
      </c>
    </row>
    <row r="99" spans="2:26" x14ac:dyDescent="0.15">
      <c r="W99" s="34">
        <v>1.6658568695939564</v>
      </c>
      <c r="Z99" s="34">
        <v>1.6658568715192741</v>
      </c>
    </row>
    <row r="100" spans="2:26" x14ac:dyDescent="0.15">
      <c r="B100" s="34">
        <v>1.7600000000000002</v>
      </c>
      <c r="C100" s="34">
        <v>80.7</v>
      </c>
      <c r="D100" s="34">
        <v>0.19700000000000001</v>
      </c>
      <c r="E100" s="34">
        <v>0.22800000000000001</v>
      </c>
      <c r="F100" s="34">
        <v>1.802</v>
      </c>
      <c r="G100" s="34">
        <v>0.78700000000000003</v>
      </c>
      <c r="H100" s="34">
        <v>0.64400000000000002</v>
      </c>
      <c r="I100" s="34">
        <v>1.4859999418258667</v>
      </c>
      <c r="J100" s="34">
        <v>0.49500000476837158</v>
      </c>
      <c r="K100" s="34">
        <v>1</v>
      </c>
      <c r="L100" s="34">
        <v>1</v>
      </c>
      <c r="M100" s="34">
        <v>0.1169697932715878</v>
      </c>
      <c r="N100" s="34">
        <v>4.8857051333438663E-4</v>
      </c>
      <c r="O100" s="34">
        <v>0.66437185873283833</v>
      </c>
      <c r="P100" s="34">
        <v>8.7628461600126384E-2</v>
      </c>
      <c r="Q100" s="34">
        <v>1.8014560439627757E-2</v>
      </c>
      <c r="U100" s="34">
        <v>4.8000000000000007</v>
      </c>
      <c r="V100" s="34">
        <v>7.0276845383811168E-2</v>
      </c>
      <c r="W100" s="34">
        <v>1</v>
      </c>
      <c r="X100" s="34">
        <v>4.8000000000000007</v>
      </c>
      <c r="Y100" s="34">
        <v>7.0279139190786405E-2</v>
      </c>
      <c r="Z100" s="34">
        <v>1</v>
      </c>
    </row>
    <row r="101" spans="2:26" x14ac:dyDescent="0.15">
      <c r="K101" s="34">
        <v>2</v>
      </c>
      <c r="L101" s="34">
        <v>0.9614440486264958</v>
      </c>
      <c r="M101" s="34">
        <v>0.11245991161003961</v>
      </c>
      <c r="N101" s="34">
        <v>1.4090656607967575E-3</v>
      </c>
      <c r="O101" s="34">
        <v>0.45618520145323449</v>
      </c>
      <c r="P101" s="34">
        <v>0.14231729812788652</v>
      </c>
      <c r="Q101" s="34">
        <v>0.32594407555471711</v>
      </c>
      <c r="U101" s="34">
        <v>13.267882597234744</v>
      </c>
      <c r="V101" s="34">
        <v>6.7567166310599475E-2</v>
      </c>
      <c r="W101" s="34">
        <v>0.96144279017629486</v>
      </c>
      <c r="X101" s="34">
        <v>13.267910504432869</v>
      </c>
      <c r="Y101" s="34">
        <v>6.7569460117574712E-2</v>
      </c>
      <c r="Z101" s="34">
        <v>0.9614440486264958</v>
      </c>
    </row>
    <row r="102" spans="2:26" x14ac:dyDescent="0.15">
      <c r="D102" s="34">
        <v>11.346880912780762</v>
      </c>
      <c r="K102" s="34">
        <v>3</v>
      </c>
      <c r="L102" s="34">
        <v>0.77611472011606697</v>
      </c>
      <c r="M102" s="34">
        <v>9.0781978367012572E-2</v>
      </c>
      <c r="N102" s="34">
        <v>6.9190825432029071E-3</v>
      </c>
      <c r="O102" s="34">
        <v>0.11289009202476802</v>
      </c>
      <c r="P102" s="34">
        <v>0.25075724762960871</v>
      </c>
      <c r="Q102" s="34">
        <v>1.5543127750122792</v>
      </c>
      <c r="U102" s="34">
        <v>11.174363571045694</v>
      </c>
      <c r="V102" s="34">
        <v>5.4542400753806147E-2</v>
      </c>
      <c r="W102" s="34">
        <v>0.77610769885767272</v>
      </c>
      <c r="X102" s="34">
        <v>11.175950863550488</v>
      </c>
      <c r="Y102" s="34">
        <v>5.4544674443055302E-2</v>
      </c>
      <c r="Z102" s="34">
        <v>0.77611472011606697</v>
      </c>
    </row>
    <row r="103" spans="2:26" x14ac:dyDescent="0.15">
      <c r="D103" s="34">
        <v>0.18208554366142146</v>
      </c>
      <c r="K103" s="34">
        <v>4</v>
      </c>
      <c r="L103" s="34">
        <v>0.23008952456274889</v>
      </c>
      <c r="M103" s="34">
        <v>2.691352412206266E-2</v>
      </c>
      <c r="N103" s="34">
        <v>2.1815060001985982E-3</v>
      </c>
      <c r="O103" s="34">
        <v>0.22146921799066588</v>
      </c>
      <c r="P103" s="34">
        <v>0.22035957800258177</v>
      </c>
      <c r="Q103" s="34">
        <v>0.71818693751700635</v>
      </c>
      <c r="U103" s="34">
        <v>2.9005036721733872</v>
      </c>
      <c r="V103" s="34">
        <v>1.6170339520198668E-2</v>
      </c>
      <c r="W103" s="34">
        <v>0.23009484036862637</v>
      </c>
      <c r="X103" s="34">
        <v>2.8991949886446928</v>
      </c>
      <c r="Y103" s="34">
        <v>1.6170493723087296E-2</v>
      </c>
      <c r="Z103" s="34">
        <v>0.23008952456274889</v>
      </c>
    </row>
    <row r="104" spans="2:26" x14ac:dyDescent="0.15">
      <c r="D104" s="34">
        <v>6.5115750389833665E-2</v>
      </c>
      <c r="K104" s="34">
        <v>5</v>
      </c>
      <c r="L104" s="34">
        <v>5.4902639764993488E-4</v>
      </c>
      <c r="M104" s="34">
        <v>6.4219504233757439E-5</v>
      </c>
      <c r="U104" s="34">
        <v>3.9521553552948991E-3</v>
      </c>
      <c r="V104" s="34">
        <v>3.8584733606215741E-5</v>
      </c>
      <c r="W104" s="34">
        <v>5.4903906678634216E-4</v>
      </c>
      <c r="X104" s="34">
        <v>3.9530812808616636E-3</v>
      </c>
      <c r="Y104" s="34">
        <v>3.858510261985582E-5</v>
      </c>
      <c r="Z104" s="34">
        <v>5.4902639764993488E-4</v>
      </c>
    </row>
    <row r="105" spans="2:26" x14ac:dyDescent="0.15">
      <c r="W105" s="34">
        <v>26.897170380953682</v>
      </c>
      <c r="Z105" s="34">
        <v>26.897329891312697</v>
      </c>
    </row>
    <row r="106" spans="2:26" x14ac:dyDescent="0.15">
      <c r="W106" s="34">
        <v>382.71738583747901</v>
      </c>
      <c r="Z106" s="34">
        <v>382.71965529733643</v>
      </c>
    </row>
    <row r="107" spans="2:26" x14ac:dyDescent="0.15">
      <c r="W107" s="34">
        <v>1.6656895541453816</v>
      </c>
      <c r="Z107" s="34">
        <v>1.6656895545773474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D3AD1-5077-4E58-B4AF-47419120A90F}">
  <sheetPr codeName="Sheet11"/>
  <dimension ref="A1:J40"/>
  <sheetViews>
    <sheetView workbookViewId="0">
      <selection activeCell="H11" sqref="H11"/>
    </sheetView>
  </sheetViews>
  <sheetFormatPr defaultRowHeight="13.5" x14ac:dyDescent="0.15"/>
  <cols>
    <col min="1" max="1" width="11.42578125" style="34" bestFit="1" customWidth="1"/>
    <col min="2" max="9" width="15.5703125" style="34" customWidth="1"/>
    <col min="10" max="10" width="17.28515625" style="34" customWidth="1"/>
    <col min="11" max="256" width="9.140625" style="34"/>
    <col min="257" max="257" width="11.42578125" style="34" bestFit="1" customWidth="1"/>
    <col min="258" max="265" width="15.5703125" style="34" customWidth="1"/>
    <col min="266" max="512" width="9.140625" style="34"/>
    <col min="513" max="513" width="11.42578125" style="34" bestFit="1" customWidth="1"/>
    <col min="514" max="521" width="15.5703125" style="34" customWidth="1"/>
    <col min="522" max="768" width="9.140625" style="34"/>
    <col min="769" max="769" width="11.42578125" style="34" bestFit="1" customWidth="1"/>
    <col min="770" max="777" width="15.5703125" style="34" customWidth="1"/>
    <col min="778" max="1024" width="9.140625" style="34"/>
    <col min="1025" max="1025" width="11.42578125" style="34" bestFit="1" customWidth="1"/>
    <col min="1026" max="1033" width="15.5703125" style="34" customWidth="1"/>
    <col min="1034" max="1280" width="9.140625" style="34"/>
    <col min="1281" max="1281" width="11.42578125" style="34" bestFit="1" customWidth="1"/>
    <col min="1282" max="1289" width="15.5703125" style="34" customWidth="1"/>
    <col min="1290" max="1536" width="9.140625" style="34"/>
    <col min="1537" max="1537" width="11.42578125" style="34" bestFit="1" customWidth="1"/>
    <col min="1538" max="1545" width="15.5703125" style="34" customWidth="1"/>
    <col min="1546" max="1792" width="9.140625" style="34"/>
    <col min="1793" max="1793" width="11.42578125" style="34" bestFit="1" customWidth="1"/>
    <col min="1794" max="1801" width="15.5703125" style="34" customWidth="1"/>
    <col min="1802" max="2048" width="9.140625" style="34"/>
    <col min="2049" max="2049" width="11.42578125" style="34" bestFit="1" customWidth="1"/>
    <col min="2050" max="2057" width="15.5703125" style="34" customWidth="1"/>
    <col min="2058" max="2304" width="9.140625" style="34"/>
    <col min="2305" max="2305" width="11.42578125" style="34" bestFit="1" customWidth="1"/>
    <col min="2306" max="2313" width="15.5703125" style="34" customWidth="1"/>
    <col min="2314" max="2560" width="9.140625" style="34"/>
    <col min="2561" max="2561" width="11.42578125" style="34" bestFit="1" customWidth="1"/>
    <col min="2562" max="2569" width="15.5703125" style="34" customWidth="1"/>
    <col min="2570" max="2816" width="9.140625" style="34"/>
    <col min="2817" max="2817" width="11.42578125" style="34" bestFit="1" customWidth="1"/>
    <col min="2818" max="2825" width="15.5703125" style="34" customWidth="1"/>
    <col min="2826" max="3072" width="9.140625" style="34"/>
    <col min="3073" max="3073" width="11.42578125" style="34" bestFit="1" customWidth="1"/>
    <col min="3074" max="3081" width="15.5703125" style="34" customWidth="1"/>
    <col min="3082" max="3328" width="9.140625" style="34"/>
    <col min="3329" max="3329" width="11.42578125" style="34" bestFit="1" customWidth="1"/>
    <col min="3330" max="3337" width="15.5703125" style="34" customWidth="1"/>
    <col min="3338" max="3584" width="9.140625" style="34"/>
    <col min="3585" max="3585" width="11.42578125" style="34" bestFit="1" customWidth="1"/>
    <col min="3586" max="3593" width="15.5703125" style="34" customWidth="1"/>
    <col min="3594" max="3840" width="9.140625" style="34"/>
    <col min="3841" max="3841" width="11.42578125" style="34" bestFit="1" customWidth="1"/>
    <col min="3842" max="3849" width="15.5703125" style="34" customWidth="1"/>
    <col min="3850" max="4096" width="9.140625" style="34"/>
    <col min="4097" max="4097" width="11.42578125" style="34" bestFit="1" customWidth="1"/>
    <col min="4098" max="4105" width="15.5703125" style="34" customWidth="1"/>
    <col min="4106" max="4352" width="9.140625" style="34"/>
    <col min="4353" max="4353" width="11.42578125" style="34" bestFit="1" customWidth="1"/>
    <col min="4354" max="4361" width="15.5703125" style="34" customWidth="1"/>
    <col min="4362" max="4608" width="9.140625" style="34"/>
    <col min="4609" max="4609" width="11.42578125" style="34" bestFit="1" customWidth="1"/>
    <col min="4610" max="4617" width="15.5703125" style="34" customWidth="1"/>
    <col min="4618" max="4864" width="9.140625" style="34"/>
    <col min="4865" max="4865" width="11.42578125" style="34" bestFit="1" customWidth="1"/>
    <col min="4866" max="4873" width="15.5703125" style="34" customWidth="1"/>
    <col min="4874" max="5120" width="9.140625" style="34"/>
    <col min="5121" max="5121" width="11.42578125" style="34" bestFit="1" customWidth="1"/>
    <col min="5122" max="5129" width="15.5703125" style="34" customWidth="1"/>
    <col min="5130" max="5376" width="9.140625" style="34"/>
    <col min="5377" max="5377" width="11.42578125" style="34" bestFit="1" customWidth="1"/>
    <col min="5378" max="5385" width="15.5703125" style="34" customWidth="1"/>
    <col min="5386" max="5632" width="9.140625" style="34"/>
    <col min="5633" max="5633" width="11.42578125" style="34" bestFit="1" customWidth="1"/>
    <col min="5634" max="5641" width="15.5703125" style="34" customWidth="1"/>
    <col min="5642" max="5888" width="9.140625" style="34"/>
    <col min="5889" max="5889" width="11.42578125" style="34" bestFit="1" customWidth="1"/>
    <col min="5890" max="5897" width="15.5703125" style="34" customWidth="1"/>
    <col min="5898" max="6144" width="9.140625" style="34"/>
    <col min="6145" max="6145" width="11.42578125" style="34" bestFit="1" customWidth="1"/>
    <col min="6146" max="6153" width="15.5703125" style="34" customWidth="1"/>
    <col min="6154" max="6400" width="9.140625" style="34"/>
    <col min="6401" max="6401" width="11.42578125" style="34" bestFit="1" customWidth="1"/>
    <col min="6402" max="6409" width="15.5703125" style="34" customWidth="1"/>
    <col min="6410" max="6656" width="9.140625" style="34"/>
    <col min="6657" max="6657" width="11.42578125" style="34" bestFit="1" customWidth="1"/>
    <col min="6658" max="6665" width="15.5703125" style="34" customWidth="1"/>
    <col min="6666" max="6912" width="9.140625" style="34"/>
    <col min="6913" max="6913" width="11.42578125" style="34" bestFit="1" customWidth="1"/>
    <col min="6914" max="6921" width="15.5703125" style="34" customWidth="1"/>
    <col min="6922" max="7168" width="9.140625" style="34"/>
    <col min="7169" max="7169" width="11.42578125" style="34" bestFit="1" customWidth="1"/>
    <col min="7170" max="7177" width="15.5703125" style="34" customWidth="1"/>
    <col min="7178" max="7424" width="9.140625" style="34"/>
    <col min="7425" max="7425" width="11.42578125" style="34" bestFit="1" customWidth="1"/>
    <col min="7426" max="7433" width="15.5703125" style="34" customWidth="1"/>
    <col min="7434" max="7680" width="9.140625" style="34"/>
    <col min="7681" max="7681" width="11.42578125" style="34" bestFit="1" customWidth="1"/>
    <col min="7682" max="7689" width="15.5703125" style="34" customWidth="1"/>
    <col min="7690" max="7936" width="9.140625" style="34"/>
    <col min="7937" max="7937" width="11.42578125" style="34" bestFit="1" customWidth="1"/>
    <col min="7938" max="7945" width="15.5703125" style="34" customWidth="1"/>
    <col min="7946" max="8192" width="9.140625" style="34"/>
    <col min="8193" max="8193" width="11.42578125" style="34" bestFit="1" customWidth="1"/>
    <col min="8194" max="8201" width="15.5703125" style="34" customWidth="1"/>
    <col min="8202" max="8448" width="9.140625" style="34"/>
    <col min="8449" max="8449" width="11.42578125" style="34" bestFit="1" customWidth="1"/>
    <col min="8450" max="8457" width="15.5703125" style="34" customWidth="1"/>
    <col min="8458" max="8704" width="9.140625" style="34"/>
    <col min="8705" max="8705" width="11.42578125" style="34" bestFit="1" customWidth="1"/>
    <col min="8706" max="8713" width="15.5703125" style="34" customWidth="1"/>
    <col min="8714" max="8960" width="9.140625" style="34"/>
    <col min="8961" max="8961" width="11.42578125" style="34" bestFit="1" customWidth="1"/>
    <col min="8962" max="8969" width="15.5703125" style="34" customWidth="1"/>
    <col min="8970" max="9216" width="9.140625" style="34"/>
    <col min="9217" max="9217" width="11.42578125" style="34" bestFit="1" customWidth="1"/>
    <col min="9218" max="9225" width="15.5703125" style="34" customWidth="1"/>
    <col min="9226" max="9472" width="9.140625" style="34"/>
    <col min="9473" max="9473" width="11.42578125" style="34" bestFit="1" customWidth="1"/>
    <col min="9474" max="9481" width="15.5703125" style="34" customWidth="1"/>
    <col min="9482" max="9728" width="9.140625" style="34"/>
    <col min="9729" max="9729" width="11.42578125" style="34" bestFit="1" customWidth="1"/>
    <col min="9730" max="9737" width="15.5703125" style="34" customWidth="1"/>
    <col min="9738" max="9984" width="9.140625" style="34"/>
    <col min="9985" max="9985" width="11.42578125" style="34" bestFit="1" customWidth="1"/>
    <col min="9986" max="9993" width="15.5703125" style="34" customWidth="1"/>
    <col min="9994" max="10240" width="9.140625" style="34"/>
    <col min="10241" max="10241" width="11.42578125" style="34" bestFit="1" customWidth="1"/>
    <col min="10242" max="10249" width="15.5703125" style="34" customWidth="1"/>
    <col min="10250" max="10496" width="9.140625" style="34"/>
    <col min="10497" max="10497" width="11.42578125" style="34" bestFit="1" customWidth="1"/>
    <col min="10498" max="10505" width="15.5703125" style="34" customWidth="1"/>
    <col min="10506" max="10752" width="9.140625" style="34"/>
    <col min="10753" max="10753" width="11.42578125" style="34" bestFit="1" customWidth="1"/>
    <col min="10754" max="10761" width="15.5703125" style="34" customWidth="1"/>
    <col min="10762" max="11008" width="9.140625" style="34"/>
    <col min="11009" max="11009" width="11.42578125" style="34" bestFit="1" customWidth="1"/>
    <col min="11010" max="11017" width="15.5703125" style="34" customWidth="1"/>
    <col min="11018" max="11264" width="9.140625" style="34"/>
    <col min="11265" max="11265" width="11.42578125" style="34" bestFit="1" customWidth="1"/>
    <col min="11266" max="11273" width="15.5703125" style="34" customWidth="1"/>
    <col min="11274" max="11520" width="9.140625" style="34"/>
    <col min="11521" max="11521" width="11.42578125" style="34" bestFit="1" customWidth="1"/>
    <col min="11522" max="11529" width="15.5703125" style="34" customWidth="1"/>
    <col min="11530" max="11776" width="9.140625" style="34"/>
    <col min="11777" max="11777" width="11.42578125" style="34" bestFit="1" customWidth="1"/>
    <col min="11778" max="11785" width="15.5703125" style="34" customWidth="1"/>
    <col min="11786" max="12032" width="9.140625" style="34"/>
    <col min="12033" max="12033" width="11.42578125" style="34" bestFit="1" customWidth="1"/>
    <col min="12034" max="12041" width="15.5703125" style="34" customWidth="1"/>
    <col min="12042" max="12288" width="9.140625" style="34"/>
    <col min="12289" max="12289" width="11.42578125" style="34" bestFit="1" customWidth="1"/>
    <col min="12290" max="12297" width="15.5703125" style="34" customWidth="1"/>
    <col min="12298" max="12544" width="9.140625" style="34"/>
    <col min="12545" max="12545" width="11.42578125" style="34" bestFit="1" customWidth="1"/>
    <col min="12546" max="12553" width="15.5703125" style="34" customWidth="1"/>
    <col min="12554" max="12800" width="9.140625" style="34"/>
    <col min="12801" max="12801" width="11.42578125" style="34" bestFit="1" customWidth="1"/>
    <col min="12802" max="12809" width="15.5703125" style="34" customWidth="1"/>
    <col min="12810" max="13056" width="9.140625" style="34"/>
    <col min="13057" max="13057" width="11.42578125" style="34" bestFit="1" customWidth="1"/>
    <col min="13058" max="13065" width="15.5703125" style="34" customWidth="1"/>
    <col min="13066" max="13312" width="9.140625" style="34"/>
    <col min="13313" max="13313" width="11.42578125" style="34" bestFit="1" customWidth="1"/>
    <col min="13314" max="13321" width="15.5703125" style="34" customWidth="1"/>
    <col min="13322" max="13568" width="9.140625" style="34"/>
    <col min="13569" max="13569" width="11.42578125" style="34" bestFit="1" customWidth="1"/>
    <col min="13570" max="13577" width="15.5703125" style="34" customWidth="1"/>
    <col min="13578" max="13824" width="9.140625" style="34"/>
    <col min="13825" max="13825" width="11.42578125" style="34" bestFit="1" customWidth="1"/>
    <col min="13826" max="13833" width="15.5703125" style="34" customWidth="1"/>
    <col min="13834" max="14080" width="9.140625" style="34"/>
    <col min="14081" max="14081" width="11.42578125" style="34" bestFit="1" customWidth="1"/>
    <col min="14082" max="14089" width="15.5703125" style="34" customWidth="1"/>
    <col min="14090" max="14336" width="9.140625" style="34"/>
    <col min="14337" max="14337" width="11.42578125" style="34" bestFit="1" customWidth="1"/>
    <col min="14338" max="14345" width="15.5703125" style="34" customWidth="1"/>
    <col min="14346" max="14592" width="9.140625" style="34"/>
    <col min="14593" max="14593" width="11.42578125" style="34" bestFit="1" customWidth="1"/>
    <col min="14594" max="14601" width="15.5703125" style="34" customWidth="1"/>
    <col min="14602" max="14848" width="9.140625" style="34"/>
    <col min="14849" max="14849" width="11.42578125" style="34" bestFit="1" customWidth="1"/>
    <col min="14850" max="14857" width="15.5703125" style="34" customWidth="1"/>
    <col min="14858" max="15104" width="9.140625" style="34"/>
    <col min="15105" max="15105" width="11.42578125" style="34" bestFit="1" customWidth="1"/>
    <col min="15106" max="15113" width="15.5703125" style="34" customWidth="1"/>
    <col min="15114" max="15360" width="9.140625" style="34"/>
    <col min="15361" max="15361" width="11.42578125" style="34" bestFit="1" customWidth="1"/>
    <col min="15362" max="15369" width="15.5703125" style="34" customWidth="1"/>
    <col min="15370" max="15616" width="9.140625" style="34"/>
    <col min="15617" max="15617" width="11.42578125" style="34" bestFit="1" customWidth="1"/>
    <col min="15618" max="15625" width="15.5703125" style="34" customWidth="1"/>
    <col min="15626" max="15872" width="9.140625" style="34"/>
    <col min="15873" max="15873" width="11.42578125" style="34" bestFit="1" customWidth="1"/>
    <col min="15874" max="15881" width="15.5703125" style="34" customWidth="1"/>
    <col min="15882" max="16128" width="9.140625" style="34"/>
    <col min="16129" max="16129" width="11.42578125" style="34" bestFit="1" customWidth="1"/>
    <col min="16130" max="16137" width="15.5703125" style="34" customWidth="1"/>
    <col min="16138" max="16384" width="9.140625" style="34"/>
  </cols>
  <sheetData>
    <row r="1" spans="1:10" x14ac:dyDescent="0.15">
      <c r="A1" s="34">
        <v>1</v>
      </c>
      <c r="B1" s="34">
        <v>2</v>
      </c>
      <c r="C1" s="34">
        <v>3</v>
      </c>
      <c r="D1" s="34">
        <v>4</v>
      </c>
      <c r="E1" s="34">
        <v>5</v>
      </c>
      <c r="F1" s="34">
        <v>6</v>
      </c>
      <c r="G1" s="34">
        <v>7</v>
      </c>
      <c r="H1" s="34">
        <v>8</v>
      </c>
    </row>
    <row r="2" spans="1:10" x14ac:dyDescent="0.15">
      <c r="A2" s="37"/>
      <c r="C2" s="34" t="s">
        <v>102</v>
      </c>
      <c r="G2" s="34" t="s">
        <v>104</v>
      </c>
    </row>
    <row r="3" spans="1:10" x14ac:dyDescent="0.15">
      <c r="B3" s="34" t="s">
        <v>103</v>
      </c>
      <c r="C3" s="34" t="s">
        <v>75</v>
      </c>
      <c r="D3" s="34" t="s">
        <v>77</v>
      </c>
      <c r="F3" s="34" t="s">
        <v>103</v>
      </c>
      <c r="G3" s="34" t="s">
        <v>75</v>
      </c>
      <c r="H3" s="34" t="s">
        <v>77</v>
      </c>
    </row>
    <row r="4" spans="1:10" x14ac:dyDescent="0.15">
      <c r="A4" s="34">
        <v>1</v>
      </c>
      <c r="B4" s="37">
        <v>1.0000000000000001E-5</v>
      </c>
      <c r="C4" s="38">
        <v>1</v>
      </c>
      <c r="D4" s="38">
        <v>1</v>
      </c>
      <c r="E4" s="61"/>
      <c r="F4" s="37">
        <v>1.0000000000000001E-5</v>
      </c>
      <c r="G4" s="38">
        <v>0.02</v>
      </c>
      <c r="H4" s="38">
        <v>0.02</v>
      </c>
    </row>
    <row r="5" spans="1:10" x14ac:dyDescent="0.15">
      <c r="A5" s="34">
        <v>2</v>
      </c>
      <c r="B5" s="37">
        <v>2.0000000000000002E-5</v>
      </c>
      <c r="C5" s="38">
        <v>0.99</v>
      </c>
      <c r="D5" s="34">
        <v>0.97899999999999998</v>
      </c>
      <c r="E5" s="61"/>
      <c r="F5" s="37">
        <v>2.0000000000000002E-5</v>
      </c>
      <c r="G5" s="38">
        <v>0.02</v>
      </c>
      <c r="H5" s="38">
        <v>0.02</v>
      </c>
    </row>
    <row r="6" spans="1:10" x14ac:dyDescent="0.15">
      <c r="A6" s="34">
        <v>3</v>
      </c>
      <c r="B6" s="37">
        <v>3.0000000000000001E-5</v>
      </c>
      <c r="C6" s="38">
        <v>0.98299999999999998</v>
      </c>
      <c r="D6" s="34">
        <v>0.96199999999999997</v>
      </c>
      <c r="E6" s="61"/>
      <c r="F6" s="37">
        <v>3.0000000000000001E-5</v>
      </c>
      <c r="G6" s="38">
        <v>0.02</v>
      </c>
      <c r="H6" s="38">
        <v>0.02</v>
      </c>
    </row>
    <row r="7" spans="1:10" x14ac:dyDescent="0.15">
      <c r="A7" s="34">
        <v>4</v>
      </c>
      <c r="B7" s="37">
        <v>4.0000000000000003E-5</v>
      </c>
      <c r="C7" s="38">
        <v>0.97499999999999998</v>
      </c>
      <c r="D7" s="34">
        <v>0.94199999999999995</v>
      </c>
      <c r="E7" s="61"/>
      <c r="F7" s="37">
        <v>4.0000000000000003E-5</v>
      </c>
      <c r="G7" s="38">
        <v>0.02</v>
      </c>
      <c r="H7" s="38">
        <v>0.02</v>
      </c>
    </row>
    <row r="8" spans="1:10" x14ac:dyDescent="0.15">
      <c r="A8" s="34">
        <v>5</v>
      </c>
      <c r="B8" s="37">
        <v>5.0000000000000002E-5</v>
      </c>
      <c r="C8" s="38">
        <v>0.96599999999999997</v>
      </c>
      <c r="D8" s="34">
        <v>0.92200000000000004</v>
      </c>
      <c r="E8" s="61"/>
      <c r="F8" s="37">
        <v>5.0000000000000002E-5</v>
      </c>
      <c r="G8" s="38">
        <v>0.02</v>
      </c>
      <c r="H8" s="38">
        <v>2.1999999999999999E-2</v>
      </c>
    </row>
    <row r="9" spans="1:10" x14ac:dyDescent="0.15">
      <c r="A9" s="34">
        <v>6</v>
      </c>
      <c r="B9" s="37">
        <v>6.0000000000000002E-5</v>
      </c>
      <c r="C9" s="38">
        <v>0.95699999999999996</v>
      </c>
      <c r="D9" s="34">
        <v>0.90100000000000002</v>
      </c>
      <c r="E9"/>
      <c r="F9" s="37">
        <v>6.0000000000000002E-5</v>
      </c>
      <c r="G9" s="38">
        <v>0.02</v>
      </c>
      <c r="H9" s="38">
        <v>2.8000000000000001E-2</v>
      </c>
    </row>
    <row r="10" spans="1:10" x14ac:dyDescent="0.15">
      <c r="A10" s="34">
        <v>7</v>
      </c>
      <c r="B10" s="37">
        <v>6.9999999999999994E-5</v>
      </c>
      <c r="C10" s="38">
        <v>0.94799999999999995</v>
      </c>
      <c r="D10" s="34">
        <v>0.88100000000000001</v>
      </c>
      <c r="F10" s="37">
        <v>6.9999999999999994E-5</v>
      </c>
      <c r="G10" s="38">
        <v>0.02</v>
      </c>
      <c r="H10" s="38">
        <v>3.4000000000000002E-2</v>
      </c>
    </row>
    <row r="11" spans="1:10" x14ac:dyDescent="0.15">
      <c r="A11" s="34">
        <v>8</v>
      </c>
      <c r="B11" s="37">
        <v>8.0000000000000007E-5</v>
      </c>
      <c r="C11" s="38">
        <v>0.93899999999999995</v>
      </c>
      <c r="D11" s="34">
        <v>0.86099999999999999</v>
      </c>
      <c r="F11" s="37">
        <v>8.0000000000000007E-5</v>
      </c>
      <c r="G11" s="38">
        <v>0.02</v>
      </c>
      <c r="H11" s="38">
        <v>3.9E-2</v>
      </c>
    </row>
    <row r="12" spans="1:10" x14ac:dyDescent="0.15">
      <c r="A12" s="34">
        <v>9</v>
      </c>
      <c r="B12" s="37">
        <v>9.0000000000000006E-5</v>
      </c>
      <c r="C12" s="38">
        <v>0.93</v>
      </c>
      <c r="D12" s="34">
        <v>0.84199999999999997</v>
      </c>
      <c r="F12" s="37">
        <v>9.0000000000000006E-5</v>
      </c>
      <c r="G12" s="38">
        <v>0.02</v>
      </c>
      <c r="H12" s="38">
        <v>4.4999999999999998E-2</v>
      </c>
    </row>
    <row r="13" spans="1:10" x14ac:dyDescent="0.15">
      <c r="A13" s="34">
        <v>10</v>
      </c>
      <c r="B13" s="37">
        <v>1E-4</v>
      </c>
      <c r="C13" s="38">
        <v>0.92</v>
      </c>
      <c r="D13" s="34">
        <v>0.82299999999999995</v>
      </c>
      <c r="F13" s="37">
        <v>1E-4</v>
      </c>
      <c r="G13" s="38">
        <v>2.1000000000000001E-2</v>
      </c>
      <c r="H13" s="38">
        <v>0.05</v>
      </c>
    </row>
    <row r="14" spans="1:10" x14ac:dyDescent="0.15">
      <c r="A14" s="34">
        <v>11</v>
      </c>
      <c r="B14" s="37">
        <v>2.0000000000000001E-4</v>
      </c>
      <c r="C14" s="38">
        <v>0.83399999999999996</v>
      </c>
      <c r="D14" s="34">
        <v>0.67800000000000005</v>
      </c>
      <c r="F14" s="37">
        <v>2.0000000000000001E-4</v>
      </c>
      <c r="G14" s="38">
        <v>4.3999999999999997E-2</v>
      </c>
      <c r="H14" s="38">
        <v>9.0999999999999998E-2</v>
      </c>
    </row>
    <row r="15" spans="1:10" x14ac:dyDescent="0.15">
      <c r="A15" s="34">
        <v>12</v>
      </c>
      <c r="B15" s="37">
        <v>2.9999999999999997E-4</v>
      </c>
      <c r="C15" s="38">
        <v>0.76300000000000001</v>
      </c>
      <c r="D15" s="34">
        <v>0.58299999999999996</v>
      </c>
      <c r="F15" s="37">
        <v>2.9999999999999997E-4</v>
      </c>
      <c r="G15" s="38">
        <v>6.2E-2</v>
      </c>
      <c r="H15" s="38">
        <v>0.11799999999999999</v>
      </c>
      <c r="J15"/>
    </row>
    <row r="16" spans="1:10" x14ac:dyDescent="0.15">
      <c r="A16" s="34">
        <v>13</v>
      </c>
      <c r="B16" s="37">
        <v>4.0000000000000002E-4</v>
      </c>
      <c r="C16" s="38">
        <v>0.70599999999999996</v>
      </c>
      <c r="D16" s="34">
        <v>0.51700000000000002</v>
      </c>
      <c r="F16" s="37">
        <v>4.0000000000000002E-4</v>
      </c>
      <c r="G16" s="38">
        <v>7.6999999999999999E-2</v>
      </c>
      <c r="H16" s="38">
        <v>0.13700000000000001</v>
      </c>
      <c r="J16"/>
    </row>
    <row r="17" spans="1:10" x14ac:dyDescent="0.15">
      <c r="A17" s="34">
        <v>14</v>
      </c>
      <c r="B17" s="37">
        <v>5.0000000000000001E-4</v>
      </c>
      <c r="C17" s="38">
        <v>0.65900000000000003</v>
      </c>
      <c r="D17" s="34">
        <v>0.46800000000000003</v>
      </c>
      <c r="E17" s="39"/>
      <c r="F17" s="37">
        <v>5.0000000000000001E-4</v>
      </c>
      <c r="G17" s="38">
        <v>8.8999999999999996E-2</v>
      </c>
      <c r="H17" s="38">
        <v>0.151</v>
      </c>
      <c r="J17"/>
    </row>
    <row r="18" spans="1:10" x14ac:dyDescent="0.15">
      <c r="A18" s="34">
        <v>15</v>
      </c>
      <c r="B18" s="37">
        <v>5.9999999999999995E-4</v>
      </c>
      <c r="C18" s="38">
        <v>0.62</v>
      </c>
      <c r="D18" s="34">
        <v>0.42899999999999999</v>
      </c>
      <c r="E18" s="40"/>
      <c r="F18" s="37">
        <v>5.9999999999999995E-4</v>
      </c>
      <c r="G18" s="38">
        <v>0.1</v>
      </c>
      <c r="H18" s="38">
        <v>0.16200000000000001</v>
      </c>
      <c r="J18" s="66"/>
    </row>
    <row r="19" spans="1:10" x14ac:dyDescent="0.15">
      <c r="A19" s="34">
        <v>16</v>
      </c>
      <c r="B19" s="37">
        <v>6.9999999999999999E-4</v>
      </c>
      <c r="C19" s="38">
        <v>0.58699999999999997</v>
      </c>
      <c r="D19" s="34">
        <v>0.39800000000000002</v>
      </c>
      <c r="F19" s="37">
        <v>6.9999999999999999E-4</v>
      </c>
      <c r="G19" s="38">
        <v>0.108</v>
      </c>
      <c r="H19" s="38">
        <v>1.7000000000000001E-2</v>
      </c>
      <c r="J19" s="66"/>
    </row>
    <row r="20" spans="1:10" x14ac:dyDescent="0.15">
      <c r="A20" s="34">
        <v>17</v>
      </c>
      <c r="B20" s="37">
        <v>8.0000000000000004E-4</v>
      </c>
      <c r="C20" s="38">
        <v>0.55800000000000005</v>
      </c>
      <c r="D20" s="34">
        <v>0.373</v>
      </c>
      <c r="F20" s="37">
        <v>8.0000000000000004E-4</v>
      </c>
      <c r="G20" s="38">
        <v>0.11600000000000001</v>
      </c>
      <c r="H20" s="38">
        <v>0.17699999999999999</v>
      </c>
      <c r="J20"/>
    </row>
    <row r="21" spans="1:10" x14ac:dyDescent="0.15">
      <c r="A21" s="34">
        <v>18</v>
      </c>
      <c r="B21" s="37">
        <v>8.9999999999999998E-4</v>
      </c>
      <c r="C21" s="38">
        <v>0.53300000000000003</v>
      </c>
      <c r="D21" s="34">
        <v>0.35099999999999998</v>
      </c>
      <c r="E21" s="39"/>
      <c r="F21" s="37">
        <v>8.9999999999999998E-4</v>
      </c>
      <c r="G21" s="38">
        <v>0.122</v>
      </c>
      <c r="H21" s="38">
        <v>0.184</v>
      </c>
    </row>
    <row r="22" spans="1:10" x14ac:dyDescent="0.15">
      <c r="A22" s="34">
        <v>19</v>
      </c>
      <c r="B22" s="37">
        <v>1E-3</v>
      </c>
      <c r="C22" s="38">
        <v>0.51100000000000001</v>
      </c>
      <c r="D22" s="34">
        <v>0.33300000000000002</v>
      </c>
      <c r="F22" s="37">
        <v>1E-3</v>
      </c>
      <c r="G22" s="38">
        <v>0.128</v>
      </c>
      <c r="H22" s="38">
        <v>0.189</v>
      </c>
    </row>
    <row r="23" spans="1:10" x14ac:dyDescent="0.15">
      <c r="A23" s="34">
        <v>20</v>
      </c>
      <c r="B23" s="37">
        <v>2E-3</v>
      </c>
      <c r="C23" s="38">
        <v>0.377</v>
      </c>
      <c r="D23" s="38">
        <v>0.23</v>
      </c>
      <c r="F23" s="37">
        <v>2E-3</v>
      </c>
      <c r="G23" s="38">
        <v>0.16300000000000001</v>
      </c>
      <c r="H23" s="38">
        <v>0.218</v>
      </c>
    </row>
    <row r="24" spans="1:10" x14ac:dyDescent="0.15">
      <c r="A24" s="34">
        <v>21</v>
      </c>
      <c r="B24" s="37">
        <v>3.0000000000000001E-3</v>
      </c>
      <c r="C24" s="38">
        <v>0.311</v>
      </c>
      <c r="D24" s="34">
        <v>0.183</v>
      </c>
      <c r="F24" s="37">
        <v>3.0000000000000001E-3</v>
      </c>
      <c r="G24" s="38">
        <v>0.18099999999999999</v>
      </c>
      <c r="H24" s="38">
        <v>0.23100000000000001</v>
      </c>
    </row>
    <row r="25" spans="1:10" x14ac:dyDescent="0.15">
      <c r="A25" s="34">
        <v>22</v>
      </c>
      <c r="B25" s="37">
        <v>4.0000000000000001E-3</v>
      </c>
      <c r="C25" s="38">
        <v>0.26900000000000002</v>
      </c>
      <c r="D25" s="34">
        <v>0.155</v>
      </c>
      <c r="F25" s="37">
        <v>4.0000000000000001E-3</v>
      </c>
      <c r="G25" s="38">
        <v>0.192</v>
      </c>
      <c r="H25" s="38">
        <v>0.23899999999999999</v>
      </c>
    </row>
    <row r="26" spans="1:10" x14ac:dyDescent="0.15">
      <c r="A26" s="34">
        <v>23</v>
      </c>
      <c r="B26" s="37">
        <v>5.0000000000000001E-3</v>
      </c>
      <c r="C26" s="38">
        <v>0.24</v>
      </c>
      <c r="D26" s="34">
        <v>0.13700000000000001</v>
      </c>
      <c r="F26" s="37">
        <v>5.0000000000000001E-3</v>
      </c>
      <c r="G26" s="38">
        <v>0.19900000000000001</v>
      </c>
      <c r="H26" s="38">
        <v>0.24399999999999999</v>
      </c>
    </row>
    <row r="27" spans="1:10" x14ac:dyDescent="0.15">
      <c r="A27" s="34">
        <v>24</v>
      </c>
      <c r="B27" s="37">
        <v>6.0000000000000001E-3</v>
      </c>
      <c r="C27" s="38">
        <v>0.219</v>
      </c>
      <c r="D27" s="34">
        <v>0.123</v>
      </c>
      <c r="F27" s="37">
        <v>6.0000000000000001E-3</v>
      </c>
      <c r="G27" s="38">
        <v>0.20499999999999999</v>
      </c>
      <c r="H27" s="38">
        <v>0.248</v>
      </c>
    </row>
    <row r="28" spans="1:10" x14ac:dyDescent="0.15">
      <c r="A28" s="34">
        <v>25</v>
      </c>
      <c r="B28" s="37">
        <v>7.0000000000000001E-3</v>
      </c>
      <c r="C28" s="38">
        <v>0.20200000000000001</v>
      </c>
      <c r="D28" s="34">
        <v>0.112</v>
      </c>
      <c r="F28" s="37">
        <v>7.0000000000000001E-3</v>
      </c>
      <c r="G28" s="38">
        <v>0.20899999999999999</v>
      </c>
      <c r="H28" s="38">
        <v>0.251</v>
      </c>
    </row>
    <row r="29" spans="1:10" x14ac:dyDescent="0.15">
      <c r="A29" s="34">
        <v>26</v>
      </c>
      <c r="B29" s="37">
        <v>8.0000000000000002E-3</v>
      </c>
      <c r="C29" s="38">
        <v>0.188</v>
      </c>
      <c r="D29" s="34">
        <v>0.104</v>
      </c>
      <c r="F29" s="37">
        <v>8.0000000000000002E-3</v>
      </c>
      <c r="G29" s="38">
        <v>0.21299999999999999</v>
      </c>
      <c r="H29" s="38">
        <v>0.254</v>
      </c>
    </row>
    <row r="30" spans="1:10" x14ac:dyDescent="0.15">
      <c r="A30" s="34">
        <v>27</v>
      </c>
      <c r="B30" s="37">
        <v>8.9999999999999993E-3</v>
      </c>
      <c r="C30" s="38">
        <v>0.17599999999999999</v>
      </c>
      <c r="D30" s="34">
        <v>9.7000000000000003E-2</v>
      </c>
      <c r="F30" s="37">
        <v>8.9999999999999993E-3</v>
      </c>
      <c r="G30" s="38">
        <v>0.216</v>
      </c>
      <c r="H30" s="38">
        <v>0.25600000000000001</v>
      </c>
    </row>
    <row r="31" spans="1:10" x14ac:dyDescent="0.15">
      <c r="A31" s="34">
        <v>28</v>
      </c>
      <c r="B31" s="37">
        <v>0.01</v>
      </c>
      <c r="C31" s="38">
        <v>0.16700000000000001</v>
      </c>
      <c r="D31" s="34">
        <v>9.0999999999999998E-2</v>
      </c>
      <c r="F31" s="37">
        <v>0.01</v>
      </c>
      <c r="G31" s="38">
        <v>0.218</v>
      </c>
      <c r="H31" s="38">
        <v>0.25700000000000001</v>
      </c>
    </row>
    <row r="32" spans="1:10" x14ac:dyDescent="0.15">
      <c r="A32" s="34">
        <v>29</v>
      </c>
      <c r="B32" s="37">
        <v>0.02</v>
      </c>
      <c r="C32" s="38">
        <v>0.114</v>
      </c>
      <c r="D32" s="38">
        <v>0.06</v>
      </c>
      <c r="F32" s="37">
        <v>0.02</v>
      </c>
      <c r="G32" s="38">
        <v>0.23200000000000001</v>
      </c>
      <c r="H32" s="38">
        <v>0.26600000000000001</v>
      </c>
    </row>
    <row r="33" spans="1:8" x14ac:dyDescent="0.15">
      <c r="A33" s="34">
        <v>30</v>
      </c>
      <c r="B33" s="37">
        <v>0.03</v>
      </c>
      <c r="C33" s="38">
        <v>9.0999999999999998E-2</v>
      </c>
      <c r="D33" s="34">
        <v>4.7E-2</v>
      </c>
      <c r="F33" s="37">
        <v>0.03</v>
      </c>
      <c r="G33" s="38">
        <v>0.23799999999999999</v>
      </c>
      <c r="H33" s="38">
        <v>0.27</v>
      </c>
    </row>
    <row r="34" spans="1:8" x14ac:dyDescent="0.15">
      <c r="A34" s="34">
        <v>31</v>
      </c>
      <c r="B34" s="37">
        <v>0.04</v>
      </c>
      <c r="C34" s="38">
        <v>7.6999999999999999E-2</v>
      </c>
      <c r="D34" s="38">
        <v>0.04</v>
      </c>
      <c r="F34" s="37">
        <v>0.04</v>
      </c>
      <c r="G34" s="38">
        <v>0.24199999999999999</v>
      </c>
      <c r="H34" s="38">
        <v>0.27200000000000002</v>
      </c>
    </row>
    <row r="35" spans="1:8" x14ac:dyDescent="0.15">
      <c r="A35" s="34">
        <v>32</v>
      </c>
      <c r="B35" s="37">
        <v>0.05</v>
      </c>
      <c r="C35" s="38">
        <v>6.8000000000000005E-2</v>
      </c>
      <c r="D35" s="38">
        <v>3.5000000000000003E-2</v>
      </c>
      <c r="F35" s="37">
        <v>0.05</v>
      </c>
      <c r="G35" s="38">
        <v>0.24399999999999999</v>
      </c>
      <c r="H35" s="38">
        <v>0.27300000000000002</v>
      </c>
    </row>
    <row r="36" spans="1:8" x14ac:dyDescent="0.15">
      <c r="A36" s="34">
        <v>33</v>
      </c>
      <c r="B36" s="37">
        <v>0.06</v>
      </c>
      <c r="C36" s="38">
        <v>6.2E-2</v>
      </c>
      <c r="D36" s="38">
        <v>3.1E-2</v>
      </c>
      <c r="F36" s="37">
        <v>0.06</v>
      </c>
      <c r="G36" s="38">
        <v>0.246</v>
      </c>
      <c r="H36" s="38">
        <v>0.27400000000000002</v>
      </c>
    </row>
    <row r="37" spans="1:8" x14ac:dyDescent="0.15">
      <c r="A37" s="34">
        <v>34</v>
      </c>
      <c r="B37" s="37">
        <v>7.0000000000000007E-2</v>
      </c>
      <c r="C37" s="38">
        <v>5.6000000000000001E-2</v>
      </c>
      <c r="D37" s="38">
        <v>0.28000000000000003</v>
      </c>
      <c r="F37" s="37">
        <v>7.0000000000000007E-2</v>
      </c>
      <c r="G37" s="38">
        <v>0.247</v>
      </c>
      <c r="H37" s="38">
        <v>0.27500000000000002</v>
      </c>
    </row>
    <row r="38" spans="1:8" x14ac:dyDescent="0.15">
      <c r="A38" s="34">
        <v>35</v>
      </c>
      <c r="B38" s="37">
        <v>0.08</v>
      </c>
      <c r="C38" s="38">
        <v>5.1999999999999998E-2</v>
      </c>
      <c r="D38" s="38">
        <v>2.5999999999999999E-2</v>
      </c>
      <c r="F38" s="37">
        <v>0.08</v>
      </c>
      <c r="G38" s="38">
        <v>0.248</v>
      </c>
      <c r="H38" s="38">
        <v>0.27600000000000002</v>
      </c>
    </row>
    <row r="39" spans="1:8" x14ac:dyDescent="0.15">
      <c r="A39" s="34">
        <v>36</v>
      </c>
      <c r="B39" s="37">
        <v>0.09</v>
      </c>
      <c r="C39" s="38">
        <v>4.9000000000000002E-2</v>
      </c>
      <c r="D39" s="38">
        <v>2.4E-2</v>
      </c>
      <c r="F39" s="37">
        <v>0.09</v>
      </c>
      <c r="G39" s="38">
        <v>0.249</v>
      </c>
      <c r="H39" s="38">
        <v>0.27600000000000002</v>
      </c>
    </row>
    <row r="40" spans="1:8" x14ac:dyDescent="0.15">
      <c r="A40" s="34">
        <v>37</v>
      </c>
      <c r="B40" s="37">
        <v>0.1</v>
      </c>
      <c r="C40" s="38">
        <v>4.5999999999999999E-2</v>
      </c>
      <c r="D40" s="38">
        <v>0.23</v>
      </c>
      <c r="F40" s="37">
        <v>0.1</v>
      </c>
      <c r="G40" s="38">
        <v>0.25</v>
      </c>
      <c r="H40" s="38">
        <v>0.27700000000000002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BF3A1-AAC7-40EC-9DED-8ACB0E9AE9EB}">
  <sheetPr codeName="Sheet12"/>
  <dimension ref="A1:AF219"/>
  <sheetViews>
    <sheetView workbookViewId="0">
      <selection activeCell="A15" sqref="A15"/>
    </sheetView>
  </sheetViews>
  <sheetFormatPr defaultRowHeight="13.5" x14ac:dyDescent="0.15"/>
  <cols>
    <col min="1" max="1" width="11.42578125" style="34" bestFit="1" customWidth="1"/>
    <col min="2" max="5" width="15.5703125" style="34" customWidth="1"/>
    <col min="6" max="256" width="9.140625" style="34"/>
    <col min="257" max="257" width="11.42578125" style="34" bestFit="1" customWidth="1"/>
    <col min="258" max="261" width="15.5703125" style="34" customWidth="1"/>
    <col min="262" max="512" width="9.140625" style="34"/>
    <col min="513" max="513" width="11.42578125" style="34" bestFit="1" customWidth="1"/>
    <col min="514" max="517" width="15.5703125" style="34" customWidth="1"/>
    <col min="518" max="768" width="9.140625" style="34"/>
    <col min="769" max="769" width="11.42578125" style="34" bestFit="1" customWidth="1"/>
    <col min="770" max="773" width="15.5703125" style="34" customWidth="1"/>
    <col min="774" max="1024" width="9.140625" style="34"/>
    <col min="1025" max="1025" width="11.42578125" style="34" bestFit="1" customWidth="1"/>
    <col min="1026" max="1029" width="15.5703125" style="34" customWidth="1"/>
    <col min="1030" max="1280" width="9.140625" style="34"/>
    <col min="1281" max="1281" width="11.42578125" style="34" bestFit="1" customWidth="1"/>
    <col min="1282" max="1285" width="15.5703125" style="34" customWidth="1"/>
    <col min="1286" max="1536" width="9.140625" style="34"/>
    <col min="1537" max="1537" width="11.42578125" style="34" bestFit="1" customWidth="1"/>
    <col min="1538" max="1541" width="15.5703125" style="34" customWidth="1"/>
    <col min="1542" max="1792" width="9.140625" style="34"/>
    <col min="1793" max="1793" width="11.42578125" style="34" bestFit="1" customWidth="1"/>
    <col min="1794" max="1797" width="15.5703125" style="34" customWidth="1"/>
    <col min="1798" max="2048" width="9.140625" style="34"/>
    <col min="2049" max="2049" width="11.42578125" style="34" bestFit="1" customWidth="1"/>
    <col min="2050" max="2053" width="15.5703125" style="34" customWidth="1"/>
    <col min="2054" max="2304" width="9.140625" style="34"/>
    <col min="2305" max="2305" width="11.42578125" style="34" bestFit="1" customWidth="1"/>
    <col min="2306" max="2309" width="15.5703125" style="34" customWidth="1"/>
    <col min="2310" max="2560" width="9.140625" style="34"/>
    <col min="2561" max="2561" width="11.42578125" style="34" bestFit="1" customWidth="1"/>
    <col min="2562" max="2565" width="15.5703125" style="34" customWidth="1"/>
    <col min="2566" max="2816" width="9.140625" style="34"/>
    <col min="2817" max="2817" width="11.42578125" style="34" bestFit="1" customWidth="1"/>
    <col min="2818" max="2821" width="15.5703125" style="34" customWidth="1"/>
    <col min="2822" max="3072" width="9.140625" style="34"/>
    <col min="3073" max="3073" width="11.42578125" style="34" bestFit="1" customWidth="1"/>
    <col min="3074" max="3077" width="15.5703125" style="34" customWidth="1"/>
    <col min="3078" max="3328" width="9.140625" style="34"/>
    <col min="3329" max="3329" width="11.42578125" style="34" bestFit="1" customWidth="1"/>
    <col min="3330" max="3333" width="15.5703125" style="34" customWidth="1"/>
    <col min="3334" max="3584" width="9.140625" style="34"/>
    <col min="3585" max="3585" width="11.42578125" style="34" bestFit="1" customWidth="1"/>
    <col min="3586" max="3589" width="15.5703125" style="34" customWidth="1"/>
    <col min="3590" max="3840" width="9.140625" style="34"/>
    <col min="3841" max="3841" width="11.42578125" style="34" bestFit="1" customWidth="1"/>
    <col min="3842" max="3845" width="15.5703125" style="34" customWidth="1"/>
    <col min="3846" max="4096" width="9.140625" style="34"/>
    <col min="4097" max="4097" width="11.42578125" style="34" bestFit="1" customWidth="1"/>
    <col min="4098" max="4101" width="15.5703125" style="34" customWidth="1"/>
    <col min="4102" max="4352" width="9.140625" style="34"/>
    <col min="4353" max="4353" width="11.42578125" style="34" bestFit="1" customWidth="1"/>
    <col min="4354" max="4357" width="15.5703125" style="34" customWidth="1"/>
    <col min="4358" max="4608" width="9.140625" style="34"/>
    <col min="4609" max="4609" width="11.42578125" style="34" bestFit="1" customWidth="1"/>
    <col min="4610" max="4613" width="15.5703125" style="34" customWidth="1"/>
    <col min="4614" max="4864" width="9.140625" style="34"/>
    <col min="4865" max="4865" width="11.42578125" style="34" bestFit="1" customWidth="1"/>
    <col min="4866" max="4869" width="15.5703125" style="34" customWidth="1"/>
    <col min="4870" max="5120" width="9.140625" style="34"/>
    <col min="5121" max="5121" width="11.42578125" style="34" bestFit="1" customWidth="1"/>
    <col min="5122" max="5125" width="15.5703125" style="34" customWidth="1"/>
    <col min="5126" max="5376" width="9.140625" style="34"/>
    <col min="5377" max="5377" width="11.42578125" style="34" bestFit="1" customWidth="1"/>
    <col min="5378" max="5381" width="15.5703125" style="34" customWidth="1"/>
    <col min="5382" max="5632" width="9.140625" style="34"/>
    <col min="5633" max="5633" width="11.42578125" style="34" bestFit="1" customWidth="1"/>
    <col min="5634" max="5637" width="15.5703125" style="34" customWidth="1"/>
    <col min="5638" max="5888" width="9.140625" style="34"/>
    <col min="5889" max="5889" width="11.42578125" style="34" bestFit="1" customWidth="1"/>
    <col min="5890" max="5893" width="15.5703125" style="34" customWidth="1"/>
    <col min="5894" max="6144" width="9.140625" style="34"/>
    <col min="6145" max="6145" width="11.42578125" style="34" bestFit="1" customWidth="1"/>
    <col min="6146" max="6149" width="15.5703125" style="34" customWidth="1"/>
    <col min="6150" max="6400" width="9.140625" style="34"/>
    <col min="6401" max="6401" width="11.42578125" style="34" bestFit="1" customWidth="1"/>
    <col min="6402" max="6405" width="15.5703125" style="34" customWidth="1"/>
    <col min="6406" max="6656" width="9.140625" style="34"/>
    <col min="6657" max="6657" width="11.42578125" style="34" bestFit="1" customWidth="1"/>
    <col min="6658" max="6661" width="15.5703125" style="34" customWidth="1"/>
    <col min="6662" max="6912" width="9.140625" style="34"/>
    <col min="6913" max="6913" width="11.42578125" style="34" bestFit="1" customWidth="1"/>
    <col min="6914" max="6917" width="15.5703125" style="34" customWidth="1"/>
    <col min="6918" max="7168" width="9.140625" style="34"/>
    <col min="7169" max="7169" width="11.42578125" style="34" bestFit="1" customWidth="1"/>
    <col min="7170" max="7173" width="15.5703125" style="34" customWidth="1"/>
    <col min="7174" max="7424" width="9.140625" style="34"/>
    <col min="7425" max="7425" width="11.42578125" style="34" bestFit="1" customWidth="1"/>
    <col min="7426" max="7429" width="15.5703125" style="34" customWidth="1"/>
    <col min="7430" max="7680" width="9.140625" style="34"/>
    <col min="7681" max="7681" width="11.42578125" style="34" bestFit="1" customWidth="1"/>
    <col min="7682" max="7685" width="15.5703125" style="34" customWidth="1"/>
    <col min="7686" max="7936" width="9.140625" style="34"/>
    <col min="7937" max="7937" width="11.42578125" style="34" bestFit="1" customWidth="1"/>
    <col min="7938" max="7941" width="15.5703125" style="34" customWidth="1"/>
    <col min="7942" max="8192" width="9.140625" style="34"/>
    <col min="8193" max="8193" width="11.42578125" style="34" bestFit="1" customWidth="1"/>
    <col min="8194" max="8197" width="15.5703125" style="34" customWidth="1"/>
    <col min="8198" max="8448" width="9.140625" style="34"/>
    <col min="8449" max="8449" width="11.42578125" style="34" bestFit="1" customWidth="1"/>
    <col min="8450" max="8453" width="15.5703125" style="34" customWidth="1"/>
    <col min="8454" max="8704" width="9.140625" style="34"/>
    <col min="8705" max="8705" width="11.42578125" style="34" bestFit="1" customWidth="1"/>
    <col min="8706" max="8709" width="15.5703125" style="34" customWidth="1"/>
    <col min="8710" max="8960" width="9.140625" style="34"/>
    <col min="8961" max="8961" width="11.42578125" style="34" bestFit="1" customWidth="1"/>
    <col min="8962" max="8965" width="15.5703125" style="34" customWidth="1"/>
    <col min="8966" max="9216" width="9.140625" style="34"/>
    <col min="9217" max="9217" width="11.42578125" style="34" bestFit="1" customWidth="1"/>
    <col min="9218" max="9221" width="15.5703125" style="34" customWidth="1"/>
    <col min="9222" max="9472" width="9.140625" style="34"/>
    <col min="9473" max="9473" width="11.42578125" style="34" bestFit="1" customWidth="1"/>
    <col min="9474" max="9477" width="15.5703125" style="34" customWidth="1"/>
    <col min="9478" max="9728" width="9.140625" style="34"/>
    <col min="9729" max="9729" width="11.42578125" style="34" bestFit="1" customWidth="1"/>
    <col min="9730" max="9733" width="15.5703125" style="34" customWidth="1"/>
    <col min="9734" max="9984" width="9.140625" style="34"/>
    <col min="9985" max="9985" width="11.42578125" style="34" bestFit="1" customWidth="1"/>
    <col min="9986" max="9989" width="15.5703125" style="34" customWidth="1"/>
    <col min="9990" max="10240" width="9.140625" style="34"/>
    <col min="10241" max="10241" width="11.42578125" style="34" bestFit="1" customWidth="1"/>
    <col min="10242" max="10245" width="15.5703125" style="34" customWidth="1"/>
    <col min="10246" max="10496" width="9.140625" style="34"/>
    <col min="10497" max="10497" width="11.42578125" style="34" bestFit="1" customWidth="1"/>
    <col min="10498" max="10501" width="15.5703125" style="34" customWidth="1"/>
    <col min="10502" max="10752" width="9.140625" style="34"/>
    <col min="10753" max="10753" width="11.42578125" style="34" bestFit="1" customWidth="1"/>
    <col min="10754" max="10757" width="15.5703125" style="34" customWidth="1"/>
    <col min="10758" max="11008" width="9.140625" style="34"/>
    <col min="11009" max="11009" width="11.42578125" style="34" bestFit="1" customWidth="1"/>
    <col min="11010" max="11013" width="15.5703125" style="34" customWidth="1"/>
    <col min="11014" max="11264" width="9.140625" style="34"/>
    <col min="11265" max="11265" width="11.42578125" style="34" bestFit="1" customWidth="1"/>
    <col min="11266" max="11269" width="15.5703125" style="34" customWidth="1"/>
    <col min="11270" max="11520" width="9.140625" style="34"/>
    <col min="11521" max="11521" width="11.42578125" style="34" bestFit="1" customWidth="1"/>
    <col min="11522" max="11525" width="15.5703125" style="34" customWidth="1"/>
    <col min="11526" max="11776" width="9.140625" style="34"/>
    <col min="11777" max="11777" width="11.42578125" style="34" bestFit="1" customWidth="1"/>
    <col min="11778" max="11781" width="15.5703125" style="34" customWidth="1"/>
    <col min="11782" max="12032" width="9.140625" style="34"/>
    <col min="12033" max="12033" width="11.42578125" style="34" bestFit="1" customWidth="1"/>
    <col min="12034" max="12037" width="15.5703125" style="34" customWidth="1"/>
    <col min="12038" max="12288" width="9.140625" style="34"/>
    <col min="12289" max="12289" width="11.42578125" style="34" bestFit="1" customWidth="1"/>
    <col min="12290" max="12293" width="15.5703125" style="34" customWidth="1"/>
    <col min="12294" max="12544" width="9.140625" style="34"/>
    <col min="12545" max="12545" width="11.42578125" style="34" bestFit="1" customWidth="1"/>
    <col min="12546" max="12549" width="15.5703125" style="34" customWidth="1"/>
    <col min="12550" max="12800" width="9.140625" style="34"/>
    <col min="12801" max="12801" width="11.42578125" style="34" bestFit="1" customWidth="1"/>
    <col min="12802" max="12805" width="15.5703125" style="34" customWidth="1"/>
    <col min="12806" max="13056" width="9.140625" style="34"/>
    <col min="13057" max="13057" width="11.42578125" style="34" bestFit="1" customWidth="1"/>
    <col min="13058" max="13061" width="15.5703125" style="34" customWidth="1"/>
    <col min="13062" max="13312" width="9.140625" style="34"/>
    <col min="13313" max="13313" width="11.42578125" style="34" bestFit="1" customWidth="1"/>
    <col min="13314" max="13317" width="15.5703125" style="34" customWidth="1"/>
    <col min="13318" max="13568" width="9.140625" style="34"/>
    <col min="13569" max="13569" width="11.42578125" style="34" bestFit="1" customWidth="1"/>
    <col min="13570" max="13573" width="15.5703125" style="34" customWidth="1"/>
    <col min="13574" max="13824" width="9.140625" style="34"/>
    <col min="13825" max="13825" width="11.42578125" style="34" bestFit="1" customWidth="1"/>
    <col min="13826" max="13829" width="15.5703125" style="34" customWidth="1"/>
    <col min="13830" max="14080" width="9.140625" style="34"/>
    <col min="14081" max="14081" width="11.42578125" style="34" bestFit="1" customWidth="1"/>
    <col min="14082" max="14085" width="15.5703125" style="34" customWidth="1"/>
    <col min="14086" max="14336" width="9.140625" style="34"/>
    <col min="14337" max="14337" width="11.42578125" style="34" bestFit="1" customWidth="1"/>
    <col min="14338" max="14341" width="15.5703125" style="34" customWidth="1"/>
    <col min="14342" max="14592" width="9.140625" style="34"/>
    <col min="14593" max="14593" width="11.42578125" style="34" bestFit="1" customWidth="1"/>
    <col min="14594" max="14597" width="15.5703125" style="34" customWidth="1"/>
    <col min="14598" max="14848" width="9.140625" style="34"/>
    <col min="14849" max="14849" width="11.42578125" style="34" bestFit="1" customWidth="1"/>
    <col min="14850" max="14853" width="15.5703125" style="34" customWidth="1"/>
    <col min="14854" max="15104" width="9.140625" style="34"/>
    <col min="15105" max="15105" width="11.42578125" style="34" bestFit="1" customWidth="1"/>
    <col min="15106" max="15109" width="15.5703125" style="34" customWidth="1"/>
    <col min="15110" max="15360" width="9.140625" style="34"/>
    <col min="15361" max="15361" width="11.42578125" style="34" bestFit="1" customWidth="1"/>
    <col min="15362" max="15365" width="15.5703125" style="34" customWidth="1"/>
    <col min="15366" max="15616" width="9.140625" style="34"/>
    <col min="15617" max="15617" width="11.42578125" style="34" bestFit="1" customWidth="1"/>
    <col min="15618" max="15621" width="15.5703125" style="34" customWidth="1"/>
    <col min="15622" max="15872" width="9.140625" style="34"/>
    <col min="15873" max="15873" width="11.42578125" style="34" bestFit="1" customWidth="1"/>
    <col min="15874" max="15877" width="15.5703125" style="34" customWidth="1"/>
    <col min="15878" max="16128" width="9.140625" style="34"/>
    <col min="16129" max="16129" width="11.42578125" style="34" bestFit="1" customWidth="1"/>
    <col min="16130" max="16133" width="15.5703125" style="34" customWidth="1"/>
    <col min="16134" max="16384" width="9.140625" style="34"/>
  </cols>
  <sheetData>
    <row r="1" spans="1:4" x14ac:dyDescent="0.15">
      <c r="A1" s="34">
        <v>1.3999999999999985E-2</v>
      </c>
      <c r="B1" s="34">
        <v>4.0000000000000002E-4</v>
      </c>
      <c r="C1" s="34">
        <v>0.02</v>
      </c>
    </row>
    <row r="2" spans="1:4" x14ac:dyDescent="0.15">
      <c r="A2" s="37"/>
      <c r="C2" s="34" t="s">
        <v>104</v>
      </c>
    </row>
    <row r="3" spans="1:4" x14ac:dyDescent="0.15">
      <c r="B3" s="34" t="s">
        <v>103</v>
      </c>
      <c r="C3" s="34" t="s">
        <v>75</v>
      </c>
      <c r="D3" s="34" t="s">
        <v>77</v>
      </c>
    </row>
    <row r="4" spans="1:4" x14ac:dyDescent="0.15">
      <c r="A4" s="34">
        <v>1</v>
      </c>
      <c r="B4" s="37">
        <v>1.0000000000000001E-5</v>
      </c>
      <c r="C4" s="38">
        <v>0.02</v>
      </c>
      <c r="D4" s="38">
        <v>0.02</v>
      </c>
    </row>
    <row r="5" spans="1:4" x14ac:dyDescent="0.15">
      <c r="A5" s="34">
        <v>2</v>
      </c>
      <c r="B5" s="37">
        <v>2.0000000000000002E-5</v>
      </c>
      <c r="C5" s="38">
        <v>0.02</v>
      </c>
      <c r="D5" s="38">
        <v>0.02</v>
      </c>
    </row>
    <row r="6" spans="1:4" x14ac:dyDescent="0.15">
      <c r="A6" s="34">
        <v>3</v>
      </c>
      <c r="B6" s="37">
        <v>3.0000000000000001E-5</v>
      </c>
      <c r="C6" s="38">
        <v>0.02</v>
      </c>
      <c r="D6" s="38">
        <v>0.02</v>
      </c>
    </row>
    <row r="7" spans="1:4" x14ac:dyDescent="0.15">
      <c r="A7" s="34">
        <v>4</v>
      </c>
      <c r="B7" s="37">
        <v>4.0000000000000003E-5</v>
      </c>
      <c r="C7" s="38">
        <v>0.02</v>
      </c>
      <c r="D7" s="38">
        <v>0.02</v>
      </c>
    </row>
    <row r="8" spans="1:4" x14ac:dyDescent="0.15">
      <c r="A8" s="34">
        <v>5</v>
      </c>
      <c r="B8" s="37">
        <v>5.0000000000000002E-5</v>
      </c>
      <c r="C8" s="38">
        <v>0.02</v>
      </c>
      <c r="D8" s="38">
        <v>2.1999999999999999E-2</v>
      </c>
    </row>
    <row r="9" spans="1:4" x14ac:dyDescent="0.15">
      <c r="A9" s="34">
        <v>6</v>
      </c>
      <c r="B9" s="37">
        <v>6.0000000000000002E-5</v>
      </c>
      <c r="C9" s="38">
        <v>0.02</v>
      </c>
      <c r="D9" s="38">
        <v>2.8000000000000001E-2</v>
      </c>
    </row>
    <row r="10" spans="1:4" x14ac:dyDescent="0.15">
      <c r="A10" s="34">
        <v>7</v>
      </c>
      <c r="B10" s="37">
        <v>6.9999999999999994E-5</v>
      </c>
      <c r="C10" s="38">
        <v>0.02</v>
      </c>
      <c r="D10" s="38">
        <v>3.4000000000000002E-2</v>
      </c>
    </row>
    <row r="11" spans="1:4" x14ac:dyDescent="0.15">
      <c r="A11" s="34">
        <v>8</v>
      </c>
      <c r="B11" s="37">
        <v>8.0000000000000007E-5</v>
      </c>
      <c r="C11" s="38">
        <v>0.02</v>
      </c>
      <c r="D11" s="38">
        <v>3.9E-2</v>
      </c>
    </row>
    <row r="12" spans="1:4" x14ac:dyDescent="0.15">
      <c r="A12" s="34">
        <v>9</v>
      </c>
      <c r="B12" s="37">
        <v>9.0000000000000006E-5</v>
      </c>
      <c r="C12" s="38">
        <v>0.02</v>
      </c>
      <c r="D12" s="38">
        <v>4.4999999999999998E-2</v>
      </c>
    </row>
    <row r="13" spans="1:4" x14ac:dyDescent="0.15">
      <c r="A13" s="34">
        <v>10</v>
      </c>
      <c r="B13" s="37">
        <v>1E-4</v>
      </c>
      <c r="C13" s="38">
        <v>2.1000000000000001E-2</v>
      </c>
      <c r="D13" s="38">
        <v>0.05</v>
      </c>
    </row>
    <row r="14" spans="1:4" x14ac:dyDescent="0.15">
      <c r="A14" s="34">
        <v>11</v>
      </c>
      <c r="B14" s="37">
        <v>2.0000000000000001E-4</v>
      </c>
      <c r="C14" s="38">
        <v>4.3999999999999997E-2</v>
      </c>
      <c r="D14" s="38">
        <v>9.0999999999999998E-2</v>
      </c>
    </row>
    <row r="15" spans="1:4" x14ac:dyDescent="0.15">
      <c r="A15" s="34">
        <v>12</v>
      </c>
      <c r="B15" s="37">
        <v>2.9999999999999997E-4</v>
      </c>
      <c r="C15" s="38">
        <v>6.2E-2</v>
      </c>
      <c r="D15" s="38">
        <v>0.11799999999999999</v>
      </c>
    </row>
    <row r="16" spans="1:4" x14ac:dyDescent="0.15">
      <c r="A16" s="34">
        <v>13</v>
      </c>
      <c r="B16" s="37">
        <v>4.0000000000000002E-4</v>
      </c>
      <c r="C16" s="38">
        <v>7.6999999999999999E-2</v>
      </c>
      <c r="D16" s="38">
        <v>0.13700000000000001</v>
      </c>
    </row>
    <row r="17" spans="1:23" x14ac:dyDescent="0.15">
      <c r="A17" s="34">
        <v>14</v>
      </c>
      <c r="B17" s="37">
        <v>5.0000000000000001E-4</v>
      </c>
      <c r="C17" s="38">
        <v>8.8999999999999996E-2</v>
      </c>
      <c r="D17" s="38">
        <v>0.151</v>
      </c>
    </row>
    <row r="18" spans="1:23" x14ac:dyDescent="0.15">
      <c r="A18" s="34">
        <v>15</v>
      </c>
      <c r="B18" s="37">
        <v>5.9999999999999995E-4</v>
      </c>
      <c r="C18" s="38">
        <v>0.1</v>
      </c>
      <c r="D18" s="38">
        <v>0.16200000000000001</v>
      </c>
    </row>
    <row r="19" spans="1:23" x14ac:dyDescent="0.15">
      <c r="A19" s="34">
        <v>16</v>
      </c>
      <c r="B19" s="37">
        <v>6.9999999999999999E-4</v>
      </c>
      <c r="C19" s="38">
        <v>0.108</v>
      </c>
      <c r="D19" s="38">
        <v>1.7000000000000001E-2</v>
      </c>
      <c r="E19" s="40"/>
    </row>
    <row r="20" spans="1:23" x14ac:dyDescent="0.15">
      <c r="A20" s="34">
        <v>17</v>
      </c>
      <c r="B20" s="37">
        <v>8.0000000000000004E-4</v>
      </c>
      <c r="C20" s="38">
        <v>0.11600000000000001</v>
      </c>
      <c r="D20" s="38">
        <v>0.17699999999999999</v>
      </c>
    </row>
    <row r="21" spans="1:23" x14ac:dyDescent="0.15">
      <c r="A21" s="34">
        <v>18</v>
      </c>
      <c r="B21" s="37">
        <v>8.9999999999999998E-4</v>
      </c>
      <c r="C21" s="38">
        <v>0.122</v>
      </c>
      <c r="D21" s="38">
        <v>0.184</v>
      </c>
      <c r="W21" s="34">
        <v>2</v>
      </c>
    </row>
    <row r="22" spans="1:23" x14ac:dyDescent="0.15">
      <c r="A22" s="34">
        <v>19</v>
      </c>
      <c r="B22" s="37">
        <v>1E-3</v>
      </c>
      <c r="C22" s="38">
        <v>0.128</v>
      </c>
      <c r="D22" s="38">
        <v>0.189</v>
      </c>
    </row>
    <row r="23" spans="1:23" x14ac:dyDescent="0.15">
      <c r="A23" s="34">
        <v>20</v>
      </c>
      <c r="B23" s="37">
        <v>2E-3</v>
      </c>
      <c r="C23" s="38">
        <v>0.16300000000000001</v>
      </c>
      <c r="D23" s="38">
        <v>0.218</v>
      </c>
    </row>
    <row r="24" spans="1:23" x14ac:dyDescent="0.15">
      <c r="A24" s="34">
        <v>21</v>
      </c>
      <c r="B24" s="37">
        <v>3.0000000000000001E-3</v>
      </c>
      <c r="C24" s="38">
        <v>0.18099999999999999</v>
      </c>
      <c r="D24" s="38">
        <v>0.23100000000000001</v>
      </c>
    </row>
    <row r="25" spans="1:23" x14ac:dyDescent="0.15">
      <c r="A25" s="34">
        <v>22</v>
      </c>
      <c r="B25" s="37">
        <v>4.0000000000000001E-3</v>
      </c>
      <c r="C25" s="38">
        <v>0.192</v>
      </c>
      <c r="D25" s="38">
        <v>0.23899999999999999</v>
      </c>
    </row>
    <row r="26" spans="1:23" x14ac:dyDescent="0.15">
      <c r="A26" s="34">
        <v>23</v>
      </c>
      <c r="B26" s="37">
        <v>5.0000000000000001E-3</v>
      </c>
      <c r="C26" s="38">
        <v>0.19900000000000001</v>
      </c>
      <c r="D26" s="38">
        <v>0.24399999999999999</v>
      </c>
    </row>
    <row r="27" spans="1:23" x14ac:dyDescent="0.15">
      <c r="A27" s="34">
        <v>24</v>
      </c>
      <c r="B27" s="37">
        <v>6.0000000000000001E-3</v>
      </c>
      <c r="C27" s="38">
        <v>0.20499999999999999</v>
      </c>
      <c r="D27" s="38">
        <v>0.248</v>
      </c>
    </row>
    <row r="28" spans="1:23" x14ac:dyDescent="0.15">
      <c r="A28" s="34">
        <v>25</v>
      </c>
      <c r="B28" s="37">
        <v>7.0000000000000001E-3</v>
      </c>
      <c r="C28" s="38">
        <v>0.20899999999999999</v>
      </c>
      <c r="D28" s="38">
        <v>0.251</v>
      </c>
    </row>
    <row r="29" spans="1:23" x14ac:dyDescent="0.15">
      <c r="A29" s="34">
        <v>26</v>
      </c>
      <c r="B29" s="37">
        <v>8.0000000000000002E-3</v>
      </c>
      <c r="C29" s="38">
        <v>0.21299999999999999</v>
      </c>
      <c r="D29" s="38">
        <v>0.254</v>
      </c>
    </row>
    <row r="30" spans="1:23" x14ac:dyDescent="0.15">
      <c r="A30" s="34">
        <v>27</v>
      </c>
      <c r="B30" s="37">
        <v>8.9999999999999993E-3</v>
      </c>
      <c r="C30" s="38">
        <v>0.216</v>
      </c>
      <c r="D30" s="38">
        <v>0.25600000000000001</v>
      </c>
    </row>
    <row r="31" spans="1:23" x14ac:dyDescent="0.15">
      <c r="A31" s="34">
        <v>28</v>
      </c>
      <c r="B31" s="37">
        <v>0.01</v>
      </c>
      <c r="C31" s="38">
        <v>0.218</v>
      </c>
      <c r="D31" s="38">
        <v>0.25700000000000001</v>
      </c>
    </row>
    <row r="32" spans="1:23" x14ac:dyDescent="0.15">
      <c r="A32" s="34">
        <v>29</v>
      </c>
      <c r="B32" s="37">
        <v>0.02</v>
      </c>
      <c r="C32" s="38">
        <v>0.23200000000000001</v>
      </c>
      <c r="D32" s="38">
        <v>0.26600000000000001</v>
      </c>
    </row>
    <row r="33" spans="1:4" x14ac:dyDescent="0.15">
      <c r="A33" s="34">
        <v>30</v>
      </c>
      <c r="B33" s="37">
        <v>0.03</v>
      </c>
      <c r="C33" s="38">
        <v>0.23799999999999999</v>
      </c>
      <c r="D33" s="38">
        <v>0.27</v>
      </c>
    </row>
    <row r="34" spans="1:4" x14ac:dyDescent="0.15">
      <c r="A34" s="34">
        <v>31</v>
      </c>
      <c r="B34" s="37">
        <v>0.04</v>
      </c>
      <c r="C34" s="38">
        <v>0.24199999999999999</v>
      </c>
      <c r="D34" s="38">
        <v>0.27200000000000002</v>
      </c>
    </row>
    <row r="35" spans="1:4" x14ac:dyDescent="0.15">
      <c r="A35" s="34">
        <v>32</v>
      </c>
      <c r="B35" s="37">
        <v>0.05</v>
      </c>
      <c r="C35" s="38">
        <v>0.24399999999999999</v>
      </c>
      <c r="D35" s="38">
        <v>0.27300000000000002</v>
      </c>
    </row>
    <row r="36" spans="1:4" x14ac:dyDescent="0.15">
      <c r="A36" s="34">
        <v>33</v>
      </c>
      <c r="B36" s="37">
        <v>0.06</v>
      </c>
      <c r="C36" s="38">
        <v>0.246</v>
      </c>
      <c r="D36" s="38">
        <v>0.27400000000000002</v>
      </c>
    </row>
    <row r="37" spans="1:4" x14ac:dyDescent="0.15">
      <c r="A37" s="34">
        <v>34</v>
      </c>
      <c r="B37" s="37">
        <v>7.0000000000000007E-2</v>
      </c>
      <c r="C37" s="38">
        <v>0.247</v>
      </c>
      <c r="D37" s="38">
        <v>0.27500000000000002</v>
      </c>
    </row>
    <row r="38" spans="1:4" x14ac:dyDescent="0.15">
      <c r="A38" s="34">
        <v>35</v>
      </c>
      <c r="B38" s="37">
        <v>0.08</v>
      </c>
      <c r="C38" s="38">
        <v>0.248</v>
      </c>
      <c r="D38" s="38">
        <v>0.27600000000000002</v>
      </c>
    </row>
    <row r="39" spans="1:4" x14ac:dyDescent="0.15">
      <c r="A39" s="34">
        <v>36</v>
      </c>
      <c r="B39" s="37">
        <v>0.09</v>
      </c>
      <c r="C39" s="38">
        <v>0.249</v>
      </c>
      <c r="D39" s="38">
        <v>0.27600000000000002</v>
      </c>
    </row>
    <row r="40" spans="1:4" x14ac:dyDescent="0.15">
      <c r="A40" s="34">
        <v>37</v>
      </c>
      <c r="B40" s="37">
        <v>0.1</v>
      </c>
      <c r="C40" s="38">
        <v>0.25</v>
      </c>
      <c r="D40" s="38">
        <v>0.27700000000000002</v>
      </c>
    </row>
    <row r="156" spans="2:32" x14ac:dyDescent="0.15">
      <c r="B156" s="34">
        <v>1.7600000000000002</v>
      </c>
      <c r="C156" s="34">
        <v>99.51954851375919</v>
      </c>
      <c r="D156" s="34">
        <v>0.24327000747807803</v>
      </c>
      <c r="E156" s="34">
        <v>0.1450843381635373</v>
      </c>
      <c r="W156" s="34">
        <v>1</v>
      </c>
      <c r="X156" s="34">
        <v>4.8000000000000007</v>
      </c>
      <c r="Y156" s="34">
        <v>3.2464944277766646E-2</v>
      </c>
      <c r="Z156" s="34">
        <v>1</v>
      </c>
      <c r="AA156" s="34">
        <v>4.8000000000000007</v>
      </c>
      <c r="AB156" s="34">
        <v>3.270658662034201E-2</v>
      </c>
      <c r="AC156" s="34">
        <v>1</v>
      </c>
      <c r="AD156" s="34">
        <v>4.8000000000000007</v>
      </c>
      <c r="AE156" s="34">
        <v>3.2739237942076109E-2</v>
      </c>
      <c r="AF156" s="34">
        <v>1</v>
      </c>
    </row>
    <row r="157" spans="2:32" x14ac:dyDescent="0.15">
      <c r="W157" s="34">
        <v>0.91024733472041108</v>
      </c>
      <c r="X157" s="34">
        <v>12.561413219141674</v>
      </c>
      <c r="Y157" s="34">
        <v>2.9712955623449035E-2</v>
      </c>
      <c r="Z157" s="34">
        <v>0.91523199205974648</v>
      </c>
      <c r="AA157" s="34">
        <v>12.630201490424502</v>
      </c>
      <c r="AB157" s="34">
        <v>2.9954597966024402E-2</v>
      </c>
      <c r="AC157" s="34">
        <v>0.91585827386199958</v>
      </c>
      <c r="AD157" s="34">
        <v>12.638844179295594</v>
      </c>
      <c r="AE157" s="34">
        <v>2.9987249287758498E-2</v>
      </c>
      <c r="AF157" s="34">
        <v>0.91594218963842211</v>
      </c>
    </row>
    <row r="158" spans="2:32" x14ac:dyDescent="0.15">
      <c r="D158" s="34">
        <v>3.073347806930542</v>
      </c>
      <c r="W158" s="34">
        <v>0.56628588602171126</v>
      </c>
      <c r="X158" s="34">
        <v>8.1545167587126421</v>
      </c>
      <c r="Y158" s="34">
        <v>1.880996807268201E-2</v>
      </c>
      <c r="Z158" s="34">
        <v>0.57939320368905933</v>
      </c>
      <c r="AA158" s="34">
        <v>8.3432621331224546</v>
      </c>
      <c r="AB158" s="34">
        <v>1.900841130145433E-2</v>
      </c>
      <c r="AC158" s="34">
        <v>0.58117991712507111</v>
      </c>
      <c r="AD158" s="34">
        <v>8.3689908066010243</v>
      </c>
      <c r="AE158" s="34">
        <v>1.9035635004596711E-2</v>
      </c>
      <c r="AF158" s="34">
        <v>0.58143182924035997</v>
      </c>
    </row>
    <row r="159" spans="2:32" x14ac:dyDescent="0.15">
      <c r="D159" s="34">
        <v>3.8242700694181987E-2</v>
      </c>
      <c r="W159" s="34">
        <v>0.22623023430062861</v>
      </c>
      <c r="X159" s="34">
        <v>2.8505009521879208</v>
      </c>
      <c r="Y159" s="34">
        <v>7.5023952974660989E-3</v>
      </c>
      <c r="Z159" s="34">
        <v>0.23109219696409747</v>
      </c>
      <c r="AA159" s="34">
        <v>2.9117616817476284</v>
      </c>
      <c r="AB159" s="34">
        <v>7.5867105895626374E-3</v>
      </c>
      <c r="AC159" s="34">
        <v>0.23196277488779732</v>
      </c>
      <c r="AD159" s="34">
        <v>2.9227309635862464</v>
      </c>
      <c r="AE159" s="34">
        <v>7.5987023696871452E-3</v>
      </c>
      <c r="AF159" s="34">
        <v>0.23209771660327427</v>
      </c>
    </row>
    <row r="160" spans="2:32" x14ac:dyDescent="0.15">
      <c r="D160" s="34">
        <v>8.7110145640885775E-3</v>
      </c>
      <c r="W160" s="34">
        <v>1.0273224208383999E-3</v>
      </c>
      <c r="X160" s="34">
        <v>7.3967214300364797E-3</v>
      </c>
      <c r="Y160" s="34">
        <v>3.4056264355312767E-5</v>
      </c>
      <c r="Z160" s="34">
        <v>1.0490165658049789E-3</v>
      </c>
      <c r="AA160" s="34">
        <v>7.5529192737958479E-3</v>
      </c>
      <c r="AB160" s="34">
        <v>3.44390912747917E-5</v>
      </c>
      <c r="AC160" s="34">
        <v>1.0529711239684104E-3</v>
      </c>
      <c r="AD160" s="34">
        <v>7.5813920925725548E-3</v>
      </c>
      <c r="AE160" s="34">
        <v>3.4493546481235423E-5</v>
      </c>
      <c r="AF160" s="34">
        <v>1.0535842814137313E-3</v>
      </c>
    </row>
    <row r="161" spans="2:32" x14ac:dyDescent="0.15">
      <c r="W161" s="34">
        <v>21.496657747937331</v>
      </c>
      <c r="Z161" s="34">
        <v>21.866487173933006</v>
      </c>
      <c r="AC161" s="34">
        <v>21.917252164612215</v>
      </c>
      <c r="AF161" s="34">
        <v>21.9243799082052</v>
      </c>
    </row>
    <row r="162" spans="2:32" x14ac:dyDescent="0.15">
      <c r="W162" s="34">
        <v>656.88916434594466</v>
      </c>
      <c r="Z162" s="34">
        <v>667.79352031171038</v>
      </c>
      <c r="AC162" s="34">
        <v>669.33617136013163</v>
      </c>
      <c r="AF162" s="34">
        <v>669.55368418848502</v>
      </c>
    </row>
    <row r="163" spans="2:32" x14ac:dyDescent="0.15">
      <c r="W163" s="34">
        <v>1.1366304407027641</v>
      </c>
      <c r="Z163" s="34">
        <v>1.1369680754662592</v>
      </c>
      <c r="AC163" s="34">
        <v>1.1369746075029485</v>
      </c>
      <c r="AF163" s="34">
        <v>1.1369747459214914</v>
      </c>
    </row>
    <row r="164" spans="2:32" x14ac:dyDescent="0.15">
      <c r="B164" s="34">
        <v>1.7600000000000002</v>
      </c>
      <c r="C164" s="34">
        <v>104.10028570220317</v>
      </c>
      <c r="D164" s="34">
        <v>0.25446736504983003</v>
      </c>
      <c r="E164" s="34">
        <v>0.15543236876311894</v>
      </c>
      <c r="W164" s="34">
        <v>1</v>
      </c>
      <c r="X164" s="34">
        <v>4.8000000000000007</v>
      </c>
      <c r="Y164" s="34">
        <v>3.1406291318233297E-2</v>
      </c>
      <c r="Z164" s="34">
        <v>1</v>
      </c>
      <c r="AA164" s="34">
        <v>4.8000000000000007</v>
      </c>
      <c r="AB164" s="34">
        <v>3.147860392382261E-2</v>
      </c>
      <c r="AC164" s="34">
        <v>1</v>
      </c>
    </row>
    <row r="165" spans="2:32" x14ac:dyDescent="0.15">
      <c r="W165" s="34">
        <v>0.92567896469905864</v>
      </c>
      <c r="X165" s="34">
        <v>12.77436971284701</v>
      </c>
      <c r="Y165" s="34">
        <v>2.9113485851362579E-2</v>
      </c>
      <c r="Z165" s="34">
        <v>0.92699534486137802</v>
      </c>
      <c r="AA165" s="34">
        <v>12.792535759087018</v>
      </c>
      <c r="AB165" s="34">
        <v>2.9185798456951892E-2</v>
      </c>
      <c r="AC165" s="34">
        <v>0.9271630510546387</v>
      </c>
    </row>
    <row r="166" spans="2:32" x14ac:dyDescent="0.15">
      <c r="D166" s="34">
        <v>3.280573844909668</v>
      </c>
      <c r="W166" s="34">
        <v>0.61906951421221135</v>
      </c>
      <c r="X166" s="34">
        <v>8.914601004655843</v>
      </c>
      <c r="Y166" s="34">
        <v>1.9581701303565451E-2</v>
      </c>
      <c r="Z166" s="34">
        <v>0.62349613665453907</v>
      </c>
      <c r="AA166" s="34">
        <v>8.9783443678253629</v>
      </c>
      <c r="AB166" s="34">
        <v>1.9644161217896167E-2</v>
      </c>
      <c r="AC166" s="34">
        <v>0.62404804436164063</v>
      </c>
    </row>
    <row r="167" spans="2:32" x14ac:dyDescent="0.15">
      <c r="D167" s="34">
        <v>3.5253889717487497E-2</v>
      </c>
      <c r="W167" s="34">
        <v>0.23277170041467674</v>
      </c>
      <c r="X167" s="34">
        <v>2.932923425224927</v>
      </c>
      <c r="Y167" s="34">
        <v>7.3521451940478915E-3</v>
      </c>
      <c r="Z167" s="34">
        <v>0.23409784745196946</v>
      </c>
      <c r="AA167" s="34">
        <v>2.9496328778948153</v>
      </c>
      <c r="AB167" s="34">
        <v>7.3767887761037754E-3</v>
      </c>
      <c r="AC167" s="34">
        <v>0.23434294589288043</v>
      </c>
    </row>
    <row r="168" spans="2:32" x14ac:dyDescent="0.15">
      <c r="D168" s="34">
        <v>8.6029650714374642E-3</v>
      </c>
      <c r="W168" s="34">
        <v>1.1183570031967878E-3</v>
      </c>
      <c r="X168" s="34">
        <v>8.0521704230168724E-3</v>
      </c>
      <c r="Y168" s="34">
        <v>3.5323892282517594E-5</v>
      </c>
      <c r="Z168" s="34">
        <v>1.1247393690833494E-3</v>
      </c>
      <c r="AA168" s="34">
        <v>8.0981234574001165E-3</v>
      </c>
      <c r="AB168" s="34">
        <v>3.5442316735762249E-5</v>
      </c>
      <c r="AC168" s="34">
        <v>1.1259176811504003E-3</v>
      </c>
    </row>
    <row r="169" spans="2:32" x14ac:dyDescent="0.15">
      <c r="W169" s="34">
        <v>22.826433621896044</v>
      </c>
      <c r="Z169" s="34">
        <v>22.947095940306536</v>
      </c>
      <c r="AC169" s="34">
        <v>22.962748601419328</v>
      </c>
    </row>
    <row r="170" spans="2:32" x14ac:dyDescent="0.15">
      <c r="W170" s="34">
        <v>724.93939032077742</v>
      </c>
      <c r="Z170" s="34">
        <v>728.72153762540438</v>
      </c>
      <c r="AC170" s="34">
        <v>729.21782354140669</v>
      </c>
    </row>
    <row r="171" spans="2:32" x14ac:dyDescent="0.15">
      <c r="W171" s="34">
        <v>1.1149311346355593</v>
      </c>
      <c r="Z171" s="34">
        <v>1.1149693370068059</v>
      </c>
      <c r="AC171" s="34">
        <v>1.1149699403773952</v>
      </c>
    </row>
    <row r="172" spans="2:32" x14ac:dyDescent="0.15">
      <c r="B172" s="34">
        <v>1.7600000000000002</v>
      </c>
      <c r="C172" s="34">
        <v>106.48277837918658</v>
      </c>
      <c r="D172" s="34">
        <v>0.26029123603801169</v>
      </c>
      <c r="E172" s="34">
        <v>0.15458574556589574</v>
      </c>
      <c r="W172" s="34">
        <v>1</v>
      </c>
      <c r="X172" s="34">
        <v>4.8000000000000007</v>
      </c>
      <c r="Y172" s="34">
        <v>3.0603467475202279E-2</v>
      </c>
      <c r="Z172" s="34">
        <v>1</v>
      </c>
      <c r="AA172" s="34">
        <v>4.8000000000000007</v>
      </c>
      <c r="AB172" s="34">
        <v>3.0623110074404693E-2</v>
      </c>
      <c r="AC172" s="34">
        <v>1</v>
      </c>
    </row>
    <row r="173" spans="2:32" x14ac:dyDescent="0.15">
      <c r="W173" s="34">
        <v>0.92852950214486119</v>
      </c>
      <c r="X173" s="34">
        <v>12.813707129599084</v>
      </c>
      <c r="Y173" s="34">
        <v>2.8426113603369003E-2</v>
      </c>
      <c r="Z173" s="34">
        <v>0.92885270685102705</v>
      </c>
      <c r="AA173" s="34">
        <v>12.818167354544174</v>
      </c>
      <c r="AB173" s="34">
        <v>2.8445756202571417E-2</v>
      </c>
      <c r="AC173" s="34">
        <v>0.92889834290041151</v>
      </c>
    </row>
    <row r="174" spans="2:32" x14ac:dyDescent="0.15">
      <c r="D174" s="34">
        <v>3.3899998664855957</v>
      </c>
      <c r="W174" s="34">
        <v>0.63609039199545581</v>
      </c>
      <c r="X174" s="34">
        <v>9.1597016447345645</v>
      </c>
      <c r="Y174" s="34">
        <v>1.9507386738296304E-2</v>
      </c>
      <c r="Z174" s="34">
        <v>0.63742406817472463</v>
      </c>
      <c r="AA174" s="34">
        <v>9.1789065817160349</v>
      </c>
      <c r="AB174" s="34">
        <v>1.952477089594809E-2</v>
      </c>
      <c r="AC174" s="34">
        <v>0.63758288588288159</v>
      </c>
    </row>
    <row r="175" spans="2:32" x14ac:dyDescent="0.15">
      <c r="D175" s="34">
        <v>3.450671978248062E-2</v>
      </c>
      <c r="W175" s="34">
        <v>0.23228783806020767</v>
      </c>
      <c r="X175" s="34">
        <v>2.926826759558617</v>
      </c>
      <c r="Y175" s="34">
        <v>7.1165308413943112E-3</v>
      </c>
      <c r="Z175" s="34">
        <v>0.23254001681870767</v>
      </c>
      <c r="AA175" s="34">
        <v>2.9300042119157168</v>
      </c>
      <c r="AB175" s="34">
        <v>7.1229626539905831E-3</v>
      </c>
      <c r="AC175" s="34">
        <v>0.23260088987317046</v>
      </c>
    </row>
    <row r="176" spans="2:32" x14ac:dyDescent="0.15">
      <c r="D176" s="34">
        <v>8.3747677972348909E-3</v>
      </c>
      <c r="W176" s="34">
        <v>1.1639017446882281E-3</v>
      </c>
      <c r="X176" s="34">
        <v>8.3800925617552435E-3</v>
      </c>
      <c r="Y176" s="34">
        <v>3.5658370799767474E-5</v>
      </c>
      <c r="Z176" s="34">
        <v>1.1651742021933018E-3</v>
      </c>
      <c r="AA176" s="34">
        <v>8.3892542557917737E-3</v>
      </c>
      <c r="AB176" s="34">
        <v>3.5690600190610996E-5</v>
      </c>
      <c r="AC176" s="34">
        <v>1.1654792770523265E-3</v>
      </c>
    </row>
    <row r="177" spans="2:29" x14ac:dyDescent="0.15">
      <c r="W177" s="34">
        <v>23.204179325396311</v>
      </c>
      <c r="Z177" s="34">
        <v>23.238398422511416</v>
      </c>
      <c r="AC177" s="34">
        <v>23.242841069735277</v>
      </c>
    </row>
    <row r="178" spans="2:29" x14ac:dyDescent="0.15">
      <c r="W178" s="34">
        <v>757.66133553003874</v>
      </c>
      <c r="Z178" s="34">
        <v>758.77351785748397</v>
      </c>
      <c r="AC178" s="34">
        <v>758.91850945280294</v>
      </c>
    </row>
    <row r="179" spans="2:29" x14ac:dyDescent="0.15">
      <c r="W179" s="34">
        <v>1.099576386874225</v>
      </c>
      <c r="Z179" s="34">
        <v>1.0995801092830919</v>
      </c>
      <c r="AC179" s="34">
        <v>1.0995801588688836</v>
      </c>
    </row>
    <row r="180" spans="2:29" x14ac:dyDescent="0.15">
      <c r="B180" s="34">
        <v>1.7600000000000002</v>
      </c>
      <c r="C180" s="34">
        <v>107.06192775934066</v>
      </c>
      <c r="D180" s="34">
        <v>0.26170693452283272</v>
      </c>
      <c r="E180" s="34">
        <v>0.15497988564924883</v>
      </c>
      <c r="W180" s="34">
        <v>1</v>
      </c>
      <c r="X180" s="34">
        <v>4.8000000000000007</v>
      </c>
      <c r="Y180" s="34">
        <v>3.0472242365027484E-2</v>
      </c>
      <c r="Z180" s="34">
        <v>1</v>
      </c>
    </row>
    <row r="181" spans="2:29" x14ac:dyDescent="0.15">
      <c r="W181" s="34">
        <v>0.92901334497129273</v>
      </c>
      <c r="X181" s="34">
        <v>12.82038416060384</v>
      </c>
      <c r="Y181" s="34">
        <v>2.831160353649885E-2</v>
      </c>
      <c r="Z181" s="34">
        <v>0.92909485286162052</v>
      </c>
    </row>
    <row r="182" spans="2:29" x14ac:dyDescent="0.15">
      <c r="D182" s="34">
        <v>3.4167671203613281</v>
      </c>
      <c r="W182" s="34">
        <v>0.64132306614950452</v>
      </c>
      <c r="X182" s="34">
        <v>9.2350521525528659</v>
      </c>
      <c r="Y182" s="34">
        <v>1.9554312782963872E-2</v>
      </c>
      <c r="Z182" s="34">
        <v>0.64170901992450846</v>
      </c>
    </row>
    <row r="183" spans="2:29" x14ac:dyDescent="0.15">
      <c r="D183" s="34">
        <v>3.4265332655437755E-2</v>
      </c>
      <c r="W183" s="34">
        <v>0.23100661643064219</v>
      </c>
      <c r="X183" s="34">
        <v>2.9106833670260919</v>
      </c>
      <c r="Y183" s="34">
        <v>7.0395690159748177E-3</v>
      </c>
      <c r="Z183" s="34">
        <v>0.23101578583051771</v>
      </c>
    </row>
    <row r="184" spans="2:29" x14ac:dyDescent="0.15">
      <c r="D184" s="34">
        <v>8.3373866185769488E-3</v>
      </c>
      <c r="W184" s="34">
        <v>1.1727412951454896E-3</v>
      </c>
      <c r="X184" s="34">
        <v>8.4437373250475251E-3</v>
      </c>
      <c r="Y184" s="34">
        <v>3.5737525978736131E-5</v>
      </c>
      <c r="Z184" s="34">
        <v>1.1727895030052508E-3</v>
      </c>
    </row>
    <row r="185" spans="2:29" x14ac:dyDescent="0.15">
      <c r="W185" s="34">
        <v>23.305356953822432</v>
      </c>
      <c r="Z185" s="34">
        <v>23.314631102258222</v>
      </c>
    </row>
    <row r="186" spans="2:29" x14ac:dyDescent="0.15">
      <c r="W186" s="34">
        <v>764.64862786279082</v>
      </c>
      <c r="Z186" s="34">
        <v>764.95239511354248</v>
      </c>
    </row>
    <row r="187" spans="2:29" x14ac:dyDescent="0.15">
      <c r="W187" s="34">
        <v>1.0969246190072233</v>
      </c>
      <c r="Z187" s="34">
        <v>1.0969249900533058</v>
      </c>
    </row>
    <row r="188" spans="2:29" x14ac:dyDescent="0.15">
      <c r="B188" s="34">
        <v>1.7600000000000002</v>
      </c>
      <c r="C188" s="34">
        <v>107.32789575304969</v>
      </c>
      <c r="D188" s="34">
        <v>0.26235707850745482</v>
      </c>
      <c r="E188" s="34">
        <v>0.15500183012626126</v>
      </c>
      <c r="W188" s="34">
        <v>1</v>
      </c>
      <c r="X188" s="34">
        <v>4.8000000000000007</v>
      </c>
      <c r="Y188" s="34">
        <v>3.0393902570598777E-2</v>
      </c>
      <c r="Z188" s="34">
        <v>1</v>
      </c>
    </row>
    <row r="189" spans="2:29" x14ac:dyDescent="0.15">
      <c r="W189" s="34">
        <v>0.92903148442046768</v>
      </c>
      <c r="X189" s="34">
        <v>12.820634485002454</v>
      </c>
      <c r="Y189" s="34">
        <v>2.8237491000550445E-2</v>
      </c>
      <c r="Z189" s="34">
        <v>0.92905117843819396</v>
      </c>
    </row>
    <row r="190" spans="2:29" x14ac:dyDescent="0.15">
      <c r="D190" s="34">
        <v>3.429081916809082</v>
      </c>
      <c r="W190" s="34">
        <v>0.64293817846375534</v>
      </c>
      <c r="X190" s="34">
        <v>9.2583097698780765</v>
      </c>
      <c r="Y190" s="34">
        <v>1.9544843365937561E-2</v>
      </c>
      <c r="Z190" s="34">
        <v>0.64305145811857867</v>
      </c>
    </row>
    <row r="191" spans="2:29" x14ac:dyDescent="0.15">
      <c r="D191" s="34">
        <v>3.4172282576440359E-2</v>
      </c>
      <c r="W191" s="34">
        <v>0.23002089151760419</v>
      </c>
      <c r="X191" s="34">
        <v>2.898263233121813</v>
      </c>
      <c r="Y191" s="34">
        <v>6.9902995322309045E-3</v>
      </c>
      <c r="Z191" s="34">
        <v>0.22999019346047708</v>
      </c>
    </row>
    <row r="192" spans="2:29" x14ac:dyDescent="0.15">
      <c r="D192" s="34">
        <v>8.3159231521358103E-3</v>
      </c>
      <c r="W192" s="34">
        <v>1.1764072794875548E-3</v>
      </c>
      <c r="X192" s="34">
        <v>8.4701324123103942E-3</v>
      </c>
      <c r="Y192" s="34">
        <v>3.5750866027070181E-5</v>
      </c>
      <c r="Z192" s="34">
        <v>1.1762512544754094E-3</v>
      </c>
    </row>
    <row r="193" spans="2:26" x14ac:dyDescent="0.15">
      <c r="W193" s="34">
        <v>23.32996496297347</v>
      </c>
      <c r="Z193" s="34">
        <v>23.332389756116612</v>
      </c>
    </row>
    <row r="194" spans="2:26" x14ac:dyDescent="0.15">
      <c r="W194" s="34">
        <v>767.54127077569228</v>
      </c>
      <c r="Z194" s="34">
        <v>767.6209776220303</v>
      </c>
    </row>
    <row r="195" spans="2:26" x14ac:dyDescent="0.15">
      <c r="W195" s="34">
        <v>1.0954335445013967</v>
      </c>
      <c r="Z195" s="34">
        <v>1.0954335925452232</v>
      </c>
    </row>
    <row r="196" spans="2:26" x14ac:dyDescent="0.15">
      <c r="B196" s="34">
        <v>1.7600000000000002</v>
      </c>
      <c r="C196" s="34">
        <v>107.43439294787771</v>
      </c>
      <c r="D196" s="34">
        <v>0.26261740498370106</v>
      </c>
      <c r="E196" s="34">
        <v>0.15500804964280965</v>
      </c>
      <c r="W196" s="34">
        <v>1</v>
      </c>
      <c r="X196" s="34">
        <v>4.8000000000000007</v>
      </c>
      <c r="Y196" s="34">
        <v>3.0362429279864791E-2</v>
      </c>
      <c r="Z196" s="34">
        <v>1</v>
      </c>
    </row>
    <row r="197" spans="2:26" x14ac:dyDescent="0.15">
      <c r="W197" s="34">
        <v>0.92900558476832362</v>
      </c>
      <c r="X197" s="34">
        <v>12.820277069802867</v>
      </c>
      <c r="Y197" s="34">
        <v>2.820696714335811E-2</v>
      </c>
      <c r="Z197" s="34">
        <v>0.92900890384498647</v>
      </c>
    </row>
    <row r="198" spans="2:26" x14ac:dyDescent="0.15">
      <c r="D198" s="34">
        <v>3.4340164661407471</v>
      </c>
      <c r="W198" s="34">
        <v>0.64343017399461344</v>
      </c>
      <c r="X198" s="34">
        <v>9.2653945055224334</v>
      </c>
      <c r="Y198" s="34">
        <v>1.9536918892486807E-2</v>
      </c>
      <c r="Z198" s="34">
        <v>0.64345704068689091</v>
      </c>
    </row>
    <row r="199" spans="2:26" x14ac:dyDescent="0.15">
      <c r="D199" s="34">
        <v>3.4135415758398568E-2</v>
      </c>
      <c r="W199" s="34">
        <v>0.22942857585810875</v>
      </c>
      <c r="X199" s="34">
        <v>2.8908000558121705</v>
      </c>
      <c r="Y199" s="34">
        <v>6.9651564605911738E-3</v>
      </c>
      <c r="Z199" s="34">
        <v>0.2294005000848269</v>
      </c>
    </row>
    <row r="200" spans="2:26" x14ac:dyDescent="0.15">
      <c r="D200" s="34">
        <v>8.3072848261155924E-3</v>
      </c>
      <c r="W200" s="34">
        <v>1.1775854879777659E-3</v>
      </c>
      <c r="X200" s="34">
        <v>8.4786155134399157E-3</v>
      </c>
      <c r="Y200" s="34">
        <v>3.5749992981900264E-5</v>
      </c>
      <c r="Z200" s="34">
        <v>1.1774417867679745E-3</v>
      </c>
    </row>
    <row r="201" spans="2:26" x14ac:dyDescent="0.15">
      <c r="W201" s="34">
        <v>23.334985519131287</v>
      </c>
      <c r="Z201" s="34">
        <v>23.335406178249773</v>
      </c>
    </row>
    <row r="202" spans="2:26" x14ac:dyDescent="0.15">
      <c r="W202" s="34">
        <v>768.53516538488111</v>
      </c>
      <c r="Z202" s="34">
        <v>768.54900978133992</v>
      </c>
    </row>
    <row r="203" spans="2:26" x14ac:dyDescent="0.15">
      <c r="W203" s="34">
        <v>1.0948427750921224</v>
      </c>
      <c r="Z203" s="34">
        <v>1.0948427821900193</v>
      </c>
    </row>
    <row r="204" spans="2:26" x14ac:dyDescent="0.15">
      <c r="B204" s="34">
        <v>1.7600000000000002</v>
      </c>
      <c r="C204" s="34">
        <v>107.48040371895814</v>
      </c>
      <c r="D204" s="34">
        <v>0.26272987575745327</v>
      </c>
      <c r="E204" s="34">
        <v>0.15500010934010242</v>
      </c>
      <c r="W204" s="34">
        <v>1</v>
      </c>
      <c r="X204" s="34">
        <v>4.8000000000000007</v>
      </c>
      <c r="Y204" s="34">
        <v>3.0348031318457393E-2</v>
      </c>
      <c r="Z204" s="34">
        <v>1</v>
      </c>
    </row>
    <row r="205" spans="2:26" x14ac:dyDescent="0.15">
      <c r="W205" s="34">
        <v>0.92898322881176765</v>
      </c>
      <c r="X205" s="34">
        <v>12.819968557602394</v>
      </c>
      <c r="Y205" s="34">
        <v>2.819278821780484E-2</v>
      </c>
      <c r="Z205" s="34">
        <v>0.92898244113311712</v>
      </c>
    </row>
    <row r="206" spans="2:26" x14ac:dyDescent="0.15">
      <c r="D206" s="34">
        <v>3.4361491203308105</v>
      </c>
      <c r="W206" s="34">
        <v>0.64355467447721826</v>
      </c>
      <c r="X206" s="34">
        <v>9.2671873124719433</v>
      </c>
      <c r="Y206" s="34">
        <v>1.9530671619712711E-2</v>
      </c>
      <c r="Z206" s="34">
        <v>0.64355646054162119</v>
      </c>
    </row>
    <row r="207" spans="2:26" x14ac:dyDescent="0.15">
      <c r="D207" s="34">
        <v>3.4120634103823586E-2</v>
      </c>
      <c r="W207" s="34">
        <v>0.22909460619649141</v>
      </c>
      <c r="X207" s="34">
        <v>2.8865920380757921</v>
      </c>
      <c r="Y207" s="34">
        <v>6.9519930009572196E-3</v>
      </c>
      <c r="Z207" s="34">
        <v>0.22907558411306506</v>
      </c>
    </row>
    <row r="208" spans="2:26" x14ac:dyDescent="0.15">
      <c r="D208" s="34">
        <v>8.3032621664486661E-3</v>
      </c>
      <c r="W208" s="34">
        <v>1.1779904134525951E-3</v>
      </c>
      <c r="X208" s="34">
        <v>8.4815309768586852E-3</v>
      </c>
      <c r="Y208" s="34">
        <v>3.5746727277271595E-5</v>
      </c>
      <c r="Z208" s="34">
        <v>1.1778927898868604E-3</v>
      </c>
    </row>
    <row r="209" spans="2:26" x14ac:dyDescent="0.15">
      <c r="W209" s="34">
        <v>23.334790155479183</v>
      </c>
      <c r="Z209" s="34">
        <v>23.334693248003489</v>
      </c>
    </row>
    <row r="210" spans="2:26" x14ac:dyDescent="0.15">
      <c r="W210" s="34">
        <v>768.90184904828402</v>
      </c>
      <c r="Z210" s="34">
        <v>768.89865419162288</v>
      </c>
    </row>
    <row r="211" spans="2:26" x14ac:dyDescent="0.15">
      <c r="W211" s="34">
        <v>1.0945771007051142</v>
      </c>
      <c r="Z211" s="34">
        <v>1.094577101893895</v>
      </c>
    </row>
    <row r="212" spans="2:26" x14ac:dyDescent="0.15">
      <c r="B212" s="34">
        <v>1.7600000000000002</v>
      </c>
      <c r="C212" s="34">
        <v>107.50032980180747</v>
      </c>
      <c r="D212" s="34">
        <v>0.26277858395997383</v>
      </c>
      <c r="E212" s="34">
        <v>0.15499240632467781</v>
      </c>
      <c r="W212" s="34">
        <v>1</v>
      </c>
      <c r="X212" s="34">
        <v>4.8000000000000007</v>
      </c>
      <c r="Y212" s="34">
        <v>3.0341539766882891E-2</v>
      </c>
      <c r="Z212" s="34">
        <v>1</v>
      </c>
    </row>
    <row r="213" spans="2:26" x14ac:dyDescent="0.15">
      <c r="W213" s="34">
        <v>0.92896919500189012</v>
      </c>
      <c r="X213" s="34">
        <v>12.819774891026084</v>
      </c>
      <c r="Y213" s="34">
        <v>2.8186316039427138E-2</v>
      </c>
      <c r="Z213" s="34">
        <v>0.92896788547929487</v>
      </c>
    </row>
    <row r="214" spans="2:26" x14ac:dyDescent="0.15">
      <c r="D214" s="34">
        <v>3.4370729923248291</v>
      </c>
      <c r="W214" s="34">
        <v>0.64357001929307667</v>
      </c>
      <c r="X214" s="34">
        <v>9.2674082778203051</v>
      </c>
      <c r="Y214" s="34">
        <v>1.9526795793074668E-2</v>
      </c>
      <c r="Z214" s="34">
        <v>0.6435664090583737</v>
      </c>
    </row>
    <row r="215" spans="2:26" x14ac:dyDescent="0.15">
      <c r="D215" s="34">
        <v>3.4114688703728628E-2</v>
      </c>
      <c r="W215" s="34">
        <v>0.22891287302778265</v>
      </c>
      <c r="X215" s="34">
        <v>2.8843022001500618</v>
      </c>
      <c r="Y215" s="34">
        <v>6.9452217251927389E-3</v>
      </c>
      <c r="Z215" s="34">
        <v>0.22890142618184764</v>
      </c>
    </row>
    <row r="216" spans="2:26" x14ac:dyDescent="0.15">
      <c r="D216" s="34">
        <v>8.3014027783368787E-3</v>
      </c>
      <c r="W216" s="34">
        <v>1.1781141578161081E-3</v>
      </c>
      <c r="X216" s="34">
        <v>8.482421936275979E-3</v>
      </c>
      <c r="Y216" s="34">
        <v>3.5744012687977237E-5</v>
      </c>
      <c r="Z216" s="34">
        <v>1.1780553314895055E-3</v>
      </c>
    </row>
    <row r="217" spans="2:26" x14ac:dyDescent="0.15">
      <c r="W217" s="34">
        <v>23.333665981353661</v>
      </c>
      <c r="Z217" s="34">
        <v>23.333499459284493</v>
      </c>
    </row>
    <row r="218" spans="2:26" x14ac:dyDescent="0.15">
      <c r="W218" s="34">
        <v>769.03044438744564</v>
      </c>
      <c r="Z218" s="34">
        <v>769.02495596203698</v>
      </c>
    </row>
    <row r="219" spans="2:26" x14ac:dyDescent="0.15">
      <c r="W219" s="34">
        <v>1.094459216440081</v>
      </c>
      <c r="Z219" s="34">
        <v>1.094459216578668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9D06E-C7C5-4841-B5F1-3341FC8BEBD1}">
  <sheetPr codeName="Sheet21"/>
  <dimension ref="C4:J27"/>
  <sheetViews>
    <sheetView workbookViewId="0">
      <selection activeCell="M13" sqref="M13"/>
    </sheetView>
  </sheetViews>
  <sheetFormatPr defaultRowHeight="12" x14ac:dyDescent="0.15"/>
  <sheetData>
    <row r="4" spans="3:10" ht="13.5" x14ac:dyDescent="0.15">
      <c r="C4" s="60" t="s">
        <v>182</v>
      </c>
      <c r="D4" s="34" t="s">
        <v>51</v>
      </c>
      <c r="E4" s="60" t="s">
        <v>183</v>
      </c>
      <c r="F4" s="60" t="s">
        <v>86</v>
      </c>
      <c r="G4" s="60" t="s">
        <v>149</v>
      </c>
      <c r="H4" s="34"/>
    </row>
    <row r="5" spans="3:10" ht="13.5" x14ac:dyDescent="0.15">
      <c r="C5" s="60">
        <v>6</v>
      </c>
      <c r="D5" s="34"/>
      <c r="E5" s="34">
        <v>0.30877470970153809</v>
      </c>
      <c r="F5" s="34">
        <v>0.10292490571737289</v>
      </c>
      <c r="G5" s="34">
        <v>0.31978106498718262</v>
      </c>
      <c r="H5" s="34"/>
    </row>
    <row r="6" spans="3:10" ht="13.5" x14ac:dyDescent="0.15">
      <c r="C6" s="34" t="s">
        <v>55</v>
      </c>
      <c r="D6" s="34" t="s">
        <v>56</v>
      </c>
      <c r="E6" s="34" t="s">
        <v>57</v>
      </c>
      <c r="F6" s="34" t="s">
        <v>58</v>
      </c>
      <c r="G6" s="34" t="s">
        <v>59</v>
      </c>
      <c r="H6" s="34" t="s">
        <v>60</v>
      </c>
      <c r="J6" s="59" t="s">
        <v>227</v>
      </c>
    </row>
    <row r="7" spans="3:10" ht="13.5" x14ac:dyDescent="0.15">
      <c r="C7" s="34">
        <v>1</v>
      </c>
      <c r="D7" s="34">
        <v>5.5</v>
      </c>
      <c r="E7" s="34">
        <v>1.4</v>
      </c>
      <c r="F7" s="59">
        <v>360</v>
      </c>
      <c r="G7" s="59">
        <v>120</v>
      </c>
      <c r="H7" t="s">
        <v>214</v>
      </c>
    </row>
    <row r="8" spans="3:10" ht="13.5" x14ac:dyDescent="0.15">
      <c r="C8" s="34">
        <v>2</v>
      </c>
      <c r="D8" s="34">
        <v>3.9</v>
      </c>
      <c r="E8" s="34">
        <v>1.5</v>
      </c>
      <c r="F8" s="59">
        <v>680</v>
      </c>
      <c r="G8" s="59">
        <v>210</v>
      </c>
      <c r="H8" t="s">
        <v>214</v>
      </c>
    </row>
    <row r="9" spans="3:10" ht="13.5" x14ac:dyDescent="0.15">
      <c r="C9" s="34">
        <v>3</v>
      </c>
      <c r="D9" s="34">
        <v>4.7</v>
      </c>
      <c r="E9" s="34">
        <v>1.5</v>
      </c>
      <c r="F9" s="59">
        <v>680</v>
      </c>
      <c r="G9" s="59">
        <v>230</v>
      </c>
      <c r="H9" t="s">
        <v>214</v>
      </c>
    </row>
    <row r="10" spans="3:10" ht="13.5" x14ac:dyDescent="0.15">
      <c r="C10" s="34">
        <v>4</v>
      </c>
      <c r="D10" s="34">
        <v>3.1</v>
      </c>
      <c r="E10" s="34">
        <v>2</v>
      </c>
      <c r="F10" s="59">
        <v>1220</v>
      </c>
      <c r="G10" s="59">
        <v>470</v>
      </c>
      <c r="H10" t="s">
        <v>215</v>
      </c>
    </row>
    <row r="11" spans="3:10" ht="13.5" x14ac:dyDescent="0.15">
      <c r="C11" s="34">
        <v>5</v>
      </c>
      <c r="D11" s="34">
        <v>2.4</v>
      </c>
      <c r="E11" s="34">
        <v>1.7</v>
      </c>
      <c r="F11" s="59">
        <v>1220</v>
      </c>
      <c r="G11" s="59">
        <v>380</v>
      </c>
      <c r="H11" t="s">
        <v>214</v>
      </c>
    </row>
    <row r="12" spans="3:10" ht="13.5" x14ac:dyDescent="0.15">
      <c r="C12" s="34">
        <v>6</v>
      </c>
      <c r="D12" s="34">
        <v>5.7</v>
      </c>
      <c r="E12" s="34">
        <v>2.1</v>
      </c>
      <c r="F12" s="59">
        <v>2000</v>
      </c>
      <c r="G12" s="59">
        <v>590</v>
      </c>
      <c r="H12" t="s">
        <v>214</v>
      </c>
    </row>
    <row r="14" spans="3:10" ht="13.5" x14ac:dyDescent="0.15">
      <c r="C14" s="34" t="s">
        <v>55</v>
      </c>
      <c r="D14" s="34" t="s">
        <v>56</v>
      </c>
      <c r="E14" s="34" t="s">
        <v>57</v>
      </c>
      <c r="F14" s="34" t="s">
        <v>58</v>
      </c>
      <c r="G14" s="34" t="s">
        <v>59</v>
      </c>
      <c r="H14" s="34" t="s">
        <v>60</v>
      </c>
    </row>
    <row r="15" spans="3:10" ht="13.5" x14ac:dyDescent="0.15">
      <c r="C15" s="34">
        <v>1</v>
      </c>
      <c r="D15" s="34">
        <v>3</v>
      </c>
      <c r="E15" s="34">
        <v>0.4</v>
      </c>
      <c r="F15" s="59">
        <v>320</v>
      </c>
      <c r="G15" s="59">
        <v>180</v>
      </c>
      <c r="H15" t="s">
        <v>214</v>
      </c>
    </row>
    <row r="16" spans="3:10" ht="13.5" x14ac:dyDescent="0.15">
      <c r="C16" s="34">
        <v>2</v>
      </c>
      <c r="D16" s="34">
        <v>1.2</v>
      </c>
      <c r="E16" s="34">
        <v>2</v>
      </c>
      <c r="F16" s="59">
        <v>1500</v>
      </c>
      <c r="G16" s="59">
        <v>180</v>
      </c>
      <c r="H16" t="s">
        <v>217</v>
      </c>
    </row>
    <row r="17" spans="3:8" ht="13.5" x14ac:dyDescent="0.15">
      <c r="C17" s="34">
        <v>3</v>
      </c>
      <c r="D17" s="34">
        <v>2.2999999999999998</v>
      </c>
      <c r="E17" s="34">
        <v>1.7</v>
      </c>
      <c r="F17" s="59">
        <v>1500</v>
      </c>
      <c r="G17" s="59">
        <v>180</v>
      </c>
      <c r="H17" t="s">
        <v>214</v>
      </c>
    </row>
    <row r="18" spans="3:8" ht="13.5" x14ac:dyDescent="0.15">
      <c r="C18" s="34">
        <v>4</v>
      </c>
      <c r="D18" s="34">
        <v>6.3</v>
      </c>
      <c r="E18" s="34">
        <v>2.1</v>
      </c>
      <c r="F18" s="59">
        <v>1500</v>
      </c>
      <c r="G18" s="59">
        <v>370</v>
      </c>
      <c r="H18" t="s">
        <v>214</v>
      </c>
    </row>
    <row r="19" spans="3:8" ht="13.5" x14ac:dyDescent="0.15">
      <c r="C19" s="34">
        <v>5</v>
      </c>
      <c r="D19" s="34">
        <v>22.8</v>
      </c>
      <c r="E19" s="34">
        <v>1.85</v>
      </c>
      <c r="F19" s="59">
        <v>1780</v>
      </c>
      <c r="G19" s="59">
        <v>500</v>
      </c>
      <c r="H19" t="s">
        <v>214</v>
      </c>
    </row>
    <row r="20" spans="3:8" ht="13.5" x14ac:dyDescent="0.15">
      <c r="C20" s="34"/>
      <c r="D20" s="34"/>
      <c r="E20" s="34"/>
      <c r="F20" s="59"/>
      <c r="G20" s="59"/>
    </row>
    <row r="21" spans="3:8" ht="13.5" x14ac:dyDescent="0.15">
      <c r="C21" s="34" t="s">
        <v>55</v>
      </c>
      <c r="D21" s="34" t="s">
        <v>56</v>
      </c>
      <c r="E21" s="34" t="s">
        <v>57</v>
      </c>
      <c r="F21" s="34" t="s">
        <v>58</v>
      </c>
      <c r="G21" s="34" t="s">
        <v>59</v>
      </c>
      <c r="H21" s="34" t="s">
        <v>60</v>
      </c>
    </row>
    <row r="22" spans="3:8" ht="13.5" x14ac:dyDescent="0.15">
      <c r="C22" s="34">
        <v>1</v>
      </c>
      <c r="D22" s="34">
        <v>6</v>
      </c>
      <c r="E22" s="34">
        <v>1.8</v>
      </c>
      <c r="F22" s="59">
        <v>760</v>
      </c>
      <c r="G22" s="59">
        <v>110</v>
      </c>
      <c r="H22" t="s">
        <v>214</v>
      </c>
    </row>
    <row r="23" spans="3:8" ht="13.5" x14ac:dyDescent="0.15">
      <c r="C23" s="34">
        <v>2</v>
      </c>
      <c r="D23" s="34">
        <v>7</v>
      </c>
      <c r="E23" s="34">
        <v>1.7</v>
      </c>
      <c r="F23" s="59">
        <v>760</v>
      </c>
      <c r="G23" s="59">
        <v>110</v>
      </c>
      <c r="H23" t="s">
        <v>214</v>
      </c>
    </row>
    <row r="24" spans="3:8" ht="13.5" x14ac:dyDescent="0.15">
      <c r="C24" s="34">
        <v>3</v>
      </c>
      <c r="D24" s="34">
        <v>7</v>
      </c>
      <c r="E24" s="34">
        <v>1.6</v>
      </c>
      <c r="F24" s="59">
        <v>1500</v>
      </c>
      <c r="G24" s="59">
        <v>140</v>
      </c>
      <c r="H24" t="s">
        <v>214</v>
      </c>
    </row>
    <row r="25" spans="3:8" ht="13.5" x14ac:dyDescent="0.15">
      <c r="C25" s="34">
        <v>4</v>
      </c>
      <c r="D25" s="34">
        <v>4</v>
      </c>
      <c r="E25" s="34">
        <v>1.9</v>
      </c>
      <c r="F25" s="59">
        <v>1540</v>
      </c>
      <c r="G25" s="59">
        <v>200</v>
      </c>
      <c r="H25" t="s">
        <v>214</v>
      </c>
    </row>
    <row r="26" spans="3:8" ht="13.5" x14ac:dyDescent="0.15">
      <c r="C26" s="34">
        <v>5</v>
      </c>
      <c r="D26" s="34">
        <v>9</v>
      </c>
      <c r="E26" s="34">
        <v>1.8</v>
      </c>
      <c r="F26" s="59">
        <v>1540</v>
      </c>
      <c r="G26" s="59">
        <v>200</v>
      </c>
      <c r="H26" t="s">
        <v>214</v>
      </c>
    </row>
    <row r="27" spans="3:8" ht="13.5" x14ac:dyDescent="0.15">
      <c r="C27" s="34">
        <v>6</v>
      </c>
      <c r="D27" s="59">
        <v>5</v>
      </c>
      <c r="E27" s="59">
        <v>1.8</v>
      </c>
      <c r="F27" s="59">
        <v>1760</v>
      </c>
      <c r="G27" s="59">
        <v>500</v>
      </c>
      <c r="H27" t="s">
        <v>214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T120"/>
  <sheetViews>
    <sheetView tabSelected="1" zoomScale="90" zoomScaleNormal="90" workbookViewId="0">
      <selection activeCell="L10" sqref="L10"/>
    </sheetView>
  </sheetViews>
  <sheetFormatPr defaultRowHeight="12" x14ac:dyDescent="0.15"/>
  <cols>
    <col min="1" max="1" width="10.7109375" customWidth="1"/>
    <col min="2" max="2" width="17.85546875" customWidth="1"/>
    <col min="3" max="12" width="13.7109375" customWidth="1"/>
    <col min="13" max="20" width="12" customWidth="1"/>
    <col min="22" max="22" width="10.7109375" customWidth="1"/>
  </cols>
  <sheetData>
    <row r="1" spans="1:10" x14ac:dyDescent="0.15">
      <c r="A1" s="2" t="s">
        <v>0</v>
      </c>
      <c r="B1" s="3" t="s">
        <v>19</v>
      </c>
      <c r="C1" t="s">
        <v>20</v>
      </c>
      <c r="D1" t="s">
        <v>21</v>
      </c>
    </row>
    <row r="2" spans="1:10" x14ac:dyDescent="0.15">
      <c r="A2">
        <f>ready!D3</f>
        <v>11</v>
      </c>
      <c r="B2">
        <v>8</v>
      </c>
      <c r="C2">
        <v>80.119102853675827</v>
      </c>
      <c r="D2">
        <v>11.110444117617632</v>
      </c>
      <c r="F2" s="1"/>
      <c r="G2">
        <v>251</v>
      </c>
      <c r="H2" s="1">
        <v>11.110444117617632</v>
      </c>
    </row>
    <row r="3" spans="1:10" x14ac:dyDescent="0.15">
      <c r="B3">
        <v>7</v>
      </c>
      <c r="C3">
        <v>63.671080338341838</v>
      </c>
      <c r="D3">
        <v>17.845372786351231</v>
      </c>
      <c r="G3">
        <v>640</v>
      </c>
      <c r="H3">
        <v>17.845372786351231</v>
      </c>
    </row>
    <row r="4" spans="1:10" x14ac:dyDescent="0.15">
      <c r="B4">
        <v>6</v>
      </c>
      <c r="C4">
        <v>65.129274522900289</v>
      </c>
      <c r="D4">
        <v>23.97779044920199</v>
      </c>
      <c r="G4">
        <v>453.99999999999994</v>
      </c>
      <c r="H4">
        <v>23.97779044920199</v>
      </c>
    </row>
    <row r="5" spans="1:10" x14ac:dyDescent="0.15">
      <c r="B5">
        <v>5</v>
      </c>
      <c r="C5">
        <v>65.843075871984837</v>
      </c>
      <c r="D5">
        <v>29.697878982201836</v>
      </c>
      <c r="G5">
        <v>455</v>
      </c>
      <c r="H5">
        <v>29.697878982201836</v>
      </c>
    </row>
    <row r="6" spans="1:10" x14ac:dyDescent="0.15">
      <c r="B6">
        <v>4</v>
      </c>
      <c r="C6">
        <v>66.51608857255026</v>
      </c>
      <c r="D6">
        <v>37.070330319049027</v>
      </c>
      <c r="G6">
        <v>459.99999999999994</v>
      </c>
      <c r="H6">
        <v>37.070330319049027</v>
      </c>
    </row>
    <row r="7" spans="1:10" x14ac:dyDescent="0.15">
      <c r="B7">
        <v>3</v>
      </c>
      <c r="C7">
        <v>69.146956402033325</v>
      </c>
      <c r="D7">
        <v>44.590929581211803</v>
      </c>
      <c r="G7">
        <v>467</v>
      </c>
      <c r="H7">
        <v>44.590929581211803</v>
      </c>
    </row>
    <row r="8" spans="1:10" x14ac:dyDescent="0.15">
      <c r="B8">
        <v>2</v>
      </c>
      <c r="C8">
        <v>70.085095317973014</v>
      </c>
      <c r="D8">
        <v>44.30362270819527</v>
      </c>
      <c r="G8">
        <v>469</v>
      </c>
      <c r="H8">
        <v>44.30362270819527</v>
      </c>
    </row>
    <row r="9" spans="1:10" x14ac:dyDescent="0.15">
      <c r="B9">
        <v>1</v>
      </c>
      <c r="C9">
        <v>79.813187989782449</v>
      </c>
      <c r="D9">
        <v>27.045139828096424</v>
      </c>
      <c r="G9">
        <v>471</v>
      </c>
      <c r="H9">
        <v>46.243373094764742</v>
      </c>
    </row>
    <row r="10" spans="1:10" x14ac:dyDescent="0.15">
      <c r="G10">
        <v>475</v>
      </c>
      <c r="H10">
        <v>46.243373094764742</v>
      </c>
    </row>
    <row r="11" spans="1:10" x14ac:dyDescent="0.15">
      <c r="G11">
        <v>477</v>
      </c>
      <c r="H11">
        <v>46.243373094764742</v>
      </c>
    </row>
    <row r="12" spans="1:10" x14ac:dyDescent="0.15">
      <c r="G12">
        <v>481</v>
      </c>
      <c r="H12">
        <v>46.243373094764742</v>
      </c>
    </row>
    <row r="13" spans="1:10" x14ac:dyDescent="0.15">
      <c r="B13" t="s">
        <v>40</v>
      </c>
      <c r="C13">
        <v>15.838446617126465</v>
      </c>
      <c r="D13">
        <v>94.01885986328125</v>
      </c>
      <c r="E13">
        <v>248.28547668457031</v>
      </c>
      <c r="F13">
        <v>481.29583740234375</v>
      </c>
      <c r="G13">
        <v>764.60443115234375</v>
      </c>
      <c r="H13">
        <v>1104.74267578125</v>
      </c>
      <c r="I13">
        <v>1533.294189453125</v>
      </c>
      <c r="J13">
        <v>2155.8271484375</v>
      </c>
    </row>
    <row r="14" spans="1:10" x14ac:dyDescent="0.15">
      <c r="B14" t="s">
        <v>41</v>
      </c>
      <c r="C14">
        <v>3.9797545925755857</v>
      </c>
      <c r="D14">
        <v>9.6963322892360306</v>
      </c>
      <c r="E14">
        <v>15.757077034925301</v>
      </c>
      <c r="F14">
        <v>21.938455674963627</v>
      </c>
      <c r="G14">
        <v>27.651481536300071</v>
      </c>
      <c r="H14">
        <v>33.237669529936213</v>
      </c>
      <c r="I14">
        <v>39.157300589457456</v>
      </c>
      <c r="J14">
        <v>46.430885716702626</v>
      </c>
    </row>
    <row r="15" spans="1:10" x14ac:dyDescent="0.15">
      <c r="B15" t="s">
        <v>42</v>
      </c>
      <c r="C15">
        <v>1.5787872980212325</v>
      </c>
      <c r="D15">
        <v>0.64799615076878192</v>
      </c>
      <c r="E15">
        <v>0.39875327042404007</v>
      </c>
      <c r="F15">
        <v>0.28640056041731465</v>
      </c>
      <c r="G15">
        <v>0.22722782472800285</v>
      </c>
      <c r="H15">
        <v>0.18903810311793717</v>
      </c>
      <c r="I15">
        <v>0.16046014167002251</v>
      </c>
      <c r="J15">
        <v>0.13532341464121034</v>
      </c>
    </row>
    <row r="17" spans="2:10" x14ac:dyDescent="0.15">
      <c r="B17" t="s">
        <v>38</v>
      </c>
      <c r="C17">
        <v>0.26897688966861649</v>
      </c>
      <c r="D17">
        <v>0.24298612240839526</v>
      </c>
      <c r="E17">
        <v>0.17398376089926171</v>
      </c>
      <c r="F17">
        <v>0.12354130530655796</v>
      </c>
      <c r="G17">
        <v>8.8656199695021462E-2</v>
      </c>
      <c r="H17">
        <v>5.5328891509888241E-2</v>
      </c>
      <c r="I17">
        <v>3.2323426603992456E-2</v>
      </c>
      <c r="J17">
        <v>1.4203403908266613E-2</v>
      </c>
    </row>
    <row r="19" spans="2:10" x14ac:dyDescent="0.15">
      <c r="B19" t="s">
        <v>37</v>
      </c>
    </row>
    <row r="20" spans="2:10" x14ac:dyDescent="0.15">
      <c r="B20">
        <v>8</v>
      </c>
      <c r="C20">
        <v>5.2075758607676708</v>
      </c>
      <c r="D20">
        <v>-2.3150557442269371</v>
      </c>
      <c r="E20">
        <v>1.2699695904685508</v>
      </c>
      <c r="F20">
        <v>-0.63938097723152909</v>
      </c>
      <c r="G20">
        <v>0.2743475243791012</v>
      </c>
      <c r="H20">
        <v>-9.0280073278495576E-2</v>
      </c>
      <c r="I20">
        <v>1.6557236269420742E-2</v>
      </c>
      <c r="J20">
        <v>-1.2647316384693005E-3</v>
      </c>
    </row>
    <row r="21" spans="2:10" x14ac:dyDescent="0.15">
      <c r="B21">
        <v>7</v>
      </c>
      <c r="C21">
        <v>4.6128006599484168</v>
      </c>
      <c r="D21">
        <v>-0.74548427453433652</v>
      </c>
      <c r="E21">
        <v>-1.0038148417443629</v>
      </c>
      <c r="F21">
        <v>1.5797169262990944</v>
      </c>
      <c r="G21">
        <v>-1.2383166578141258</v>
      </c>
      <c r="H21">
        <v>0.62893317862544795</v>
      </c>
      <c r="I21">
        <v>-0.16651311065602181</v>
      </c>
      <c r="J21">
        <v>1.8396782973939922E-2</v>
      </c>
    </row>
    <row r="22" spans="2:10" x14ac:dyDescent="0.15">
      <c r="B22">
        <v>6</v>
      </c>
      <c r="C22">
        <v>3.9818247606923856</v>
      </c>
      <c r="D22">
        <v>0.48179832625953756</v>
      </c>
      <c r="E22">
        <v>-1.5302170308714798</v>
      </c>
      <c r="F22">
        <v>0.24857803637987982</v>
      </c>
      <c r="G22">
        <v>1.1981040463980503</v>
      </c>
      <c r="H22">
        <v>-1.4023205727965826</v>
      </c>
      <c r="I22">
        <v>0.63044974802041431</v>
      </c>
      <c r="J22">
        <v>-0.11086725444944491</v>
      </c>
    </row>
    <row r="23" spans="2:10" x14ac:dyDescent="0.15">
      <c r="B23">
        <v>5</v>
      </c>
      <c r="C23">
        <v>3.3409217652797745</v>
      </c>
      <c r="D23">
        <v>1.2721581067190622</v>
      </c>
      <c r="E23">
        <v>-0.89000938291721432</v>
      </c>
      <c r="F23">
        <v>-1.0670856502829424</v>
      </c>
      <c r="G23">
        <v>0.5231248867488707</v>
      </c>
      <c r="H23">
        <v>1.2939249161376893</v>
      </c>
      <c r="I23">
        <v>-1.4021015094196556</v>
      </c>
      <c r="J23">
        <v>0.44213716879961218</v>
      </c>
    </row>
    <row r="24" spans="2:10" x14ac:dyDescent="0.15">
      <c r="B24">
        <v>4</v>
      </c>
      <c r="C24">
        <v>2.7061449568319551</v>
      </c>
      <c r="D24">
        <v>1.6451072290589874</v>
      </c>
      <c r="E24">
        <v>0.11681439421531187</v>
      </c>
      <c r="F24">
        <v>-0.99067502884731984</v>
      </c>
      <c r="G24">
        <v>-0.90864942856906905</v>
      </c>
      <c r="H24">
        <v>0.30161023547218724</v>
      </c>
      <c r="I24">
        <v>1.7232262241122311</v>
      </c>
      <c r="J24">
        <v>-1.2246453557687702</v>
      </c>
    </row>
    <row r="25" spans="2:10" x14ac:dyDescent="0.15">
      <c r="B25">
        <v>3</v>
      </c>
      <c r="C25">
        <v>2.1207042672838639</v>
      </c>
      <c r="D25">
        <v>1.6663555103996606</v>
      </c>
      <c r="E25">
        <v>0.87136239108617508</v>
      </c>
      <c r="F25">
        <v>-7.3914375826475726E-2</v>
      </c>
      <c r="G25">
        <v>-0.80905808484314823</v>
      </c>
      <c r="H25">
        <v>-1.0912264071556008</v>
      </c>
      <c r="I25">
        <v>-0.51398224900250655</v>
      </c>
      <c r="J25">
        <v>2.1772880040872424</v>
      </c>
    </row>
    <row r="26" spans="2:10" x14ac:dyDescent="0.15">
      <c r="B26">
        <v>2</v>
      </c>
      <c r="C26">
        <v>1.58191681230839</v>
      </c>
      <c r="D26">
        <v>1.4410744228052521</v>
      </c>
      <c r="E26">
        <v>1.1631623853851216</v>
      </c>
      <c r="F26">
        <v>0.74339312260555057</v>
      </c>
      <c r="G26">
        <v>0.23301128500686763</v>
      </c>
      <c r="H26">
        <v>-0.37974930774329113</v>
      </c>
      <c r="I26">
        <v>-1.1517870238833936</v>
      </c>
      <c r="J26">
        <v>-2.273282989157031</v>
      </c>
    </row>
    <row r="27" spans="2:10" x14ac:dyDescent="0.15"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</row>
    <row r="28" spans="2:10" x14ac:dyDescent="0.15"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31" spans="2:10" x14ac:dyDescent="0.15">
      <c r="B31" t="s">
        <v>39</v>
      </c>
    </row>
    <row r="32" spans="2:10" x14ac:dyDescent="0.15">
      <c r="B32">
        <v>8</v>
      </c>
      <c r="C32">
        <v>1.4007175577426563</v>
      </c>
      <c r="D32">
        <v>-0.5625264184489851</v>
      </c>
      <c r="E32">
        <v>0.22095408557741367</v>
      </c>
      <c r="F32">
        <v>-7.898996051536572E-2</v>
      </c>
      <c r="G32">
        <v>2.4322608907188365E-2</v>
      </c>
      <c r="H32">
        <v>-4.9950963799306417E-3</v>
      </c>
      <c r="I32">
        <v>5.3518661131958317E-4</v>
      </c>
      <c r="J32">
        <v>-1.7963494296743301E-5</v>
      </c>
    </row>
    <row r="33" spans="2:10" x14ac:dyDescent="0.15">
      <c r="B33">
        <v>7</v>
      </c>
      <c r="C33">
        <v>1.2407367741742668</v>
      </c>
      <c r="D33">
        <v>-0.18114233318553402</v>
      </c>
      <c r="E33">
        <v>-0.17464748141318145</v>
      </c>
      <c r="F33">
        <v>0.19516029108985375</v>
      </c>
      <c r="G33">
        <v>-0.1097844489008407</v>
      </c>
      <c r="H33">
        <v>3.4798175607136571E-2</v>
      </c>
      <c r="I33">
        <v>-5.3822743108923954E-3</v>
      </c>
      <c r="J33">
        <v>2.6129693919159098E-4</v>
      </c>
    </row>
    <row r="34" spans="2:10" x14ac:dyDescent="0.15">
      <c r="B34">
        <v>6</v>
      </c>
      <c r="C34">
        <v>1.071018839336521</v>
      </c>
      <c r="D34">
        <v>0.11707030708065995</v>
      </c>
      <c r="E34">
        <v>-0.26623291402312171</v>
      </c>
      <c r="F34">
        <v>3.0709655084911407E-2</v>
      </c>
      <c r="G34">
        <v>0.10621935159287881</v>
      </c>
      <c r="H34">
        <v>-7.7588842834346458E-2</v>
      </c>
      <c r="I34">
        <v>2.0378296157643399E-2</v>
      </c>
      <c r="J34">
        <v>-1.574692395146035E-3</v>
      </c>
    </row>
    <row r="35" spans="2:10" x14ac:dyDescent="0.15">
      <c r="B35">
        <v>5</v>
      </c>
      <c r="C35">
        <v>0.89863074505113738</v>
      </c>
      <c r="D35">
        <v>0.3091167654420704</v>
      </c>
      <c r="E35">
        <v>-0.15484717967556808</v>
      </c>
      <c r="F35">
        <v>-0.13182915410985194</v>
      </c>
      <c r="G35">
        <v>4.6378264425043364E-2</v>
      </c>
      <c r="H35">
        <v>7.1591431306923456E-2</v>
      </c>
      <c r="I35">
        <v>-4.5320725231073278E-2</v>
      </c>
      <c r="J35">
        <v>6.2798527913183466E-3</v>
      </c>
    </row>
    <row r="36" spans="2:10" x14ac:dyDescent="0.15">
      <c r="B36">
        <v>4</v>
      </c>
      <c r="C36">
        <v>0.72789045348107173</v>
      </c>
      <c r="D36">
        <v>0.39973822653506308</v>
      </c>
      <c r="E36">
        <v>2.0323807632748919E-2</v>
      </c>
      <c r="F36">
        <v>-0.12238928619840986</v>
      </c>
      <c r="G36">
        <v>-8.0557405191986522E-2</v>
      </c>
      <c r="H36">
        <v>1.6687759996712494E-2</v>
      </c>
      <c r="I36">
        <v>5.5700576377166758E-2</v>
      </c>
      <c r="J36">
        <v>-1.7394132632366707E-2</v>
      </c>
    </row>
    <row r="37" spans="2:10" x14ac:dyDescent="0.15">
      <c r="B37">
        <v>3</v>
      </c>
      <c r="C37">
        <v>0.57042043772097606</v>
      </c>
      <c r="D37">
        <v>0.4049012640258759</v>
      </c>
      <c r="E37">
        <v>0.15160290590734607</v>
      </c>
      <c r="F37">
        <v>-9.1314784705223053E-3</v>
      </c>
      <c r="G37">
        <v>-7.1728015134725764E-2</v>
      </c>
      <c r="H37">
        <v>-6.037634749423737E-2</v>
      </c>
      <c r="I37">
        <v>-1.6613667501387496E-2</v>
      </c>
      <c r="J37">
        <v>3.0924900946674751E-2</v>
      </c>
    </row>
    <row r="38" spans="2:10" x14ac:dyDescent="0.15">
      <c r="B38">
        <v>2</v>
      </c>
      <c r="C38">
        <v>0.42549906388920333</v>
      </c>
      <c r="D38">
        <v>0.35016108609936453</v>
      </c>
      <c r="E38">
        <v>0.20237136634585989</v>
      </c>
      <c r="F38">
        <v>9.1839756722607802E-2</v>
      </c>
      <c r="G38">
        <v>2.0657895014762416E-2</v>
      </c>
      <c r="H38">
        <v>-2.1011108249083716E-2</v>
      </c>
      <c r="I38">
        <v>-3.7229703329925777E-2</v>
      </c>
      <c r="J38">
        <v>-3.228835649278898E-2</v>
      </c>
    </row>
    <row r="39" spans="2:10" x14ac:dyDescent="0.15">
      <c r="B39">
        <v>1</v>
      </c>
      <c r="C39">
        <v>0.26897688966861649</v>
      </c>
      <c r="D39">
        <v>0.24298612240839526</v>
      </c>
      <c r="E39">
        <v>0.17398376089926171</v>
      </c>
      <c r="F39">
        <v>0.12354130530655796</v>
      </c>
      <c r="G39">
        <v>8.8656199695021462E-2</v>
      </c>
      <c r="H39">
        <v>5.5328891509888241E-2</v>
      </c>
      <c r="I39">
        <v>3.2323426603992456E-2</v>
      </c>
      <c r="J39">
        <v>1.4203403908266613E-2</v>
      </c>
    </row>
    <row r="40" spans="2:10" x14ac:dyDescent="0.1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3" spans="2:10" x14ac:dyDescent="0.15">
      <c r="C43">
        <v>0.11193416680224606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2:10" x14ac:dyDescent="0.15">
      <c r="C44">
        <v>0</v>
      </c>
      <c r="D44">
        <v>0.11945027827538506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2:10" x14ac:dyDescent="0.15">
      <c r="C45">
        <v>0</v>
      </c>
      <c r="D45">
        <v>0</v>
      </c>
      <c r="E45">
        <v>0.12025785843086682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 x14ac:dyDescent="0.15">
      <c r="C46">
        <v>0</v>
      </c>
      <c r="D46">
        <v>0</v>
      </c>
      <c r="E46">
        <v>0</v>
      </c>
      <c r="F46">
        <v>0.12261303669821622</v>
      </c>
      <c r="G46">
        <v>0</v>
      </c>
      <c r="H46">
        <v>0</v>
      </c>
      <c r="I46">
        <v>0</v>
      </c>
      <c r="J46">
        <v>0</v>
      </c>
    </row>
    <row r="47" spans="2:10" x14ac:dyDescent="0.15">
      <c r="C47">
        <v>0</v>
      </c>
      <c r="D47">
        <v>0</v>
      </c>
      <c r="E47">
        <v>0</v>
      </c>
      <c r="F47">
        <v>0</v>
      </c>
      <c r="G47">
        <v>0.12323808596545922</v>
      </c>
      <c r="H47">
        <v>0</v>
      </c>
      <c r="I47">
        <v>0</v>
      </c>
      <c r="J47">
        <v>0</v>
      </c>
    </row>
    <row r="48" spans="2:10" x14ac:dyDescent="0.15">
      <c r="C48">
        <v>0</v>
      </c>
      <c r="D48">
        <v>0</v>
      </c>
      <c r="E48">
        <v>0</v>
      </c>
      <c r="F48">
        <v>0</v>
      </c>
      <c r="G48">
        <v>0</v>
      </c>
      <c r="H48">
        <v>0.12391157571893943</v>
      </c>
      <c r="I48">
        <v>0</v>
      </c>
      <c r="J48">
        <v>0</v>
      </c>
    </row>
    <row r="49" spans="3:10" x14ac:dyDescent="0.15"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0.12532245404870285</v>
      </c>
      <c r="J49">
        <v>0</v>
      </c>
    </row>
    <row r="50" spans="3:10" x14ac:dyDescent="0.15"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0.11172026603960804</v>
      </c>
    </row>
    <row r="53" spans="3:10" x14ac:dyDescent="0.15">
      <c r="C53">
        <v>71348.762536291688</v>
      </c>
      <c r="D53">
        <v>-44303.622708195267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3:10" x14ac:dyDescent="0.15">
      <c r="C54">
        <v>-44303.622708195267</v>
      </c>
      <c r="D54">
        <v>88894.55228940706</v>
      </c>
      <c r="E54">
        <v>-44590.9295812118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3:10" x14ac:dyDescent="0.15">
      <c r="C55">
        <v>0</v>
      </c>
      <c r="D55">
        <v>-44590.9295812118</v>
      </c>
      <c r="E55">
        <v>81661.259900260833</v>
      </c>
      <c r="F55">
        <v>-37070.330319049026</v>
      </c>
      <c r="G55">
        <v>0</v>
      </c>
      <c r="H55">
        <v>0</v>
      </c>
      <c r="I55">
        <v>0</v>
      </c>
      <c r="J55">
        <v>0</v>
      </c>
    </row>
    <row r="56" spans="3:10" x14ac:dyDescent="0.15">
      <c r="C56">
        <v>0</v>
      </c>
      <c r="D56">
        <v>0</v>
      </c>
      <c r="E56">
        <v>-37070.330319049026</v>
      </c>
      <c r="F56">
        <v>66768.20930125087</v>
      </c>
      <c r="G56">
        <v>-29697.878982201837</v>
      </c>
      <c r="H56">
        <v>0</v>
      </c>
      <c r="I56">
        <v>0</v>
      </c>
      <c r="J56">
        <v>0</v>
      </c>
    </row>
    <row r="57" spans="3:10" x14ac:dyDescent="0.15">
      <c r="C57">
        <v>0</v>
      </c>
      <c r="D57">
        <v>0</v>
      </c>
      <c r="E57">
        <v>0</v>
      </c>
      <c r="F57">
        <v>-29697.878982201837</v>
      </c>
      <c r="G57">
        <v>53675.669431403832</v>
      </c>
      <c r="H57">
        <v>-23977.790449201992</v>
      </c>
      <c r="I57">
        <v>0</v>
      </c>
      <c r="J57">
        <v>0</v>
      </c>
    </row>
    <row r="58" spans="3:10" x14ac:dyDescent="0.15">
      <c r="C58">
        <v>0</v>
      </c>
      <c r="D58">
        <v>0</v>
      </c>
      <c r="E58">
        <v>0</v>
      </c>
      <c r="F58">
        <v>0</v>
      </c>
      <c r="G58">
        <v>-23977.790449201992</v>
      </c>
      <c r="H58">
        <v>41823.16323555322</v>
      </c>
      <c r="I58">
        <v>-17845.372786351232</v>
      </c>
      <c r="J58">
        <v>0</v>
      </c>
    </row>
    <row r="59" spans="3:10" x14ac:dyDescent="0.15">
      <c r="C59">
        <v>0</v>
      </c>
      <c r="D59">
        <v>0</v>
      </c>
      <c r="E59">
        <v>0</v>
      </c>
      <c r="F59">
        <v>0</v>
      </c>
      <c r="G59">
        <v>0</v>
      </c>
      <c r="H59">
        <v>-17845.372786351232</v>
      </c>
      <c r="I59">
        <v>28955.816903968866</v>
      </c>
      <c r="J59">
        <v>-11110.444117617631</v>
      </c>
    </row>
    <row r="60" spans="3:10" x14ac:dyDescent="0.15"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-11110.444117617631</v>
      </c>
      <c r="J60">
        <v>11110.444117617631</v>
      </c>
    </row>
    <row r="63" spans="3:10" x14ac:dyDescent="0.15">
      <c r="C63">
        <v>893.94703223013266</v>
      </c>
      <c r="D63">
        <v>-592.36457229018629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3:10" x14ac:dyDescent="0.15">
      <c r="C64">
        <v>-592.36457229018629</v>
      </c>
      <c r="D64">
        <v>1268.3802723831132</v>
      </c>
      <c r="E64">
        <v>-640.54133051871463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20" x14ac:dyDescent="0.15">
      <c r="C65">
        <v>0</v>
      </c>
      <c r="D65">
        <v>-640.54133051871474</v>
      </c>
      <c r="E65">
        <v>1180.9812629418857</v>
      </c>
      <c r="F65">
        <v>-546.60873803307925</v>
      </c>
      <c r="G65">
        <v>0</v>
      </c>
      <c r="H65">
        <v>0</v>
      </c>
      <c r="I65">
        <v>0</v>
      </c>
      <c r="J65">
        <v>0</v>
      </c>
    </row>
    <row r="66" spans="1:20" x14ac:dyDescent="0.15">
      <c r="C66">
        <v>0</v>
      </c>
      <c r="D66">
        <v>0</v>
      </c>
      <c r="E66">
        <v>-546.60873803307925</v>
      </c>
      <c r="F66">
        <v>1003.7903721356919</v>
      </c>
      <c r="G66">
        <v>-448.75265008292723</v>
      </c>
      <c r="H66">
        <v>0</v>
      </c>
      <c r="I66">
        <v>0</v>
      </c>
      <c r="J66">
        <v>0</v>
      </c>
    </row>
    <row r="67" spans="1:20" x14ac:dyDescent="0.15">
      <c r="C67">
        <v>0</v>
      </c>
      <c r="D67">
        <v>0</v>
      </c>
      <c r="E67">
        <v>0</v>
      </c>
      <c r="F67">
        <v>-448.75265008292723</v>
      </c>
      <c r="G67">
        <v>815.20598362935777</v>
      </c>
      <c r="H67">
        <v>-366.15585636259254</v>
      </c>
      <c r="I67">
        <v>0</v>
      </c>
      <c r="J67">
        <v>0</v>
      </c>
    </row>
    <row r="68" spans="1:20" x14ac:dyDescent="0.15">
      <c r="C68">
        <v>0</v>
      </c>
      <c r="D68">
        <v>0</v>
      </c>
      <c r="E68">
        <v>0</v>
      </c>
      <c r="F68">
        <v>0</v>
      </c>
      <c r="G68">
        <v>-366.1558563625926</v>
      </c>
      <c r="H68">
        <v>642.15613550013768</v>
      </c>
      <c r="I68">
        <v>-277.1190586106095</v>
      </c>
      <c r="J68">
        <v>0</v>
      </c>
    </row>
    <row r="69" spans="1:20" x14ac:dyDescent="0.15">
      <c r="C69">
        <v>0</v>
      </c>
      <c r="D69">
        <v>0</v>
      </c>
      <c r="E69">
        <v>0</v>
      </c>
      <c r="F69">
        <v>0</v>
      </c>
      <c r="G69">
        <v>0</v>
      </c>
      <c r="H69">
        <v>-277.1190586106095</v>
      </c>
      <c r="I69">
        <v>454.77187995084279</v>
      </c>
      <c r="J69">
        <v>-155.55797146389233</v>
      </c>
    </row>
    <row r="70" spans="1:20" x14ac:dyDescent="0.15"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-155.55797146389233</v>
      </c>
      <c r="J70">
        <v>138.67409546396198</v>
      </c>
    </row>
    <row r="72" spans="1:20" x14ac:dyDescent="0.15">
      <c r="C72" t="s">
        <v>31</v>
      </c>
      <c r="M72" t="s">
        <v>32</v>
      </c>
    </row>
    <row r="73" spans="1:20" x14ac:dyDescent="0.15">
      <c r="A73">
        <v>1533.2942257397124</v>
      </c>
      <c r="B73">
        <v>-2.7902744964255353E-9</v>
      </c>
      <c r="C73">
        <v>2155.8271099114409</v>
      </c>
      <c r="D73">
        <v>-1.4416326857132824E-10</v>
      </c>
      <c r="E73">
        <v>5.4665257744184392E-15</v>
      </c>
      <c r="F73">
        <v>1.4381280993279171E-24</v>
      </c>
      <c r="G73">
        <v>1.0111222813149038E-16</v>
      </c>
      <c r="H73">
        <v>1.2493772371469836E-16</v>
      </c>
      <c r="I73">
        <v>6.7483668531354099E-10</v>
      </c>
      <c r="J73">
        <v>0</v>
      </c>
      <c r="M73">
        <v>1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-2.7902007358153373E-9</v>
      </c>
      <c r="B74">
        <v>15.838446752033366</v>
      </c>
      <c r="C74">
        <v>-1.4420838940920703E-10</v>
      </c>
      <c r="D74">
        <v>1533.2942257397124</v>
      </c>
      <c r="E74">
        <v>1.8468163541938594E-13</v>
      </c>
      <c r="F74">
        <v>1.5081660101343964E-10</v>
      </c>
      <c r="G74">
        <v>3.7997332130866505E-17</v>
      </c>
      <c r="H74">
        <v>1.485184903871462E-18</v>
      </c>
      <c r="I74">
        <v>0</v>
      </c>
      <c r="J74">
        <v>-2.7902744964255353E-9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1.8387847178564742E-12</v>
      </c>
    </row>
    <row r="75" spans="1:20" x14ac:dyDescent="0.15">
      <c r="C75">
        <v>-5.7575237343132783E-14</v>
      </c>
      <c r="D75">
        <v>3.710737631095738E-14</v>
      </c>
      <c r="E75">
        <v>1104.742647312127</v>
      </c>
      <c r="F75">
        <v>2.1618682601784511E-13</v>
      </c>
      <c r="G75">
        <v>1.0771844267057883E-18</v>
      </c>
      <c r="H75">
        <v>0</v>
      </c>
      <c r="I75">
        <v>4.2280790629402878E-14</v>
      </c>
      <c r="J75">
        <v>-1.8626620381393278E-10</v>
      </c>
      <c r="M75">
        <v>0</v>
      </c>
      <c r="N75">
        <v>0</v>
      </c>
      <c r="O75">
        <v>1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15">
      <c r="C76">
        <v>-2.5541980674251783E-14</v>
      </c>
      <c r="D76">
        <v>1.5068597336981647E-10</v>
      </c>
      <c r="E76">
        <v>9.0301856714229474E-14</v>
      </c>
      <c r="F76">
        <v>764.6044471548314</v>
      </c>
      <c r="G76">
        <v>-4.4886725745549439E-17</v>
      </c>
      <c r="H76">
        <v>4.5718124485360451E-23</v>
      </c>
      <c r="I76">
        <v>-1.4770517812118214E-10</v>
      </c>
      <c r="J76">
        <v>-1.9955793889644683E-13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</row>
    <row r="77" spans="1:20" x14ac:dyDescent="0.15">
      <c r="A77">
        <v>-1.8387847178564742E-12</v>
      </c>
      <c r="C77">
        <v>1.1200294677974257E-14</v>
      </c>
      <c r="D77">
        <v>-8.1815491070367437E-14</v>
      </c>
      <c r="E77">
        <v>-4.9627128504077384E-14</v>
      </c>
      <c r="F77">
        <v>6.3116936713244482E-14</v>
      </c>
      <c r="G77">
        <v>481.2958243620829</v>
      </c>
      <c r="H77">
        <v>-4.4094241675789455E-13</v>
      </c>
      <c r="I77">
        <v>-3.3786792563330348E-24</v>
      </c>
      <c r="J77">
        <v>-1.0799336815161249E-22</v>
      </c>
      <c r="M77">
        <v>0</v>
      </c>
      <c r="N77">
        <v>0</v>
      </c>
      <c r="O77">
        <v>0</v>
      </c>
      <c r="P77">
        <v>0</v>
      </c>
      <c r="Q77">
        <v>1</v>
      </c>
      <c r="R77">
        <v>0</v>
      </c>
      <c r="S77">
        <v>0</v>
      </c>
      <c r="T77">
        <v>0</v>
      </c>
    </row>
    <row r="78" spans="1:20" x14ac:dyDescent="0.15">
      <c r="C78">
        <v>8.1454529281789314E-14</v>
      </c>
      <c r="D78">
        <v>-5.9281720951136487E-15</v>
      </c>
      <c r="E78">
        <v>5.8702412764614918E-14</v>
      </c>
      <c r="F78">
        <v>-9.3438838494529494E-16</v>
      </c>
      <c r="G78">
        <v>-4.6758871151471429E-13</v>
      </c>
      <c r="H78">
        <v>248.28547217485749</v>
      </c>
      <c r="I78">
        <v>1.8295612452888146E-11</v>
      </c>
      <c r="J78">
        <v>7.2299582707479698E-21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0</v>
      </c>
    </row>
    <row r="79" spans="1:20" x14ac:dyDescent="0.15">
      <c r="C79">
        <v>6.7494609148527794E-10</v>
      </c>
      <c r="D79">
        <v>8.6516331023143315E-14</v>
      </c>
      <c r="E79">
        <v>3.3922686048161648E-14</v>
      </c>
      <c r="F79">
        <v>-1.4771216916533376E-10</v>
      </c>
      <c r="G79">
        <v>3.1975343102077994E-14</v>
      </c>
      <c r="H79">
        <v>1.8256121550480749E-11</v>
      </c>
      <c r="I79">
        <v>94.018860828038683</v>
      </c>
      <c r="J79">
        <v>-1.2352973380461766E-15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</row>
    <row r="80" spans="1:20" x14ac:dyDescent="0.15">
      <c r="C80">
        <v>5.2220248384180963E-14</v>
      </c>
      <c r="D80">
        <v>-2.7902007358153373E-9</v>
      </c>
      <c r="E80">
        <v>-1.8630516650913317E-10</v>
      </c>
      <c r="F80">
        <v>-1.7524399138181051E-13</v>
      </c>
      <c r="G80">
        <v>5.5604504365229415E-15</v>
      </c>
      <c r="H80">
        <v>-7.3315383529695433E-15</v>
      </c>
      <c r="I80">
        <v>-1.0737661530217426E-14</v>
      </c>
      <c r="J80">
        <v>15.838446752033366</v>
      </c>
      <c r="M80">
        <v>0</v>
      </c>
      <c r="N80">
        <v>-1.8387847178564742E-12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</row>
    <row r="82" spans="1:20" x14ac:dyDescent="0.15">
      <c r="C82" t="s">
        <v>34</v>
      </c>
      <c r="M82" t="s">
        <v>33</v>
      </c>
    </row>
    <row r="83" spans="1:20" x14ac:dyDescent="0.15">
      <c r="A83">
        <v>1</v>
      </c>
      <c r="B83">
        <v>1.8387847178564742E-12</v>
      </c>
      <c r="C83">
        <v>2155.8271099114409</v>
      </c>
      <c r="D83">
        <v>-1.4416326857132824E-10</v>
      </c>
      <c r="E83">
        <v>5.4665257744184392E-15</v>
      </c>
      <c r="F83">
        <v>1.4381280993279171E-24</v>
      </c>
      <c r="G83">
        <v>1.0111222813149038E-16</v>
      </c>
      <c r="H83">
        <v>1.2493772371469836E-16</v>
      </c>
      <c r="I83">
        <v>6.7483668531354099E-10</v>
      </c>
      <c r="J83">
        <v>-2.6508521512519691E-22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15">
      <c r="A84">
        <v>-1.8387847178564742E-12</v>
      </c>
      <c r="B84">
        <v>1</v>
      </c>
      <c r="C84">
        <v>-1.4420838940920713E-10</v>
      </c>
      <c r="D84">
        <v>1533.2942257397124</v>
      </c>
      <c r="E84">
        <v>1.8468163576196104E-13</v>
      </c>
      <c r="F84">
        <v>1.5081660101343995E-10</v>
      </c>
      <c r="G84">
        <v>3.7997332120642036E-17</v>
      </c>
      <c r="H84">
        <v>1.4851849173525827E-18</v>
      </c>
      <c r="I84">
        <v>1.9744247927279165E-26</v>
      </c>
      <c r="J84">
        <v>0</v>
      </c>
      <c r="M84">
        <v>0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-1.8387847178564742E-12</v>
      </c>
    </row>
    <row r="85" spans="1:20" x14ac:dyDescent="0.15">
      <c r="C85">
        <v>-5.7575237343132783E-14</v>
      </c>
      <c r="D85">
        <v>3.710737665346083E-14</v>
      </c>
      <c r="E85">
        <v>1104.742647312127</v>
      </c>
      <c r="F85">
        <v>2.1618682601784511E-13</v>
      </c>
      <c r="G85">
        <v>1.0771844267057883E-18</v>
      </c>
      <c r="H85">
        <v>0</v>
      </c>
      <c r="I85">
        <v>4.2280790629402878E-14</v>
      </c>
      <c r="J85">
        <v>-1.862662038139327E-10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15">
      <c r="C86">
        <v>-2.5541980674251783E-14</v>
      </c>
      <c r="D86">
        <v>1.5068597336981683E-10</v>
      </c>
      <c r="E86">
        <v>9.0301856714229474E-14</v>
      </c>
      <c r="F86">
        <v>764.6044471548314</v>
      </c>
      <c r="G86">
        <v>-4.4886725745549439E-17</v>
      </c>
      <c r="H86">
        <v>4.5718124485360451E-23</v>
      </c>
      <c r="I86">
        <v>-1.4770517812118214E-10</v>
      </c>
      <c r="J86">
        <v>-1.9955793861936776E-13</v>
      </c>
      <c r="M86">
        <v>0</v>
      </c>
      <c r="N86">
        <v>0</v>
      </c>
      <c r="O86">
        <v>0</v>
      </c>
      <c r="P86">
        <v>1</v>
      </c>
      <c r="Q86">
        <v>0</v>
      </c>
      <c r="R86">
        <v>0</v>
      </c>
      <c r="S86">
        <v>0</v>
      </c>
      <c r="T86">
        <v>0</v>
      </c>
    </row>
    <row r="87" spans="1:20" x14ac:dyDescent="0.15">
      <c r="A87">
        <v>1</v>
      </c>
      <c r="C87">
        <v>1.1200294677974257E-14</v>
      </c>
      <c r="D87">
        <v>-8.1815491070367437E-14</v>
      </c>
      <c r="E87">
        <v>-4.9627128504077384E-14</v>
      </c>
      <c r="F87">
        <v>6.3116936713244482E-14</v>
      </c>
      <c r="G87">
        <v>481.2958243620829</v>
      </c>
      <c r="H87">
        <v>-4.4094241675789455E-13</v>
      </c>
      <c r="I87">
        <v>-3.3786792563330348E-24</v>
      </c>
      <c r="J87">
        <v>-1.081438092262766E-22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</row>
    <row r="88" spans="1:20" x14ac:dyDescent="0.15">
      <c r="A88">
        <v>7</v>
      </c>
      <c r="C88">
        <v>8.1454529281789314E-14</v>
      </c>
      <c r="D88">
        <v>-5.9281720951136487E-15</v>
      </c>
      <c r="E88">
        <v>5.8702412764614918E-14</v>
      </c>
      <c r="F88">
        <v>-9.3438838494529494E-16</v>
      </c>
      <c r="G88">
        <v>-4.6758871151471429E-13</v>
      </c>
      <c r="H88">
        <v>248.28547217485749</v>
      </c>
      <c r="I88">
        <v>1.8295612452888146E-11</v>
      </c>
      <c r="J88">
        <v>7.2299473701157171E-21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0</v>
      </c>
      <c r="T88">
        <v>0</v>
      </c>
    </row>
    <row r="89" spans="1:20" x14ac:dyDescent="0.15">
      <c r="C89">
        <v>6.7494609148527794E-10</v>
      </c>
      <c r="D89">
        <v>8.6516331023145587E-14</v>
      </c>
      <c r="E89">
        <v>3.3922686048161648E-14</v>
      </c>
      <c r="F89">
        <v>-1.4771216916533376E-10</v>
      </c>
      <c r="G89">
        <v>3.1975343102077994E-14</v>
      </c>
      <c r="H89">
        <v>1.8256121550480749E-11</v>
      </c>
      <c r="I89">
        <v>94.018860828038683</v>
      </c>
      <c r="J89">
        <v>-1.2352973378870917E-15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1</v>
      </c>
      <c r="T89">
        <v>0</v>
      </c>
    </row>
    <row r="90" spans="1:20" x14ac:dyDescent="0.15">
      <c r="C90">
        <v>5.2220248119012778E-14</v>
      </c>
      <c r="D90">
        <v>7.3760610198174112E-14</v>
      </c>
      <c r="E90">
        <v>-1.8630516650913284E-10</v>
      </c>
      <c r="F90">
        <v>-1.7524399110449124E-13</v>
      </c>
      <c r="G90">
        <v>5.5604504365230117E-15</v>
      </c>
      <c r="H90">
        <v>-7.3315383529695402E-15</v>
      </c>
      <c r="I90">
        <v>-1.0737661530217426E-14</v>
      </c>
      <c r="J90">
        <v>15.838446752033366</v>
      </c>
      <c r="M90">
        <v>0</v>
      </c>
      <c r="N90">
        <v>1.8387847178564742E-12</v>
      </c>
      <c r="O90">
        <v>0</v>
      </c>
      <c r="P90">
        <v>0</v>
      </c>
      <c r="Q90">
        <v>0</v>
      </c>
      <c r="R90">
        <v>0</v>
      </c>
      <c r="S90">
        <v>0</v>
      </c>
      <c r="T90">
        <v>1</v>
      </c>
    </row>
    <row r="92" spans="1:20" x14ac:dyDescent="0.15">
      <c r="C92" t="s">
        <v>16</v>
      </c>
      <c r="M92" t="s">
        <v>35</v>
      </c>
    </row>
    <row r="93" spans="1:20" x14ac:dyDescent="0.15">
      <c r="C93">
        <v>1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M93">
        <v>0.30060479010280583</v>
      </c>
      <c r="N93">
        <v>0.38244074950915136</v>
      </c>
      <c r="O93">
        <v>0.42471662195645421</v>
      </c>
      <c r="P93">
        <v>0.4472657872409449</v>
      </c>
      <c r="Q93">
        <v>0.41889468817433395</v>
      </c>
      <c r="R93">
        <v>0.35704481043436603</v>
      </c>
      <c r="S93">
        <v>0.25965156300272252</v>
      </c>
      <c r="T93">
        <v>0.11212604189581009</v>
      </c>
    </row>
    <row r="94" spans="1:20" x14ac:dyDescent="0.15">
      <c r="C94">
        <v>0</v>
      </c>
      <c r="D94">
        <v>1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M94">
        <v>-0.64036104390894977</v>
      </c>
      <c r="N94">
        <v>-0.4127735373117809</v>
      </c>
      <c r="O94">
        <v>-0.15113733290075754</v>
      </c>
      <c r="P94">
        <v>9.7660319073107238E-2</v>
      </c>
      <c r="Q94">
        <v>0.2918091444536457</v>
      </c>
      <c r="R94">
        <v>0.38916930569196251</v>
      </c>
      <c r="S94">
        <v>0.3506330555713435</v>
      </c>
      <c r="T94">
        <v>0.16621324881703811</v>
      </c>
    </row>
    <row r="95" spans="1:20" x14ac:dyDescent="0.15"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M95">
        <v>0.60920152499669034</v>
      </c>
      <c r="N95">
        <v>-0.18296224742324863</v>
      </c>
      <c r="O95">
        <v>-0.43138330215384391</v>
      </c>
      <c r="P95">
        <v>-0.33681745212456093</v>
      </c>
      <c r="Q95">
        <v>-2.8819269773403048E-2</v>
      </c>
      <c r="R95">
        <v>0.28958145224669229</v>
      </c>
      <c r="S95">
        <v>0.4027242751183383</v>
      </c>
      <c r="T95">
        <v>0.22132771846639268</v>
      </c>
    </row>
    <row r="96" spans="1:20" x14ac:dyDescent="0.15"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M96">
        <v>-0.33607194461266116</v>
      </c>
      <c r="N96">
        <v>0.60163414775611457</v>
      </c>
      <c r="O96">
        <v>0.11694222594273816</v>
      </c>
      <c r="P96">
        <v>-0.37101208748467457</v>
      </c>
      <c r="Q96">
        <v>-0.37884546412846953</v>
      </c>
      <c r="R96">
        <v>3.807545558931788E-2</v>
      </c>
      <c r="S96">
        <v>0.38995201997541129</v>
      </c>
      <c r="T96">
        <v>0.27700242442604378</v>
      </c>
    </row>
    <row r="97" spans="3:20" x14ac:dyDescent="0.15">
      <c r="C97">
        <v>0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M97">
        <v>0.12071761566882511</v>
      </c>
      <c r="N97">
        <v>-0.48703631384576573</v>
      </c>
      <c r="O97">
        <v>0.49914423588227935</v>
      </c>
      <c r="P97">
        <v>0.21251460712614156</v>
      </c>
      <c r="Q97">
        <v>-0.40599609771740597</v>
      </c>
      <c r="R97">
        <v>-0.28862572484073895</v>
      </c>
      <c r="S97">
        <v>0.30001968952845681</v>
      </c>
      <c r="T97">
        <v>0.34024403786095098</v>
      </c>
    </row>
    <row r="98" spans="3:20" x14ac:dyDescent="0.15">
      <c r="C98">
        <v>0</v>
      </c>
      <c r="D98">
        <v>0</v>
      </c>
      <c r="E98">
        <v>0</v>
      </c>
      <c r="F98">
        <v>0</v>
      </c>
      <c r="G98">
        <v>0</v>
      </c>
      <c r="H98">
        <v>1</v>
      </c>
      <c r="I98">
        <v>0</v>
      </c>
      <c r="J98">
        <v>0</v>
      </c>
      <c r="M98">
        <v>-3.0105786717036547E-2</v>
      </c>
      <c r="N98">
        <v>0.21780378732624889</v>
      </c>
      <c r="O98">
        <v>-0.53801868010297593</v>
      </c>
      <c r="P98">
        <v>0.48407316183960292</v>
      </c>
      <c r="Q98">
        <v>9.4062907230219442E-2</v>
      </c>
      <c r="R98">
        <v>-0.49354476243992917</v>
      </c>
      <c r="S98">
        <v>0.11300743545829252</v>
      </c>
      <c r="T98">
        <v>0.40331040423227943</v>
      </c>
    </row>
    <row r="99" spans="3:20" x14ac:dyDescent="0.15"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0</v>
      </c>
      <c r="M99">
        <v>4.9393700272525798E-3</v>
      </c>
      <c r="N99">
        <v>-5.6878269535435552E-2</v>
      </c>
      <c r="O99">
        <v>0.2385819283312979</v>
      </c>
      <c r="P99">
        <v>-0.49468777078621473</v>
      </c>
      <c r="Q99">
        <v>0.59104140359157442</v>
      </c>
      <c r="R99">
        <v>-0.32011801700095543</v>
      </c>
      <c r="S99">
        <v>-0.17288734630972993</v>
      </c>
      <c r="T99">
        <v>0.46196062375978603</v>
      </c>
    </row>
    <row r="100" spans="3:20" x14ac:dyDescent="0.15"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1</v>
      </c>
      <c r="M100">
        <v>-3.8091229363285638E-4</v>
      </c>
      <c r="N100">
        <v>6.3442854704390617E-3</v>
      </c>
      <c r="O100">
        <v>-3.8416860509588903E-2</v>
      </c>
      <c r="P100">
        <v>0.12294119613073765</v>
      </c>
      <c r="Q100">
        <v>-0.2683460914448178</v>
      </c>
      <c r="R100">
        <v>0.45430420498288848</v>
      </c>
      <c r="S100">
        <v>-0.60225872964268412</v>
      </c>
      <c r="T100">
        <v>0.58502281936738187</v>
      </c>
    </row>
    <row r="102" spans="3:20" x14ac:dyDescent="0.15">
      <c r="C102" t="s">
        <v>36</v>
      </c>
      <c r="M102" t="s">
        <v>17</v>
      </c>
    </row>
    <row r="103" spans="3:20" x14ac:dyDescent="0.15">
      <c r="C103">
        <v>0.30060479010280583</v>
      </c>
      <c r="D103">
        <v>0.38244074950915136</v>
      </c>
      <c r="E103">
        <v>0.42471662195645421</v>
      </c>
      <c r="F103">
        <v>0.4472657872409449</v>
      </c>
      <c r="G103">
        <v>0.41889468817433395</v>
      </c>
      <c r="H103">
        <v>0.35704481043436603</v>
      </c>
      <c r="I103">
        <v>0.25965156300272252</v>
      </c>
      <c r="J103">
        <v>0.11212604189581009</v>
      </c>
      <c r="M103">
        <v>1.0640415021345724E-3</v>
      </c>
      <c r="N103">
        <v>1.3537137230781302E-3</v>
      </c>
      <c r="O103">
        <v>1.5033563246065144E-3</v>
      </c>
      <c r="P103">
        <v>1.5831729093421887E-3</v>
      </c>
      <c r="Q103">
        <v>1.4827486051994594E-3</v>
      </c>
      <c r="R103">
        <v>1.2638205009774075E-3</v>
      </c>
      <c r="S103">
        <v>9.1908062753930033E-4</v>
      </c>
      <c r="T103">
        <v>3.96889091509218E-4</v>
      </c>
    </row>
    <row r="104" spans="3:20" x14ac:dyDescent="0.15">
      <c r="C104">
        <v>-0.64036104390894977</v>
      </c>
      <c r="D104">
        <v>-0.4127735373117809</v>
      </c>
      <c r="E104">
        <v>-0.15113733290075754</v>
      </c>
      <c r="F104">
        <v>9.7660319073107238E-2</v>
      </c>
      <c r="G104">
        <v>0.2918091444536457</v>
      </c>
      <c r="H104">
        <v>0.38916930569196251</v>
      </c>
      <c r="I104">
        <v>0.3506330555713435</v>
      </c>
      <c r="J104">
        <v>0.16621324881703811</v>
      </c>
      <c r="M104">
        <v>-2.4188674465596182E-3</v>
      </c>
      <c r="N104">
        <v>-1.5591899002942681E-3</v>
      </c>
      <c r="O104">
        <v>-5.7089852356082232E-4</v>
      </c>
      <c r="P104">
        <v>3.6889715399388451E-4</v>
      </c>
      <c r="Q104">
        <v>1.1022651156582508E-3</v>
      </c>
      <c r="R104">
        <v>1.4700284686155007E-3</v>
      </c>
      <c r="S104">
        <v>1.3244635848426861E-3</v>
      </c>
      <c r="T104">
        <v>6.2784552648023498E-4</v>
      </c>
    </row>
    <row r="105" spans="3:20" x14ac:dyDescent="0.15">
      <c r="C105">
        <v>0.60920152499669034</v>
      </c>
      <c r="D105">
        <v>-0.18296224742324863</v>
      </c>
      <c r="E105">
        <v>-0.43138330215384391</v>
      </c>
      <c r="F105">
        <v>-0.33681745212456093</v>
      </c>
      <c r="G105">
        <v>-2.8819269773403048E-2</v>
      </c>
      <c r="H105">
        <v>0.28958145224669229</v>
      </c>
      <c r="I105">
        <v>0.4027242751183383</v>
      </c>
      <c r="J105">
        <v>0.22132771846639268</v>
      </c>
      <c r="M105">
        <v>2.3167247984485742E-3</v>
      </c>
      <c r="N105">
        <v>-6.9578482389325372E-4</v>
      </c>
      <c r="O105">
        <v>-1.6405021207750159E-3</v>
      </c>
      <c r="P105">
        <v>-1.2808788420079463E-3</v>
      </c>
      <c r="Q105">
        <v>-1.0959643766089552E-4</v>
      </c>
      <c r="R105">
        <v>1.1012456536354015E-3</v>
      </c>
      <c r="S105">
        <v>1.531515068201691E-3</v>
      </c>
      <c r="T105">
        <v>8.416843900020145E-4</v>
      </c>
    </row>
    <row r="106" spans="3:20" x14ac:dyDescent="0.15">
      <c r="C106">
        <v>-0.33607194461266116</v>
      </c>
      <c r="D106">
        <v>0.60163414775611457</v>
      </c>
      <c r="E106">
        <v>0.11694222594273816</v>
      </c>
      <c r="F106">
        <v>-0.37101208748467457</v>
      </c>
      <c r="G106">
        <v>-0.37884546412846953</v>
      </c>
      <c r="H106">
        <v>3.807545558931788E-2</v>
      </c>
      <c r="I106">
        <v>0.38995201997541129</v>
      </c>
      <c r="J106">
        <v>0.27700242442604378</v>
      </c>
      <c r="M106">
        <v>-1.30307348393433E-3</v>
      </c>
      <c r="N106">
        <v>2.3327549875488368E-3</v>
      </c>
      <c r="O106">
        <v>4.5342765506317271E-4</v>
      </c>
      <c r="P106">
        <v>-1.4385491593998103E-3</v>
      </c>
      <c r="Q106">
        <v>-1.4689220172292977E-3</v>
      </c>
      <c r="R106">
        <v>1.4763242621856782E-4</v>
      </c>
      <c r="S106">
        <v>1.5119861844529736E-3</v>
      </c>
      <c r="T106">
        <v>1.0740394134092866E-3</v>
      </c>
    </row>
    <row r="107" spans="3:20" x14ac:dyDescent="0.15">
      <c r="C107">
        <v>0.12071761566882511</v>
      </c>
      <c r="D107">
        <v>-0.48703631384576573</v>
      </c>
      <c r="E107">
        <v>0.49914423588227935</v>
      </c>
      <c r="F107">
        <v>0.21251460712614156</v>
      </c>
      <c r="G107">
        <v>-0.40599609771740597</v>
      </c>
      <c r="H107">
        <v>-0.28862572484073895</v>
      </c>
      <c r="I107">
        <v>0.30001968952845681</v>
      </c>
      <c r="J107">
        <v>0.34024403786095098</v>
      </c>
      <c r="M107">
        <v>4.7045229723906632E-4</v>
      </c>
      <c r="N107">
        <v>-1.898044054449948E-3</v>
      </c>
      <c r="O107">
        <v>1.9452302062415491E-3</v>
      </c>
      <c r="P107">
        <v>8.2819714890351259E-4</v>
      </c>
      <c r="Q107">
        <v>-1.5822197595853911E-3</v>
      </c>
      <c r="R107">
        <v>-1.124812104193027E-3</v>
      </c>
      <c r="S107">
        <v>1.1692158710525638E-3</v>
      </c>
      <c r="T107">
        <v>1.3259754042252625E-3</v>
      </c>
    </row>
    <row r="108" spans="3:20" x14ac:dyDescent="0.15">
      <c r="C108">
        <v>-3.0105786717036547E-2</v>
      </c>
      <c r="D108">
        <v>0.21780378732624889</v>
      </c>
      <c r="E108">
        <v>-0.53801868010297593</v>
      </c>
      <c r="F108">
        <v>0.48407316183960292</v>
      </c>
      <c r="G108">
        <v>9.4062907230219442E-2</v>
      </c>
      <c r="H108">
        <v>-0.49354476243992917</v>
      </c>
      <c r="I108">
        <v>0.11300743545829252</v>
      </c>
      <c r="J108">
        <v>0.40331040423227943</v>
      </c>
      <c r="M108">
        <v>-1.1796735996192321E-4</v>
      </c>
      <c r="N108">
        <v>8.5344847560638417E-4</v>
      </c>
      <c r="O108">
        <v>-2.1081875022395725E-3</v>
      </c>
      <c r="P108">
        <v>1.8968058688306499E-3</v>
      </c>
      <c r="Q108">
        <v>3.685787367254873E-4</v>
      </c>
      <c r="R108">
        <v>-1.9339196545601544E-3</v>
      </c>
      <c r="S108">
        <v>4.4281150804600033E-4</v>
      </c>
      <c r="T108">
        <v>1.5803428118201103E-3</v>
      </c>
    </row>
    <row r="109" spans="3:20" x14ac:dyDescent="0.15">
      <c r="C109">
        <v>4.9393700272525798E-3</v>
      </c>
      <c r="D109">
        <v>-5.6878269535435552E-2</v>
      </c>
      <c r="E109">
        <v>0.2385819283312979</v>
      </c>
      <c r="F109">
        <v>-0.49468777078621473</v>
      </c>
      <c r="G109">
        <v>0.59104140359157442</v>
      </c>
      <c r="H109">
        <v>-0.32011801700095543</v>
      </c>
      <c r="I109">
        <v>-0.17288734630972993</v>
      </c>
      <c r="J109">
        <v>0.46196062375978603</v>
      </c>
      <c r="M109">
        <v>1.9574940590034759E-5</v>
      </c>
      <c r="N109">
        <v>-2.2541108296748397E-4</v>
      </c>
      <c r="O109">
        <v>9.4551067184144575E-4</v>
      </c>
      <c r="P109">
        <v>-1.9604693858384851E-3</v>
      </c>
      <c r="Q109">
        <v>2.3423230690799595E-3</v>
      </c>
      <c r="R109">
        <v>-1.2686417761819176E-3</v>
      </c>
      <c r="S109">
        <v>-6.8516015485969807E-4</v>
      </c>
      <c r="T109">
        <v>1.8307702632400485E-3</v>
      </c>
    </row>
    <row r="110" spans="3:20" x14ac:dyDescent="0.15">
      <c r="C110">
        <v>-3.8091229363285638E-4</v>
      </c>
      <c r="D110">
        <v>6.3442854704390617E-3</v>
      </c>
      <c r="E110">
        <v>-3.8416860509588903E-2</v>
      </c>
      <c r="F110">
        <v>0.12294119613073765</v>
      </c>
      <c r="G110">
        <v>-0.2683460914448178</v>
      </c>
      <c r="H110">
        <v>0.45430420498288848</v>
      </c>
      <c r="I110">
        <v>-0.60225872964268412</v>
      </c>
      <c r="J110">
        <v>0.58502281936738187</v>
      </c>
      <c r="M110">
        <v>-1.3457269523939934E-6</v>
      </c>
      <c r="N110">
        <v>2.2413757954161803E-5</v>
      </c>
      <c r="O110">
        <v>-1.357231191491659E-4</v>
      </c>
      <c r="P110">
        <v>4.3433956834208873E-4</v>
      </c>
      <c r="Q110">
        <v>-9.4804125218111708E-4</v>
      </c>
      <c r="R110">
        <v>1.6050136040520369E-3</v>
      </c>
      <c r="S110">
        <v>-2.1277228861925554E-3</v>
      </c>
      <c r="T110">
        <v>2.0668300523454149E-3</v>
      </c>
    </row>
    <row r="112" spans="3:20" x14ac:dyDescent="0.15">
      <c r="M112" t="s">
        <v>18</v>
      </c>
    </row>
    <row r="113" spans="13:20" x14ac:dyDescent="0.15"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</row>
    <row r="114" spans="13:20" x14ac:dyDescent="0.15">
      <c r="M114">
        <v>-2.273282989157031</v>
      </c>
      <c r="N114">
        <v>-1.1517870238833936</v>
      </c>
      <c r="O114">
        <v>-0.37974930774329113</v>
      </c>
      <c r="P114">
        <v>0.23301128500686763</v>
      </c>
      <c r="Q114">
        <v>0.74339312260555057</v>
      </c>
      <c r="R114">
        <v>1.1631623853851216</v>
      </c>
      <c r="S114">
        <v>1.4410744228052521</v>
      </c>
      <c r="T114">
        <v>1.58191681230839</v>
      </c>
    </row>
    <row r="115" spans="13:20" x14ac:dyDescent="0.15">
      <c r="M115">
        <v>2.1772880040872424</v>
      </c>
      <c r="N115">
        <v>-0.51398224900250655</v>
      </c>
      <c r="O115">
        <v>-1.0912264071556008</v>
      </c>
      <c r="P115">
        <v>-0.80905808484314823</v>
      </c>
      <c r="Q115">
        <v>-7.3914375826475726E-2</v>
      </c>
      <c r="R115">
        <v>0.87136239108617508</v>
      </c>
      <c r="S115">
        <v>1.6663555103996606</v>
      </c>
      <c r="T115">
        <v>2.1207042672838639</v>
      </c>
    </row>
    <row r="116" spans="13:20" x14ac:dyDescent="0.15">
      <c r="M116">
        <v>-1.2246453557687702</v>
      </c>
      <c r="N116">
        <v>1.7232262241122311</v>
      </c>
      <c r="O116">
        <v>0.30161023547218724</v>
      </c>
      <c r="P116">
        <v>-0.90864942856906905</v>
      </c>
      <c r="Q116">
        <v>-0.99067502884731984</v>
      </c>
      <c r="R116">
        <v>0.11681439421531187</v>
      </c>
      <c r="S116">
        <v>1.6451072290589874</v>
      </c>
      <c r="T116">
        <v>2.7061449568319551</v>
      </c>
    </row>
    <row r="117" spans="13:20" x14ac:dyDescent="0.15">
      <c r="M117">
        <v>0.44213716879961218</v>
      </c>
      <c r="N117">
        <v>-1.4021015094196556</v>
      </c>
      <c r="O117">
        <v>1.2939249161376893</v>
      </c>
      <c r="P117">
        <v>0.5231248867488707</v>
      </c>
      <c r="Q117">
        <v>-1.0670856502829424</v>
      </c>
      <c r="R117">
        <v>-0.89000938291721432</v>
      </c>
      <c r="S117">
        <v>1.2721581067190622</v>
      </c>
      <c r="T117">
        <v>3.3409217652797745</v>
      </c>
    </row>
    <row r="118" spans="13:20" x14ac:dyDescent="0.15">
      <c r="M118">
        <v>-0.11086725444944491</v>
      </c>
      <c r="N118">
        <v>0.63044974802041431</v>
      </c>
      <c r="O118">
        <v>-1.4023205727965826</v>
      </c>
      <c r="P118">
        <v>1.1981040463980503</v>
      </c>
      <c r="Q118">
        <v>0.24857803637987982</v>
      </c>
      <c r="R118">
        <v>-1.5302170308714798</v>
      </c>
      <c r="S118">
        <v>0.48179832625953756</v>
      </c>
      <c r="T118">
        <v>3.9818247606923856</v>
      </c>
    </row>
    <row r="119" spans="13:20" x14ac:dyDescent="0.15">
      <c r="M119">
        <v>1.8396782973939922E-2</v>
      </c>
      <c r="N119">
        <v>-0.16651311065602181</v>
      </c>
      <c r="O119">
        <v>0.62893317862544795</v>
      </c>
      <c r="P119">
        <v>-1.2383166578141258</v>
      </c>
      <c r="Q119">
        <v>1.5797169262990944</v>
      </c>
      <c r="R119">
        <v>-1.0038148417443629</v>
      </c>
      <c r="S119">
        <v>-0.74548427453433652</v>
      </c>
      <c r="T119">
        <v>4.6128006599484168</v>
      </c>
    </row>
    <row r="120" spans="13:20" x14ac:dyDescent="0.15">
      <c r="M120">
        <v>-1.2647316384693005E-3</v>
      </c>
      <c r="N120">
        <v>1.6557236269420742E-2</v>
      </c>
      <c r="O120">
        <v>-9.0280073278495576E-2</v>
      </c>
      <c r="P120">
        <v>0.2743475243791012</v>
      </c>
      <c r="Q120">
        <v>-0.63938097723152909</v>
      </c>
      <c r="R120">
        <v>1.2699695904685508</v>
      </c>
      <c r="S120">
        <v>-2.3150557442269371</v>
      </c>
      <c r="T120">
        <v>5.2075758607676708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elet">
                <anchor moveWithCells="1" sizeWithCells="1">
                  <from>
                    <xdr:col>0</xdr:col>
                    <xdr:colOff>123825</xdr:colOff>
                    <xdr:row>16</xdr:row>
                    <xdr:rowOff>66675</xdr:rowOff>
                  </from>
                  <to>
                    <xdr:col>0</xdr:col>
                    <xdr:colOff>600075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trix1">
                <anchor moveWithCells="1" sizeWithCells="1">
                  <from>
                    <xdr:col>0</xdr:col>
                    <xdr:colOff>152400</xdr:colOff>
                    <xdr:row>6</xdr:row>
                    <xdr:rowOff>9525</xdr:rowOff>
                  </from>
                  <to>
                    <xdr:col>0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j_ready">
                <anchor moveWithCells="1" sizeWithCells="1">
                  <from>
                    <xdr:col>0</xdr:col>
                    <xdr:colOff>133350</xdr:colOff>
                    <xdr:row>3</xdr:row>
                    <xdr:rowOff>38100</xdr:rowOff>
                  </from>
                  <to>
                    <xdr:col>0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jacobi1">
                <anchor moveWithCells="1" sizeWithCells="1">
                  <from>
                    <xdr:col>0</xdr:col>
                    <xdr:colOff>152400</xdr:colOff>
                    <xdr:row>9</xdr:row>
                    <xdr:rowOff>0</xdr:rowOff>
                  </from>
                  <to>
                    <xdr:col>0</xdr:col>
                    <xdr:colOff>628650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ready (2)</vt:lpstr>
      <vt:lpstr>ready</vt:lpstr>
      <vt:lpstr>earthquake</vt:lpstr>
      <vt:lpstr>損傷限界固有周期</vt:lpstr>
      <vt:lpstr>pqGs72D</vt:lpstr>
      <vt:lpstr>必要損傷限界耐力</vt:lpstr>
      <vt:lpstr>安全限界固有周期</vt:lpstr>
      <vt:lpstr>pqGs72S</vt:lpstr>
      <vt:lpstr>必要安全限界耐力</vt:lpstr>
      <vt:lpstr>GS</vt:lpstr>
      <vt:lpstr>地盤の固有周期</vt:lpstr>
      <vt:lpstr>jacobi2</vt:lpstr>
      <vt:lpstr>stodora</vt:lpstr>
      <vt:lpstr>ji_zofuku</vt:lpstr>
      <vt:lpstr>安全限界GS</vt:lpstr>
      <vt:lpstr>teigen</vt:lpstr>
      <vt:lpstr>gensui</vt:lpstr>
      <vt:lpstr>地盤データ</vt:lpstr>
      <vt:lpstr>jacobi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Makoto Matsushita</dc:creator>
  <cp:keywords/>
  <dc:description/>
  <cp:lastModifiedBy>Matsushita Makoto</cp:lastModifiedBy>
  <cp:revision/>
  <cp:lastPrinted>2021-05-28T08:25:11Z</cp:lastPrinted>
  <dcterms:created xsi:type="dcterms:W3CDTF">2009-09-11T02:32:46Z</dcterms:created>
  <dcterms:modified xsi:type="dcterms:W3CDTF">2022-02-18T08:15:55Z</dcterms:modified>
  <cp:category/>
  <cp:contentStatus/>
</cp:coreProperties>
</file>