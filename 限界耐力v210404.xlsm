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eriod\"/>
    </mc:Choice>
  </mc:AlternateContent>
  <xr:revisionPtr revIDLastSave="0" documentId="13_ncr:1_{F218EDC3-97E2-4B48-9A45-C23E83EE541C}" xr6:coauthVersionLast="36" xr6:coauthVersionMax="47" xr10:uidLastSave="{00000000-0000-0000-0000-000000000000}"/>
  <bookViews>
    <workbookView xWindow="-120" yWindow="-120" windowWidth="20730" windowHeight="11040" firstSheet="2" activeTab="6" xr2:uid="{00000000-000D-0000-FFFF-FFFF00000000}"/>
  </bookViews>
  <sheets>
    <sheet name="ready (2)" sheetId="19" r:id="rId1"/>
    <sheet name="earthquake" sheetId="28" r:id="rId2"/>
    <sheet name="ready" sheetId="7" r:id="rId3"/>
    <sheet name="損傷限界固有周期" sheetId="13" r:id="rId4"/>
    <sheet name="pqGs72D" sheetId="29" r:id="rId5"/>
    <sheet name="必要損傷限界耐力" sheetId="18" r:id="rId6"/>
    <sheet name="安全限界固有周期" sheetId="21" r:id="rId7"/>
    <sheet name="pqGs72S" sheetId="30" r:id="rId8"/>
    <sheet name="必要安全限界耐力" sheetId="20" r:id="rId9"/>
    <sheet name="地盤の固有周期" sheetId="22" r:id="rId10"/>
    <sheet name="GS" sheetId="14" r:id="rId11"/>
    <sheet name="stodora" sheetId="25" r:id="rId12"/>
    <sheet name="jacobi2" sheetId="24" r:id="rId13"/>
    <sheet name="ji_zofuku" sheetId="26" r:id="rId14"/>
    <sheet name="安全限界GS" sheetId="15" r:id="rId15"/>
    <sheet name="teigen" sheetId="16" r:id="rId16"/>
    <sheet name="gensui" sheetId="17" r:id="rId17"/>
    <sheet name="地盤データ" sheetId="27" r:id="rId18"/>
    <sheet name="jacobi" sheetId="10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9" i="29" l="1"/>
  <c r="H6" i="18" a="1"/>
  <c r="H6" i="18"/>
  <c r="H3" i="18" a="1"/>
  <c r="H3" i="18"/>
  <c r="G2" i="7"/>
  <c r="D22" i="7"/>
  <c r="L16" i="30"/>
  <c r="L15" i="30"/>
  <c r="L14" i="30"/>
  <c r="N10" i="30"/>
  <c r="N19" i="30" s="1"/>
  <c r="N10" i="29"/>
  <c r="N19" i="29" s="1"/>
  <c r="L16" i="29"/>
  <c r="L15" i="29"/>
  <c r="L14" i="29"/>
  <c r="D49" i="30"/>
  <c r="D52" i="30" s="1"/>
  <c r="O19" i="30" s="1"/>
  <c r="C49" i="30"/>
  <c r="C52" i="30" s="1"/>
  <c r="O10" i="30" s="1"/>
  <c r="D51" i="30"/>
  <c r="C51" i="30"/>
  <c r="D51" i="29"/>
  <c r="C51" i="29"/>
  <c r="D49" i="29"/>
  <c r="F5" i="30"/>
  <c r="E5" i="30"/>
  <c r="D5" i="30"/>
  <c r="M13" i="30" s="1"/>
  <c r="C5" i="30"/>
  <c r="L7" i="30" s="1"/>
  <c r="G5" i="30"/>
  <c r="B5" i="30"/>
  <c r="G5" i="29"/>
  <c r="F5" i="29"/>
  <c r="E5" i="29"/>
  <c r="B5" i="29"/>
  <c r="D5" i="29"/>
  <c r="M13" i="29" s="1"/>
  <c r="C5" i="29"/>
  <c r="M19" i="29" a="1"/>
  <c r="D38" i="29" a="1"/>
  <c r="D17" i="29" a="1"/>
  <c r="C38" i="29" a="1"/>
  <c r="C26" i="29" a="1"/>
  <c r="D26" i="29" a="1"/>
  <c r="C17" i="29" a="1"/>
  <c r="M19" i="30" a="1"/>
  <c r="D38" i="30" a="1"/>
  <c r="D17" i="30" a="1"/>
  <c r="C38" i="30" a="1"/>
  <c r="C17" i="30" a="1"/>
  <c r="D26" i="30" a="1"/>
  <c r="C26" i="30" a="1"/>
  <c r="C38" i="29" l="1"/>
  <c r="C25" i="29"/>
  <c r="C17" i="29"/>
  <c r="L5" i="29"/>
  <c r="L6" i="30"/>
  <c r="M4" i="30"/>
  <c r="L5" i="30"/>
  <c r="M19" i="30"/>
  <c r="P19" i="30" s="1"/>
  <c r="C25" i="30"/>
  <c r="D25" i="30"/>
  <c r="M19" i="29"/>
  <c r="M4" i="29"/>
  <c r="D25" i="29"/>
  <c r="L7" i="29"/>
  <c r="L6" i="29"/>
  <c r="C26" i="30"/>
  <c r="D26" i="30"/>
  <c r="D17" i="30"/>
  <c r="C17" i="30"/>
  <c r="C38" i="30"/>
  <c r="D38" i="30"/>
  <c r="C52" i="29"/>
  <c r="D26" i="29"/>
  <c r="C26" i="29"/>
  <c r="D17" i="29"/>
  <c r="D38" i="29"/>
  <c r="D52" i="29" s="1"/>
  <c r="C23" i="14"/>
  <c r="B23" i="14"/>
  <c r="B25" i="14"/>
  <c r="C25" i="14"/>
  <c r="D25" i="14"/>
  <c r="E25" i="14"/>
  <c r="C24" i="14"/>
  <c r="D24" i="14"/>
  <c r="E24" i="14"/>
  <c r="B24" i="14"/>
  <c r="C4" i="14"/>
  <c r="B4" i="14"/>
  <c r="C6" i="14"/>
  <c r="D6" i="14"/>
  <c r="E6" i="14"/>
  <c r="B6" i="14"/>
  <c r="C5" i="14"/>
  <c r="D5" i="14"/>
  <c r="E5" i="14"/>
  <c r="B5" i="14"/>
  <c r="D12" i="7"/>
  <c r="D13" i="7"/>
  <c r="D14" i="7"/>
  <c r="D15" i="7"/>
  <c r="D16" i="7"/>
  <c r="D17" i="7"/>
  <c r="D18" i="7"/>
  <c r="D19" i="7"/>
  <c r="D20" i="7"/>
  <c r="D21" i="7"/>
  <c r="D11" i="7"/>
  <c r="M10" i="29" a="1"/>
  <c r="M10" i="30" a="1"/>
  <c r="O19" i="29" l="1"/>
  <c r="P19" i="29" s="1"/>
  <c r="O10" i="29"/>
  <c r="M10" i="30"/>
  <c r="P10" i="30" s="1"/>
  <c r="M10" i="29"/>
  <c r="X11" i="7"/>
  <c r="P10" i="29" l="1"/>
  <c r="S35" i="19"/>
  <c r="Q35" i="19"/>
  <c r="V35" i="19" s="1"/>
  <c r="O35" i="19"/>
  <c r="V34" i="19"/>
  <c r="S34" i="19"/>
  <c r="Q34" i="19"/>
  <c r="O34" i="19"/>
  <c r="S33" i="19"/>
  <c r="Q33" i="19"/>
  <c r="V33" i="19" s="1"/>
  <c r="O33" i="19"/>
  <c r="V32" i="19"/>
  <c r="S32" i="19"/>
  <c r="Q32" i="19"/>
  <c r="O32" i="19"/>
  <c r="S31" i="19"/>
  <c r="Q31" i="19"/>
  <c r="V31" i="19" s="1"/>
  <c r="O31" i="19"/>
  <c r="V30" i="19"/>
  <c r="S30" i="19"/>
  <c r="Q30" i="19"/>
  <c r="O30" i="19"/>
  <c r="S29" i="19"/>
  <c r="Q29" i="19"/>
  <c r="V29" i="19" s="1"/>
  <c r="O29" i="19"/>
  <c r="V28" i="19"/>
  <c r="S28" i="19"/>
  <c r="Q28" i="19"/>
  <c r="O28" i="19"/>
  <c r="S27" i="19"/>
  <c r="Q27" i="19"/>
  <c r="V27" i="19" s="1"/>
  <c r="O27" i="19"/>
  <c r="V26" i="19"/>
  <c r="Q26" i="19"/>
  <c r="S26" i="19" s="1"/>
  <c r="T26" i="19" s="1"/>
  <c r="O26" i="19"/>
  <c r="S25" i="19"/>
  <c r="T25" i="19" s="1"/>
  <c r="Q25" i="19"/>
  <c r="V25" i="19" s="1"/>
  <c r="W25" i="19" s="1"/>
  <c r="O25" i="19"/>
  <c r="Z21" i="19"/>
  <c r="X21" i="19"/>
  <c r="Z20" i="19"/>
  <c r="X20" i="19"/>
  <c r="Z19" i="19"/>
  <c r="X19" i="19"/>
  <c r="Z18" i="19"/>
  <c r="X18" i="19"/>
  <c r="Z17" i="19"/>
  <c r="X17" i="19"/>
  <c r="Z16" i="19"/>
  <c r="X16" i="19"/>
  <c r="Z15" i="19"/>
  <c r="X15" i="19"/>
  <c r="Z14" i="19"/>
  <c r="X14" i="19"/>
  <c r="Z13" i="19"/>
  <c r="X13" i="19"/>
  <c r="Z12" i="19"/>
  <c r="X12" i="19"/>
  <c r="Z11" i="19"/>
  <c r="X11" i="19"/>
  <c r="R5" i="19"/>
  <c r="W26" i="19" l="1"/>
  <c r="W27" i="19"/>
  <c r="W28" i="19" s="1"/>
  <c r="W29" i="19" s="1"/>
  <c r="W30" i="19" s="1"/>
  <c r="W31" i="19" s="1"/>
  <c r="W32" i="19" s="1"/>
  <c r="W33" i="19" s="1"/>
  <c r="W34" i="19" s="1"/>
  <c r="W35" i="19" s="1"/>
  <c r="T27" i="19"/>
  <c r="T28" i="19" s="1"/>
  <c r="T29" i="19" s="1"/>
  <c r="T30" i="19" s="1"/>
  <c r="T31" i="19" s="1"/>
  <c r="T32" i="19" s="1"/>
  <c r="T33" i="19" s="1"/>
  <c r="T34" i="19" s="1"/>
  <c r="T35" i="19" s="1"/>
  <c r="A2" i="10"/>
  <c r="Z14" i="7"/>
  <c r="X14" i="7"/>
  <c r="Z13" i="7"/>
  <c r="X13" i="7"/>
  <c r="Z12" i="7"/>
  <c r="X12" i="7"/>
  <c r="Z11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<sst xmlns="http://schemas.openxmlformats.org/spreadsheetml/2006/main" count="689" uniqueCount="361">
  <si>
    <t>階数</t>
    <rPh sb="0" eb="2">
      <t>カイスウ</t>
    </rPh>
    <phoneticPr fontId="2"/>
  </si>
  <si>
    <t>Ｙ方向</t>
    <rPh sb="1" eb="3">
      <t>ホウコウ</t>
    </rPh>
    <phoneticPr fontId="2"/>
  </si>
  <si>
    <t>(m)</t>
    <phoneticPr fontId="2"/>
  </si>
  <si>
    <t>hi</t>
    <phoneticPr fontId="2"/>
  </si>
  <si>
    <t>wi</t>
    <phoneticPr fontId="2"/>
  </si>
  <si>
    <t>mi</t>
    <phoneticPr fontId="2"/>
  </si>
  <si>
    <t>(mm)</t>
    <phoneticPr fontId="2"/>
  </si>
  <si>
    <t>(t)</t>
    <phoneticPr fontId="2"/>
  </si>
  <si>
    <t>用途係数 I =</t>
  </si>
  <si>
    <t>hi</t>
  </si>
  <si>
    <t>wi</t>
  </si>
  <si>
    <t>qi</t>
    <phoneticPr fontId="2"/>
  </si>
  <si>
    <t>基準せん断力係数　Co =</t>
    <rPh sb="0" eb="2">
      <t>キジュン</t>
    </rPh>
    <rPh sb="4" eb="6">
      <t>ダンリョク</t>
    </rPh>
    <rPh sb="6" eb="8">
      <t>ケイスウ</t>
    </rPh>
    <phoneticPr fontId="2"/>
  </si>
  <si>
    <t>地盤種別係数 Tc =</t>
    <phoneticPr fontId="2"/>
  </si>
  <si>
    <t>一次固有周期 T =</t>
    <rPh sb="0" eb="2">
      <t>イチジ</t>
    </rPh>
    <rPh sb="2" eb="4">
      <t>コユウ</t>
    </rPh>
    <rPh sb="4" eb="6">
      <t>シュウキ</t>
    </rPh>
    <phoneticPr fontId="2"/>
  </si>
  <si>
    <t>振動特性係数 Rt =</t>
    <rPh sb="0" eb="2">
      <t>シンドウ</t>
    </rPh>
    <rPh sb="2" eb="4">
      <t>トクセイ</t>
    </rPh>
    <rPh sb="4" eb="6">
      <t>ケイスウ</t>
    </rPh>
    <phoneticPr fontId="2"/>
  </si>
  <si>
    <t>③</t>
  </si>
  <si>
    <t>⑦　固有ベクトル * m^-0.5</t>
  </si>
  <si>
    <t>⑧ 固有ベクトル</t>
  </si>
  <si>
    <t>F</t>
    <phoneticPr fontId="2"/>
  </si>
  <si>
    <t>Wi</t>
    <phoneticPr fontId="2"/>
  </si>
  <si>
    <t>Ki</t>
    <phoneticPr fontId="2"/>
  </si>
  <si>
    <t>δx</t>
    <phoneticPr fontId="2"/>
  </si>
  <si>
    <t>δy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</si>
  <si>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</si>
  <si>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</si>
  <si>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ki=qi/δy</t>
    <phoneticPr fontId="2"/>
  </si>
  <si>
    <t>地域係数 Z =</t>
    <phoneticPr fontId="2"/>
  </si>
  <si>
    <t>階数 S =</t>
    <rPh sb="0" eb="1">
      <t>カイ</t>
    </rPh>
    <rPh sb="1" eb="2">
      <t>スウ</t>
    </rPh>
    <phoneticPr fontId="2"/>
  </si>
  <si>
    <t>建物の高さ h =</t>
    <rPh sb="0" eb="2">
      <t>タテモノ</t>
    </rPh>
    <rPh sb="3" eb="4">
      <t>タカ</t>
    </rPh>
    <phoneticPr fontId="2"/>
  </si>
  <si>
    <t>kN</t>
    <phoneticPr fontId="2"/>
  </si>
  <si>
    <t>①</t>
    <phoneticPr fontId="2"/>
  </si>
  <si>
    <t>④</t>
    <phoneticPr fontId="2"/>
  </si>
  <si>
    <t>⑤</t>
    <phoneticPr fontId="2"/>
  </si>
  <si>
    <t>②</t>
    <phoneticPr fontId="2"/>
  </si>
  <si>
    <t>⑥</t>
    <phoneticPr fontId="2"/>
  </si>
  <si>
    <t>befor ⑥</t>
    <phoneticPr fontId="2"/>
  </si>
  <si>
    <t>固有ベクトル</t>
    <phoneticPr fontId="2"/>
  </si>
  <si>
    <t>刺激係数</t>
    <phoneticPr fontId="2"/>
  </si>
  <si>
    <t>刺激係数*固有ベクトル</t>
    <phoneticPr fontId="2"/>
  </si>
  <si>
    <t>ω^2</t>
    <phoneticPr fontId="2"/>
  </si>
  <si>
    <t>ω:固有円振動数</t>
    <phoneticPr fontId="2"/>
  </si>
  <si>
    <t>Ts:固有周期</t>
    <phoneticPr fontId="2"/>
  </si>
  <si>
    <t>Rt</t>
    <phoneticPr fontId="2"/>
  </si>
  <si>
    <t>T</t>
    <phoneticPr fontId="2"/>
  </si>
  <si>
    <t>0.75Rt</t>
    <phoneticPr fontId="2"/>
  </si>
  <si>
    <t>ｍi</t>
    <phoneticPr fontId="2"/>
  </si>
  <si>
    <t>mi*δdi</t>
    <phoneticPr fontId="2"/>
  </si>
  <si>
    <t>mi*δdi^2</t>
    <phoneticPr fontId="2"/>
  </si>
  <si>
    <t>設計用Rt</t>
    <rPh sb="0" eb="2">
      <t>セッケイ</t>
    </rPh>
    <rPh sb="2" eb="3">
      <t>ヨウ</t>
    </rPh>
    <phoneticPr fontId="2"/>
  </si>
  <si>
    <t>L</t>
    <phoneticPr fontId="11"/>
  </si>
  <si>
    <t>損傷限界</t>
    <rPh sb="0" eb="2">
      <t>ソンショウ</t>
    </rPh>
    <rPh sb="2" eb="4">
      <t>ゲンカイ</t>
    </rPh>
    <phoneticPr fontId="11"/>
  </si>
  <si>
    <t>弾性せん断剛性</t>
    <rPh sb="0" eb="2">
      <t>ダンセイ</t>
    </rPh>
    <rPh sb="4" eb="5">
      <t>ダン</t>
    </rPh>
    <rPh sb="5" eb="7">
      <t>ゴウセイ</t>
    </rPh>
    <phoneticPr fontId="11"/>
  </si>
  <si>
    <t>せん断剛性</t>
    <rPh sb="2" eb="3">
      <t>ダン</t>
    </rPh>
    <rPh sb="3" eb="5">
      <t>ゴウセイ</t>
    </rPh>
    <phoneticPr fontId="11"/>
  </si>
  <si>
    <t>せん断ばね剛性</t>
    <rPh sb="2" eb="3">
      <t>ダン</t>
    </rPh>
    <rPh sb="5" eb="7">
      <t>ゴウセイ</t>
    </rPh>
    <phoneticPr fontId="11"/>
  </si>
  <si>
    <t>層番号i</t>
    <rPh sb="0" eb="1">
      <t>ソウ</t>
    </rPh>
    <rPh sb="1" eb="3">
      <t>バンゴウ</t>
    </rPh>
    <phoneticPr fontId="11"/>
  </si>
  <si>
    <t>層厚　Hi</t>
    <rPh sb="0" eb="2">
      <t>ソウアツ</t>
    </rPh>
    <phoneticPr fontId="11"/>
  </si>
  <si>
    <t>湿潤密度pi</t>
    <rPh sb="0" eb="2">
      <t>シツジュン</t>
    </rPh>
    <rPh sb="2" eb="4">
      <t>ミツド</t>
    </rPh>
    <phoneticPr fontId="11"/>
  </si>
  <si>
    <t>P波速度Vp</t>
    <rPh sb="1" eb="2">
      <t>ナミ</t>
    </rPh>
    <rPh sb="2" eb="4">
      <t>ソクド</t>
    </rPh>
    <phoneticPr fontId="11"/>
  </si>
  <si>
    <t>S波速度Vs</t>
    <rPh sb="1" eb="2">
      <t>ナミ</t>
    </rPh>
    <rPh sb="2" eb="4">
      <t>ソクド</t>
    </rPh>
    <phoneticPr fontId="11"/>
  </si>
  <si>
    <t>土質</t>
    <rPh sb="0" eb="2">
      <t>ドシツ</t>
    </rPh>
    <phoneticPr fontId="11"/>
  </si>
  <si>
    <t>G01</t>
    <phoneticPr fontId="11"/>
  </si>
  <si>
    <t>低減係数 R</t>
    <rPh sb="0" eb="2">
      <t>テイゲン</t>
    </rPh>
    <rPh sb="2" eb="4">
      <t>ケイスウ</t>
    </rPh>
    <phoneticPr fontId="11"/>
  </si>
  <si>
    <t>Gi</t>
    <phoneticPr fontId="11"/>
  </si>
  <si>
    <t>Ki</t>
    <phoneticPr fontId="11"/>
  </si>
  <si>
    <t>mi</t>
    <phoneticPr fontId="11"/>
  </si>
  <si>
    <t>pe</t>
    <phoneticPr fontId="11"/>
  </si>
  <si>
    <t>Vse</t>
    <phoneticPr fontId="11"/>
  </si>
  <si>
    <t>α</t>
    <phoneticPr fontId="11"/>
  </si>
  <si>
    <t>h(0.8h)</t>
    <phoneticPr fontId="11"/>
  </si>
  <si>
    <t>Gs1</t>
    <phoneticPr fontId="11"/>
  </si>
  <si>
    <t>Gs2</t>
    <phoneticPr fontId="11"/>
  </si>
  <si>
    <t>Gb</t>
    <phoneticPr fontId="11"/>
  </si>
  <si>
    <t>T1</t>
    <phoneticPr fontId="11"/>
  </si>
  <si>
    <t>T2</t>
    <phoneticPr fontId="11"/>
  </si>
  <si>
    <t>粘性土</t>
    <rPh sb="0" eb="3">
      <t>ネンセイド</t>
    </rPh>
    <phoneticPr fontId="11"/>
  </si>
  <si>
    <t>粘性土</t>
    <rPh sb="0" eb="2">
      <t>ネンセイ</t>
    </rPh>
    <rPh sb="2" eb="3">
      <t>ツチ</t>
    </rPh>
    <phoneticPr fontId="11"/>
  </si>
  <si>
    <t>砂質土</t>
    <rPh sb="0" eb="3">
      <t>サシツド</t>
    </rPh>
    <phoneticPr fontId="11"/>
  </si>
  <si>
    <t>pe</t>
  </si>
  <si>
    <t>Vse</t>
  </si>
  <si>
    <t>α</t>
  </si>
  <si>
    <t>h</t>
  </si>
  <si>
    <t>Gs1</t>
  </si>
  <si>
    <t>Gs2</t>
  </si>
  <si>
    <t>Gb</t>
  </si>
  <si>
    <t>T1</t>
  </si>
  <si>
    <t>T2</t>
  </si>
  <si>
    <t>安全限界</t>
    <rPh sb="0" eb="2">
      <t>アンゼン</t>
    </rPh>
    <rPh sb="2" eb="4">
      <t>ゲンカイ</t>
    </rPh>
    <phoneticPr fontId="11"/>
  </si>
  <si>
    <t xml:space="preserve">     ≦ 0.396</t>
    <phoneticPr fontId="11"/>
  </si>
  <si>
    <t>2.39T</t>
    <phoneticPr fontId="11"/>
  </si>
  <si>
    <t>0.396 &lt; T ≦ 1.189</t>
    <phoneticPr fontId="11"/>
  </si>
  <si>
    <t>1.414T + 0.387</t>
    <phoneticPr fontId="11"/>
  </si>
  <si>
    <t>1.189 &lt; T ≦ 1.784</t>
    <phoneticPr fontId="11"/>
  </si>
  <si>
    <t>1.486 &lt; T    1.189</t>
    <phoneticPr fontId="11"/>
  </si>
  <si>
    <t>2.319T + 0.768</t>
    <phoneticPr fontId="11"/>
  </si>
  <si>
    <t>i</t>
    <phoneticPr fontId="11"/>
  </si>
  <si>
    <t>Ui</t>
    <phoneticPr fontId="11"/>
  </si>
  <si>
    <t>ui</t>
    <phoneticPr fontId="11"/>
  </si>
  <si>
    <t>γi</t>
    <phoneticPr fontId="11"/>
  </si>
  <si>
    <t>低減係数</t>
    <phoneticPr fontId="11"/>
  </si>
  <si>
    <t>hi</t>
    <phoneticPr fontId="11"/>
  </si>
  <si>
    <t>wi</t>
    <phoneticPr fontId="11"/>
  </si>
  <si>
    <t>低減係数</t>
    <rPh sb="0" eb="2">
      <t>テイゲン</t>
    </rPh>
    <rPh sb="2" eb="4">
      <t>ケイスウ</t>
    </rPh>
    <phoneticPr fontId="11"/>
  </si>
  <si>
    <t>せん断ひずみ</t>
    <rPh sb="2" eb="3">
      <t>ダン</t>
    </rPh>
    <phoneticPr fontId="11"/>
  </si>
  <si>
    <t>減衰定数</t>
    <rPh sb="0" eb="2">
      <t>ゲンスイ</t>
    </rPh>
    <rPh sb="2" eb="4">
      <t>テイスウ</t>
    </rPh>
    <phoneticPr fontId="11"/>
  </si>
  <si>
    <t>5以上</t>
    <rPh sb="1" eb="3">
      <t>イジョウ</t>
    </rPh>
    <phoneticPr fontId="2"/>
  </si>
  <si>
    <t>1-0.2/0.16td</t>
    <phoneticPr fontId="2"/>
  </si>
  <si>
    <t>1-0.15/0.16td</t>
    <phoneticPr fontId="2"/>
  </si>
  <si>
    <t>1-0.1/0.16td</t>
    <phoneticPr fontId="2"/>
  </si>
  <si>
    <t>1-0.05/0.16td</t>
    <phoneticPr fontId="2"/>
  </si>
  <si>
    <t>有効質量比</t>
    <rPh sb="0" eb="2">
      <t>ユウコウ</t>
    </rPh>
    <rPh sb="2" eb="4">
      <t>シツリョウ</t>
    </rPh>
    <rPh sb="4" eb="5">
      <t>ヒ</t>
    </rPh>
    <phoneticPr fontId="2"/>
  </si>
  <si>
    <t>0.75未満</t>
    <rPh sb="4" eb="6">
      <t>ミマン</t>
    </rPh>
    <phoneticPr fontId="2"/>
  </si>
  <si>
    <t>0.75以上</t>
    <rPh sb="4" eb="6">
      <t>イジョウ</t>
    </rPh>
    <phoneticPr fontId="2"/>
  </si>
  <si>
    <t>階数=</t>
    <phoneticPr fontId="2"/>
  </si>
  <si>
    <t>地域係数 Z =</t>
  </si>
  <si>
    <t>F</t>
    <phoneticPr fontId="2"/>
  </si>
  <si>
    <t>変位δ</t>
    <rPh sb="0" eb="2">
      <t>ヘンイ</t>
    </rPh>
    <phoneticPr fontId="2"/>
  </si>
  <si>
    <t>δ(i+i-1)</t>
    <phoneticPr fontId="2"/>
  </si>
  <si>
    <t>hi/di</t>
    <phoneticPr fontId="2"/>
  </si>
  <si>
    <t>δd(m)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</si>
  <si>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</si>
  <si>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</si>
  <si>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略算</t>
    <rPh sb="0" eb="2">
      <t>リャクサン</t>
    </rPh>
    <phoneticPr fontId="2"/>
  </si>
  <si>
    <t>Z</t>
    <phoneticPr fontId="2"/>
  </si>
  <si>
    <t>p</t>
    <phoneticPr fontId="2"/>
  </si>
  <si>
    <t>q</t>
    <phoneticPr fontId="2"/>
  </si>
  <si>
    <t>mi</t>
    <phoneticPr fontId="2"/>
  </si>
  <si>
    <t>Qun</t>
    <phoneticPr fontId="2"/>
  </si>
  <si>
    <t>α</t>
    <phoneticPr fontId="2"/>
  </si>
  <si>
    <t>bdi</t>
    <phoneticPr fontId="2"/>
  </si>
  <si>
    <t>ki=qi/δx</t>
    <phoneticPr fontId="2"/>
  </si>
  <si>
    <t>qix</t>
    <phoneticPr fontId="2"/>
  </si>
  <si>
    <t>qiy</t>
    <phoneticPr fontId="2"/>
  </si>
  <si>
    <t>Qux</t>
    <phoneticPr fontId="2"/>
  </si>
  <si>
    <t>Quy</t>
    <phoneticPr fontId="2"/>
  </si>
  <si>
    <t>地震力　Qux=</t>
    <rPh sb="0" eb="2">
      <t>ジシン</t>
    </rPh>
    <rPh sb="2" eb="3">
      <t>リョク</t>
    </rPh>
    <phoneticPr fontId="2"/>
  </si>
  <si>
    <t>地震力　Quy=</t>
    <rPh sb="0" eb="2">
      <t>ジシン</t>
    </rPh>
    <rPh sb="2" eb="3">
      <t>リョク</t>
    </rPh>
    <phoneticPr fontId="2"/>
  </si>
  <si>
    <t>S</t>
    <phoneticPr fontId="2"/>
  </si>
  <si>
    <t>造</t>
    <rPh sb="0" eb="1">
      <t>ゾウ</t>
    </rPh>
    <phoneticPr fontId="2"/>
  </si>
  <si>
    <t>X</t>
    <phoneticPr fontId="2"/>
  </si>
  <si>
    <t>ΣM</t>
    <phoneticPr fontId="2"/>
  </si>
  <si>
    <t>ΣM*δx</t>
    <phoneticPr fontId="2"/>
  </si>
  <si>
    <t>ΣM*δx^2</t>
    <phoneticPr fontId="2"/>
  </si>
  <si>
    <t>Δｘ</t>
    <phoneticPr fontId="2"/>
  </si>
  <si>
    <t>Tdx</t>
    <phoneticPr fontId="2"/>
  </si>
  <si>
    <t>Mux</t>
    <phoneticPr fontId="2"/>
  </si>
  <si>
    <t>Y</t>
    <phoneticPr fontId="2"/>
  </si>
  <si>
    <t>ΣM*δy</t>
    <phoneticPr fontId="2"/>
  </si>
  <si>
    <t>ΣM*δy^2</t>
    <phoneticPr fontId="2"/>
  </si>
  <si>
    <t>Muy</t>
    <phoneticPr fontId="2"/>
  </si>
  <si>
    <t>Δy</t>
    <phoneticPr fontId="2"/>
  </si>
  <si>
    <t>Tdy</t>
    <phoneticPr fontId="2"/>
  </si>
  <si>
    <t>Bdi</t>
    <phoneticPr fontId="2"/>
  </si>
  <si>
    <t>Pdi</t>
    <phoneticPr fontId="2"/>
  </si>
  <si>
    <t>損傷限界固有周期：Td</t>
    <rPh sb="0" eb="2">
      <t>ソンショウ</t>
    </rPh>
    <rPh sb="2" eb="4">
      <t>ゲンカイ</t>
    </rPh>
    <rPh sb="4" eb="6">
      <t>コユウ</t>
    </rPh>
    <rPh sb="6" eb="8">
      <t>シュウキ</t>
    </rPh>
    <phoneticPr fontId="2"/>
  </si>
  <si>
    <t>余裕度：Qd/Qdn</t>
    <rPh sb="0" eb="2">
      <t>ヨユウ</t>
    </rPh>
    <rPh sb="2" eb="3">
      <t>ド</t>
    </rPh>
    <phoneticPr fontId="2"/>
  </si>
  <si>
    <t>損傷限界耐力：Qd</t>
    <rPh sb="0" eb="2">
      <t>ソンショウ</t>
    </rPh>
    <rPh sb="2" eb="4">
      <t>ゲンカイ</t>
    </rPh>
    <rPh sb="4" eb="6">
      <t>タイリョク</t>
    </rPh>
    <phoneticPr fontId="2"/>
  </si>
  <si>
    <t>必要損傷限界耐力時の最大層間変形角</t>
    <rPh sb="0" eb="2">
      <t>ヒツヨウ</t>
    </rPh>
    <rPh sb="2" eb="4">
      <t>ソンショウ</t>
    </rPh>
    <rPh sb="4" eb="6">
      <t>ゲンカイ</t>
    </rPh>
    <rPh sb="6" eb="8">
      <t>タイリョク</t>
    </rPh>
    <rPh sb="8" eb="9">
      <t>ジ</t>
    </rPh>
    <rPh sb="10" eb="12">
      <t>サイダイ</t>
    </rPh>
    <rPh sb="12" eb="13">
      <t>ソウ</t>
    </rPh>
    <rPh sb="13" eb="14">
      <t>カン</t>
    </rPh>
    <rPh sb="14" eb="16">
      <t>ヘンケイ</t>
    </rPh>
    <rPh sb="16" eb="17">
      <t>カク</t>
    </rPh>
    <phoneticPr fontId="2"/>
  </si>
  <si>
    <t>Psi</t>
    <phoneticPr fontId="2"/>
  </si>
  <si>
    <t>ラーメン0.25,ブレース0.2</t>
    <phoneticPr fontId="2"/>
  </si>
  <si>
    <t>減衰定数ｈ算定時構造形式r1=</t>
    <rPh sb="0" eb="2">
      <t>ゲンスイ</t>
    </rPh>
    <rPh sb="2" eb="4">
      <t>テイスウ</t>
    </rPh>
    <rPh sb="5" eb="7">
      <t>サンテイ</t>
    </rPh>
    <rPh sb="7" eb="8">
      <t>ジ</t>
    </rPh>
    <rPh sb="8" eb="12">
      <t>コウゾウケイシキ</t>
    </rPh>
    <phoneticPr fontId="2"/>
  </si>
  <si>
    <t>f</t>
    <phoneticPr fontId="11"/>
  </si>
  <si>
    <t>T1</t>
    <phoneticPr fontId="2"/>
  </si>
  <si>
    <t>α</t>
    <phoneticPr fontId="2"/>
  </si>
  <si>
    <t>建物高さH=</t>
    <rPh sb="0" eb="2">
      <t>タテモノ</t>
    </rPh>
    <rPh sb="2" eb="3">
      <t>タカ</t>
    </rPh>
    <phoneticPr fontId="2"/>
  </si>
  <si>
    <t>総質量ΣM=</t>
    <rPh sb="0" eb="1">
      <t>ソウ</t>
    </rPh>
    <rPh sb="1" eb="3">
      <t>シツリョウ</t>
    </rPh>
    <phoneticPr fontId="2"/>
  </si>
  <si>
    <t>安全限界固有周期</t>
    <rPh sb="0" eb="2">
      <t>アンゼン</t>
    </rPh>
    <rPh sb="2" eb="4">
      <t>ゲンカイ</t>
    </rPh>
    <rPh sb="4" eb="8">
      <t>コユウシュウキ</t>
    </rPh>
    <phoneticPr fontId="2"/>
  </si>
  <si>
    <t>損傷限界固有周期</t>
    <rPh sb="0" eb="2">
      <t>ソンショウ</t>
    </rPh>
    <rPh sb="2" eb="4">
      <t>ゲンカイ</t>
    </rPh>
    <rPh sb="4" eb="8">
      <t>コユウシュウキ</t>
    </rPh>
    <phoneticPr fontId="2"/>
  </si>
  <si>
    <t>必要損傷限界耐力：Qdn</t>
    <rPh sb="0" eb="2">
      <t>ヒツヨウ</t>
    </rPh>
    <rPh sb="2" eb="4">
      <t>ソンショウ</t>
    </rPh>
    <rPh sb="4" eb="6">
      <t>ゲンカイ</t>
    </rPh>
    <rPh sb="6" eb="8">
      <t>タイリョク</t>
    </rPh>
    <phoneticPr fontId="2"/>
  </si>
  <si>
    <t>地震力　Qdx=</t>
    <rPh sb="0" eb="2">
      <t>ジシン</t>
    </rPh>
    <rPh sb="2" eb="3">
      <t>リョク</t>
    </rPh>
    <phoneticPr fontId="2"/>
  </si>
  <si>
    <t>地震力　Qdy=</t>
    <rPh sb="0" eb="2">
      <t>ジシン</t>
    </rPh>
    <rPh sb="2" eb="3">
      <t>リョク</t>
    </rPh>
    <phoneticPr fontId="2"/>
  </si>
  <si>
    <t>有効質量:Mud</t>
    <rPh sb="0" eb="2">
      <t>ユウコウ</t>
    </rPh>
    <rPh sb="2" eb="4">
      <t>シツリョウ</t>
    </rPh>
    <phoneticPr fontId="2"/>
  </si>
  <si>
    <t>有効質量比：Mud/Σm</t>
    <rPh sb="0" eb="2">
      <t>ユウコウ</t>
    </rPh>
    <rPh sb="2" eb="4">
      <t>シツリョウ</t>
    </rPh>
    <rPh sb="4" eb="5">
      <t>ヒ</t>
    </rPh>
    <phoneticPr fontId="2"/>
  </si>
  <si>
    <t>地盤種別 =</t>
    <phoneticPr fontId="2"/>
  </si>
  <si>
    <t>Qdn</t>
    <phoneticPr fontId="2"/>
  </si>
  <si>
    <t>Δdx</t>
    <phoneticPr fontId="2"/>
  </si>
  <si>
    <t>Δdy</t>
    <phoneticPr fontId="2"/>
  </si>
  <si>
    <t>Δsx</t>
    <phoneticPr fontId="2"/>
  </si>
  <si>
    <t>Δsy</t>
    <phoneticPr fontId="2"/>
  </si>
  <si>
    <t>必要安全限界耐力：Qdn</t>
    <rPh sb="0" eb="2">
      <t>ヒツヨウ</t>
    </rPh>
    <rPh sb="2" eb="4">
      <t>アンゼン</t>
    </rPh>
    <rPh sb="4" eb="6">
      <t>ゲンカイ</t>
    </rPh>
    <rPh sb="6" eb="8">
      <t>タイリョク</t>
    </rPh>
    <phoneticPr fontId="2"/>
  </si>
  <si>
    <t>余裕度：Qs/Qsn</t>
    <rPh sb="0" eb="2">
      <t>ヨユウ</t>
    </rPh>
    <rPh sb="2" eb="3">
      <t>ド</t>
    </rPh>
    <phoneticPr fontId="2"/>
  </si>
  <si>
    <t>安全限界耐力：Qs</t>
    <rPh sb="0" eb="2">
      <t>アンゼン</t>
    </rPh>
    <rPh sb="2" eb="4">
      <t>ゲンカイ</t>
    </rPh>
    <rPh sb="4" eb="6">
      <t>タイリョク</t>
    </rPh>
    <phoneticPr fontId="2"/>
  </si>
  <si>
    <t>有効質量比：Mus/Σm</t>
    <rPh sb="0" eb="2">
      <t>ユウコウ</t>
    </rPh>
    <rPh sb="2" eb="4">
      <t>シツリョウ</t>
    </rPh>
    <rPh sb="4" eb="5">
      <t>ヒ</t>
    </rPh>
    <phoneticPr fontId="2"/>
  </si>
  <si>
    <t>安全限界固有周期：Ts</t>
    <rPh sb="0" eb="2">
      <t>アンゼン</t>
    </rPh>
    <rPh sb="2" eb="4">
      <t>ゲンカイ</t>
    </rPh>
    <rPh sb="4" eb="6">
      <t>コユウ</t>
    </rPh>
    <rPh sb="6" eb="8">
      <t>シュウキ</t>
    </rPh>
    <phoneticPr fontId="2"/>
  </si>
  <si>
    <t>Mdx</t>
    <phoneticPr fontId="2"/>
  </si>
  <si>
    <t>Mdy</t>
    <phoneticPr fontId="2"/>
  </si>
  <si>
    <t>Mus X</t>
    <phoneticPr fontId="2"/>
  </si>
  <si>
    <t>Mus Y</t>
    <phoneticPr fontId="2"/>
  </si>
  <si>
    <t>T2</t>
    <phoneticPr fontId="2"/>
  </si>
  <si>
    <t>粘性土</t>
    <rPh sb="0" eb="3">
      <t>ネンセイド</t>
    </rPh>
    <phoneticPr fontId="2"/>
  </si>
  <si>
    <t>砂質度</t>
    <rPh sb="0" eb="3">
      <t>サシツド</t>
    </rPh>
    <phoneticPr fontId="2"/>
  </si>
  <si>
    <t>ui</t>
    <phoneticPr fontId="2"/>
  </si>
  <si>
    <t>砂質土</t>
    <rPh sb="0" eb="2">
      <t>サシツ</t>
    </rPh>
    <rPh sb="2" eb="3">
      <t>ツチ</t>
    </rPh>
    <phoneticPr fontId="2"/>
  </si>
  <si>
    <t>pe</t>
    <phoneticPr fontId="2"/>
  </si>
  <si>
    <t>vse</t>
    <phoneticPr fontId="2"/>
  </si>
  <si>
    <t>alf</t>
    <phoneticPr fontId="2"/>
  </si>
  <si>
    <t>h</t>
    <phoneticPr fontId="2"/>
  </si>
  <si>
    <t>Gs1</t>
    <phoneticPr fontId="2"/>
  </si>
  <si>
    <t>Gs2</t>
    <phoneticPr fontId="2"/>
  </si>
  <si>
    <t>Gb</t>
    <phoneticPr fontId="2"/>
  </si>
  <si>
    <t>ri</t>
    <phoneticPr fontId="2"/>
  </si>
  <si>
    <t>低減係数</t>
    <rPh sb="0" eb="2">
      <t>テイゲン</t>
    </rPh>
    <rPh sb="2" eb="4">
      <t>ケイスウ</t>
    </rPh>
    <phoneticPr fontId="2"/>
  </si>
  <si>
    <t>P114</t>
    <phoneticPr fontId="2"/>
  </si>
  <si>
    <t>GS1</t>
    <phoneticPr fontId="2"/>
  </si>
  <si>
    <t>GS2</t>
  </si>
  <si>
    <t xml:space="preserve">     T≦ 0.09</t>
    <phoneticPr fontId="2"/>
  </si>
  <si>
    <t>0.09 &lt; T ≦ 0.27</t>
    <phoneticPr fontId="2"/>
  </si>
  <si>
    <t>0.27 &lt; T ≦ 0.41</t>
    <phoneticPr fontId="2"/>
  </si>
  <si>
    <t xml:space="preserve">0.41 &lt; T        </t>
    <phoneticPr fontId="2"/>
  </si>
  <si>
    <t>21.5T</t>
    <phoneticPr fontId="2"/>
  </si>
  <si>
    <t>4.29T + 1.51</t>
    <phoneticPr fontId="2"/>
  </si>
  <si>
    <t>0.71T + 0.93</t>
    <phoneticPr fontId="2"/>
  </si>
  <si>
    <t>損傷限界</t>
    <rPh sb="0" eb="2">
      <t>ソンショウ</t>
    </rPh>
    <rPh sb="2" eb="4">
      <t>ゲンカイ</t>
    </rPh>
    <phoneticPr fontId="2"/>
  </si>
  <si>
    <t>GsY</t>
    <phoneticPr fontId="2"/>
  </si>
  <si>
    <t>GsX</t>
    <phoneticPr fontId="2"/>
  </si>
  <si>
    <t>安全限界</t>
    <rPh sb="0" eb="4">
      <t>アンゼンゲンカイ</t>
    </rPh>
    <phoneticPr fontId="2"/>
  </si>
  <si>
    <t>Tsx</t>
    <phoneticPr fontId="2"/>
  </si>
  <si>
    <t>Tsy</t>
    <phoneticPr fontId="2"/>
  </si>
  <si>
    <t>ΣWi</t>
    <phoneticPr fontId="2"/>
  </si>
  <si>
    <t>αi</t>
    <phoneticPr fontId="2"/>
  </si>
  <si>
    <t>Ai</t>
    <phoneticPr fontId="2"/>
  </si>
  <si>
    <t>Ci</t>
    <phoneticPr fontId="2"/>
  </si>
  <si>
    <t>地盤種別</t>
    <rPh sb="0" eb="2">
      <t>ジバン</t>
    </rPh>
    <rPh sb="2" eb="4">
      <t>シュベツ</t>
    </rPh>
    <phoneticPr fontId="2"/>
  </si>
  <si>
    <t>0.75*Mud/Σmi</t>
    <phoneticPr fontId="2"/>
  </si>
  <si>
    <t>Td &lt;= 0.16以下</t>
    <rPh sb="10" eb="12">
      <t>イカ</t>
    </rPh>
    <phoneticPr fontId="2"/>
  </si>
  <si>
    <t>Td &lt; 0.16を超える</t>
    <rPh sb="10" eb="11">
      <t>コ</t>
    </rPh>
    <phoneticPr fontId="2"/>
  </si>
  <si>
    <t>pの算定</t>
    <rPh sb="2" eb="4">
      <t>サンテイ</t>
    </rPh>
    <phoneticPr fontId="2"/>
  </si>
  <si>
    <t>qの算定</t>
    <rPh sb="2" eb="4">
      <t>サンテイ</t>
    </rPh>
    <phoneticPr fontId="2"/>
  </si>
  <si>
    <t>ΣM =</t>
    <phoneticPr fontId="2"/>
  </si>
  <si>
    <t>Mud X=</t>
    <phoneticPr fontId="2"/>
  </si>
  <si>
    <t>Mud Y=</t>
    <phoneticPr fontId="2"/>
  </si>
  <si>
    <t>Mu/ΣM</t>
    <phoneticPr fontId="2"/>
  </si>
  <si>
    <t>Gsの算定</t>
    <rPh sb="3" eb="5">
      <t>サンテイ</t>
    </rPh>
    <phoneticPr fontId="2"/>
  </si>
  <si>
    <t>平１２建告第１４５７号第７第二号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4" eb="16">
      <t>ニゴウ</t>
    </rPh>
    <phoneticPr fontId="2"/>
  </si>
  <si>
    <t>T&lt;0.64</t>
    <phoneticPr fontId="2"/>
  </si>
  <si>
    <t>0.64&lt;=T&lt;Tu</t>
    <phoneticPr fontId="2"/>
  </si>
  <si>
    <t>Tu&lt;T</t>
    <phoneticPr fontId="2"/>
  </si>
  <si>
    <t>Tu=0.64*(gv/1.5)</t>
    <phoneticPr fontId="2"/>
  </si>
  <si>
    <t>第2種地盤</t>
    <rPh sb="0" eb="1">
      <t>ダイ</t>
    </rPh>
    <rPh sb="2" eb="3">
      <t>シュ</t>
    </rPh>
    <rPh sb="3" eb="5">
      <t>ジバン</t>
    </rPh>
    <phoneticPr fontId="2"/>
  </si>
  <si>
    <t>第3種地盤</t>
    <rPh sb="0" eb="1">
      <t>ダイ</t>
    </rPh>
    <rPh sb="2" eb="3">
      <t>シュ</t>
    </rPh>
    <rPh sb="3" eb="5">
      <t>ジバン</t>
    </rPh>
    <phoneticPr fontId="2"/>
  </si>
  <si>
    <t>gv=2.025</t>
    <phoneticPr fontId="2"/>
  </si>
  <si>
    <t>gv=2.7</t>
    <phoneticPr fontId="2"/>
  </si>
  <si>
    <t>第1種地盤</t>
    <rPh sb="0" eb="1">
      <t>ダイ</t>
    </rPh>
    <rPh sb="2" eb="3">
      <t>シュ</t>
    </rPh>
    <rPh sb="3" eb="5">
      <t>ジバン</t>
    </rPh>
    <phoneticPr fontId="2"/>
  </si>
  <si>
    <t>T&lt;0.576</t>
    <phoneticPr fontId="2"/>
  </si>
  <si>
    <t>0.576&lt;=T&lt;0.64</t>
    <phoneticPr fontId="2"/>
  </si>
  <si>
    <t>0.64&lt;=T</t>
    <phoneticPr fontId="2"/>
  </si>
  <si>
    <t>Gs=0.864/T</t>
    <phoneticPr fontId="2"/>
  </si>
  <si>
    <t>Gs=1.5</t>
    <phoneticPr fontId="2"/>
  </si>
  <si>
    <t>Gs=1.35</t>
    <phoneticPr fontId="2"/>
  </si>
  <si>
    <t>Gs=1.5*(T/0.64)</t>
    <phoneticPr fontId="2"/>
  </si>
  <si>
    <t>Gs=gv</t>
    <phoneticPr fontId="2"/>
  </si>
  <si>
    <t>平１２建告第１４５７号第７第一号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5" eb="16">
      <t>ゴウ</t>
    </rPh>
    <phoneticPr fontId="2"/>
  </si>
  <si>
    <t>安全限界</t>
    <rPh sb="0" eb="2">
      <t>アンゼン</t>
    </rPh>
    <rPh sb="2" eb="4">
      <t>ゲンカイ</t>
    </rPh>
    <phoneticPr fontId="2"/>
  </si>
  <si>
    <t>Musx</t>
    <phoneticPr fontId="2"/>
  </si>
  <si>
    <t>Musy</t>
    <phoneticPr fontId="2"/>
  </si>
  <si>
    <t>Mudx</t>
    <phoneticPr fontId="2"/>
  </si>
  <si>
    <t>Mudy</t>
    <phoneticPr fontId="2"/>
  </si>
  <si>
    <t>採用</t>
    <rPh sb="0" eb="2">
      <t>サイヨウ</t>
    </rPh>
    <phoneticPr fontId="2"/>
  </si>
  <si>
    <t>Gs</t>
    <phoneticPr fontId="2"/>
  </si>
  <si>
    <t>pdiの算定</t>
    <rPh sb="4" eb="6">
      <t>サンテイ</t>
    </rPh>
    <phoneticPr fontId="2"/>
  </si>
  <si>
    <t>(0.64+6*Td)*m*Bdi*Z*Gs</t>
    <phoneticPr fontId="2"/>
  </si>
  <si>
    <t>1.6*mi*Bdi*Z*Gs</t>
    <phoneticPr fontId="2"/>
  </si>
  <si>
    <t>1.024*mi*Bdi*Z*Gs</t>
    <phoneticPr fontId="2"/>
  </si>
  <si>
    <t>Td&lt;=0.16</t>
    <phoneticPr fontId="2"/>
  </si>
  <si>
    <t>&lt;Td</t>
    <phoneticPr fontId="2"/>
  </si>
  <si>
    <t>Td&lt;=0.64</t>
    <phoneticPr fontId="2"/>
  </si>
  <si>
    <t>Tdx=</t>
    <phoneticPr fontId="2"/>
  </si>
  <si>
    <t>1.024*mi*Bdi*Z*Gs/Td</t>
    <phoneticPr fontId="2"/>
  </si>
  <si>
    <t>alf*Z*Gs</t>
    <phoneticPr fontId="2"/>
  </si>
  <si>
    <t>Tdy=</t>
    <phoneticPr fontId="2"/>
  </si>
  <si>
    <t>0.68T + 0.93</t>
    <phoneticPr fontId="2"/>
  </si>
  <si>
    <t xml:space="preserve">     T≦ 0.12</t>
    <phoneticPr fontId="2"/>
  </si>
  <si>
    <t>0.12 &lt; T ≦ 0.37</t>
    <phoneticPr fontId="2"/>
  </si>
  <si>
    <t>0.37 &lt; T ≦ 0.55</t>
    <phoneticPr fontId="2"/>
  </si>
  <si>
    <t xml:space="preserve">0.55 &lt; T        </t>
    <phoneticPr fontId="2"/>
  </si>
  <si>
    <t>8.6T</t>
    <phoneticPr fontId="2"/>
  </si>
  <si>
    <t>4.59T + 0.49</t>
    <phoneticPr fontId="2"/>
  </si>
  <si>
    <t>ω^2</t>
    <phoneticPr fontId="2"/>
  </si>
  <si>
    <t>ω:固有円振動数</t>
    <phoneticPr fontId="2"/>
  </si>
  <si>
    <t>Ts:固有周期</t>
    <phoneticPr fontId="2"/>
  </si>
  <si>
    <t>刺激係数</t>
    <phoneticPr fontId="2"/>
  </si>
  <si>
    <t>固有ベクトル</t>
    <phoneticPr fontId="2"/>
  </si>
  <si>
    <t>刺激係数*固有ベクトル</t>
    <phoneticPr fontId="2"/>
  </si>
  <si>
    <t>i</t>
  </si>
  <si>
    <t>G0</t>
  </si>
  <si>
    <t>低減係数</t>
  </si>
  <si>
    <t>Gi</t>
  </si>
  <si>
    <t>Ki</t>
  </si>
  <si>
    <t>mi</t>
  </si>
  <si>
    <t>ui</t>
  </si>
  <si>
    <t>G0</t>
    <phoneticPr fontId="2"/>
  </si>
  <si>
    <t>砂質土</t>
    <rPh sb="0" eb="3">
      <t>サシツド</t>
    </rPh>
    <phoneticPr fontId="2"/>
  </si>
  <si>
    <t>Ui</t>
    <phoneticPr fontId="2"/>
  </si>
  <si>
    <t>1/338</t>
  </si>
  <si>
    <t>1/422</t>
  </si>
  <si>
    <t>1/380</t>
  </si>
  <si>
    <t>1/345</t>
  </si>
  <si>
    <t>1/475</t>
  </si>
  <si>
    <t>1/591</t>
  </si>
  <si>
    <t>1/390</t>
  </si>
  <si>
    <t>1/317</t>
  </si>
  <si>
    <t>1/394</t>
  </si>
  <si>
    <t>有効質量　Mud=(Σmi*δdi)^2/(Σ(mi*δdi^2)=74537.2/19.48=3826.5t</t>
  </si>
  <si>
    <t>代表変位　Δd=(Σmi*δdi^2)/(Σmi*δdi)=19.48/273.02=0.071m</t>
  </si>
  <si>
    <t>Td=2π(Mud・Δd/Qd)^0.5=1.236sec</t>
  </si>
  <si>
    <t>有効質量　Mud=(Σmi*δdi)^2/(Σ(mi*δdi^2)=100645.6/25.15=3826.5t</t>
  </si>
  <si>
    <t>代表変位　Δd=(Σmi*δdi^2)/(Σmi*δdi)=25.15/317.25=0.079m</t>
  </si>
  <si>
    <t>Td=2π(Mud・Δd/Qd)^0.5=1.394sec</t>
  </si>
  <si>
    <t>階数</t>
  </si>
  <si>
    <t>変位δ</t>
  </si>
  <si>
    <t>δ(i+i-1)</t>
  </si>
  <si>
    <t>hi/di</t>
  </si>
  <si>
    <t>ｍi</t>
  </si>
  <si>
    <t>mi*δdi</t>
  </si>
  <si>
    <t>mi*δdi^2</t>
  </si>
  <si>
    <t>(mm)</t>
  </si>
  <si>
    <t>δd(m)</t>
  </si>
  <si>
    <t>(m)</t>
  </si>
  <si>
    <t>(t)</t>
  </si>
  <si>
    <t>F</t>
  </si>
  <si>
    <t>p</t>
  </si>
  <si>
    <t>q</t>
  </si>
  <si>
    <t>bdi</t>
  </si>
  <si>
    <t>Bdi</t>
  </si>
  <si>
    <t>Pdi</t>
  </si>
  <si>
    <t>Qdn</t>
  </si>
  <si>
    <t>1/82</t>
  </si>
  <si>
    <t>1/106</t>
  </si>
  <si>
    <t>1/76</t>
  </si>
  <si>
    <t>1/61</t>
  </si>
  <si>
    <t>1/60</t>
  </si>
  <si>
    <t>1/66</t>
  </si>
  <si>
    <t>1/64</t>
  </si>
  <si>
    <t>1/68</t>
  </si>
  <si>
    <t>1/81</t>
  </si>
  <si>
    <t>1/88</t>
  </si>
  <si>
    <t>1/115</t>
  </si>
  <si>
    <t>1/133</t>
  </si>
  <si>
    <t>1/58</t>
  </si>
  <si>
    <t>1/50</t>
  </si>
  <si>
    <t>1/54</t>
  </si>
  <si>
    <t>1/59</t>
  </si>
  <si>
    <t>1/91</t>
  </si>
  <si>
    <t>有効質量　Mud=(Σmi*δdi)^2/(Σ(mi*δdi^2)=2320568.0/603.51=3845.1t</t>
  </si>
  <si>
    <t>代表変位　Δd=(Σmi*δdi^2)/(Σmi*δdi)=603.51/1523.34=0.396m</t>
  </si>
  <si>
    <t>Td=2π(Mud・Δd/Qd)^0.5=1.580sec</t>
  </si>
  <si>
    <t>有効質量　Mud=(Σmi*δdi)^2/(Σ(mi*δdi^2)=3383557.3/863.79=3845.1t</t>
  </si>
  <si>
    <t>代表変位　Δd=(Σmi*δdi^2)/(Σmi*δdi)=863.79/1839.45=0.470m</t>
  </si>
  <si>
    <t>Td=2π(Mud・Δd/Qd)^0.5=2.035sec</t>
  </si>
  <si>
    <t>bsi</t>
    <phoneticPr fontId="2"/>
  </si>
  <si>
    <t>Bsi</t>
    <phoneticPr fontId="2"/>
  </si>
  <si>
    <t>λ=</t>
    <phoneticPr fontId="2"/>
  </si>
  <si>
    <t>X:</t>
    <phoneticPr fontId="2"/>
  </si>
  <si>
    <t>Y:</t>
    <phoneticPr fontId="2"/>
  </si>
  <si>
    <t xml:space="preserve">     T≦ 0.09</t>
    <phoneticPr fontId="2"/>
  </si>
  <si>
    <t>0.09 &lt; T ≦ 0.28</t>
    <phoneticPr fontId="2"/>
  </si>
  <si>
    <t>0.28 &lt; T ≦ 0.41</t>
    <phoneticPr fontId="2"/>
  </si>
  <si>
    <t xml:space="preserve">0.41 &lt; T        </t>
    <phoneticPr fontId="2"/>
  </si>
  <si>
    <t>18.7T</t>
    <phoneticPr fontId="2"/>
  </si>
  <si>
    <t>4.69T + 1.29</t>
    <phoneticPr fontId="2"/>
  </si>
  <si>
    <t>0.68T + 0.93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</si>
</sst>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_ "/>
    <numFmt numFmtId="177" formatCode="0.0_ "/>
    <numFmt numFmtId="178" formatCode="0.0000_ "/>
    <numFmt numFmtId="179" formatCode="0.000"/>
    <numFmt numFmtId="180" formatCode="&quot;1/&quot;#"/>
    <numFmt numFmtId="181" formatCode="0.0000"/>
    <numFmt numFmtId="182" formatCode="0.00000"/>
    <numFmt numFmtId="183" formatCode="0.000000000000000000_ "/>
    <numFmt numFmtId="184" formatCode="#,###"/>
    <numFmt numFmtId="185" formatCode="0.000000_);[Red]\(0.000000\)"/>
    <numFmt numFmtId="186" formatCode="0.00000_ "/>
    <numFmt numFmtId="187" formatCode="0.000000_ "/>
    <numFmt numFmtId="188" formatCode="#,##0_ "/>
    <numFmt numFmtId="189" formatCode="0.0000000_ "/>
    <numFmt numFmtId="190" formatCode="0.0000000"/>
    <numFmt numFmtId="191" formatCode="#,##0.00000;[Red]\-#,##0.00000"/>
  </numFmts>
  <fonts count="18" x14ac:knownFonts="1">
    <font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theme="8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10"/>
      <color rgb="FF00B0F0"/>
      <name val="ＭＳ ゴシック"/>
      <family val="3"/>
      <charset val="128"/>
    </font>
    <font>
      <sz val="10"/>
      <color theme="8" tint="-0.249977111117893"/>
      <name val="ＭＳ ゴシック"/>
      <family val="3"/>
      <charset val="128"/>
    </font>
    <font>
      <sz val="10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8" tint="-0.249977111117893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游ゴシック"/>
      <family val="3"/>
      <charset val="128"/>
    </font>
    <font>
      <sz val="11"/>
      <color theme="1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8"/>
      <name val="Meiryo UI"/>
      <family val="3"/>
      <charset val="128"/>
    </font>
    <font>
      <sz val="10"/>
      <color theme="4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>
      <alignment vertical="center"/>
    </xf>
  </cellStyleXfs>
  <cellXfs count="94">
    <xf numFmtId="0" fontId="0" fillId="0" borderId="0" xfId="0">
      <alignment vertical="center"/>
    </xf>
    <xf numFmtId="0" fontId="1" fillId="0" borderId="0" xfId="2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179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8" fillId="0" borderId="0" xfId="0" applyFont="1" applyFill="1" applyAlignment="1">
      <alignment horizontal="center" vertical="center"/>
    </xf>
    <xf numFmtId="176" fontId="8" fillId="0" borderId="0" xfId="0" applyNumberFormat="1" applyFont="1" applyFill="1" applyBorder="1" applyAlignment="1">
      <alignment horizontal="right" vertical="center"/>
    </xf>
    <xf numFmtId="177" fontId="9" fillId="0" borderId="0" xfId="0" applyNumberFormat="1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179" fontId="7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2" fontId="7" fillId="0" borderId="0" xfId="0" applyNumberFormat="1" applyFont="1">
      <alignment vertical="center"/>
    </xf>
    <xf numFmtId="179" fontId="9" fillId="0" borderId="0" xfId="0" applyNumberFormat="1" applyFont="1" applyFill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center" vertical="center"/>
    </xf>
    <xf numFmtId="180" fontId="9" fillId="0" borderId="0" xfId="0" applyNumberFormat="1" applyFont="1">
      <alignment vertical="center"/>
    </xf>
    <xf numFmtId="2" fontId="9" fillId="0" borderId="0" xfId="0" applyNumberFormat="1" applyFo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2" applyFont="1" applyFill="1">
      <alignment vertical="center"/>
    </xf>
    <xf numFmtId="0" fontId="10" fillId="0" borderId="0" xfId="3">
      <alignment vertical="center"/>
    </xf>
    <xf numFmtId="0" fontId="10" fillId="0" borderId="0" xfId="3" applyAlignment="1">
      <alignment horizontal="right" vertical="center"/>
    </xf>
    <xf numFmtId="0" fontId="10" fillId="0" borderId="0" xfId="3" applyAlignment="1">
      <alignment horizontal="left" vertical="center"/>
    </xf>
    <xf numFmtId="182" fontId="10" fillId="0" borderId="0" xfId="3" applyNumberFormat="1">
      <alignment vertical="center"/>
    </xf>
    <xf numFmtId="179" fontId="10" fillId="0" borderId="0" xfId="3" applyNumberFormat="1">
      <alignment vertical="center"/>
    </xf>
    <xf numFmtId="183" fontId="10" fillId="0" borderId="0" xfId="3" applyNumberFormat="1">
      <alignment vertical="center"/>
    </xf>
    <xf numFmtId="176" fontId="10" fillId="0" borderId="0" xfId="3" applyNumberFormat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184" fontId="7" fillId="0" borderId="0" xfId="0" applyNumberFormat="1" applyFont="1">
      <alignment vertical="center"/>
    </xf>
    <xf numFmtId="0" fontId="12" fillId="0" borderId="0" xfId="3" applyFont="1">
      <alignment vertical="center"/>
    </xf>
    <xf numFmtId="0" fontId="7" fillId="0" borderId="0" xfId="0" applyNumberFormat="1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2" applyFont="1" applyFill="1">
      <alignment vertical="center"/>
    </xf>
    <xf numFmtId="0" fontId="15" fillId="0" borderId="0" xfId="0" applyFont="1" applyAlignment="1">
      <alignment horizontal="right" vertical="center"/>
    </xf>
    <xf numFmtId="0" fontId="15" fillId="0" borderId="0" xfId="0" applyFont="1" applyFill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3" fillId="0" borderId="0" xfId="0" applyFont="1" applyAlignment="1">
      <alignment horizontal="right" vertical="center"/>
    </xf>
    <xf numFmtId="38" fontId="7" fillId="0" borderId="0" xfId="1" applyFont="1">
      <alignment vertical="center"/>
    </xf>
    <xf numFmtId="1" fontId="7" fillId="0" borderId="0" xfId="0" applyNumberFormat="1" applyFont="1">
      <alignment vertical="center"/>
    </xf>
    <xf numFmtId="5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10" fillId="0" borderId="0" xfId="3" applyFill="1">
      <alignment vertical="center"/>
    </xf>
    <xf numFmtId="0" fontId="10" fillId="0" borderId="0" xfId="3" applyAlignment="1">
      <alignment horizontal="center" vertical="center"/>
    </xf>
    <xf numFmtId="185" fontId="0" fillId="0" borderId="0" xfId="0" applyNumberFormat="1">
      <alignment vertical="center"/>
    </xf>
    <xf numFmtId="0" fontId="8" fillId="0" borderId="0" xfId="0" applyFont="1" applyFill="1" applyAlignment="1">
      <alignment horizontal="left" vertical="center"/>
    </xf>
    <xf numFmtId="188" fontId="7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16" fillId="0" borderId="0" xfId="3" applyFont="1">
      <alignment vertical="center"/>
    </xf>
    <xf numFmtId="189" fontId="0" fillId="0" borderId="0" xfId="0" applyNumberFormat="1">
      <alignment vertical="center"/>
    </xf>
    <xf numFmtId="190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81" fontId="7" fillId="0" borderId="0" xfId="0" applyNumberFormat="1" applyFont="1" applyAlignment="1">
      <alignment horizontal="center" vertical="center"/>
    </xf>
    <xf numFmtId="18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87" fontId="7" fillId="0" borderId="0" xfId="0" applyNumberFormat="1" applyFont="1">
      <alignment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79" fontId="16" fillId="0" borderId="0" xfId="3" applyNumberFormat="1" applyFont="1">
      <alignment vertical="center"/>
    </xf>
    <xf numFmtId="2" fontId="7" fillId="0" borderId="0" xfId="0" applyNumberFormat="1" applyFont="1" applyAlignment="1">
      <alignment horizontal="center" vertical="center"/>
    </xf>
    <xf numFmtId="0" fontId="16" fillId="0" borderId="0" xfId="3" applyFont="1" applyAlignment="1">
      <alignment horizontal="right" vertical="center"/>
    </xf>
    <xf numFmtId="179" fontId="16" fillId="0" borderId="0" xfId="3" applyNumberFormat="1" applyFont="1" applyAlignment="1">
      <alignment horizontal="left" vertical="center"/>
    </xf>
    <xf numFmtId="0" fontId="16" fillId="0" borderId="1" xfId="3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179" fontId="16" fillId="0" borderId="1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7" fillId="0" borderId="1" xfId="0" applyFont="1" applyBorder="1" applyAlignment="1">
      <alignment horizontal="right" vertical="center"/>
    </xf>
    <xf numFmtId="0" fontId="16" fillId="0" borderId="0" xfId="3" applyFont="1" applyFill="1" applyAlignment="1">
      <alignment horizontal="center" vertical="center"/>
    </xf>
    <xf numFmtId="0" fontId="16" fillId="0" borderId="0" xfId="3" applyFont="1" applyFill="1">
      <alignment vertical="center"/>
    </xf>
    <xf numFmtId="49" fontId="0" fillId="0" borderId="0" xfId="0" applyNumberFormat="1">
      <alignment vertical="center"/>
    </xf>
    <xf numFmtId="191" fontId="7" fillId="0" borderId="0" xfId="1" applyNumberFormat="1" applyFont="1">
      <alignment vertical="center"/>
    </xf>
    <xf numFmtId="179" fontId="7" fillId="0" borderId="0" xfId="0" applyNumberFormat="1" applyFont="1">
      <alignment vertical="center"/>
    </xf>
  </cellXfs>
  <cellStyles count="4">
    <cellStyle name="桁区切り" xfId="1" builtinId="6"/>
    <cellStyle name="標準" xfId="0" builtinId="0"/>
    <cellStyle name="標準 2" xfId="2" xr:uid="{50D55138-5732-443B-AEA4-896256C8F0C4}"/>
    <cellStyle name="標準 3" xfId="3" xr:uid="{D22697D1-F917-4655-9988-851CAAC1CF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2</xdr:row>
          <xdr:rowOff>87630</xdr:rowOff>
        </xdr:from>
        <xdr:to>
          <xdr:col>8</xdr:col>
          <xdr:colOff>400050</xdr:colOff>
          <xdr:row>4</xdr:row>
          <xdr:rowOff>144780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335280</xdr:colOff>
          <xdr:row>2</xdr:row>
          <xdr:rowOff>38100</xdr:rowOff>
        </xdr:from>
        <xdr:to>
          <xdr:col>11</xdr:col>
          <xdr:colOff>297180</xdr:colOff>
          <xdr:row>4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95250</xdr:rowOff>
        </xdr:from>
        <xdr:to>
          <xdr:col>1</xdr:col>
          <xdr:colOff>144780</xdr:colOff>
          <xdr:row>2</xdr:row>
          <xdr:rowOff>152400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278130</xdr:colOff>
          <xdr:row>1</xdr:row>
          <xdr:rowOff>38100</xdr:rowOff>
        </xdr:from>
        <xdr:to>
          <xdr:col>4</xdr:col>
          <xdr:colOff>335280</xdr:colOff>
          <xdr:row>2</xdr:row>
          <xdr:rowOff>57150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Period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87630</xdr:rowOff>
        </xdr:from>
        <xdr:to>
          <xdr:col>1</xdr:col>
          <xdr:colOff>228600</xdr:colOff>
          <xdr:row>2</xdr:row>
          <xdr:rowOff>144780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430530</xdr:colOff>
          <xdr:row>1</xdr:row>
          <xdr:rowOff>68580</xdr:rowOff>
        </xdr:from>
        <xdr:to>
          <xdr:col>4</xdr:col>
          <xdr:colOff>419100</xdr:colOff>
          <xdr:row>2</xdr:row>
          <xdr:rowOff>68580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6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Period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201930</xdr:colOff>
          <xdr:row>1</xdr:row>
          <xdr:rowOff>125730</xdr:rowOff>
        </xdr:from>
        <xdr:to>
          <xdr:col>1</xdr:col>
          <xdr:colOff>285750</xdr:colOff>
          <xdr:row>3</xdr:row>
          <xdr:rowOff>19050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8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152400</xdr:rowOff>
        </xdr:from>
        <xdr:to>
          <xdr:col>7</xdr:col>
          <xdr:colOff>716280</xdr:colOff>
          <xdr:row>1</xdr:row>
          <xdr:rowOff>152400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Gs_ready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0</xdr:row>
          <xdr:rowOff>171450</xdr:rowOff>
        </xdr:from>
        <xdr:to>
          <xdr:col>6</xdr:col>
          <xdr:colOff>716280</xdr:colOff>
          <xdr:row>1</xdr:row>
          <xdr:rowOff>163830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</xdr:colOff>
          <xdr:row>0</xdr:row>
          <xdr:rowOff>171450</xdr:rowOff>
        </xdr:from>
        <xdr:to>
          <xdr:col>8</xdr:col>
          <xdr:colOff>704850</xdr:colOff>
          <xdr:row>1</xdr:row>
          <xdr:rowOff>152400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9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stodola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</xdr:colOff>
          <xdr:row>1</xdr:row>
          <xdr:rowOff>163830</xdr:rowOff>
        </xdr:from>
        <xdr:to>
          <xdr:col>5</xdr:col>
          <xdr:colOff>392430</xdr:colOff>
          <xdr:row>3</xdr:row>
          <xdr:rowOff>76200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A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sprctrum &amp; 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</xdr:row>
          <xdr:rowOff>19050</xdr:rowOff>
        </xdr:from>
        <xdr:to>
          <xdr:col>3</xdr:col>
          <xdr:colOff>49530</xdr:colOff>
          <xdr:row>2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</xdr:colOff>
          <xdr:row>1</xdr:row>
          <xdr:rowOff>49530</xdr:rowOff>
        </xdr:from>
        <xdr:to>
          <xdr:col>5</xdr:col>
          <xdr:colOff>95250</xdr:colOff>
          <xdr:row>2</xdr:row>
          <xdr:rowOff>114300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Stoodra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30480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144780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</xdr:colOff>
          <xdr:row>1</xdr:row>
          <xdr:rowOff>38100</xdr:rowOff>
        </xdr:from>
        <xdr:to>
          <xdr:col>0</xdr:col>
          <xdr:colOff>457200</xdr:colOff>
          <xdr:row>2</xdr:row>
          <xdr:rowOff>76200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D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RUNボタン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</xdr:colOff>
          <xdr:row>4</xdr:row>
          <xdr:rowOff>38100</xdr:rowOff>
        </xdr:from>
        <xdr:to>
          <xdr:col>0</xdr:col>
          <xdr:colOff>457200</xdr:colOff>
          <xdr:row>5</xdr:row>
          <xdr:rowOff>76200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D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clearRUNボタン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</xdr:colOff>
          <xdr:row>16</xdr:row>
          <xdr:rowOff>68580</xdr:rowOff>
        </xdr:from>
        <xdr:to>
          <xdr:col>0</xdr:col>
          <xdr:colOff>601980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11430</xdr:rowOff>
        </xdr:from>
        <xdr:to>
          <xdr:col>0</xdr:col>
          <xdr:colOff>628650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903E9-A602-4034-968E-B175578917C3}">
  <sheetPr codeName="Sheet13"/>
  <dimension ref="A1:Z35"/>
  <sheetViews>
    <sheetView workbookViewId="0">
      <selection activeCell="C14" sqref="C14"/>
    </sheetView>
  </sheetViews>
  <sheetFormatPr defaultRowHeight="11.7" x14ac:dyDescent="0.3"/>
  <cols>
    <col min="15" max="15" width="14.1171875" bestFit="1" customWidth="1"/>
  </cols>
  <sheetData>
    <row r="1" spans="1:2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43.699996948242188</v>
      </c>
      <c r="W1">
        <v>23</v>
      </c>
      <c r="X1">
        <v>24</v>
      </c>
      <c r="Y1">
        <v>25</v>
      </c>
      <c r="Z1">
        <v>26</v>
      </c>
    </row>
    <row r="2" spans="1:26" x14ac:dyDescent="0.3">
      <c r="B2" s="4"/>
      <c r="C2" s="6" t="s">
        <v>113</v>
      </c>
      <c r="D2" s="5">
        <v>11</v>
      </c>
      <c r="E2" s="5"/>
      <c r="F2" s="5"/>
    </row>
    <row r="3" spans="1:26" x14ac:dyDescent="0.3">
      <c r="B3" s="4"/>
      <c r="C3" s="6" t="s">
        <v>114</v>
      </c>
      <c r="D3" s="5">
        <v>1</v>
      </c>
      <c r="E3" s="5"/>
      <c r="F3" s="6" t="s">
        <v>8</v>
      </c>
      <c r="G3" s="4"/>
    </row>
    <row r="4" spans="1:26" x14ac:dyDescent="0.3">
      <c r="B4" s="4"/>
      <c r="C4" s="6" t="s">
        <v>12</v>
      </c>
      <c r="D4" s="5">
        <v>0.2</v>
      </c>
      <c r="E4" s="5"/>
      <c r="F4" s="7"/>
    </row>
    <row r="5" spans="1:26" x14ac:dyDescent="0.3">
      <c r="B5" s="4"/>
      <c r="C5" s="6" t="s">
        <v>13</v>
      </c>
      <c r="D5" s="5">
        <v>0.6</v>
      </c>
      <c r="E5" s="5"/>
      <c r="F5" s="7"/>
      <c r="P5">
        <v>251</v>
      </c>
      <c r="Q5">
        <v>3.37</v>
      </c>
      <c r="R5">
        <f>P5*Q5</f>
        <v>845.87</v>
      </c>
    </row>
    <row r="6" spans="1:26" x14ac:dyDescent="0.3">
      <c r="B6" s="4"/>
      <c r="C6" s="6" t="s">
        <v>14</v>
      </c>
      <c r="D6">
        <v>1.3200000524520874</v>
      </c>
      <c r="F6" s="6"/>
      <c r="G6">
        <v>44</v>
      </c>
    </row>
    <row r="7" spans="1:26" x14ac:dyDescent="0.3">
      <c r="B7" s="4"/>
      <c r="C7" s="6" t="s">
        <v>15</v>
      </c>
      <c r="D7">
        <v>0.72727272727272729</v>
      </c>
      <c r="F7" s="6"/>
      <c r="G7">
        <v>7274.7517045454551</v>
      </c>
      <c r="M7" t="s">
        <v>5</v>
      </c>
      <c r="N7" s="8" t="s">
        <v>128</v>
      </c>
      <c r="O7" s="8" t="s">
        <v>129</v>
      </c>
    </row>
    <row r="8" spans="1:26" x14ac:dyDescent="0.3">
      <c r="F8" s="6"/>
    </row>
    <row r="9" spans="1:26" x14ac:dyDescent="0.3">
      <c r="A9" s="7">
        <v>1</v>
      </c>
      <c r="B9" s="7">
        <v>2</v>
      </c>
      <c r="C9" s="7">
        <v>3</v>
      </c>
      <c r="D9" s="7">
        <v>4</v>
      </c>
      <c r="E9" s="7">
        <v>5</v>
      </c>
      <c r="F9" s="7">
        <v>6</v>
      </c>
      <c r="G9" s="7">
        <v>7</v>
      </c>
      <c r="H9" s="7">
        <v>8</v>
      </c>
      <c r="I9" s="7">
        <v>9</v>
      </c>
      <c r="J9" s="7">
        <v>10</v>
      </c>
      <c r="K9" s="7">
        <v>11</v>
      </c>
      <c r="L9" s="7">
        <v>12</v>
      </c>
      <c r="M9" s="7">
        <v>13</v>
      </c>
      <c r="N9" s="7">
        <v>14</v>
      </c>
      <c r="O9" s="7">
        <v>15</v>
      </c>
      <c r="P9" s="7">
        <v>16</v>
      </c>
      <c r="Q9" s="7">
        <v>17</v>
      </c>
      <c r="R9" s="7">
        <v>18</v>
      </c>
      <c r="S9" s="7">
        <v>19</v>
      </c>
      <c r="T9" s="7">
        <v>20</v>
      </c>
    </row>
    <row r="10" spans="1:26" x14ac:dyDescent="0.3">
      <c r="A10" s="7"/>
      <c r="B10" s="7"/>
      <c r="C10" s="8" t="s">
        <v>9</v>
      </c>
      <c r="D10" s="8" t="s">
        <v>10</v>
      </c>
      <c r="F10" s="8" t="s">
        <v>22</v>
      </c>
      <c r="G10" s="8" t="s">
        <v>131</v>
      </c>
      <c r="H10" s="8" t="s">
        <v>23</v>
      </c>
      <c r="I10" s="8" t="s">
        <v>132</v>
      </c>
      <c r="J10" s="9" t="s">
        <v>130</v>
      </c>
      <c r="K10" s="9" t="s">
        <v>26</v>
      </c>
      <c r="L10" s="8" t="s">
        <v>23</v>
      </c>
      <c r="N10" s="7"/>
      <c r="Q10" s="8" t="s">
        <v>11</v>
      </c>
      <c r="R10" s="7"/>
    </row>
    <row r="11" spans="1:26" ht="13.5" x14ac:dyDescent="0.3">
      <c r="B11">
        <v>11</v>
      </c>
      <c r="C11">
        <v>5.07</v>
      </c>
      <c r="D11">
        <v>2510</v>
      </c>
      <c r="F11">
        <v>0.109</v>
      </c>
      <c r="G11">
        <v>1171</v>
      </c>
      <c r="H11">
        <v>0.11700000000000001</v>
      </c>
      <c r="I11">
        <v>1070</v>
      </c>
      <c r="Q11" s="44">
        <v>1175</v>
      </c>
      <c r="R11" s="7"/>
      <c r="T11">
        <v>1.4999999999999999E-2</v>
      </c>
      <c r="U11">
        <v>1.2999999999999999E-2</v>
      </c>
      <c r="V11" s="33">
        <v>251</v>
      </c>
      <c r="W11" s="33">
        <v>0.109</v>
      </c>
      <c r="X11">
        <f>+W11-W12</f>
        <v>1.4999999999999999E-2</v>
      </c>
      <c r="Y11" s="33">
        <v>0.11700000000000001</v>
      </c>
      <c r="Z11">
        <f>+Y11-Y12</f>
        <v>1.3000000000000012E-2</v>
      </c>
    </row>
    <row r="12" spans="1:26" ht="13.5" x14ac:dyDescent="0.3">
      <c r="B12">
        <v>10</v>
      </c>
      <c r="C12">
        <v>3.8</v>
      </c>
      <c r="D12">
        <v>6400</v>
      </c>
      <c r="F12">
        <v>9.4E-2</v>
      </c>
      <c r="G12">
        <v>2688</v>
      </c>
      <c r="H12">
        <v>0.104</v>
      </c>
      <c r="I12">
        <v>2453</v>
      </c>
      <c r="Q12" s="11">
        <v>2696</v>
      </c>
      <c r="R12" s="7"/>
      <c r="T12">
        <v>8.9999999999999993E-3</v>
      </c>
      <c r="U12">
        <v>8.9999999999999993E-3</v>
      </c>
      <c r="V12" s="33">
        <v>640</v>
      </c>
      <c r="W12" s="33">
        <v>9.4E-2</v>
      </c>
      <c r="X12">
        <f t="shared" ref="X12:X21" si="0">+W12-W13</f>
        <v>8.9999999999999941E-3</v>
      </c>
      <c r="Y12" s="33">
        <v>0.104</v>
      </c>
      <c r="Z12">
        <f t="shared" ref="Z12:Z21" si="1">+Y12-Y13</f>
        <v>8.9999999999999941E-3</v>
      </c>
    </row>
    <row r="13" spans="1:26" ht="13.5" x14ac:dyDescent="0.3">
      <c r="B13">
        <v>9</v>
      </c>
      <c r="C13">
        <v>3.8</v>
      </c>
      <c r="D13">
        <v>4540</v>
      </c>
      <c r="F13">
        <v>8.5000000000000006E-2</v>
      </c>
      <c r="G13">
        <v>3528</v>
      </c>
      <c r="H13">
        <v>9.5000000000000001E-2</v>
      </c>
      <c r="I13">
        <v>3222</v>
      </c>
      <c r="Q13" s="11">
        <v>3539</v>
      </c>
      <c r="R13" s="7"/>
      <c r="T13">
        <v>0.01</v>
      </c>
      <c r="U13">
        <v>1.0999999999999999E-2</v>
      </c>
      <c r="V13" s="33">
        <v>454</v>
      </c>
      <c r="W13" s="33">
        <v>8.5000000000000006E-2</v>
      </c>
      <c r="X13">
        <f t="shared" si="0"/>
        <v>1.0000000000000009E-2</v>
      </c>
      <c r="Y13" s="33">
        <v>9.5000000000000001E-2</v>
      </c>
      <c r="Z13">
        <f t="shared" si="1"/>
        <v>1.0999999999999996E-2</v>
      </c>
    </row>
    <row r="14" spans="1:26" ht="13.5" x14ac:dyDescent="0.3">
      <c r="B14">
        <v>8</v>
      </c>
      <c r="C14">
        <v>3.8</v>
      </c>
      <c r="D14">
        <v>4550</v>
      </c>
      <c r="F14">
        <v>7.4999999999999997E-2</v>
      </c>
      <c r="G14">
        <v>4254</v>
      </c>
      <c r="H14">
        <v>8.4000000000000005E-2</v>
      </c>
      <c r="I14">
        <v>3884</v>
      </c>
      <c r="Q14" s="11">
        <v>4267</v>
      </c>
      <c r="R14" s="7"/>
      <c r="T14">
        <v>1.0999999999999999E-2</v>
      </c>
      <c r="U14">
        <v>1.2E-2</v>
      </c>
      <c r="V14" s="33">
        <v>455</v>
      </c>
      <c r="W14" s="33">
        <v>7.4999999999999997E-2</v>
      </c>
      <c r="X14">
        <f t="shared" si="0"/>
        <v>1.0999999999999996E-2</v>
      </c>
      <c r="Y14" s="33">
        <v>8.4000000000000005E-2</v>
      </c>
      <c r="Z14">
        <f t="shared" si="1"/>
        <v>1.2000000000000011E-2</v>
      </c>
    </row>
    <row r="15" spans="1:26" ht="13.5" x14ac:dyDescent="0.3">
      <c r="B15">
        <v>7</v>
      </c>
      <c r="C15">
        <v>3.8</v>
      </c>
      <c r="D15">
        <v>4600</v>
      </c>
      <c r="F15">
        <v>6.4000000000000001E-2</v>
      </c>
      <c r="G15">
        <v>4890</v>
      </c>
      <c r="H15">
        <v>7.1999999999999995E-2</v>
      </c>
      <c r="I15">
        <v>4465</v>
      </c>
      <c r="Q15" s="11">
        <v>4905</v>
      </c>
      <c r="R15" s="7"/>
      <c r="T15">
        <v>1.0999999999999999E-2</v>
      </c>
      <c r="U15">
        <v>1.0999999999999999E-2</v>
      </c>
      <c r="V15" s="33">
        <v>460</v>
      </c>
      <c r="W15" s="33">
        <v>6.4000000000000001E-2</v>
      </c>
      <c r="X15">
        <f t="shared" si="0"/>
        <v>1.1000000000000003E-2</v>
      </c>
      <c r="Y15" s="33">
        <v>7.1999999999999995E-2</v>
      </c>
      <c r="Z15">
        <f t="shared" si="1"/>
        <v>1.0999999999999996E-2</v>
      </c>
    </row>
    <row r="16" spans="1:26" ht="13.5" x14ac:dyDescent="0.3">
      <c r="B16">
        <v>6</v>
      </c>
      <c r="C16">
        <v>3.8</v>
      </c>
      <c r="D16">
        <v>4670</v>
      </c>
      <c r="F16">
        <v>5.2999999999999999E-2</v>
      </c>
      <c r="G16">
        <v>5445</v>
      </c>
      <c r="H16">
        <v>6.0999999999999999E-2</v>
      </c>
      <c r="I16">
        <v>4972</v>
      </c>
      <c r="Q16" s="11">
        <v>5463</v>
      </c>
      <c r="R16" s="7"/>
      <c r="T16">
        <v>8.9999999999999993E-3</v>
      </c>
      <c r="U16">
        <v>0.01</v>
      </c>
      <c r="V16" s="33">
        <v>467</v>
      </c>
      <c r="W16" s="33">
        <v>5.2999999999999999E-2</v>
      </c>
      <c r="X16">
        <f t="shared" si="0"/>
        <v>9.0000000000000011E-3</v>
      </c>
      <c r="Y16" s="33">
        <v>6.0999999999999999E-2</v>
      </c>
      <c r="Z16">
        <f t="shared" si="1"/>
        <v>1.0000000000000002E-2</v>
      </c>
    </row>
    <row r="17" spans="2:26" ht="13.5" x14ac:dyDescent="0.3">
      <c r="B17">
        <v>5</v>
      </c>
      <c r="C17">
        <v>3.8</v>
      </c>
      <c r="D17">
        <v>4690</v>
      </c>
      <c r="F17">
        <v>4.3999999999999997E-2</v>
      </c>
      <c r="G17">
        <v>5920</v>
      </c>
      <c r="H17">
        <v>5.0999999999999997E-2</v>
      </c>
      <c r="I17">
        <v>5405</v>
      </c>
      <c r="Q17" s="46">
        <v>5940</v>
      </c>
      <c r="R17" s="7"/>
      <c r="T17">
        <v>0.01</v>
      </c>
      <c r="U17">
        <v>8.9999999999999993E-3</v>
      </c>
      <c r="V17" s="33">
        <v>469</v>
      </c>
      <c r="W17" s="33">
        <v>4.3999999999999997E-2</v>
      </c>
      <c r="X17">
        <f t="shared" si="0"/>
        <v>9.999999999999995E-3</v>
      </c>
      <c r="Y17" s="33">
        <v>5.0999999999999997E-2</v>
      </c>
      <c r="Z17">
        <f t="shared" si="1"/>
        <v>8.9999999999999941E-3</v>
      </c>
    </row>
    <row r="18" spans="2:26" ht="13.5" x14ac:dyDescent="0.3">
      <c r="B18">
        <v>4</v>
      </c>
      <c r="C18">
        <v>3.8</v>
      </c>
      <c r="D18">
        <v>4710</v>
      </c>
      <c r="F18">
        <v>3.4000000000000002E-2</v>
      </c>
      <c r="G18">
        <v>6316</v>
      </c>
      <c r="H18">
        <v>4.2000000000000003E-2</v>
      </c>
      <c r="I18">
        <v>5767</v>
      </c>
      <c r="Q18" s="11">
        <v>6338</v>
      </c>
      <c r="R18" s="10"/>
      <c r="T18">
        <v>8.9999999999999993E-3</v>
      </c>
      <c r="U18">
        <v>0.01</v>
      </c>
      <c r="V18" s="33">
        <v>471</v>
      </c>
      <c r="W18" s="33">
        <v>3.4000000000000002E-2</v>
      </c>
      <c r="X18">
        <f t="shared" si="0"/>
        <v>9.0000000000000011E-3</v>
      </c>
      <c r="Y18" s="33">
        <v>4.2000000000000003E-2</v>
      </c>
      <c r="Z18">
        <f>+Y18-Y19</f>
        <v>1.0000000000000002E-2</v>
      </c>
    </row>
    <row r="19" spans="2:26" ht="13.5" x14ac:dyDescent="0.3">
      <c r="B19">
        <v>3</v>
      </c>
      <c r="C19">
        <v>3.8</v>
      </c>
      <c r="D19">
        <v>4750</v>
      </c>
      <c r="F19">
        <v>2.5000000000000001E-2</v>
      </c>
      <c r="G19">
        <v>6638</v>
      </c>
      <c r="H19">
        <v>3.2000000000000001E-2</v>
      </c>
      <c r="I19">
        <v>6061</v>
      </c>
      <c r="Q19" s="11">
        <v>6662</v>
      </c>
      <c r="T19">
        <v>8.9999999999999993E-3</v>
      </c>
      <c r="U19">
        <v>0.01</v>
      </c>
      <c r="V19" s="33">
        <v>475</v>
      </c>
      <c r="W19" s="33">
        <v>2.5000000000000001E-2</v>
      </c>
      <c r="X19">
        <f t="shared" si="0"/>
        <v>9.0000000000000011E-3</v>
      </c>
      <c r="Y19" s="33">
        <v>3.2000000000000001E-2</v>
      </c>
      <c r="Z19">
        <f>+Y19-Y20</f>
        <v>1.0000000000000002E-2</v>
      </c>
    </row>
    <row r="20" spans="2:26" ht="13.5" x14ac:dyDescent="0.3">
      <c r="B20">
        <v>2</v>
      </c>
      <c r="C20">
        <v>3.8</v>
      </c>
      <c r="D20">
        <v>4770</v>
      </c>
      <c r="F20">
        <v>1.6E-2</v>
      </c>
      <c r="G20">
        <v>6885</v>
      </c>
      <c r="H20">
        <v>2.1999999999999999E-2</v>
      </c>
      <c r="I20">
        <v>6287</v>
      </c>
      <c r="Q20" s="11">
        <v>6909</v>
      </c>
      <c r="T20">
        <v>8.0000000000000002E-3</v>
      </c>
      <c r="U20">
        <v>0.01</v>
      </c>
      <c r="V20" s="33">
        <v>477</v>
      </c>
      <c r="W20" s="33">
        <v>1.6E-2</v>
      </c>
      <c r="X20">
        <f t="shared" si="0"/>
        <v>8.0000000000000002E-3</v>
      </c>
      <c r="Y20" s="33">
        <v>2.1999999999999999E-2</v>
      </c>
      <c r="Z20">
        <f t="shared" si="1"/>
        <v>9.9999999999999985E-3</v>
      </c>
    </row>
    <row r="21" spans="2:26" ht="13.5" x14ac:dyDescent="0.3">
      <c r="B21">
        <v>1</v>
      </c>
      <c r="C21">
        <v>4.7300000000000004</v>
      </c>
      <c r="D21">
        <v>4810</v>
      </c>
      <c r="F21">
        <v>8.0000000000000002E-3</v>
      </c>
      <c r="G21">
        <v>7057</v>
      </c>
      <c r="H21">
        <v>1.2E-2</v>
      </c>
      <c r="I21">
        <v>6444</v>
      </c>
      <c r="Q21" s="11">
        <v>7082</v>
      </c>
      <c r="T21">
        <v>8.0000000000000002E-3</v>
      </c>
      <c r="U21">
        <v>1.2E-2</v>
      </c>
      <c r="V21" s="33">
        <v>481</v>
      </c>
      <c r="W21" s="33">
        <v>8.0000000000000002E-3</v>
      </c>
      <c r="X21">
        <f t="shared" si="0"/>
        <v>8.0000000000000002E-3</v>
      </c>
      <c r="Y21" s="33">
        <v>1.2E-2</v>
      </c>
      <c r="Z21">
        <f t="shared" si="1"/>
        <v>1.2E-2</v>
      </c>
    </row>
    <row r="22" spans="2:26" x14ac:dyDescent="0.3">
      <c r="O22" s="41"/>
    </row>
    <row r="24" spans="2:26" x14ac:dyDescent="0.3">
      <c r="O24" s="7"/>
    </row>
    <row r="25" spans="2:26" x14ac:dyDescent="0.3">
      <c r="O25">
        <f>H25-M25</f>
        <v>0</v>
      </c>
      <c r="Q25">
        <f>M25*E25</f>
        <v>0</v>
      </c>
      <c r="R25">
        <v>0.14099999999999999</v>
      </c>
      <c r="S25">
        <f>+Q25*R25</f>
        <v>0</v>
      </c>
      <c r="T25">
        <f>+S25</f>
        <v>0</v>
      </c>
      <c r="U25">
        <v>0.129</v>
      </c>
      <c r="V25">
        <f>Q25*U25</f>
        <v>0</v>
      </c>
      <c r="W25">
        <f>+V25</f>
        <v>0</v>
      </c>
    </row>
    <row r="26" spans="2:26" x14ac:dyDescent="0.3">
      <c r="O26">
        <f t="shared" ref="O26:O35" si="2">H26-M26</f>
        <v>0</v>
      </c>
      <c r="Q26">
        <f t="shared" ref="Q26:Q35" si="3">M26*E26</f>
        <v>0</v>
      </c>
      <c r="R26">
        <v>0.14099999999999999</v>
      </c>
      <c r="S26">
        <f t="shared" ref="S26:S35" si="4">+Q26*R26</f>
        <v>0</v>
      </c>
      <c r="T26">
        <f>+S26+T25</f>
        <v>0</v>
      </c>
      <c r="U26">
        <v>0.129</v>
      </c>
      <c r="V26">
        <f t="shared" ref="V26:V35" si="5">Q26*U26</f>
        <v>0</v>
      </c>
      <c r="W26">
        <f>+V26+W25</f>
        <v>0</v>
      </c>
    </row>
    <row r="27" spans="2:26" x14ac:dyDescent="0.3">
      <c r="O27">
        <f t="shared" si="2"/>
        <v>0</v>
      </c>
      <c r="Q27">
        <f t="shared" si="3"/>
        <v>0</v>
      </c>
      <c r="R27">
        <v>0.14099999999999999</v>
      </c>
      <c r="S27">
        <f t="shared" si="4"/>
        <v>0</v>
      </c>
      <c r="T27">
        <f t="shared" ref="T27:T35" si="6">+S27+T26</f>
        <v>0</v>
      </c>
      <c r="U27">
        <v>0.129</v>
      </c>
      <c r="V27">
        <f t="shared" si="5"/>
        <v>0</v>
      </c>
      <c r="W27">
        <f t="shared" ref="W27:W35" si="7">+V27+W26</f>
        <v>0</v>
      </c>
    </row>
    <row r="28" spans="2:26" x14ac:dyDescent="0.3">
      <c r="O28">
        <f t="shared" si="2"/>
        <v>0</v>
      </c>
      <c r="Q28">
        <f t="shared" si="3"/>
        <v>0</v>
      </c>
      <c r="R28">
        <v>0.14099999999999999</v>
      </c>
      <c r="S28">
        <f t="shared" si="4"/>
        <v>0</v>
      </c>
      <c r="T28">
        <f t="shared" si="6"/>
        <v>0</v>
      </c>
      <c r="U28">
        <v>0.129</v>
      </c>
      <c r="V28">
        <f t="shared" si="5"/>
        <v>0</v>
      </c>
      <c r="W28">
        <f t="shared" si="7"/>
        <v>0</v>
      </c>
    </row>
    <row r="29" spans="2:26" x14ac:dyDescent="0.3">
      <c r="O29">
        <f t="shared" si="2"/>
        <v>0</v>
      </c>
      <c r="Q29">
        <f t="shared" si="3"/>
        <v>0</v>
      </c>
      <c r="R29">
        <v>0.14099999999999999</v>
      </c>
      <c r="S29">
        <f t="shared" si="4"/>
        <v>0</v>
      </c>
      <c r="T29">
        <f t="shared" si="6"/>
        <v>0</v>
      </c>
      <c r="U29">
        <v>0.129</v>
      </c>
      <c r="V29">
        <f t="shared" si="5"/>
        <v>0</v>
      </c>
      <c r="W29">
        <f t="shared" si="7"/>
        <v>0</v>
      </c>
    </row>
    <row r="30" spans="2:26" x14ac:dyDescent="0.3">
      <c r="O30">
        <f t="shared" si="2"/>
        <v>0</v>
      </c>
      <c r="Q30">
        <f t="shared" si="3"/>
        <v>0</v>
      </c>
      <c r="R30">
        <v>0.14099999999999999</v>
      </c>
      <c r="S30">
        <f t="shared" si="4"/>
        <v>0</v>
      </c>
      <c r="T30">
        <f t="shared" si="6"/>
        <v>0</v>
      </c>
      <c r="U30">
        <v>0.129</v>
      </c>
      <c r="V30">
        <f t="shared" si="5"/>
        <v>0</v>
      </c>
      <c r="W30">
        <f t="shared" si="7"/>
        <v>0</v>
      </c>
    </row>
    <row r="31" spans="2:26" x14ac:dyDescent="0.3">
      <c r="O31">
        <f t="shared" si="2"/>
        <v>0</v>
      </c>
      <c r="Q31">
        <f t="shared" si="3"/>
        <v>0</v>
      </c>
      <c r="R31">
        <v>0.14099999999999999</v>
      </c>
      <c r="S31">
        <f t="shared" si="4"/>
        <v>0</v>
      </c>
      <c r="T31">
        <f t="shared" si="6"/>
        <v>0</v>
      </c>
      <c r="U31">
        <v>0.129</v>
      </c>
      <c r="V31">
        <f t="shared" si="5"/>
        <v>0</v>
      </c>
      <c r="W31">
        <f t="shared" si="7"/>
        <v>0</v>
      </c>
    </row>
    <row r="32" spans="2:26" x14ac:dyDescent="0.3">
      <c r="O32">
        <f t="shared" si="2"/>
        <v>0</v>
      </c>
      <c r="Q32">
        <f t="shared" si="3"/>
        <v>0</v>
      </c>
      <c r="R32">
        <v>0.14099999999999999</v>
      </c>
      <c r="S32">
        <f t="shared" si="4"/>
        <v>0</v>
      </c>
      <c r="T32">
        <f t="shared" si="6"/>
        <v>0</v>
      </c>
      <c r="U32">
        <v>0.129</v>
      </c>
      <c r="V32">
        <f t="shared" si="5"/>
        <v>0</v>
      </c>
      <c r="W32">
        <f t="shared" si="7"/>
        <v>0</v>
      </c>
    </row>
    <row r="33" spans="15:23" x14ac:dyDescent="0.3">
      <c r="O33">
        <f t="shared" si="2"/>
        <v>0</v>
      </c>
      <c r="Q33">
        <f t="shared" si="3"/>
        <v>0</v>
      </c>
      <c r="R33">
        <v>0.14099999999999999</v>
      </c>
      <c r="S33">
        <f t="shared" si="4"/>
        <v>0</v>
      </c>
      <c r="T33">
        <f t="shared" si="6"/>
        <v>0</v>
      </c>
      <c r="U33">
        <v>0.129</v>
      </c>
      <c r="V33">
        <f t="shared" si="5"/>
        <v>0</v>
      </c>
      <c r="W33">
        <f t="shared" si="7"/>
        <v>0</v>
      </c>
    </row>
    <row r="34" spans="15:23" x14ac:dyDescent="0.3">
      <c r="O34">
        <f t="shared" si="2"/>
        <v>0</v>
      </c>
      <c r="Q34">
        <f t="shared" si="3"/>
        <v>0</v>
      </c>
      <c r="R34">
        <v>0.14099999999999999</v>
      </c>
      <c r="S34">
        <f t="shared" si="4"/>
        <v>0</v>
      </c>
      <c r="T34">
        <f t="shared" si="6"/>
        <v>0</v>
      </c>
      <c r="U34">
        <v>0.129</v>
      </c>
      <c r="V34">
        <f t="shared" si="5"/>
        <v>0</v>
      </c>
      <c r="W34">
        <f t="shared" si="7"/>
        <v>0</v>
      </c>
    </row>
    <row r="35" spans="15:23" x14ac:dyDescent="0.3">
      <c r="O35">
        <f t="shared" si="2"/>
        <v>0</v>
      </c>
      <c r="Q35">
        <f t="shared" si="3"/>
        <v>0</v>
      </c>
      <c r="R35">
        <v>0.14099999999999999</v>
      </c>
      <c r="S35">
        <f t="shared" si="4"/>
        <v>0</v>
      </c>
      <c r="T35">
        <f t="shared" si="6"/>
        <v>0</v>
      </c>
      <c r="U35">
        <v>0.129</v>
      </c>
      <c r="V35">
        <f t="shared" si="5"/>
        <v>0</v>
      </c>
      <c r="W35">
        <f t="shared" si="7"/>
        <v>0</v>
      </c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learEQ">
                <anchor moveWithCells="1" sizeWithCells="1">
                  <from>
                    <xdr:col>7</xdr:col>
                    <xdr:colOff>438150</xdr:colOff>
                    <xdr:row>2</xdr:row>
                    <xdr:rowOff>87630</xdr:rowOff>
                  </from>
                  <to>
                    <xdr:col>8</xdr:col>
                    <xdr:colOff>400050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eq_ready">
                <anchor moveWithCells="1" sizeWithCells="1">
                  <from>
                    <xdr:col>10</xdr:col>
                    <xdr:colOff>335280</xdr:colOff>
                    <xdr:row>2</xdr:row>
                    <xdr:rowOff>38100</xdr:rowOff>
                  </from>
                  <to>
                    <xdr:col>11</xdr:col>
                    <xdr:colOff>297180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85B10-0CF5-4084-9AFD-54BCA72287F8}">
  <sheetPr codeName="Sheet22"/>
  <dimension ref="A1:L21"/>
  <sheetViews>
    <sheetView workbookViewId="0">
      <selection activeCell="D32" sqref="D32"/>
    </sheetView>
  </sheetViews>
  <sheetFormatPr defaultRowHeight="11.7" x14ac:dyDescent="0.3"/>
  <sheetData>
    <row r="1" spans="1:12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ht="13.5" x14ac:dyDescent="0.3">
      <c r="B2" s="11"/>
      <c r="C2" s="11"/>
      <c r="D2" s="52" t="s">
        <v>137</v>
      </c>
      <c r="E2" s="11" t="s">
        <v>138</v>
      </c>
      <c r="F2" s="11"/>
      <c r="G2" s="11"/>
    </row>
    <row r="3" spans="1:12" ht="13.5" x14ac:dyDescent="0.3">
      <c r="B3" s="47"/>
      <c r="C3" s="54" t="s">
        <v>113</v>
      </c>
      <c r="D3" s="48">
        <v>11</v>
      </c>
      <c r="E3" s="48"/>
      <c r="F3" s="54" t="s">
        <v>164</v>
      </c>
      <c r="G3" s="43">
        <v>44</v>
      </c>
    </row>
    <row r="4" spans="1:12" ht="13.5" x14ac:dyDescent="0.3">
      <c r="B4" s="47"/>
      <c r="C4" s="54" t="s">
        <v>114</v>
      </c>
      <c r="D4" s="48">
        <v>1</v>
      </c>
      <c r="E4" s="48"/>
      <c r="F4" s="54" t="s">
        <v>165</v>
      </c>
      <c r="G4" s="43"/>
    </row>
    <row r="5" spans="1:12" ht="13.5" x14ac:dyDescent="0.3">
      <c r="B5" s="47"/>
      <c r="C5" s="54" t="s">
        <v>12</v>
      </c>
      <c r="D5" s="48">
        <v>0.2</v>
      </c>
      <c r="E5" s="48"/>
      <c r="F5" s="54" t="s">
        <v>14</v>
      </c>
      <c r="G5" s="43">
        <v>1.3200000524520874</v>
      </c>
    </row>
    <row r="6" spans="1:12" ht="13.5" x14ac:dyDescent="0.3">
      <c r="B6" s="47"/>
      <c r="C6" s="54" t="s">
        <v>13</v>
      </c>
      <c r="D6" s="48">
        <v>0.6</v>
      </c>
      <c r="E6" s="11"/>
      <c r="F6" s="54" t="s">
        <v>15</v>
      </c>
      <c r="G6" s="43">
        <v>0.72727274894714355</v>
      </c>
    </row>
    <row r="7" spans="1:12" ht="13.5" x14ac:dyDescent="0.3">
      <c r="B7" s="47"/>
      <c r="C7" s="54" t="s">
        <v>173</v>
      </c>
      <c r="D7" s="63">
        <v>2</v>
      </c>
      <c r="E7" s="11"/>
      <c r="F7" s="54" t="s">
        <v>8</v>
      </c>
      <c r="G7" s="11">
        <v>7274.7522194561316</v>
      </c>
    </row>
    <row r="10" spans="1:12" x14ac:dyDescent="0.3">
      <c r="C10" t="s">
        <v>19</v>
      </c>
      <c r="E10" t="s">
        <v>4</v>
      </c>
      <c r="F10" t="s">
        <v>218</v>
      </c>
      <c r="G10" t="s">
        <v>219</v>
      </c>
      <c r="H10" t="s">
        <v>220</v>
      </c>
      <c r="I10" t="s">
        <v>221</v>
      </c>
      <c r="J10" t="s">
        <v>11</v>
      </c>
    </row>
    <row r="11" spans="1:12" x14ac:dyDescent="0.3">
      <c r="C11">
        <v>11</v>
      </c>
      <c r="E11">
        <v>2461.46923828125</v>
      </c>
      <c r="F11">
        <v>2461.46923828125</v>
      </c>
      <c r="G11">
        <v>4.9215685576200485E-2</v>
      </c>
      <c r="H11">
        <v>3.3730269353678248</v>
      </c>
      <c r="I11">
        <v>0.49062213441635066</v>
      </c>
      <c r="J11">
        <v>1208</v>
      </c>
      <c r="K11">
        <v>2415</v>
      </c>
    </row>
    <row r="12" spans="1:12" x14ac:dyDescent="0.3">
      <c r="C12">
        <v>10</v>
      </c>
      <c r="E12">
        <v>6276.255859375</v>
      </c>
      <c r="F12">
        <v>8737.724609375</v>
      </c>
      <c r="G12">
        <v>0.1747058629989624</v>
      </c>
      <c r="H12">
        <v>2.1804222055164342</v>
      </c>
      <c r="I12">
        <v>0.31715234325059521</v>
      </c>
      <c r="J12">
        <v>2771</v>
      </c>
      <c r="K12">
        <v>5542</v>
      </c>
    </row>
    <row r="13" spans="1:12" x14ac:dyDescent="0.3">
      <c r="C13">
        <v>9</v>
      </c>
      <c r="E13">
        <v>4452.21923828125</v>
      </c>
      <c r="F13">
        <v>13189.943359375</v>
      </c>
      <c r="G13">
        <v>0.26372545957565308</v>
      </c>
      <c r="H13">
        <v>1.8960749521007485</v>
      </c>
      <c r="I13">
        <v>0.27579273982631436</v>
      </c>
      <c r="J13">
        <v>3638</v>
      </c>
      <c r="K13">
        <v>7275</v>
      </c>
    </row>
    <row r="14" spans="1:12" x14ac:dyDescent="0.3">
      <c r="C14">
        <v>8</v>
      </c>
      <c r="E14">
        <v>4462.02587890625</v>
      </c>
      <c r="F14">
        <v>17651.96875</v>
      </c>
      <c r="G14">
        <v>0.3529411256313324</v>
      </c>
      <c r="H14">
        <v>1.7080681676544955</v>
      </c>
      <c r="I14">
        <v>0.24844629651671873</v>
      </c>
      <c r="J14">
        <v>4386</v>
      </c>
      <c r="K14">
        <v>8771</v>
      </c>
    </row>
    <row r="15" spans="1:12" x14ac:dyDescent="0.3">
      <c r="C15">
        <v>7</v>
      </c>
      <c r="E15">
        <v>4511.05908203125</v>
      </c>
      <c r="F15">
        <v>22163.02734375</v>
      </c>
      <c r="G15">
        <v>0.44313719868659973</v>
      </c>
      <c r="H15">
        <v>1.5637005253057674</v>
      </c>
      <c r="I15">
        <v>0.22744736523422501</v>
      </c>
      <c r="J15">
        <v>5041</v>
      </c>
      <c r="K15">
        <v>10082</v>
      </c>
    </row>
    <row r="16" spans="1:12" x14ac:dyDescent="0.3">
      <c r="C16">
        <v>6</v>
      </c>
      <c r="E16">
        <v>4579.70556640625</v>
      </c>
      <c r="F16">
        <v>26742.732421875</v>
      </c>
      <c r="G16">
        <v>0.53470581769943237</v>
      </c>
      <c r="H16">
        <v>1.443286936076102</v>
      </c>
      <c r="I16">
        <v>0.20993266010657391</v>
      </c>
      <c r="J16">
        <v>5614</v>
      </c>
      <c r="K16">
        <v>11228</v>
      </c>
    </row>
    <row r="17" spans="3:11" x14ac:dyDescent="0.3">
      <c r="C17">
        <v>5</v>
      </c>
      <c r="E17">
        <v>4599.31884765625</v>
      </c>
      <c r="F17">
        <v>31342.05078125</v>
      </c>
      <c r="G17">
        <v>0.6266666054725647</v>
      </c>
      <c r="H17">
        <v>1.3388149239646179</v>
      </c>
      <c r="I17">
        <v>0.19473672999660052</v>
      </c>
      <c r="J17">
        <v>6103</v>
      </c>
      <c r="K17">
        <v>12207</v>
      </c>
    </row>
    <row r="18" spans="3:11" x14ac:dyDescent="0.3">
      <c r="C18">
        <v>4</v>
      </c>
      <c r="E18">
        <v>4618.93212890625</v>
      </c>
      <c r="F18">
        <v>35960.984375</v>
      </c>
      <c r="G18">
        <v>0.71901953220367432</v>
      </c>
      <c r="H18">
        <v>1.2449957473327689</v>
      </c>
      <c r="I18">
        <v>0.18109030333879417</v>
      </c>
      <c r="J18">
        <v>6512</v>
      </c>
      <c r="K18">
        <v>13024</v>
      </c>
    </row>
    <row r="19" spans="3:11" x14ac:dyDescent="0.3">
      <c r="C19">
        <v>3</v>
      </c>
      <c r="E19">
        <v>4658.15869140625</v>
      </c>
      <c r="F19">
        <v>40619.14453125</v>
      </c>
      <c r="G19">
        <v>0.8121567964553833</v>
      </c>
      <c r="H19">
        <v>1.1583350614038368</v>
      </c>
      <c r="I19">
        <v>0.16848511176602032</v>
      </c>
      <c r="J19">
        <v>6844</v>
      </c>
      <c r="K19">
        <v>13687</v>
      </c>
    </row>
    <row r="20" spans="3:11" x14ac:dyDescent="0.3">
      <c r="C20">
        <v>2</v>
      </c>
      <c r="E20">
        <v>4677.77197265625</v>
      </c>
      <c r="F20">
        <v>45296.91796875</v>
      </c>
      <c r="G20">
        <v>0.90568625926971436</v>
      </c>
      <c r="H20">
        <v>1.0772264324632679</v>
      </c>
      <c r="I20">
        <v>0.15668749217598696</v>
      </c>
      <c r="J20">
        <v>7097</v>
      </c>
      <c r="K20">
        <v>14195</v>
      </c>
    </row>
    <row r="21" spans="3:11" x14ac:dyDescent="0.3">
      <c r="C21">
        <v>1</v>
      </c>
      <c r="E21">
        <v>4716.99853515625</v>
      </c>
      <c r="F21">
        <v>50013.91796875</v>
      </c>
      <c r="G21">
        <v>1</v>
      </c>
      <c r="H21">
        <v>1</v>
      </c>
      <c r="I21">
        <v>0.14545455574989319</v>
      </c>
      <c r="J21">
        <v>7275</v>
      </c>
      <c r="K21">
        <v>14550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100"/>
  <sheetViews>
    <sheetView workbookViewId="0">
      <selection activeCell="G18" sqref="G18"/>
    </sheetView>
  </sheetViews>
  <sheetFormatPr defaultColWidth="9.1171875" defaultRowHeight="13.5" x14ac:dyDescent="0.3"/>
  <cols>
    <col min="1" max="5" width="9.1171875" style="11"/>
    <col min="6" max="6" width="9.5859375" style="11" customWidth="1"/>
    <col min="7" max="14" width="9.1171875" style="11"/>
    <col min="15" max="15" width="9.1171875" style="11" customWidth="1"/>
    <col min="16" max="21" width="9.1171875" style="11"/>
    <col min="22" max="22" width="10.703125" style="11" bestFit="1" customWidth="1"/>
    <col min="23" max="23" width="9.703125" style="11" bestFit="1" customWidth="1"/>
    <col min="24" max="24" width="9.29296875" style="11" bestFit="1" customWidth="1"/>
    <col min="25" max="16384" width="9.1171875" style="11"/>
  </cols>
  <sheetData>
    <row r="1" spans="1:26" x14ac:dyDescent="0.3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43.699996948242188</v>
      </c>
      <c r="W1" s="11">
        <v>23</v>
      </c>
      <c r="X1" s="11">
        <v>24</v>
      </c>
      <c r="Y1" s="11">
        <v>25</v>
      </c>
      <c r="Z1" s="11">
        <v>26</v>
      </c>
    </row>
    <row r="2" spans="1:26" x14ac:dyDescent="0.3">
      <c r="D2" s="52" t="s">
        <v>137</v>
      </c>
      <c r="E2" s="11" t="s">
        <v>138</v>
      </c>
      <c r="F2" s="42" t="s">
        <v>351</v>
      </c>
      <c r="G2" s="43">
        <f>IF(D2="s",1,0)</f>
        <v>1</v>
      </c>
      <c r="I2" s="50" t="s">
        <v>139</v>
      </c>
      <c r="J2" s="50" t="s">
        <v>140</v>
      </c>
      <c r="L2" s="50" t="s">
        <v>146</v>
      </c>
      <c r="M2" s="50" t="s">
        <v>140</v>
      </c>
      <c r="N2" s="11">
        <v>5200.552734375</v>
      </c>
      <c r="P2" s="50" t="s">
        <v>139</v>
      </c>
      <c r="Q2" s="50" t="s">
        <v>140</v>
      </c>
      <c r="R2" s="11">
        <v>5200.552734375</v>
      </c>
      <c r="S2" s="50" t="s">
        <v>146</v>
      </c>
      <c r="T2" s="50" t="s">
        <v>140</v>
      </c>
      <c r="U2" s="11">
        <v>5200.552734375</v>
      </c>
    </row>
    <row r="3" spans="1:26" x14ac:dyDescent="0.3">
      <c r="B3" s="47"/>
      <c r="C3" s="54" t="s">
        <v>113</v>
      </c>
      <c r="D3" s="48">
        <v>11</v>
      </c>
      <c r="E3" s="48"/>
      <c r="F3" s="54" t="s">
        <v>164</v>
      </c>
      <c r="G3" s="43">
        <v>43.999996185302734</v>
      </c>
      <c r="I3" s="53"/>
      <c r="J3" s="50" t="s">
        <v>141</v>
      </c>
      <c r="L3" s="53"/>
      <c r="M3" s="50" t="s">
        <v>147</v>
      </c>
      <c r="P3" s="53"/>
      <c r="Q3" s="50" t="s">
        <v>141</v>
      </c>
      <c r="S3" s="53"/>
      <c r="T3" s="50" t="s">
        <v>147</v>
      </c>
    </row>
    <row r="4" spans="1:26" x14ac:dyDescent="0.3">
      <c r="B4" s="47"/>
      <c r="C4" s="54" t="s">
        <v>114</v>
      </c>
      <c r="D4" s="48">
        <v>1</v>
      </c>
      <c r="E4" s="48"/>
      <c r="F4" s="54" t="s">
        <v>165</v>
      </c>
      <c r="G4" s="43">
        <v>5100</v>
      </c>
      <c r="I4" s="53"/>
      <c r="J4" s="50" t="s">
        <v>142</v>
      </c>
      <c r="L4" s="53"/>
      <c r="M4" s="50" t="s">
        <v>148</v>
      </c>
      <c r="P4" s="53"/>
      <c r="Q4" s="50" t="s">
        <v>142</v>
      </c>
      <c r="S4" s="53"/>
      <c r="T4" s="50" t="s">
        <v>148</v>
      </c>
    </row>
    <row r="5" spans="1:26" x14ac:dyDescent="0.3">
      <c r="B5" s="47"/>
      <c r="C5" s="54" t="s">
        <v>12</v>
      </c>
      <c r="D5" s="48">
        <v>0.2</v>
      </c>
      <c r="E5" s="48"/>
      <c r="F5" s="54" t="s">
        <v>14</v>
      </c>
      <c r="G5" s="43">
        <v>1.3199999332427979</v>
      </c>
      <c r="I5" s="53"/>
      <c r="J5" s="50" t="s">
        <v>184</v>
      </c>
      <c r="K5" s="11">
        <v>3826.48974609375</v>
      </c>
      <c r="L5" s="53"/>
      <c r="M5" s="50" t="s">
        <v>185</v>
      </c>
      <c r="N5" s="11">
        <v>4001.11474609375</v>
      </c>
      <c r="P5" s="53"/>
      <c r="Q5" s="50" t="s">
        <v>145</v>
      </c>
      <c r="R5" s="11">
        <v>3845.13525390625</v>
      </c>
      <c r="S5" s="53"/>
      <c r="T5" s="50" t="s">
        <v>149</v>
      </c>
      <c r="U5" s="11">
        <v>3917.09130859375</v>
      </c>
    </row>
    <row r="6" spans="1:26" x14ac:dyDescent="0.3">
      <c r="B6" s="47"/>
      <c r="C6" s="54" t="s">
        <v>13</v>
      </c>
      <c r="D6" s="48">
        <v>0.6</v>
      </c>
      <c r="F6" s="54" t="s">
        <v>15</v>
      </c>
      <c r="G6" s="43">
        <v>0.72727279295277991</v>
      </c>
      <c r="I6" s="53"/>
      <c r="J6" s="50" t="s">
        <v>143</v>
      </c>
      <c r="K6" s="11">
        <v>7.1348667144775391E-2</v>
      </c>
      <c r="L6" s="53"/>
      <c r="M6" s="50" t="s">
        <v>150</v>
      </c>
      <c r="N6" s="11">
        <v>7.9289637506008148E-2</v>
      </c>
      <c r="P6" s="53"/>
      <c r="Q6" s="50" t="s">
        <v>143</v>
      </c>
      <c r="R6" s="11">
        <v>0.39617359638214111</v>
      </c>
      <c r="S6" s="53"/>
      <c r="T6" s="50" t="s">
        <v>150</v>
      </c>
      <c r="U6" s="11">
        <v>0.46959459781646729</v>
      </c>
    </row>
    <row r="7" spans="1:26" x14ac:dyDescent="0.3">
      <c r="B7" s="47"/>
      <c r="C7" s="54" t="s">
        <v>173</v>
      </c>
      <c r="D7" s="63">
        <v>2</v>
      </c>
      <c r="F7" s="54" t="s">
        <v>8</v>
      </c>
      <c r="I7" s="53"/>
      <c r="J7" s="50" t="s">
        <v>144</v>
      </c>
      <c r="K7" s="11">
        <v>1.2358423471450806</v>
      </c>
      <c r="L7" s="53"/>
      <c r="M7" s="50" t="s">
        <v>151</v>
      </c>
      <c r="N7" s="22">
        <v>1.3941222429275513</v>
      </c>
      <c r="O7" s="18"/>
      <c r="P7" s="53"/>
      <c r="Q7" s="50" t="s">
        <v>144</v>
      </c>
      <c r="R7" s="11">
        <v>1.5800764560699463</v>
      </c>
      <c r="S7" s="53"/>
      <c r="T7" s="50" t="s">
        <v>151</v>
      </c>
      <c r="U7" s="11">
        <v>2.0352022647857666</v>
      </c>
    </row>
    <row r="8" spans="1:26" x14ac:dyDescent="0.3">
      <c r="B8" s="47"/>
      <c r="C8" s="42" t="s">
        <v>160</v>
      </c>
      <c r="D8" s="11">
        <v>0.25</v>
      </c>
      <c r="E8" s="11" t="s">
        <v>159</v>
      </c>
      <c r="F8" s="15"/>
    </row>
    <row r="9" spans="1:26" x14ac:dyDescent="0.3">
      <c r="A9" s="16">
        <v>1</v>
      </c>
      <c r="B9" s="16">
        <v>2</v>
      </c>
      <c r="C9" s="16">
        <v>3</v>
      </c>
      <c r="D9" s="16">
        <v>4</v>
      </c>
      <c r="E9" s="16">
        <v>5</v>
      </c>
      <c r="F9" s="16">
        <v>6</v>
      </c>
      <c r="G9" s="16">
        <v>7</v>
      </c>
      <c r="H9" s="16">
        <v>8</v>
      </c>
      <c r="I9" s="16">
        <v>9</v>
      </c>
      <c r="J9" s="16">
        <v>10</v>
      </c>
      <c r="K9" s="16">
        <v>11</v>
      </c>
      <c r="L9" s="16">
        <v>12</v>
      </c>
      <c r="M9" s="16">
        <v>13</v>
      </c>
      <c r="N9" s="16">
        <v>14</v>
      </c>
      <c r="O9" s="16">
        <v>15</v>
      </c>
      <c r="P9" s="16">
        <v>16</v>
      </c>
      <c r="Q9" s="16">
        <v>17</v>
      </c>
      <c r="R9" s="16">
        <v>18</v>
      </c>
      <c r="S9" s="16">
        <v>19</v>
      </c>
      <c r="T9" s="16">
        <v>20</v>
      </c>
    </row>
    <row r="10" spans="1:26" x14ac:dyDescent="0.3">
      <c r="A10" s="16"/>
      <c r="B10" s="16"/>
      <c r="C10" s="18" t="s">
        <v>9</v>
      </c>
      <c r="D10" s="18" t="s">
        <v>10</v>
      </c>
      <c r="E10" s="11" t="s">
        <v>133</v>
      </c>
      <c r="F10" s="11" t="s">
        <v>134</v>
      </c>
      <c r="H10" s="18" t="s">
        <v>22</v>
      </c>
      <c r="I10" s="18" t="s">
        <v>131</v>
      </c>
      <c r="J10" s="18" t="s">
        <v>23</v>
      </c>
      <c r="K10" s="18" t="s">
        <v>132</v>
      </c>
      <c r="L10" s="18"/>
      <c r="M10" s="11" t="s">
        <v>133</v>
      </c>
      <c r="N10" s="11" t="s">
        <v>134</v>
      </c>
      <c r="P10" s="18" t="s">
        <v>22</v>
      </c>
      <c r="Q10" s="18" t="s">
        <v>131</v>
      </c>
      <c r="R10" s="18" t="s">
        <v>23</v>
      </c>
      <c r="S10" s="18" t="s">
        <v>132</v>
      </c>
    </row>
    <row r="11" spans="1:26" x14ac:dyDescent="0.3">
      <c r="B11" s="11">
        <v>11</v>
      </c>
      <c r="C11">
        <v>5.07</v>
      </c>
      <c r="D11">
        <f>U11*9.80665</f>
        <v>2461.4691499999999</v>
      </c>
      <c r="E11" s="11">
        <v>7057</v>
      </c>
      <c r="F11" s="11">
        <v>6444</v>
      </c>
      <c r="H11" s="11">
        <v>1.4999999999999999E-2</v>
      </c>
      <c r="I11">
        <v>1171</v>
      </c>
      <c r="J11" s="11">
        <v>1.2999999999999999E-2</v>
      </c>
      <c r="K11">
        <v>1070</v>
      </c>
      <c r="M11" s="55">
        <v>24088</v>
      </c>
      <c r="N11" s="55">
        <v>17532</v>
      </c>
      <c r="P11" s="11">
        <v>6.2E-2</v>
      </c>
      <c r="Q11" s="11">
        <v>3998</v>
      </c>
      <c r="R11" s="11">
        <v>3.7999999999999999E-2</v>
      </c>
      <c r="S11" s="11">
        <v>2901</v>
      </c>
      <c r="U11" s="11">
        <v>251</v>
      </c>
      <c r="V11" s="49">
        <v>251</v>
      </c>
      <c r="W11" s="49">
        <v>0.109</v>
      </c>
      <c r="X11" s="11">
        <f>+W11-W12</f>
        <v>1.4999999999999999E-2</v>
      </c>
      <c r="Y11" s="49">
        <v>0.11700000000000001</v>
      </c>
      <c r="Z11" s="11">
        <f>+Y11-Y12</f>
        <v>1.3000000000000012E-2</v>
      </c>
    </row>
    <row r="12" spans="1:26" x14ac:dyDescent="0.3">
      <c r="B12" s="11">
        <v>10</v>
      </c>
      <c r="C12">
        <v>3.8</v>
      </c>
      <c r="D12">
        <f t="shared" ref="D12:D21" si="0">U12*9.80665</f>
        <v>6276.2559999999994</v>
      </c>
      <c r="H12" s="11">
        <v>8.9999999999999993E-3</v>
      </c>
      <c r="I12">
        <v>2688</v>
      </c>
      <c r="J12" s="11">
        <v>8.9999999999999993E-3</v>
      </c>
      <c r="K12">
        <v>2453</v>
      </c>
      <c r="P12" s="11">
        <v>3.5999999999999997E-2</v>
      </c>
      <c r="Q12" s="11">
        <v>9173</v>
      </c>
      <c r="R12" s="11">
        <v>4.2999999999999997E-2</v>
      </c>
      <c r="S12" s="11">
        <v>7125</v>
      </c>
      <c r="U12" s="11">
        <v>640</v>
      </c>
      <c r="V12" s="49">
        <v>640</v>
      </c>
      <c r="W12" s="49">
        <v>9.4E-2</v>
      </c>
      <c r="X12" s="11">
        <f>+W12-W13</f>
        <v>8.9999999999999941E-3</v>
      </c>
      <c r="Y12" s="49">
        <v>0.104</v>
      </c>
      <c r="Z12" s="11">
        <f>+Y12-Y13</f>
        <v>8.9999999999999941E-3</v>
      </c>
    </row>
    <row r="13" spans="1:26" x14ac:dyDescent="0.3">
      <c r="B13" s="11">
        <v>9</v>
      </c>
      <c r="C13">
        <v>3.8</v>
      </c>
      <c r="D13">
        <f t="shared" si="0"/>
        <v>4452.2190999999993</v>
      </c>
      <c r="H13" s="11">
        <v>0.01</v>
      </c>
      <c r="I13">
        <v>3528</v>
      </c>
      <c r="J13" s="11">
        <v>1.0999999999999999E-2</v>
      </c>
      <c r="K13">
        <v>3222</v>
      </c>
      <c r="P13" s="11">
        <v>0.05</v>
      </c>
      <c r="Q13" s="11">
        <v>12044</v>
      </c>
      <c r="R13" s="11">
        <v>6.6000000000000003E-2</v>
      </c>
      <c r="S13" s="11">
        <v>8722</v>
      </c>
      <c r="U13" s="11">
        <v>454</v>
      </c>
      <c r="V13" s="49">
        <v>454</v>
      </c>
      <c r="W13" s="49">
        <v>8.5000000000000006E-2</v>
      </c>
      <c r="X13" s="11">
        <f>+W13-W14</f>
        <v>1.0000000000000009E-2</v>
      </c>
      <c r="Y13" s="49">
        <v>9.5000000000000001E-2</v>
      </c>
      <c r="Z13" s="11">
        <f>+Y13-Y14</f>
        <v>1.0999999999999996E-2</v>
      </c>
    </row>
    <row r="14" spans="1:26" x14ac:dyDescent="0.3">
      <c r="B14" s="11">
        <v>8</v>
      </c>
      <c r="C14">
        <v>3.8</v>
      </c>
      <c r="D14">
        <f t="shared" si="0"/>
        <v>4462.0257499999998</v>
      </c>
      <c r="H14" s="11">
        <v>1.0999999999999999E-2</v>
      </c>
      <c r="I14">
        <v>4254</v>
      </c>
      <c r="J14" s="11">
        <v>1.2E-2</v>
      </c>
      <c r="K14">
        <v>3884</v>
      </c>
      <c r="P14" s="11">
        <v>6.2E-2</v>
      </c>
      <c r="Q14" s="11">
        <v>14524</v>
      </c>
      <c r="R14" s="11">
        <v>7.5999999999999998E-2</v>
      </c>
      <c r="S14" s="11">
        <v>10555</v>
      </c>
      <c r="U14" s="11">
        <v>455</v>
      </c>
      <c r="V14" s="49">
        <v>455</v>
      </c>
      <c r="W14" s="49">
        <v>7.4999999999999997E-2</v>
      </c>
      <c r="X14" s="11">
        <f>+W14-W15</f>
        <v>7.4999999999999997E-2</v>
      </c>
      <c r="Y14" s="49">
        <v>8.4000000000000005E-2</v>
      </c>
      <c r="Z14" s="11">
        <f>+Y14-Y15</f>
        <v>8.4000000000000005E-2</v>
      </c>
    </row>
    <row r="15" spans="1:26" x14ac:dyDescent="0.3">
      <c r="B15" s="11">
        <v>7</v>
      </c>
      <c r="C15">
        <v>3.8</v>
      </c>
      <c r="D15">
        <f t="shared" si="0"/>
        <v>4511.0589999999993</v>
      </c>
      <c r="H15" s="11">
        <v>1.0999999999999999E-2</v>
      </c>
      <c r="I15">
        <v>4890</v>
      </c>
      <c r="J15" s="11">
        <v>1.0999999999999999E-2</v>
      </c>
      <c r="K15">
        <v>4465</v>
      </c>
      <c r="P15" s="11">
        <v>6.3E-2</v>
      </c>
      <c r="Q15" s="11">
        <v>16689</v>
      </c>
      <c r="R15" s="11">
        <v>7.0999999999999994E-2</v>
      </c>
      <c r="S15" s="11">
        <v>12123</v>
      </c>
      <c r="U15" s="11">
        <v>460</v>
      </c>
    </row>
    <row r="16" spans="1:26" x14ac:dyDescent="0.3">
      <c r="B16" s="11">
        <v>6</v>
      </c>
      <c r="C16">
        <v>3.8</v>
      </c>
      <c r="D16">
        <f t="shared" si="0"/>
        <v>4579.7055499999997</v>
      </c>
      <c r="H16" s="11">
        <v>0.01</v>
      </c>
      <c r="I16">
        <v>5445</v>
      </c>
      <c r="J16" s="11">
        <v>0.01</v>
      </c>
      <c r="K16">
        <v>4972</v>
      </c>
      <c r="P16" s="11">
        <v>5.8000000000000003E-2</v>
      </c>
      <c r="Q16" s="11">
        <v>18591</v>
      </c>
      <c r="R16" s="11">
        <v>6.4000000000000001E-2</v>
      </c>
      <c r="S16" s="11">
        <v>13495</v>
      </c>
      <c r="U16" s="11">
        <v>467</v>
      </c>
    </row>
    <row r="17" spans="1:50" x14ac:dyDescent="0.3">
      <c r="B17" s="11">
        <v>5</v>
      </c>
      <c r="C17">
        <v>3.8</v>
      </c>
      <c r="D17">
        <f t="shared" si="0"/>
        <v>4599.3188499999997</v>
      </c>
      <c r="H17" s="11">
        <v>0.01</v>
      </c>
      <c r="I17">
        <v>5920</v>
      </c>
      <c r="J17" s="11">
        <v>0.01</v>
      </c>
      <c r="K17">
        <v>5405</v>
      </c>
      <c r="P17" s="11">
        <v>5.8999999999999997E-2</v>
      </c>
      <c r="Q17" s="11">
        <v>20208</v>
      </c>
      <c r="R17" s="11">
        <v>6.3E-2</v>
      </c>
      <c r="S17" s="11">
        <v>14651</v>
      </c>
      <c r="U17" s="11">
        <v>469</v>
      </c>
    </row>
    <row r="18" spans="1:50" x14ac:dyDescent="0.3">
      <c r="B18" s="11">
        <v>4</v>
      </c>
      <c r="C18">
        <v>3.8</v>
      </c>
      <c r="D18">
        <f t="shared" si="0"/>
        <v>4618.9321499999996</v>
      </c>
      <c r="H18" s="11">
        <v>8.9999999999999993E-3</v>
      </c>
      <c r="I18">
        <v>6316</v>
      </c>
      <c r="J18" s="11">
        <v>0.01</v>
      </c>
      <c r="K18">
        <v>5767</v>
      </c>
      <c r="P18" s="11">
        <v>5.6000000000000001E-2</v>
      </c>
      <c r="Q18" s="11">
        <v>21560</v>
      </c>
      <c r="R18" s="11">
        <v>6.3E-2</v>
      </c>
      <c r="S18" s="11">
        <v>15660</v>
      </c>
      <c r="U18" s="11">
        <v>471</v>
      </c>
    </row>
    <row r="19" spans="1:50" x14ac:dyDescent="0.3">
      <c r="B19" s="11">
        <v>3</v>
      </c>
      <c r="C19">
        <v>3.8</v>
      </c>
      <c r="D19">
        <f t="shared" si="0"/>
        <v>4658.1587499999996</v>
      </c>
      <c r="H19" s="11">
        <v>8.0000000000000002E-3</v>
      </c>
      <c r="I19">
        <v>6638</v>
      </c>
      <c r="J19" s="11">
        <v>0.01</v>
      </c>
      <c r="K19">
        <v>6061</v>
      </c>
      <c r="P19" s="11">
        <v>4.7E-2</v>
      </c>
      <c r="Q19" s="11">
        <v>22658</v>
      </c>
      <c r="R19" s="11">
        <v>6.3E-2</v>
      </c>
      <c r="S19" s="11">
        <v>16395</v>
      </c>
      <c r="U19" s="11">
        <v>475</v>
      </c>
    </row>
    <row r="20" spans="1:50" x14ac:dyDescent="0.3">
      <c r="B20" s="11">
        <v>2</v>
      </c>
      <c r="C20">
        <v>3.8</v>
      </c>
      <c r="D20">
        <f t="shared" si="0"/>
        <v>4677.7720499999996</v>
      </c>
      <c r="H20" s="11">
        <v>8.0000000000000002E-3</v>
      </c>
      <c r="I20">
        <v>6885</v>
      </c>
      <c r="J20" s="11">
        <v>0.01</v>
      </c>
      <c r="K20">
        <v>6287</v>
      </c>
      <c r="P20" s="11">
        <v>4.2999999999999997E-2</v>
      </c>
      <c r="Q20" s="11">
        <v>23500</v>
      </c>
      <c r="R20" s="11">
        <v>5.8999999999999997E-2</v>
      </c>
      <c r="S20" s="11">
        <v>17081</v>
      </c>
      <c r="U20" s="11">
        <v>477</v>
      </c>
    </row>
    <row r="21" spans="1:50" x14ac:dyDescent="0.3">
      <c r="B21" s="11">
        <v>1</v>
      </c>
      <c r="C21">
        <v>4.7300000000000004</v>
      </c>
      <c r="D21">
        <f t="shared" si="0"/>
        <v>4716.9986499999995</v>
      </c>
      <c r="H21" s="11">
        <v>8.0000000000000002E-3</v>
      </c>
      <c r="I21">
        <v>7057</v>
      </c>
      <c r="J21" s="11">
        <v>1.2E-2</v>
      </c>
      <c r="K21">
        <v>6444</v>
      </c>
      <c r="P21" s="11">
        <v>4.1000000000000002E-2</v>
      </c>
      <c r="Q21" s="11">
        <v>24088</v>
      </c>
      <c r="R21" s="11">
        <v>5.1999999999999998E-2</v>
      </c>
      <c r="S21" s="11">
        <v>17532</v>
      </c>
      <c r="U21" s="11">
        <v>481</v>
      </c>
    </row>
    <row r="22" spans="1:50" x14ac:dyDescent="0.3">
      <c r="D22" s="11">
        <f>SUM(D11:D21)</f>
        <v>50013.914999999994</v>
      </c>
    </row>
    <row r="26" spans="1:50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5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 s="5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 s="58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 s="58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58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58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58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 s="58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58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58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58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 s="57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 s="58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 s="58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 s="58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 s="58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5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 s="58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58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58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8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58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G_ready">
                <anchor moveWithCells="1" sizeWithCells="1">
                  <from>
                    <xdr:col>0</xdr:col>
                    <xdr:colOff>76200</xdr:colOff>
                    <xdr:row>1</xdr:row>
                    <xdr:rowOff>95250</xdr:rowOff>
                  </from>
                  <to>
                    <xdr:col>1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EFD48-6BF7-45EC-B66F-791543175D0D}">
  <sheetPr codeName="Sheet6"/>
  <dimension ref="A1:T100"/>
  <sheetViews>
    <sheetView workbookViewId="0">
      <selection activeCell="D20" sqref="D20"/>
    </sheetView>
  </sheetViews>
  <sheetFormatPr defaultColWidth="9.1171875" defaultRowHeight="13.5" x14ac:dyDescent="0.3"/>
  <cols>
    <col min="1" max="1" width="4.703125" style="11" customWidth="1"/>
    <col min="2" max="2" width="9.703125" style="12" customWidth="1"/>
    <col min="3" max="3" width="9.703125" style="19" customWidth="1"/>
    <col min="4" max="4" width="9.703125" style="11" customWidth="1"/>
    <col min="5" max="5" width="9.703125" style="17" customWidth="1"/>
    <col min="6" max="6" width="9.703125" style="11" customWidth="1"/>
    <col min="7" max="7" width="9.703125" style="17" customWidth="1"/>
    <col min="8" max="9" width="9.703125" style="11" customWidth="1"/>
    <col min="10" max="12" width="10.703125" style="11" customWidth="1"/>
    <col min="13" max="16384" width="9.1171875" style="11"/>
  </cols>
  <sheetData>
    <row r="1" spans="1:20" x14ac:dyDescent="0.3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20" x14ac:dyDescent="0.3">
      <c r="B2" s="62" t="s">
        <v>167</v>
      </c>
    </row>
    <row r="4" spans="1:20" x14ac:dyDescent="0.3">
      <c r="C4" s="13"/>
      <c r="D4" s="14" t="s">
        <v>29</v>
      </c>
      <c r="E4" s="22">
        <v>43.999996185302734</v>
      </c>
      <c r="G4" s="11"/>
      <c r="H4" s="15" t="s">
        <v>169</v>
      </c>
      <c r="I4" s="22">
        <v>7057</v>
      </c>
      <c r="J4" s="16" t="s">
        <v>30</v>
      </c>
    </row>
    <row r="5" spans="1:20" x14ac:dyDescent="0.3">
      <c r="C5" s="13"/>
      <c r="D5" s="14" t="s">
        <v>28</v>
      </c>
      <c r="E5" s="22">
        <v>11</v>
      </c>
      <c r="H5" s="15" t="s">
        <v>170</v>
      </c>
      <c r="I5" s="22">
        <v>6444</v>
      </c>
      <c r="J5" s="16" t="s">
        <v>30</v>
      </c>
    </row>
    <row r="6" spans="1:20" x14ac:dyDescent="0.3">
      <c r="C6" s="13"/>
      <c r="D6" s="14" t="s">
        <v>27</v>
      </c>
      <c r="E6" s="22">
        <v>1</v>
      </c>
    </row>
    <row r="7" spans="1:20" x14ac:dyDescent="0.3">
      <c r="C7" s="13"/>
      <c r="D7" s="14" t="s">
        <v>12</v>
      </c>
      <c r="E7" s="22">
        <v>0.20000000298023224</v>
      </c>
    </row>
    <row r="8" spans="1:20" x14ac:dyDescent="0.3">
      <c r="C8" s="13"/>
      <c r="D8" s="14" t="s">
        <v>13</v>
      </c>
      <c r="E8" s="22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20" x14ac:dyDescent="0.3">
      <c r="D9" s="14" t="s">
        <v>228</v>
      </c>
      <c r="E9" s="22">
        <v>5100</v>
      </c>
      <c r="G9" s="20" t="s">
        <v>120</v>
      </c>
      <c r="H9" s="11">
        <v>1.2359999418258667</v>
      </c>
      <c r="I9" s="22">
        <v>0.77700000000000002</v>
      </c>
      <c r="L9" s="16"/>
    </row>
    <row r="10" spans="1:20" x14ac:dyDescent="0.3">
      <c r="D10" s="20" t="s">
        <v>229</v>
      </c>
      <c r="E10" s="22">
        <v>3826</v>
      </c>
      <c r="F10" s="12"/>
      <c r="G10" s="15" t="s">
        <v>121</v>
      </c>
      <c r="H10" s="11">
        <v>1.3940000534057617</v>
      </c>
      <c r="I10" s="22">
        <v>0.68899999999999995</v>
      </c>
    </row>
    <row r="11" spans="1:20" x14ac:dyDescent="0.3">
      <c r="D11" s="20" t="s">
        <v>230</v>
      </c>
      <c r="E11" s="22">
        <v>4001</v>
      </c>
      <c r="F11" s="22"/>
      <c r="G11" s="20" t="s">
        <v>122</v>
      </c>
      <c r="H11" s="11">
        <v>1.3199999332427979</v>
      </c>
      <c r="I11" s="22">
        <v>0.72699999999999998</v>
      </c>
      <c r="J11" s="18" t="s">
        <v>45</v>
      </c>
    </row>
    <row r="12" spans="1:20" x14ac:dyDescent="0.3">
      <c r="B12" s="23"/>
      <c r="C12" s="21"/>
      <c r="D12" s="24"/>
      <c r="E12" s="24"/>
      <c r="F12" s="25"/>
      <c r="G12" s="22"/>
      <c r="I12" s="26"/>
      <c r="J12" s="26"/>
    </row>
    <row r="13" spans="1:20" x14ac:dyDescent="0.3">
      <c r="B13" s="32" t="s">
        <v>0</v>
      </c>
      <c r="C13" s="27" t="s">
        <v>116</v>
      </c>
      <c r="D13" s="28" t="s">
        <v>117</v>
      </c>
      <c r="E13" s="29" t="s">
        <v>3</v>
      </c>
      <c r="F13" s="29" t="s">
        <v>118</v>
      </c>
      <c r="G13" s="18" t="s">
        <v>46</v>
      </c>
      <c r="H13" s="28" t="s">
        <v>47</v>
      </c>
      <c r="I13" s="28" t="s">
        <v>48</v>
      </c>
    </row>
    <row r="14" spans="1:20" x14ac:dyDescent="0.3">
      <c r="B14" s="23"/>
      <c r="C14" s="27" t="s">
        <v>6</v>
      </c>
      <c r="D14" s="28" t="s">
        <v>119</v>
      </c>
      <c r="E14" s="29" t="s">
        <v>2</v>
      </c>
      <c r="F14" s="30"/>
      <c r="G14" s="18" t="s">
        <v>7</v>
      </c>
      <c r="H14" s="31"/>
      <c r="I14" s="31"/>
    </row>
    <row r="15" spans="1:20" x14ac:dyDescent="0.3">
      <c r="A15"/>
      <c r="B15">
        <v>11</v>
      </c>
      <c r="C15">
        <v>1.4999999999999999E-2</v>
      </c>
      <c r="D15">
        <v>0.109</v>
      </c>
      <c r="E15">
        <v>5.07</v>
      </c>
      <c r="F15" s="91" t="s">
        <v>293</v>
      </c>
      <c r="G15">
        <v>251</v>
      </c>
      <c r="H15">
        <v>27.36</v>
      </c>
      <c r="I15">
        <v>2.98</v>
      </c>
      <c r="J15"/>
      <c r="K15"/>
      <c r="L15"/>
      <c r="M15"/>
      <c r="N15"/>
      <c r="O15"/>
      <c r="P15"/>
      <c r="Q15"/>
      <c r="R15"/>
      <c r="S15"/>
      <c r="T15"/>
    </row>
    <row r="16" spans="1:20" x14ac:dyDescent="0.3">
      <c r="A16"/>
      <c r="B16">
        <v>10</v>
      </c>
      <c r="C16">
        <v>8.9999999999999993E-3</v>
      </c>
      <c r="D16">
        <v>9.4E-2</v>
      </c>
      <c r="E16">
        <v>3.8</v>
      </c>
      <c r="F16" s="91" t="s">
        <v>294</v>
      </c>
      <c r="G16">
        <v>640</v>
      </c>
      <c r="H16">
        <v>60.16</v>
      </c>
      <c r="I16">
        <v>5.66</v>
      </c>
      <c r="J16"/>
      <c r="K16"/>
      <c r="L16"/>
      <c r="M16"/>
      <c r="N16"/>
      <c r="O16"/>
      <c r="P16"/>
      <c r="Q16"/>
      <c r="R16"/>
      <c r="S16"/>
      <c r="T16"/>
    </row>
    <row r="17" spans="1:20" x14ac:dyDescent="0.3">
      <c r="A17"/>
      <c r="B17">
        <v>9</v>
      </c>
      <c r="C17">
        <v>0.01</v>
      </c>
      <c r="D17">
        <v>8.5000000000000006E-2</v>
      </c>
      <c r="E17">
        <v>3.8</v>
      </c>
      <c r="F17" s="91" t="s">
        <v>295</v>
      </c>
      <c r="G17">
        <v>454</v>
      </c>
      <c r="H17">
        <v>38.590000000000003</v>
      </c>
      <c r="I17">
        <v>3.28</v>
      </c>
      <c r="J17"/>
      <c r="K17"/>
      <c r="L17"/>
      <c r="M17"/>
      <c r="N17"/>
      <c r="O17"/>
      <c r="P17"/>
      <c r="Q17"/>
      <c r="R17"/>
      <c r="S17"/>
      <c r="T17"/>
    </row>
    <row r="18" spans="1:20" x14ac:dyDescent="0.3">
      <c r="A18"/>
      <c r="B18">
        <v>8</v>
      </c>
      <c r="C18">
        <v>1.0999999999999999E-2</v>
      </c>
      <c r="D18">
        <v>7.4999999999999997E-2</v>
      </c>
      <c r="E18">
        <v>3.8</v>
      </c>
      <c r="F18" s="91" t="s">
        <v>296</v>
      </c>
      <c r="G18">
        <v>455</v>
      </c>
      <c r="H18">
        <v>34.130000000000003</v>
      </c>
      <c r="I18">
        <v>2.56</v>
      </c>
      <c r="J18"/>
      <c r="K18"/>
      <c r="L18"/>
      <c r="M18"/>
      <c r="N18"/>
      <c r="O18"/>
      <c r="P18"/>
      <c r="Q18"/>
      <c r="R18"/>
      <c r="S18"/>
      <c r="T18"/>
    </row>
    <row r="19" spans="1:20" x14ac:dyDescent="0.3">
      <c r="A19"/>
      <c r="B19">
        <v>7</v>
      </c>
      <c r="C19">
        <v>1.0999999999999999E-2</v>
      </c>
      <c r="D19">
        <v>6.4000000000000001E-2</v>
      </c>
      <c r="E19">
        <v>3.8</v>
      </c>
      <c r="F19" s="91" t="s">
        <v>296</v>
      </c>
      <c r="G19">
        <v>460</v>
      </c>
      <c r="H19">
        <v>29.44</v>
      </c>
      <c r="I19">
        <v>1.88</v>
      </c>
      <c r="J19"/>
      <c r="K19"/>
      <c r="L19"/>
      <c r="M19"/>
      <c r="N19"/>
      <c r="O19"/>
      <c r="P19"/>
      <c r="Q19"/>
      <c r="R19"/>
      <c r="S19"/>
      <c r="T19"/>
    </row>
    <row r="20" spans="1:20" x14ac:dyDescent="0.3">
      <c r="A20"/>
      <c r="B20">
        <v>6</v>
      </c>
      <c r="C20">
        <v>0.01</v>
      </c>
      <c r="D20">
        <v>5.2999999999999999E-2</v>
      </c>
      <c r="E20">
        <v>3.8</v>
      </c>
      <c r="F20" s="91" t="s">
        <v>295</v>
      </c>
      <c r="G20">
        <v>467</v>
      </c>
      <c r="H20">
        <v>24.75</v>
      </c>
      <c r="I20">
        <v>1.31</v>
      </c>
      <c r="J20"/>
      <c r="K20"/>
      <c r="L20"/>
      <c r="M20"/>
      <c r="N20"/>
      <c r="O20"/>
      <c r="P20"/>
      <c r="Q20"/>
      <c r="R20"/>
      <c r="S20"/>
      <c r="T20"/>
    </row>
    <row r="21" spans="1:20" x14ac:dyDescent="0.3">
      <c r="A21"/>
      <c r="B21">
        <v>5</v>
      </c>
      <c r="C21">
        <v>0.01</v>
      </c>
      <c r="D21">
        <v>4.2999999999999997E-2</v>
      </c>
      <c r="E21">
        <v>3.8</v>
      </c>
      <c r="F21" s="91" t="s">
        <v>295</v>
      </c>
      <c r="G21">
        <v>469</v>
      </c>
      <c r="H21">
        <v>20.170000000000002</v>
      </c>
      <c r="I21">
        <v>0.87</v>
      </c>
      <c r="J21"/>
      <c r="K21"/>
      <c r="L21"/>
      <c r="M21"/>
      <c r="N21"/>
      <c r="O21"/>
      <c r="P21"/>
      <c r="Q21"/>
      <c r="R21"/>
      <c r="S21"/>
      <c r="T21"/>
    </row>
    <row r="22" spans="1:20" x14ac:dyDescent="0.3">
      <c r="A22"/>
      <c r="B22">
        <v>4</v>
      </c>
      <c r="C22">
        <v>8.9999999999999993E-3</v>
      </c>
      <c r="D22">
        <v>3.3000000000000002E-2</v>
      </c>
      <c r="E22">
        <v>3.8</v>
      </c>
      <c r="F22" s="91" t="s">
        <v>294</v>
      </c>
      <c r="G22">
        <v>471</v>
      </c>
      <c r="H22">
        <v>15.54</v>
      </c>
      <c r="I22">
        <v>0.51</v>
      </c>
      <c r="J22"/>
      <c r="K22"/>
      <c r="L22"/>
      <c r="M22"/>
      <c r="N22"/>
      <c r="O22"/>
      <c r="P22"/>
      <c r="Q22"/>
      <c r="R22"/>
      <c r="S22"/>
      <c r="T22"/>
    </row>
    <row r="23" spans="1:20" x14ac:dyDescent="0.3">
      <c r="A23"/>
      <c r="B23">
        <v>3</v>
      </c>
      <c r="C23">
        <v>8.0000000000000002E-3</v>
      </c>
      <c r="D23">
        <v>2.4E-2</v>
      </c>
      <c r="E23">
        <v>3.8</v>
      </c>
      <c r="F23" s="91" t="s">
        <v>297</v>
      </c>
      <c r="G23">
        <v>475</v>
      </c>
      <c r="H23">
        <v>11.4</v>
      </c>
      <c r="I23">
        <v>0.27</v>
      </c>
      <c r="J23"/>
      <c r="K23"/>
      <c r="L23"/>
      <c r="M23"/>
      <c r="N23"/>
      <c r="O23"/>
      <c r="P23"/>
      <c r="Q23"/>
      <c r="R23"/>
      <c r="S23"/>
      <c r="T23"/>
    </row>
    <row r="24" spans="1:20" x14ac:dyDescent="0.3">
      <c r="A24"/>
      <c r="B24">
        <v>2</v>
      </c>
      <c r="C24">
        <v>8.0000000000000002E-3</v>
      </c>
      <c r="D24">
        <v>1.6E-2</v>
      </c>
      <c r="E24">
        <v>3.8</v>
      </c>
      <c r="F24" s="91" t="s">
        <v>297</v>
      </c>
      <c r="G24">
        <v>477</v>
      </c>
      <c r="H24">
        <v>7.63</v>
      </c>
      <c r="I24">
        <v>0.12</v>
      </c>
      <c r="J24"/>
      <c r="K24"/>
      <c r="L24"/>
      <c r="M24"/>
      <c r="N24"/>
      <c r="O24"/>
      <c r="P24"/>
      <c r="Q24"/>
      <c r="R24"/>
      <c r="S24"/>
      <c r="T24"/>
    </row>
    <row r="25" spans="1:20" x14ac:dyDescent="0.3">
      <c r="A25"/>
      <c r="B25">
        <v>1</v>
      </c>
      <c r="C25">
        <v>8.0000000000000002E-3</v>
      </c>
      <c r="D25">
        <v>8.0000000000000002E-3</v>
      </c>
      <c r="E25">
        <v>4.7300000000000004</v>
      </c>
      <c r="F25" s="91" t="s">
        <v>298</v>
      </c>
      <c r="G25">
        <v>481</v>
      </c>
      <c r="H25">
        <v>3.85</v>
      </c>
      <c r="I25">
        <v>0.03</v>
      </c>
      <c r="J25"/>
      <c r="K25"/>
      <c r="L25"/>
      <c r="M25"/>
      <c r="N25"/>
      <c r="O25"/>
      <c r="P25"/>
      <c r="Q25"/>
      <c r="R25"/>
      <c r="S25"/>
      <c r="T25"/>
    </row>
    <row r="26" spans="1:20" x14ac:dyDescent="0.3">
      <c r="A26"/>
      <c r="B26"/>
      <c r="C26"/>
      <c r="D26"/>
      <c r="E26"/>
      <c r="F26"/>
      <c r="G26">
        <v>5100</v>
      </c>
      <c r="H26">
        <v>273.02</v>
      </c>
      <c r="I26">
        <v>19.48</v>
      </c>
      <c r="J26"/>
      <c r="K26"/>
      <c r="L26"/>
      <c r="M26"/>
      <c r="N26"/>
      <c r="O26"/>
      <c r="P26"/>
      <c r="Q26"/>
      <c r="R26"/>
      <c r="S26"/>
      <c r="T26"/>
    </row>
    <row r="27" spans="1:20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3">
      <c r="A28"/>
      <c r="B28"/>
      <c r="C28" t="s">
        <v>302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3">
      <c r="A30"/>
      <c r="B30"/>
      <c r="C30" t="s">
        <v>303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3">
      <c r="A32"/>
      <c r="B32"/>
      <c r="C32" t="s">
        <v>304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3">
      <c r="A35"/>
      <c r="B35" t="s">
        <v>308</v>
      </c>
      <c r="C35" t="s">
        <v>309</v>
      </c>
      <c r="D35" t="s">
        <v>310</v>
      </c>
      <c r="E35" t="s">
        <v>9</v>
      </c>
      <c r="F35" t="s">
        <v>311</v>
      </c>
      <c r="G35" t="s">
        <v>312</v>
      </c>
      <c r="H35" t="s">
        <v>313</v>
      </c>
      <c r="I35" t="s">
        <v>314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3">
      <c r="A36"/>
      <c r="B36"/>
      <c r="C36" t="s">
        <v>315</v>
      </c>
      <c r="D36" t="s">
        <v>316</v>
      </c>
      <c r="E36" t="s">
        <v>317</v>
      </c>
      <c r="F36"/>
      <c r="G36" t="s">
        <v>318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3">
      <c r="A37"/>
      <c r="B37">
        <v>11</v>
      </c>
      <c r="C37">
        <v>1.2999999999999999E-2</v>
      </c>
      <c r="D37">
        <v>0.11799999999999999</v>
      </c>
      <c r="E37">
        <v>5.07</v>
      </c>
      <c r="F37" s="91" t="s">
        <v>299</v>
      </c>
      <c r="G37">
        <v>251</v>
      </c>
      <c r="H37">
        <v>29.62</v>
      </c>
      <c r="I37">
        <v>3.49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3">
      <c r="A38"/>
      <c r="B38">
        <v>10</v>
      </c>
      <c r="C38">
        <v>8.9999999999999993E-3</v>
      </c>
      <c r="D38">
        <v>0.105</v>
      </c>
      <c r="E38">
        <v>3.8</v>
      </c>
      <c r="F38" s="91" t="s">
        <v>294</v>
      </c>
      <c r="G38">
        <v>640</v>
      </c>
      <c r="H38">
        <v>67.2</v>
      </c>
      <c r="I38">
        <v>7.06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3">
      <c r="A39"/>
      <c r="B39">
        <v>9</v>
      </c>
      <c r="C39">
        <v>1.0999999999999999E-2</v>
      </c>
      <c r="D39">
        <v>9.6000000000000002E-2</v>
      </c>
      <c r="E39">
        <v>3.8</v>
      </c>
      <c r="F39" s="91" t="s">
        <v>296</v>
      </c>
      <c r="G39">
        <v>454</v>
      </c>
      <c r="H39">
        <v>43.58</v>
      </c>
      <c r="I39">
        <v>4.18</v>
      </c>
      <c r="J39"/>
      <c r="K39"/>
      <c r="L39"/>
      <c r="M39"/>
      <c r="N39"/>
      <c r="O39"/>
      <c r="P39"/>
      <c r="Q39"/>
      <c r="R39"/>
      <c r="S39"/>
      <c r="T39"/>
    </row>
    <row r="40" spans="1:20" x14ac:dyDescent="0.3">
      <c r="A40"/>
      <c r="B40">
        <v>8</v>
      </c>
      <c r="C40">
        <v>1.2E-2</v>
      </c>
      <c r="D40">
        <v>8.5000000000000006E-2</v>
      </c>
      <c r="E40">
        <v>3.8</v>
      </c>
      <c r="F40" s="91" t="s">
        <v>300</v>
      </c>
      <c r="G40">
        <v>455</v>
      </c>
      <c r="H40">
        <v>38.68</v>
      </c>
      <c r="I40">
        <v>3.29</v>
      </c>
      <c r="J40"/>
      <c r="K40"/>
      <c r="L40"/>
      <c r="M40"/>
      <c r="N40"/>
      <c r="O40"/>
      <c r="P40"/>
      <c r="Q40"/>
      <c r="R40"/>
      <c r="S40"/>
      <c r="T40"/>
    </row>
    <row r="41" spans="1:20" x14ac:dyDescent="0.3">
      <c r="A41"/>
      <c r="B41">
        <v>7</v>
      </c>
      <c r="C41">
        <v>1.0999999999999999E-2</v>
      </c>
      <c r="D41">
        <v>7.2999999999999995E-2</v>
      </c>
      <c r="E41">
        <v>3.8</v>
      </c>
      <c r="F41" s="91" t="s">
        <v>296</v>
      </c>
      <c r="G41">
        <v>460</v>
      </c>
      <c r="H41">
        <v>33.58</v>
      </c>
      <c r="I41">
        <v>2.4500000000000002</v>
      </c>
      <c r="J41"/>
      <c r="K41"/>
      <c r="L41"/>
      <c r="M41"/>
      <c r="N41"/>
      <c r="O41"/>
      <c r="P41"/>
      <c r="Q41"/>
      <c r="R41"/>
      <c r="S41"/>
      <c r="T41"/>
    </row>
    <row r="42" spans="1:20" x14ac:dyDescent="0.3">
      <c r="A42"/>
      <c r="B42">
        <v>6</v>
      </c>
      <c r="C42">
        <v>0.01</v>
      </c>
      <c r="D42">
        <v>6.2E-2</v>
      </c>
      <c r="E42">
        <v>3.8</v>
      </c>
      <c r="F42" s="91" t="s">
        <v>295</v>
      </c>
      <c r="G42">
        <v>467</v>
      </c>
      <c r="H42">
        <v>28.95</v>
      </c>
      <c r="I42">
        <v>1.8</v>
      </c>
      <c r="J42"/>
      <c r="K42"/>
      <c r="L42"/>
      <c r="M42"/>
      <c r="N42"/>
      <c r="O42"/>
      <c r="P42"/>
      <c r="Q42"/>
      <c r="R42"/>
      <c r="S42"/>
      <c r="T42"/>
    </row>
    <row r="43" spans="1:20" x14ac:dyDescent="0.3">
      <c r="A43"/>
      <c r="B43">
        <v>5</v>
      </c>
      <c r="C43">
        <v>0.01</v>
      </c>
      <c r="D43">
        <v>5.1999999999999998E-2</v>
      </c>
      <c r="E43">
        <v>3.8</v>
      </c>
      <c r="F43" s="91" t="s">
        <v>295</v>
      </c>
      <c r="G43">
        <v>469</v>
      </c>
      <c r="H43">
        <v>24.39</v>
      </c>
      <c r="I43">
        <v>1.27</v>
      </c>
      <c r="J43"/>
      <c r="K43"/>
      <c r="L43"/>
      <c r="M43"/>
      <c r="N43"/>
      <c r="O43"/>
      <c r="P43"/>
      <c r="Q43"/>
      <c r="R43"/>
      <c r="S43"/>
      <c r="T43"/>
    </row>
    <row r="44" spans="1:20" x14ac:dyDescent="0.3">
      <c r="A44"/>
      <c r="B44">
        <v>4</v>
      </c>
      <c r="C44">
        <v>0.01</v>
      </c>
      <c r="D44">
        <v>4.2000000000000003E-2</v>
      </c>
      <c r="E44">
        <v>3.8</v>
      </c>
      <c r="F44" s="91" t="s">
        <v>295</v>
      </c>
      <c r="G44">
        <v>471</v>
      </c>
      <c r="H44">
        <v>19.78</v>
      </c>
      <c r="I44">
        <v>0.83</v>
      </c>
      <c r="J44"/>
      <c r="K44"/>
      <c r="L44"/>
      <c r="M44"/>
      <c r="N44"/>
      <c r="O44"/>
      <c r="P44"/>
      <c r="Q44"/>
      <c r="R44"/>
      <c r="S44"/>
      <c r="T44"/>
    </row>
    <row r="45" spans="1:20" x14ac:dyDescent="0.3">
      <c r="A45"/>
      <c r="B45">
        <v>3</v>
      </c>
      <c r="C45">
        <v>0.01</v>
      </c>
      <c r="D45">
        <v>3.2000000000000001E-2</v>
      </c>
      <c r="E45">
        <v>3.8</v>
      </c>
      <c r="F45" s="91" t="s">
        <v>295</v>
      </c>
      <c r="G45">
        <v>475</v>
      </c>
      <c r="H45">
        <v>15.2</v>
      </c>
      <c r="I45">
        <v>0.49</v>
      </c>
      <c r="J45"/>
      <c r="K45"/>
      <c r="L45"/>
      <c r="M45"/>
      <c r="N45"/>
      <c r="O45"/>
      <c r="P45"/>
      <c r="Q45"/>
      <c r="R45"/>
      <c r="S45"/>
      <c r="T45"/>
    </row>
    <row r="46" spans="1:20" x14ac:dyDescent="0.3">
      <c r="A46"/>
      <c r="B46">
        <v>2</v>
      </c>
      <c r="C46">
        <v>0.01</v>
      </c>
      <c r="D46">
        <v>2.1999999999999999E-2</v>
      </c>
      <c r="E46">
        <v>3.8</v>
      </c>
      <c r="F46" s="91" t="s">
        <v>295</v>
      </c>
      <c r="G46">
        <v>477</v>
      </c>
      <c r="H46">
        <v>10.49</v>
      </c>
      <c r="I46">
        <v>0.23</v>
      </c>
      <c r="J46"/>
      <c r="K46"/>
      <c r="L46"/>
      <c r="M46"/>
      <c r="N46"/>
      <c r="O46"/>
      <c r="P46"/>
      <c r="Q46"/>
      <c r="R46"/>
      <c r="S46"/>
      <c r="T46"/>
    </row>
    <row r="47" spans="1:20" x14ac:dyDescent="0.3">
      <c r="A47"/>
      <c r="B47">
        <v>1</v>
      </c>
      <c r="C47">
        <v>1.2E-2</v>
      </c>
      <c r="D47">
        <v>1.2E-2</v>
      </c>
      <c r="E47">
        <v>4.7300000000000004</v>
      </c>
      <c r="F47" s="91" t="s">
        <v>301</v>
      </c>
      <c r="G47">
        <v>481</v>
      </c>
      <c r="H47">
        <v>5.77</v>
      </c>
      <c r="I47">
        <v>7.0000000000000007E-2</v>
      </c>
      <c r="J47"/>
      <c r="K47"/>
      <c r="L47"/>
      <c r="M47"/>
      <c r="N47"/>
      <c r="O47"/>
      <c r="P47"/>
      <c r="Q47"/>
      <c r="R47"/>
      <c r="S47"/>
      <c r="T47"/>
    </row>
    <row r="48" spans="1:20" x14ac:dyDescent="0.3">
      <c r="A48"/>
      <c r="B48"/>
      <c r="C48"/>
      <c r="D48"/>
      <c r="E48"/>
      <c r="F48"/>
      <c r="G48">
        <v>5100</v>
      </c>
      <c r="H48">
        <v>317.25</v>
      </c>
      <c r="I48">
        <v>25.15</v>
      </c>
      <c r="J48"/>
      <c r="K48"/>
      <c r="L48"/>
      <c r="M48"/>
      <c r="N48"/>
      <c r="O48"/>
      <c r="P48"/>
      <c r="Q48"/>
      <c r="R48"/>
      <c r="S48"/>
      <c r="T48"/>
    </row>
    <row r="49" spans="1:2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3">
      <c r="A50"/>
      <c r="B50"/>
      <c r="C50" t="s">
        <v>305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3">
      <c r="A52"/>
      <c r="B52"/>
      <c r="C52" t="s">
        <v>306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3">
      <c r="A54"/>
      <c r="B54"/>
      <c r="C54" t="s">
        <v>307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d_period">
                <anchor moveWithCells="1" sizeWithCells="1">
                  <from>
                    <xdr:col>3</xdr:col>
                    <xdr:colOff>278130</xdr:colOff>
                    <xdr:row>1</xdr:row>
                    <xdr:rowOff>38100</xdr:rowOff>
                  </from>
                  <to>
                    <xdr:col>4</xdr:col>
                    <xdr:colOff>335280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AEE2-CCD6-440D-9AD8-5CE7611EE841}">
  <sheetPr codeName="Sheet23"/>
  <dimension ref="A1:GR266"/>
  <sheetViews>
    <sheetView topLeftCell="A13" zoomScaleNormal="100" workbookViewId="0">
      <selection activeCell="D49" sqref="D49"/>
    </sheetView>
  </sheetViews>
  <sheetFormatPr defaultColWidth="17.87890625" defaultRowHeight="13.5" x14ac:dyDescent="0.3"/>
  <cols>
    <col min="1" max="1" width="5.29296875" style="65" customWidth="1"/>
    <col min="2" max="3" width="9.87890625" style="65" customWidth="1"/>
    <col min="4" max="4" width="11" style="65" customWidth="1"/>
    <col min="5" max="8" width="9.87890625" style="65" customWidth="1"/>
    <col min="9" max="17" width="8.703125" style="65" customWidth="1"/>
    <col min="18" max="18" width="11" style="65" customWidth="1"/>
    <col min="19" max="19" width="17.41015625" style="65" customWidth="1"/>
    <col min="20" max="54" width="11" style="65" customWidth="1"/>
    <col min="55" max="256" width="17.87890625" style="65"/>
    <col min="257" max="257" width="5.29296875" style="65" customWidth="1"/>
    <col min="258" max="310" width="11" style="65" customWidth="1"/>
    <col min="311" max="512" width="17.87890625" style="65"/>
    <col min="513" max="513" width="5.29296875" style="65" customWidth="1"/>
    <col min="514" max="566" width="11" style="65" customWidth="1"/>
    <col min="567" max="768" width="17.87890625" style="65"/>
    <col min="769" max="769" width="5.29296875" style="65" customWidth="1"/>
    <col min="770" max="822" width="11" style="65" customWidth="1"/>
    <col min="823" max="1024" width="17.87890625" style="65"/>
    <col min="1025" max="1025" width="5.29296875" style="65" customWidth="1"/>
    <col min="1026" max="1078" width="11" style="65" customWidth="1"/>
    <col min="1079" max="1280" width="17.87890625" style="65"/>
    <col min="1281" max="1281" width="5.29296875" style="65" customWidth="1"/>
    <col min="1282" max="1334" width="11" style="65" customWidth="1"/>
    <col min="1335" max="1536" width="17.87890625" style="65"/>
    <col min="1537" max="1537" width="5.29296875" style="65" customWidth="1"/>
    <col min="1538" max="1590" width="11" style="65" customWidth="1"/>
    <col min="1591" max="1792" width="17.87890625" style="65"/>
    <col min="1793" max="1793" width="5.29296875" style="65" customWidth="1"/>
    <col min="1794" max="1846" width="11" style="65" customWidth="1"/>
    <col min="1847" max="2048" width="17.87890625" style="65"/>
    <col min="2049" max="2049" width="5.29296875" style="65" customWidth="1"/>
    <col min="2050" max="2102" width="11" style="65" customWidth="1"/>
    <col min="2103" max="2304" width="17.87890625" style="65"/>
    <col min="2305" max="2305" width="5.29296875" style="65" customWidth="1"/>
    <col min="2306" max="2358" width="11" style="65" customWidth="1"/>
    <col min="2359" max="2560" width="17.87890625" style="65"/>
    <col min="2561" max="2561" width="5.29296875" style="65" customWidth="1"/>
    <col min="2562" max="2614" width="11" style="65" customWidth="1"/>
    <col min="2615" max="2816" width="17.87890625" style="65"/>
    <col min="2817" max="2817" width="5.29296875" style="65" customWidth="1"/>
    <col min="2818" max="2870" width="11" style="65" customWidth="1"/>
    <col min="2871" max="3072" width="17.87890625" style="65"/>
    <col min="3073" max="3073" width="5.29296875" style="65" customWidth="1"/>
    <col min="3074" max="3126" width="11" style="65" customWidth="1"/>
    <col min="3127" max="3328" width="17.87890625" style="65"/>
    <col min="3329" max="3329" width="5.29296875" style="65" customWidth="1"/>
    <col min="3330" max="3382" width="11" style="65" customWidth="1"/>
    <col min="3383" max="3584" width="17.87890625" style="65"/>
    <col min="3585" max="3585" width="5.29296875" style="65" customWidth="1"/>
    <col min="3586" max="3638" width="11" style="65" customWidth="1"/>
    <col min="3639" max="3840" width="17.87890625" style="65"/>
    <col min="3841" max="3841" width="5.29296875" style="65" customWidth="1"/>
    <col min="3842" max="3894" width="11" style="65" customWidth="1"/>
    <col min="3895" max="4096" width="17.87890625" style="65"/>
    <col min="4097" max="4097" width="5.29296875" style="65" customWidth="1"/>
    <col min="4098" max="4150" width="11" style="65" customWidth="1"/>
    <col min="4151" max="4352" width="17.87890625" style="65"/>
    <col min="4353" max="4353" width="5.29296875" style="65" customWidth="1"/>
    <col min="4354" max="4406" width="11" style="65" customWidth="1"/>
    <col min="4407" max="4608" width="17.87890625" style="65"/>
    <col min="4609" max="4609" width="5.29296875" style="65" customWidth="1"/>
    <col min="4610" max="4662" width="11" style="65" customWidth="1"/>
    <col min="4663" max="4864" width="17.87890625" style="65"/>
    <col min="4865" max="4865" width="5.29296875" style="65" customWidth="1"/>
    <col min="4866" max="4918" width="11" style="65" customWidth="1"/>
    <col min="4919" max="5120" width="17.87890625" style="65"/>
    <col min="5121" max="5121" width="5.29296875" style="65" customWidth="1"/>
    <col min="5122" max="5174" width="11" style="65" customWidth="1"/>
    <col min="5175" max="5376" width="17.87890625" style="65"/>
    <col min="5377" max="5377" width="5.29296875" style="65" customWidth="1"/>
    <col min="5378" max="5430" width="11" style="65" customWidth="1"/>
    <col min="5431" max="5632" width="17.87890625" style="65"/>
    <col min="5633" max="5633" width="5.29296875" style="65" customWidth="1"/>
    <col min="5634" max="5686" width="11" style="65" customWidth="1"/>
    <col min="5687" max="5888" width="17.87890625" style="65"/>
    <col min="5889" max="5889" width="5.29296875" style="65" customWidth="1"/>
    <col min="5890" max="5942" width="11" style="65" customWidth="1"/>
    <col min="5943" max="6144" width="17.87890625" style="65"/>
    <col min="6145" max="6145" width="5.29296875" style="65" customWidth="1"/>
    <col min="6146" max="6198" width="11" style="65" customWidth="1"/>
    <col min="6199" max="6400" width="17.87890625" style="65"/>
    <col min="6401" max="6401" width="5.29296875" style="65" customWidth="1"/>
    <col min="6402" max="6454" width="11" style="65" customWidth="1"/>
    <col min="6455" max="6656" width="17.87890625" style="65"/>
    <col min="6657" max="6657" width="5.29296875" style="65" customWidth="1"/>
    <col min="6658" max="6710" width="11" style="65" customWidth="1"/>
    <col min="6711" max="6912" width="17.87890625" style="65"/>
    <col min="6913" max="6913" width="5.29296875" style="65" customWidth="1"/>
    <col min="6914" max="6966" width="11" style="65" customWidth="1"/>
    <col min="6967" max="7168" width="17.87890625" style="65"/>
    <col min="7169" max="7169" width="5.29296875" style="65" customWidth="1"/>
    <col min="7170" max="7222" width="11" style="65" customWidth="1"/>
    <col min="7223" max="7424" width="17.87890625" style="65"/>
    <col min="7425" max="7425" width="5.29296875" style="65" customWidth="1"/>
    <col min="7426" max="7478" width="11" style="65" customWidth="1"/>
    <col min="7479" max="7680" width="17.87890625" style="65"/>
    <col min="7681" max="7681" width="5.29296875" style="65" customWidth="1"/>
    <col min="7682" max="7734" width="11" style="65" customWidth="1"/>
    <col min="7735" max="7936" width="17.87890625" style="65"/>
    <col min="7937" max="7937" width="5.29296875" style="65" customWidth="1"/>
    <col min="7938" max="7990" width="11" style="65" customWidth="1"/>
    <col min="7991" max="8192" width="17.87890625" style="65"/>
    <col min="8193" max="8193" width="5.29296875" style="65" customWidth="1"/>
    <col min="8194" max="8246" width="11" style="65" customWidth="1"/>
    <col min="8247" max="8448" width="17.87890625" style="65"/>
    <col min="8449" max="8449" width="5.29296875" style="65" customWidth="1"/>
    <col min="8450" max="8502" width="11" style="65" customWidth="1"/>
    <col min="8503" max="8704" width="17.87890625" style="65"/>
    <col min="8705" max="8705" width="5.29296875" style="65" customWidth="1"/>
    <col min="8706" max="8758" width="11" style="65" customWidth="1"/>
    <col min="8759" max="8960" width="17.87890625" style="65"/>
    <col min="8961" max="8961" width="5.29296875" style="65" customWidth="1"/>
    <col min="8962" max="9014" width="11" style="65" customWidth="1"/>
    <col min="9015" max="9216" width="17.87890625" style="65"/>
    <col min="9217" max="9217" width="5.29296875" style="65" customWidth="1"/>
    <col min="9218" max="9270" width="11" style="65" customWidth="1"/>
    <col min="9271" max="9472" width="17.87890625" style="65"/>
    <col min="9473" max="9473" width="5.29296875" style="65" customWidth="1"/>
    <col min="9474" max="9526" width="11" style="65" customWidth="1"/>
    <col min="9527" max="9728" width="17.87890625" style="65"/>
    <col min="9729" max="9729" width="5.29296875" style="65" customWidth="1"/>
    <col min="9730" max="9782" width="11" style="65" customWidth="1"/>
    <col min="9783" max="9984" width="17.87890625" style="65"/>
    <col min="9985" max="9985" width="5.29296875" style="65" customWidth="1"/>
    <col min="9986" max="10038" width="11" style="65" customWidth="1"/>
    <col min="10039" max="10240" width="17.87890625" style="65"/>
    <col min="10241" max="10241" width="5.29296875" style="65" customWidth="1"/>
    <col min="10242" max="10294" width="11" style="65" customWidth="1"/>
    <col min="10295" max="10496" width="17.87890625" style="65"/>
    <col min="10497" max="10497" width="5.29296875" style="65" customWidth="1"/>
    <col min="10498" max="10550" width="11" style="65" customWidth="1"/>
    <col min="10551" max="10752" width="17.87890625" style="65"/>
    <col min="10753" max="10753" width="5.29296875" style="65" customWidth="1"/>
    <col min="10754" max="10806" width="11" style="65" customWidth="1"/>
    <col min="10807" max="11008" width="17.87890625" style="65"/>
    <col min="11009" max="11009" width="5.29296875" style="65" customWidth="1"/>
    <col min="11010" max="11062" width="11" style="65" customWidth="1"/>
    <col min="11063" max="11264" width="17.87890625" style="65"/>
    <col min="11265" max="11265" width="5.29296875" style="65" customWidth="1"/>
    <col min="11266" max="11318" width="11" style="65" customWidth="1"/>
    <col min="11319" max="11520" width="17.87890625" style="65"/>
    <col min="11521" max="11521" width="5.29296875" style="65" customWidth="1"/>
    <col min="11522" max="11574" width="11" style="65" customWidth="1"/>
    <col min="11575" max="11776" width="17.87890625" style="65"/>
    <col min="11777" max="11777" width="5.29296875" style="65" customWidth="1"/>
    <col min="11778" max="11830" width="11" style="65" customWidth="1"/>
    <col min="11831" max="12032" width="17.87890625" style="65"/>
    <col min="12033" max="12033" width="5.29296875" style="65" customWidth="1"/>
    <col min="12034" max="12086" width="11" style="65" customWidth="1"/>
    <col min="12087" max="12288" width="17.87890625" style="65"/>
    <col min="12289" max="12289" width="5.29296875" style="65" customWidth="1"/>
    <col min="12290" max="12342" width="11" style="65" customWidth="1"/>
    <col min="12343" max="12544" width="17.87890625" style="65"/>
    <col min="12545" max="12545" width="5.29296875" style="65" customWidth="1"/>
    <col min="12546" max="12598" width="11" style="65" customWidth="1"/>
    <col min="12599" max="12800" width="17.87890625" style="65"/>
    <col min="12801" max="12801" width="5.29296875" style="65" customWidth="1"/>
    <col min="12802" max="12854" width="11" style="65" customWidth="1"/>
    <col min="12855" max="13056" width="17.87890625" style="65"/>
    <col min="13057" max="13057" width="5.29296875" style="65" customWidth="1"/>
    <col min="13058" max="13110" width="11" style="65" customWidth="1"/>
    <col min="13111" max="13312" width="17.87890625" style="65"/>
    <col min="13313" max="13313" width="5.29296875" style="65" customWidth="1"/>
    <col min="13314" max="13366" width="11" style="65" customWidth="1"/>
    <col min="13367" max="13568" width="17.87890625" style="65"/>
    <col min="13569" max="13569" width="5.29296875" style="65" customWidth="1"/>
    <col min="13570" max="13622" width="11" style="65" customWidth="1"/>
    <col min="13623" max="13824" width="17.87890625" style="65"/>
    <col min="13825" max="13825" width="5.29296875" style="65" customWidth="1"/>
    <col min="13826" max="13878" width="11" style="65" customWidth="1"/>
    <col min="13879" max="14080" width="17.87890625" style="65"/>
    <col min="14081" max="14081" width="5.29296875" style="65" customWidth="1"/>
    <col min="14082" max="14134" width="11" style="65" customWidth="1"/>
    <col min="14135" max="14336" width="17.87890625" style="65"/>
    <col min="14337" max="14337" width="5.29296875" style="65" customWidth="1"/>
    <col min="14338" max="14390" width="11" style="65" customWidth="1"/>
    <col min="14391" max="14592" width="17.87890625" style="65"/>
    <col min="14593" max="14593" width="5.29296875" style="65" customWidth="1"/>
    <col min="14594" max="14646" width="11" style="65" customWidth="1"/>
    <col min="14647" max="14848" width="17.87890625" style="65"/>
    <col min="14849" max="14849" width="5.29296875" style="65" customWidth="1"/>
    <col min="14850" max="14902" width="11" style="65" customWidth="1"/>
    <col min="14903" max="15104" width="17.87890625" style="65"/>
    <col min="15105" max="15105" width="5.29296875" style="65" customWidth="1"/>
    <col min="15106" max="15158" width="11" style="65" customWidth="1"/>
    <col min="15159" max="15360" width="17.87890625" style="65"/>
    <col min="15361" max="15361" width="5.29296875" style="65" customWidth="1"/>
    <col min="15362" max="15414" width="11" style="65" customWidth="1"/>
    <col min="15415" max="15616" width="17.87890625" style="65"/>
    <col min="15617" max="15617" width="5.29296875" style="65" customWidth="1"/>
    <col min="15618" max="15670" width="11" style="65" customWidth="1"/>
    <col min="15671" max="15872" width="17.87890625" style="65"/>
    <col min="15873" max="15873" width="5.29296875" style="65" customWidth="1"/>
    <col min="15874" max="15926" width="11" style="65" customWidth="1"/>
    <col min="15927" max="16128" width="17.87890625" style="65"/>
    <col min="16129" max="16129" width="5.29296875" style="65" customWidth="1"/>
    <col min="16130" max="16182" width="11" style="65" customWidth="1"/>
    <col min="16183" max="16384" width="17.87890625" style="65"/>
  </cols>
  <sheetData>
    <row r="1" spans="1:200" x14ac:dyDescent="0.3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3">
      <c r="B2" s="65" t="s">
        <v>212</v>
      </c>
      <c r="L2" s="65" t="s">
        <v>259</v>
      </c>
    </row>
    <row r="4" spans="1:200" x14ac:dyDescent="0.3">
      <c r="B4" s="82" t="s">
        <v>0</v>
      </c>
      <c r="C4" s="82" t="s">
        <v>144</v>
      </c>
      <c r="D4" s="82" t="s">
        <v>151</v>
      </c>
      <c r="E4" s="82" t="s">
        <v>255</v>
      </c>
      <c r="F4" s="82" t="s">
        <v>256</v>
      </c>
      <c r="G4" s="82" t="s">
        <v>140</v>
      </c>
      <c r="L4" s="80" t="s">
        <v>266</v>
      </c>
      <c r="M4" s="81">
        <f>+C5</f>
        <v>1.2359999418258667</v>
      </c>
    </row>
    <row r="5" spans="1:200" x14ac:dyDescent="0.3">
      <c r="B5" s="82">
        <f>損傷限界固有周期!E5</f>
        <v>11</v>
      </c>
      <c r="C5" s="85">
        <f>損傷限界固有周期!H9</f>
        <v>1.2359999418258667</v>
      </c>
      <c r="D5" s="85">
        <f>損傷限界固有周期!H10</f>
        <v>1.3940000534057617</v>
      </c>
      <c r="E5" s="82">
        <f>損傷限界固有周期!E10</f>
        <v>3826</v>
      </c>
      <c r="F5" s="82">
        <f>損傷限界固有周期!E11</f>
        <v>4001</v>
      </c>
      <c r="G5" s="82">
        <f>損傷限界固有周期!E9</f>
        <v>5100</v>
      </c>
      <c r="L5" s="65" t="str">
        <f>IF(C5&lt;=0.16,"Pdi=","")</f>
        <v/>
      </c>
      <c r="M5" s="65" t="s">
        <v>260</v>
      </c>
      <c r="R5" s="65" t="s">
        <v>263</v>
      </c>
    </row>
    <row r="6" spans="1:200" x14ac:dyDescent="0.3">
      <c r="L6" s="80" t="str">
        <f>IF(C5&lt;=0.64,IF(C5&gt;0.16,"Pdi=",""),"")</f>
        <v/>
      </c>
      <c r="M6" s="65" t="s">
        <v>261</v>
      </c>
      <c r="Q6" s="65">
        <v>0.16</v>
      </c>
      <c r="R6" s="65" t="s">
        <v>265</v>
      </c>
    </row>
    <row r="7" spans="1:200" x14ac:dyDescent="0.3">
      <c r="B7" s="65" t="s">
        <v>226</v>
      </c>
      <c r="L7" s="80" t="str">
        <f>IF(C5&gt;0.64,"Pdi=","")</f>
        <v>Pdi=</v>
      </c>
      <c r="M7" s="65" t="s">
        <v>267</v>
      </c>
      <c r="Q7" s="65">
        <v>0.64</v>
      </c>
      <c r="R7" s="65" t="s">
        <v>264</v>
      </c>
    </row>
    <row r="8" spans="1:200" x14ac:dyDescent="0.3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200" x14ac:dyDescent="0.3">
      <c r="B9" s="22" t="s">
        <v>0</v>
      </c>
      <c r="C9" s="11" t="s">
        <v>224</v>
      </c>
      <c r="D9" s="11"/>
      <c r="E9" s="11" t="s">
        <v>225</v>
      </c>
      <c r="F9" s="11"/>
      <c r="G9" s="11"/>
      <c r="H9" s="11"/>
      <c r="I9" s="11"/>
      <c r="J9" s="11"/>
      <c r="K9" s="11"/>
      <c r="M9" s="82" t="s">
        <v>195</v>
      </c>
      <c r="N9" s="82" t="s">
        <v>123</v>
      </c>
      <c r="O9" s="82" t="s">
        <v>258</v>
      </c>
      <c r="P9" s="82" t="s">
        <v>268</v>
      </c>
      <c r="S9" s="11"/>
    </row>
    <row r="10" spans="1:200" x14ac:dyDescent="0.3">
      <c r="B10" s="22">
        <v>1</v>
      </c>
      <c r="C10" s="11" t="s">
        <v>106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0.8284790033948608</v>
      </c>
      <c r="N10" s="82">
        <f>損傷限界固有周期!E6</f>
        <v>1</v>
      </c>
      <c r="O10" s="82">
        <f>C52</f>
        <v>2.0249999999999999</v>
      </c>
      <c r="P10" s="82">
        <f>M10*N10*O10</f>
        <v>1.677669981874593</v>
      </c>
      <c r="S10" s="11"/>
    </row>
    <row r="11" spans="1:200" x14ac:dyDescent="0.3">
      <c r="B11" s="22">
        <v>2</v>
      </c>
      <c r="C11" s="11" t="s">
        <v>107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3">
      <c r="B12" s="22">
        <v>3</v>
      </c>
      <c r="C12" s="11" t="s">
        <v>108</v>
      </c>
      <c r="D12" s="11"/>
      <c r="E12" s="26">
        <v>0.9</v>
      </c>
      <c r="F12" s="11"/>
      <c r="G12" s="11"/>
      <c r="H12" s="11"/>
      <c r="I12" s="11"/>
      <c r="J12" s="11"/>
      <c r="L12" s="80"/>
      <c r="M12" s="81"/>
      <c r="S12" s="11"/>
    </row>
    <row r="13" spans="1:200" x14ac:dyDescent="0.3">
      <c r="B13" s="22">
        <v>4</v>
      </c>
      <c r="C13" s="11" t="s">
        <v>109</v>
      </c>
      <c r="D13" s="11"/>
      <c r="E13" s="26">
        <v>0.95</v>
      </c>
      <c r="F13" s="11"/>
      <c r="G13" s="11"/>
      <c r="H13" s="11"/>
      <c r="I13" s="11"/>
      <c r="J13" s="11"/>
      <c r="L13" s="80" t="s">
        <v>269</v>
      </c>
      <c r="M13" s="78">
        <f>D5</f>
        <v>1.3940000534057617</v>
      </c>
      <c r="S13" s="11"/>
    </row>
    <row r="14" spans="1:200" x14ac:dyDescent="0.3">
      <c r="B14" s="22" t="s">
        <v>105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L14" s="65" t="str">
        <f>IF(C10&lt;=0.16,"Pdi=","")</f>
        <v/>
      </c>
      <c r="M14" s="65" t="s">
        <v>260</v>
      </c>
      <c r="R14" s="65" t="s">
        <v>263</v>
      </c>
      <c r="S14" s="11"/>
    </row>
    <row r="15" spans="1:200" x14ac:dyDescent="0.3">
      <c r="H15" s="11"/>
      <c r="I15" s="11"/>
      <c r="J15" s="11"/>
      <c r="L15" s="80" t="str">
        <f>IF(C10&lt;=0.64,IF(C10&gt;0.16,"Pdi=",""),"")</f>
        <v/>
      </c>
      <c r="M15" s="65" t="s">
        <v>261</v>
      </c>
      <c r="Q15" s="65">
        <v>0.16</v>
      </c>
      <c r="R15" s="65" t="s">
        <v>265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3">
      <c r="B16" s="82"/>
      <c r="C16" s="82" t="s">
        <v>24</v>
      </c>
      <c r="D16" s="82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262</v>
      </c>
      <c r="Q16" s="65">
        <v>0.64</v>
      </c>
      <c r="R16" s="65" t="s">
        <v>264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3">
      <c r="B17" s="82" t="s">
        <v>124</v>
      </c>
      <c r="C17" s="86" cm="1">
        <f t="array" ref="C17">bdi_p(B5,C5)</f>
        <v>1</v>
      </c>
      <c r="D17" s="86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3">
      <c r="H18" s="11"/>
      <c r="I18" s="11"/>
      <c r="J18" s="11"/>
      <c r="K18" s="11"/>
      <c r="L18" s="68"/>
      <c r="M18" s="82" t="s">
        <v>195</v>
      </c>
      <c r="N18" s="82" t="s">
        <v>123</v>
      </c>
      <c r="O18" s="82" t="s">
        <v>258</v>
      </c>
      <c r="P18" s="82" t="s">
        <v>268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3">
      <c r="B19" s="65" t="s">
        <v>227</v>
      </c>
      <c r="I19" s="11"/>
      <c r="J19" s="11"/>
      <c r="K19" s="11"/>
      <c r="L19" s="68"/>
      <c r="M19" s="82" cm="1">
        <f t="array" ref="M19">Pdi_alf(M13)</f>
        <v>0.73457672938979213</v>
      </c>
      <c r="N19" s="82">
        <f>N10</f>
        <v>1</v>
      </c>
      <c r="O19" s="82">
        <f>D52</f>
        <v>2.0249999999999999</v>
      </c>
      <c r="P19" s="82">
        <f>M19*N19*O19</f>
        <v>1.4875178770143289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3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3">
      <c r="C21" s="42" t="s">
        <v>110</v>
      </c>
      <c r="D21" s="42" t="s">
        <v>111</v>
      </c>
      <c r="F21" s="42" t="s">
        <v>223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3">
      <c r="C22" s="42"/>
      <c r="D22" s="42" t="s">
        <v>112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3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3">
      <c r="B24" s="87"/>
      <c r="C24" s="82" t="s">
        <v>24</v>
      </c>
      <c r="D24" s="82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3">
      <c r="B25" s="82" t="s">
        <v>231</v>
      </c>
      <c r="C25" s="86">
        <f>E5/G5</f>
        <v>0.75019607843137259</v>
      </c>
      <c r="D25" s="86">
        <f>F5/G5</f>
        <v>0.78450980392156866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3">
      <c r="B26" s="82" t="s">
        <v>124</v>
      </c>
      <c r="C26" s="86" cm="1">
        <f t="array" ref="C26">bdi_q(E5,G5)</f>
        <v>1</v>
      </c>
      <c r="D26" s="86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3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3">
      <c r="B28" s="65" t="s">
        <v>232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3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3">
      <c r="B30" s="65" t="s">
        <v>233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3">
      <c r="F31" s="65" t="s">
        <v>238</v>
      </c>
      <c r="G31" s="65" t="s">
        <v>240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3">
      <c r="B32" s="65" t="s">
        <v>242</v>
      </c>
      <c r="F32" s="65" t="s">
        <v>239</v>
      </c>
      <c r="G32" s="65" t="s">
        <v>241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3">
      <c r="B33" s="65" t="s">
        <v>243</v>
      </c>
      <c r="D33" s="65" t="s">
        <v>247</v>
      </c>
      <c r="F33" s="65" t="s">
        <v>234</v>
      </c>
      <c r="H33" s="65" t="s">
        <v>247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3">
      <c r="B34" s="65" t="s">
        <v>244</v>
      </c>
      <c r="D34" s="65" t="s">
        <v>246</v>
      </c>
      <c r="F34" s="65" t="s">
        <v>235</v>
      </c>
      <c r="H34" s="65" t="s">
        <v>249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3">
      <c r="B35" s="65" t="s">
        <v>245</v>
      </c>
      <c r="D35" s="65" t="s">
        <v>248</v>
      </c>
      <c r="F35" s="65" t="s">
        <v>236</v>
      </c>
      <c r="H35" s="65" t="s">
        <v>250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3">
      <c r="F36" s="65" t="s">
        <v>237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3">
      <c r="B37" s="87" t="s">
        <v>222</v>
      </c>
      <c r="C37" s="87" t="s">
        <v>214</v>
      </c>
      <c r="D37" s="87" t="s">
        <v>213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3">
      <c r="B38" s="87">
        <v>2</v>
      </c>
      <c r="C38" s="87" cm="1">
        <f t="array" ref="C38">Gs387_7_2(C5,B38)</f>
        <v>2.0249999999999999</v>
      </c>
      <c r="D38" s="87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3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3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3">
      <c r="B41" s="65" t="s">
        <v>251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3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3">
      <c r="C43" s="42" t="s">
        <v>205</v>
      </c>
      <c r="D43" s="43" t="s">
        <v>209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3">
      <c r="B44" s="11"/>
      <c r="C44" s="42" t="s">
        <v>206</v>
      </c>
      <c r="D44" s="43" t="s">
        <v>210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3">
      <c r="B45" s="11"/>
      <c r="C45" s="42" t="s">
        <v>207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3">
      <c r="B46" s="11"/>
      <c r="C46" s="65" t="s">
        <v>208</v>
      </c>
      <c r="D46" s="65" t="s">
        <v>211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3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3">
      <c r="C48" s="82" t="s">
        <v>214</v>
      </c>
      <c r="D48" s="82" t="s">
        <v>213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3">
      <c r="C49" s="85">
        <f>GS!B16</f>
        <v>1.4801617860794067</v>
      </c>
      <c r="D49" s="85">
        <f>GS!C16</f>
        <v>1.4178048372268677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3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3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3">
      <c r="B52" s="83" t="s">
        <v>257</v>
      </c>
      <c r="C52" s="83">
        <f>IF(E52=1,C38,C49)</f>
        <v>2.0249999999999999</v>
      </c>
      <c r="D52" s="83">
        <f>IF(E52=1,D38,D49)</f>
        <v>2.0249999999999999</v>
      </c>
      <c r="E52" s="84">
        <v>1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3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3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3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3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3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3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3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3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3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3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3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3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3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3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3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3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3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3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3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3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3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3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3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3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3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3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3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3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3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3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3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3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3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3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3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3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3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3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3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3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3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3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3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3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3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3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3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3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3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3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3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3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3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3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3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3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3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3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3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3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3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3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3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3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3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3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3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3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3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3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3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3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3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3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3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3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3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3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3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3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3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3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3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3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3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3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3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3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3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3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3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3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3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3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3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3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3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3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3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3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3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3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3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3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3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3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3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3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3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3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3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3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3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3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3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3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3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3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3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3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3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3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3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3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3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3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3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3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3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3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3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3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3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3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3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3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3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3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3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3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3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3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3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3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3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3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3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3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3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3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3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3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3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3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3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3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3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3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3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3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3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3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3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3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3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3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3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3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3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3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3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3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3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3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4182-5A82-4699-9196-EC8217F4542A}">
  <sheetPr codeName="Sheet2"/>
  <dimension ref="A1:AA100"/>
  <sheetViews>
    <sheetView workbookViewId="0">
      <selection activeCell="H7" sqref="H7"/>
    </sheetView>
  </sheetViews>
  <sheetFormatPr defaultColWidth="9.1171875" defaultRowHeight="13.5" x14ac:dyDescent="0.3"/>
  <cols>
    <col min="1" max="7" width="9.1171875" style="11"/>
    <col min="8" max="8" width="9.87890625" style="11" bestFit="1" customWidth="1"/>
    <col min="9" max="12" width="9.1171875" style="11"/>
    <col min="13" max="22" width="8.703125" style="11" customWidth="1"/>
    <col min="23" max="16384" width="9.1171875" style="11"/>
  </cols>
  <sheetData>
    <row r="1" spans="1:22" x14ac:dyDescent="0.3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</row>
    <row r="2" spans="1:22" x14ac:dyDescent="0.3">
      <c r="E2" s="54" t="s">
        <v>24</v>
      </c>
      <c r="F2" s="54" t="s">
        <v>25</v>
      </c>
      <c r="J2" s="42"/>
    </row>
    <row r="3" spans="1:22" x14ac:dyDescent="0.3">
      <c r="D3" s="54" t="s">
        <v>154</v>
      </c>
      <c r="E3">
        <v>1.2359999418258667</v>
      </c>
      <c r="F3">
        <v>1.3940000534057617</v>
      </c>
      <c r="G3" s="42" t="s">
        <v>352</v>
      </c>
      <c r="H3" s="43" t="str" cm="1">
        <f t="array" ref="H3">pdi_cal(1,E3)</f>
        <v>Pdi=(1.024*mi*Bdi*Z*Gs)/Td ,Td&gt;0.64</v>
      </c>
      <c r="I3" s="22"/>
    </row>
    <row r="4" spans="1:22" ht="15" x14ac:dyDescent="0.3">
      <c r="D4" s="42" t="s">
        <v>171</v>
      </c>
      <c r="E4">
        <v>3826</v>
      </c>
      <c r="F4">
        <v>4001</v>
      </c>
      <c r="H4" s="43"/>
      <c r="I4" s="22"/>
      <c r="N4" s="45"/>
      <c r="O4" s="45"/>
      <c r="P4" s="45"/>
      <c r="Q4" s="45"/>
      <c r="R4" s="45"/>
      <c r="S4" s="45"/>
      <c r="T4" s="45"/>
      <c r="U4" s="45"/>
      <c r="V4" s="45"/>
    </row>
    <row r="5" spans="1:22" x14ac:dyDescent="0.3">
      <c r="D5" s="42" t="s">
        <v>172</v>
      </c>
      <c r="E5">
        <v>0.75</v>
      </c>
      <c r="F5">
        <v>0.7850000262260437</v>
      </c>
      <c r="H5" s="43"/>
      <c r="K5" s="42"/>
    </row>
    <row r="6" spans="1:22" x14ac:dyDescent="0.3">
      <c r="D6" s="54" t="s">
        <v>156</v>
      </c>
      <c r="E6">
        <v>7057</v>
      </c>
      <c r="F6">
        <v>6444</v>
      </c>
      <c r="G6" s="42" t="s">
        <v>353</v>
      </c>
      <c r="H6" s="43" t="str" cm="1">
        <f t="array" ref="H6">pdi_cal(1,F3)</f>
        <v>Pdi=(1.024*mi*Bdi*Z*Gs)/Td ,Td&gt;0.64</v>
      </c>
      <c r="I6" s="79"/>
      <c r="J6" s="55"/>
      <c r="K6" s="42"/>
    </row>
    <row r="7" spans="1:22" x14ac:dyDescent="0.3">
      <c r="D7" s="54" t="s">
        <v>168</v>
      </c>
      <c r="E7">
        <v>6419</v>
      </c>
      <c r="F7">
        <v>5952</v>
      </c>
      <c r="H7" s="42"/>
      <c r="I7" s="79"/>
      <c r="J7" s="55"/>
    </row>
    <row r="8" spans="1:22" x14ac:dyDescent="0.3">
      <c r="D8" s="54" t="s">
        <v>155</v>
      </c>
      <c r="E8">
        <v>1.0989999771118164</v>
      </c>
      <c r="F8">
        <v>1.0829999446868896</v>
      </c>
      <c r="J8" s="55"/>
      <c r="O8" s="42"/>
      <c r="P8" s="42"/>
    </row>
    <row r="9" spans="1:22" x14ac:dyDescent="0.3">
      <c r="D9" s="54" t="s">
        <v>157</v>
      </c>
      <c r="H9" s="93">
        <v>1</v>
      </c>
      <c r="I9" s="93">
        <v>1</v>
      </c>
      <c r="J9" s="55"/>
      <c r="O9" s="42"/>
      <c r="P9" s="42"/>
    </row>
    <row r="10" spans="1:22" x14ac:dyDescent="0.3">
      <c r="O10" s="42"/>
      <c r="P10" s="42"/>
    </row>
    <row r="11" spans="1:22" x14ac:dyDescent="0.3">
      <c r="A11" s="11">
        <v>1</v>
      </c>
      <c r="B11" s="11">
        <v>2</v>
      </c>
      <c r="C11" s="11">
        <v>3</v>
      </c>
      <c r="D11" s="11">
        <v>4</v>
      </c>
      <c r="E11" s="11">
        <v>5</v>
      </c>
      <c r="F11" s="11">
        <v>6</v>
      </c>
      <c r="G11" s="11">
        <v>7</v>
      </c>
      <c r="H11" s="11">
        <v>8</v>
      </c>
      <c r="I11" s="11">
        <v>9</v>
      </c>
      <c r="J11" s="55"/>
      <c r="O11" s="42"/>
      <c r="P11" s="42"/>
    </row>
    <row r="12" spans="1:22" x14ac:dyDescent="0.3">
      <c r="B12" s="22" t="s">
        <v>115</v>
      </c>
      <c r="C12" s="22" t="s">
        <v>124</v>
      </c>
      <c r="D12" s="22" t="s">
        <v>125</v>
      </c>
      <c r="E12" s="22" t="s">
        <v>126</v>
      </c>
      <c r="F12" s="22" t="s">
        <v>129</v>
      </c>
      <c r="G12" s="22" t="s">
        <v>152</v>
      </c>
      <c r="H12" s="22" t="s">
        <v>153</v>
      </c>
      <c r="I12" s="22" t="s">
        <v>174</v>
      </c>
      <c r="J12" s="55"/>
      <c r="O12" s="42"/>
    </row>
    <row r="13" spans="1:22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2" x14ac:dyDescent="0.3">
      <c r="A14"/>
      <c r="B14">
        <v>11</v>
      </c>
      <c r="C14">
        <v>1</v>
      </c>
      <c r="D14">
        <v>1</v>
      </c>
      <c r="E14">
        <v>251</v>
      </c>
      <c r="F14">
        <v>3.372999906539917</v>
      </c>
      <c r="G14">
        <v>2.5299999713897705</v>
      </c>
      <c r="H14">
        <v>1066</v>
      </c>
      <c r="I14">
        <v>1066</v>
      </c>
      <c r="J14">
        <v>4.9215689301490784E-2</v>
      </c>
      <c r="K14"/>
      <c r="L14">
        <v>3.3730266094207764</v>
      </c>
      <c r="M14"/>
      <c r="N14"/>
      <c r="O14"/>
      <c r="P14"/>
      <c r="Q14"/>
      <c r="R14"/>
      <c r="S14"/>
      <c r="T14"/>
    </row>
    <row r="15" spans="1:22" x14ac:dyDescent="0.3">
      <c r="A15"/>
      <c r="B15">
        <v>10</v>
      </c>
      <c r="C15">
        <v>1</v>
      </c>
      <c r="D15">
        <v>1</v>
      </c>
      <c r="E15">
        <v>640</v>
      </c>
      <c r="F15">
        <v>1.7130000591278076</v>
      </c>
      <c r="G15">
        <v>1.2849999666213989</v>
      </c>
      <c r="H15">
        <v>1380</v>
      </c>
      <c r="I15">
        <v>2445</v>
      </c>
      <c r="J15">
        <v>0.1747058779001236</v>
      </c>
      <c r="K15"/>
      <c r="L15">
        <v>1.7126973867416382</v>
      </c>
      <c r="M15"/>
      <c r="N15"/>
      <c r="O15"/>
      <c r="P15"/>
      <c r="Q15"/>
      <c r="R15"/>
      <c r="S15"/>
      <c r="T15"/>
    </row>
    <row r="16" spans="1:22" x14ac:dyDescent="0.3">
      <c r="A16"/>
      <c r="B16">
        <v>9</v>
      </c>
      <c r="C16">
        <v>1</v>
      </c>
      <c r="D16">
        <v>1</v>
      </c>
      <c r="E16">
        <v>454</v>
      </c>
      <c r="F16">
        <v>1.3380000591278076</v>
      </c>
      <c r="G16">
        <v>1.0039999485015869</v>
      </c>
      <c r="H16">
        <v>765</v>
      </c>
      <c r="I16">
        <v>3210</v>
      </c>
      <c r="J16">
        <v>0.26372548937797546</v>
      </c>
      <c r="K16"/>
      <c r="L16">
        <v>1.3380277156829834</v>
      </c>
      <c r="M16"/>
      <c r="N16"/>
      <c r="O16"/>
      <c r="P16"/>
      <c r="Q16"/>
      <c r="R16"/>
      <c r="S16"/>
      <c r="T16"/>
    </row>
    <row r="17" spans="1:27" x14ac:dyDescent="0.3">
      <c r="A17"/>
      <c r="B17">
        <v>8</v>
      </c>
      <c r="C17">
        <v>1</v>
      </c>
      <c r="D17">
        <v>1</v>
      </c>
      <c r="E17">
        <v>455</v>
      </c>
      <c r="F17">
        <v>1.1519999504089355</v>
      </c>
      <c r="G17">
        <v>0.86400002241134644</v>
      </c>
      <c r="H17">
        <v>660</v>
      </c>
      <c r="I17">
        <v>3870</v>
      </c>
      <c r="J17">
        <v>0.35294118523597717</v>
      </c>
      <c r="K17"/>
      <c r="L17">
        <v>1.1523116827011108</v>
      </c>
      <c r="M17"/>
      <c r="N17"/>
      <c r="O17"/>
      <c r="P17"/>
      <c r="Q17"/>
      <c r="R17"/>
      <c r="S17"/>
      <c r="T17"/>
    </row>
    <row r="18" spans="1:27" x14ac:dyDescent="0.3">
      <c r="A18"/>
      <c r="B18">
        <v>7</v>
      </c>
      <c r="C18">
        <v>1</v>
      </c>
      <c r="D18">
        <v>1</v>
      </c>
      <c r="E18">
        <v>460</v>
      </c>
      <c r="F18">
        <v>0.99900001287460327</v>
      </c>
      <c r="G18">
        <v>0.74900001287460327</v>
      </c>
      <c r="H18">
        <v>578</v>
      </c>
      <c r="I18">
        <v>4448</v>
      </c>
      <c r="J18">
        <v>0.44313725829124451</v>
      </c>
      <c r="K18"/>
      <c r="L18">
        <v>0.99878358840942383</v>
      </c>
      <c r="M18"/>
      <c r="N18"/>
      <c r="O18"/>
      <c r="P18"/>
      <c r="Q18"/>
      <c r="R18"/>
      <c r="S18"/>
      <c r="T18"/>
    </row>
    <row r="19" spans="1:27" x14ac:dyDescent="0.3">
      <c r="A19"/>
      <c r="B19">
        <v>6</v>
      </c>
      <c r="C19">
        <v>1</v>
      </c>
      <c r="D19">
        <v>1</v>
      </c>
      <c r="E19">
        <v>467</v>
      </c>
      <c r="F19">
        <v>0.86100000143051147</v>
      </c>
      <c r="G19">
        <v>0.64600002765655518</v>
      </c>
      <c r="H19">
        <v>506</v>
      </c>
      <c r="I19">
        <v>4954</v>
      </c>
      <c r="J19">
        <v>0.53470587730407715</v>
      </c>
      <c r="K19"/>
      <c r="L19">
        <v>0.86055731773376465</v>
      </c>
      <c r="M19"/>
      <c r="N19"/>
      <c r="O19"/>
      <c r="P19"/>
      <c r="Q19"/>
      <c r="R19"/>
      <c r="S19"/>
      <c r="T19"/>
    </row>
    <row r="20" spans="1:27" x14ac:dyDescent="0.3">
      <c r="A20"/>
      <c r="B20">
        <v>5</v>
      </c>
      <c r="C20">
        <v>1</v>
      </c>
      <c r="D20">
        <v>1</v>
      </c>
      <c r="E20">
        <v>469</v>
      </c>
      <c r="F20">
        <v>0.73100000619888306</v>
      </c>
      <c r="G20">
        <v>0.54900002479553223</v>
      </c>
      <c r="H20">
        <v>432</v>
      </c>
      <c r="I20">
        <v>5385</v>
      </c>
      <c r="J20">
        <v>0.62666666507720947</v>
      </c>
      <c r="K20"/>
      <c r="L20">
        <v>0.73136252164840698</v>
      </c>
      <c r="M20"/>
      <c r="N20"/>
      <c r="O20"/>
      <c r="P20"/>
      <c r="Q20"/>
      <c r="R20"/>
      <c r="S20"/>
      <c r="T20"/>
    </row>
    <row r="21" spans="1:27" x14ac:dyDescent="0.3">
      <c r="A21"/>
      <c r="B21">
        <v>4</v>
      </c>
      <c r="C21">
        <v>1</v>
      </c>
      <c r="D21">
        <v>1</v>
      </c>
      <c r="E21">
        <v>471</v>
      </c>
      <c r="F21">
        <v>0.60799998044967651</v>
      </c>
      <c r="G21">
        <v>0.45600000023841858</v>
      </c>
      <c r="H21">
        <v>361</v>
      </c>
      <c r="I21">
        <v>5746</v>
      </c>
      <c r="J21">
        <v>0.71901959180831909</v>
      </c>
      <c r="K21"/>
      <c r="L21">
        <v>0.60837984085083008</v>
      </c>
      <c r="M21"/>
      <c r="N21"/>
      <c r="O21"/>
      <c r="P21"/>
      <c r="Q21"/>
      <c r="R21"/>
      <c r="S21"/>
      <c r="T21"/>
    </row>
    <row r="22" spans="1:27" x14ac:dyDescent="0.3">
      <c r="A22"/>
      <c r="B22">
        <v>3</v>
      </c>
      <c r="C22">
        <v>1</v>
      </c>
      <c r="D22">
        <v>1</v>
      </c>
      <c r="E22">
        <v>475</v>
      </c>
      <c r="F22">
        <v>0.48899999260902405</v>
      </c>
      <c r="G22">
        <v>0.36700001358985901</v>
      </c>
      <c r="H22">
        <v>293</v>
      </c>
      <c r="I22">
        <v>6038</v>
      </c>
      <c r="J22">
        <v>0.81215685606002808</v>
      </c>
      <c r="K22"/>
      <c r="L22">
        <v>0.48931461572647095</v>
      </c>
      <c r="M22"/>
      <c r="N22"/>
      <c r="O22"/>
      <c r="P22"/>
      <c r="Q22"/>
      <c r="R22"/>
      <c r="S22"/>
      <c r="T22"/>
    </row>
    <row r="23" spans="1:27" x14ac:dyDescent="0.3">
      <c r="A23"/>
      <c r="B23">
        <v>2</v>
      </c>
      <c r="C23">
        <v>1</v>
      </c>
      <c r="D23">
        <v>1</v>
      </c>
      <c r="E23">
        <v>477</v>
      </c>
      <c r="F23">
        <v>0.37299999594688416</v>
      </c>
      <c r="G23">
        <v>0.2800000011920929</v>
      </c>
      <c r="H23">
        <v>224</v>
      </c>
      <c r="I23">
        <v>6262</v>
      </c>
      <c r="J23">
        <v>0.90568625926971436</v>
      </c>
      <c r="K23"/>
      <c r="L23">
        <v>0.37292516231536865</v>
      </c>
      <c r="M23"/>
      <c r="N23"/>
      <c r="O23"/>
      <c r="P23"/>
      <c r="Q23"/>
      <c r="R23"/>
      <c r="S23"/>
      <c r="T23"/>
    </row>
    <row r="24" spans="1:27" x14ac:dyDescent="0.3">
      <c r="A24"/>
      <c r="B24">
        <v>1</v>
      </c>
      <c r="C24">
        <v>1</v>
      </c>
      <c r="D24">
        <v>1</v>
      </c>
      <c r="E24">
        <v>481</v>
      </c>
      <c r="F24">
        <v>0.25799998641014099</v>
      </c>
      <c r="G24">
        <v>0.1940000057220459</v>
      </c>
      <c r="H24">
        <v>156</v>
      </c>
      <c r="I24">
        <v>6419</v>
      </c>
      <c r="J24">
        <v>1</v>
      </c>
      <c r="K24"/>
      <c r="L24">
        <v>0.2584015429019928</v>
      </c>
      <c r="M24"/>
      <c r="N24"/>
      <c r="O24"/>
      <c r="P24"/>
      <c r="Q24"/>
      <c r="R24"/>
      <c r="S24"/>
      <c r="T24"/>
    </row>
    <row r="25" spans="1:27" x14ac:dyDescent="0.3">
      <c r="A25"/>
      <c r="B25"/>
      <c r="C25"/>
      <c r="D25"/>
      <c r="E25">
        <v>5100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7" x14ac:dyDescent="0.3">
      <c r="A26"/>
      <c r="B26" t="s">
        <v>319</v>
      </c>
      <c r="C26" t="s">
        <v>320</v>
      </c>
      <c r="D26" t="s">
        <v>321</v>
      </c>
      <c r="E26" t="s">
        <v>288</v>
      </c>
      <c r="F26" t="s">
        <v>322</v>
      </c>
      <c r="G26" t="s">
        <v>323</v>
      </c>
      <c r="H26" t="s">
        <v>324</v>
      </c>
      <c r="I26" t="s">
        <v>325</v>
      </c>
      <c r="J26"/>
      <c r="K26"/>
      <c r="L26"/>
      <c r="M26"/>
      <c r="N26"/>
      <c r="O26"/>
      <c r="P26"/>
      <c r="Q26"/>
      <c r="R26"/>
      <c r="S26"/>
      <c r="T26"/>
    </row>
    <row r="27" spans="1:27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7" x14ac:dyDescent="0.3">
      <c r="A28"/>
      <c r="B28">
        <v>11</v>
      </c>
      <c r="C28">
        <v>1</v>
      </c>
      <c r="D28">
        <v>1</v>
      </c>
      <c r="E28">
        <v>251</v>
      </c>
      <c r="F28">
        <v>3.372999906539917</v>
      </c>
      <c r="G28">
        <v>2.6459999084472656</v>
      </c>
      <c r="H28">
        <v>988</v>
      </c>
      <c r="I28">
        <v>988</v>
      </c>
      <c r="J28"/>
      <c r="K28"/>
      <c r="L28"/>
      <c r="M28"/>
      <c r="N28"/>
      <c r="O28"/>
      <c r="P28"/>
      <c r="Q28"/>
      <c r="R28"/>
      <c r="S28"/>
      <c r="T28"/>
      <c r="Z28" s="42"/>
      <c r="AA28" s="43"/>
    </row>
    <row r="29" spans="1:27" x14ac:dyDescent="0.3">
      <c r="A29"/>
      <c r="B29">
        <v>10</v>
      </c>
      <c r="C29">
        <v>1</v>
      </c>
      <c r="D29">
        <v>1</v>
      </c>
      <c r="E29">
        <v>640</v>
      </c>
      <c r="F29">
        <v>1.7130000591278076</v>
      </c>
      <c r="G29">
        <v>1.343999981880188</v>
      </c>
      <c r="H29">
        <v>1279</v>
      </c>
      <c r="I29">
        <v>2267</v>
      </c>
      <c r="J29"/>
      <c r="K29"/>
      <c r="L29"/>
      <c r="M29"/>
      <c r="N29"/>
      <c r="O29"/>
      <c r="P29"/>
      <c r="Q29"/>
      <c r="R29"/>
      <c r="S29"/>
      <c r="T29"/>
      <c r="Z29" s="42"/>
      <c r="AA29" s="43"/>
    </row>
    <row r="30" spans="1:27" x14ac:dyDescent="0.3">
      <c r="A30"/>
      <c r="B30">
        <v>9</v>
      </c>
      <c r="C30">
        <v>1</v>
      </c>
      <c r="D30">
        <v>1</v>
      </c>
      <c r="E30">
        <v>454</v>
      </c>
      <c r="F30">
        <v>1.3380000591278076</v>
      </c>
      <c r="G30">
        <v>1.0499999523162842</v>
      </c>
      <c r="H30">
        <v>709</v>
      </c>
      <c r="I30">
        <v>2976</v>
      </c>
      <c r="J30"/>
      <c r="K30"/>
      <c r="L30"/>
      <c r="M30"/>
      <c r="N30"/>
      <c r="O30"/>
      <c r="P30"/>
      <c r="Q30"/>
      <c r="R30"/>
      <c r="S30"/>
      <c r="T30"/>
      <c r="Z30" s="42"/>
      <c r="AA30" s="43"/>
    </row>
    <row r="31" spans="1:27" x14ac:dyDescent="0.3">
      <c r="A31"/>
      <c r="B31">
        <v>8</v>
      </c>
      <c r="C31">
        <v>1</v>
      </c>
      <c r="D31">
        <v>1</v>
      </c>
      <c r="E31">
        <v>455</v>
      </c>
      <c r="F31">
        <v>1.1519999504089355</v>
      </c>
      <c r="G31">
        <v>0.90399998426437378</v>
      </c>
      <c r="H31">
        <v>612</v>
      </c>
      <c r="I31">
        <v>3588</v>
      </c>
      <c r="J31"/>
      <c r="K31"/>
      <c r="L31"/>
      <c r="M31"/>
      <c r="N31"/>
      <c r="O31"/>
      <c r="P31"/>
      <c r="Q31"/>
      <c r="R31"/>
      <c r="S31"/>
      <c r="T31"/>
      <c r="Z31" s="42"/>
      <c r="AA31" s="43"/>
    </row>
    <row r="32" spans="1:27" x14ac:dyDescent="0.3">
      <c r="A32"/>
      <c r="B32">
        <v>7</v>
      </c>
      <c r="C32">
        <v>1</v>
      </c>
      <c r="D32">
        <v>1</v>
      </c>
      <c r="E32">
        <v>460</v>
      </c>
      <c r="F32">
        <v>0.99900001287460327</v>
      </c>
      <c r="G32">
        <v>0.7839999794960022</v>
      </c>
      <c r="H32">
        <v>536</v>
      </c>
      <c r="I32">
        <v>4124</v>
      </c>
      <c r="J32"/>
      <c r="K32"/>
      <c r="L32"/>
      <c r="M32"/>
      <c r="N32"/>
      <c r="O32"/>
      <c r="P32"/>
      <c r="Q32"/>
      <c r="R32"/>
      <c r="S32"/>
      <c r="T32"/>
    </row>
    <row r="33" spans="1:20" x14ac:dyDescent="0.3">
      <c r="A33"/>
      <c r="B33">
        <v>6</v>
      </c>
      <c r="C33">
        <v>1</v>
      </c>
      <c r="D33">
        <v>1</v>
      </c>
      <c r="E33">
        <v>467</v>
      </c>
      <c r="F33">
        <v>0.86100000143051147</v>
      </c>
      <c r="G33">
        <v>0.67500001192092896</v>
      </c>
      <c r="H33">
        <v>469</v>
      </c>
      <c r="I33">
        <v>4593</v>
      </c>
      <c r="J33"/>
      <c r="K33"/>
      <c r="L33"/>
      <c r="M33"/>
      <c r="N33"/>
      <c r="O33"/>
      <c r="P33"/>
      <c r="Q33"/>
      <c r="R33"/>
      <c r="S33"/>
      <c r="T33"/>
    </row>
    <row r="34" spans="1:20" x14ac:dyDescent="0.3">
      <c r="A34"/>
      <c r="B34">
        <v>5</v>
      </c>
      <c r="C34">
        <v>1</v>
      </c>
      <c r="D34">
        <v>1</v>
      </c>
      <c r="E34">
        <v>469</v>
      </c>
      <c r="F34">
        <v>0.73100000619888306</v>
      </c>
      <c r="G34">
        <v>0.57400000095367432</v>
      </c>
      <c r="H34">
        <v>400</v>
      </c>
      <c r="I34">
        <v>4993</v>
      </c>
      <c r="J34"/>
      <c r="K34"/>
      <c r="L34"/>
      <c r="M34"/>
      <c r="N34"/>
      <c r="O34"/>
      <c r="P34"/>
      <c r="Q34"/>
      <c r="R34"/>
      <c r="S34"/>
      <c r="T34"/>
    </row>
    <row r="35" spans="1:20" x14ac:dyDescent="0.3">
      <c r="A35"/>
      <c r="B35">
        <v>4</v>
      </c>
      <c r="C35">
        <v>1</v>
      </c>
      <c r="D35">
        <v>1</v>
      </c>
      <c r="E35">
        <v>471</v>
      </c>
      <c r="F35">
        <v>0.60799998044967651</v>
      </c>
      <c r="G35">
        <v>0.47699999809265137</v>
      </c>
      <c r="H35">
        <v>334</v>
      </c>
      <c r="I35">
        <v>5328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3">
      <c r="A36"/>
      <c r="B36">
        <v>3</v>
      </c>
      <c r="C36">
        <v>1</v>
      </c>
      <c r="D36">
        <v>1</v>
      </c>
      <c r="E36">
        <v>475</v>
      </c>
      <c r="F36">
        <v>0.48899999260902405</v>
      </c>
      <c r="G36">
        <v>0.38400000333786011</v>
      </c>
      <c r="H36">
        <v>271</v>
      </c>
      <c r="I36">
        <v>5599</v>
      </c>
      <c r="J36"/>
      <c r="K36"/>
      <c r="L36"/>
      <c r="M36"/>
      <c r="N36"/>
      <c r="O36"/>
      <c r="P36"/>
      <c r="Q36"/>
      <c r="R36"/>
      <c r="S36"/>
      <c r="T36"/>
    </row>
    <row r="37" spans="1:20" x14ac:dyDescent="0.3">
      <c r="A37"/>
      <c r="B37">
        <v>2</v>
      </c>
      <c r="C37">
        <v>1</v>
      </c>
      <c r="D37">
        <v>1</v>
      </c>
      <c r="E37">
        <v>477</v>
      </c>
      <c r="F37">
        <v>0.37299999594688416</v>
      </c>
      <c r="G37">
        <v>0.29300001263618469</v>
      </c>
      <c r="H37">
        <v>208</v>
      </c>
      <c r="I37">
        <v>5807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3">
      <c r="A38"/>
      <c r="B38">
        <v>1</v>
      </c>
      <c r="C38">
        <v>1</v>
      </c>
      <c r="D38">
        <v>1</v>
      </c>
      <c r="E38">
        <v>481</v>
      </c>
      <c r="F38">
        <v>0.25799998641014099</v>
      </c>
      <c r="G38">
        <v>0.20299999415874481</v>
      </c>
      <c r="H38">
        <v>145</v>
      </c>
      <c r="I38">
        <v>5952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need_DQ">
                <anchor moveWithCells="1" sizeWithCells="1">
                  <from>
                    <xdr:col>0</xdr:col>
                    <xdr:colOff>133350</xdr:colOff>
                    <xdr:row>1</xdr:row>
                    <xdr:rowOff>87630</xdr:rowOff>
                  </from>
                  <to>
                    <xdr:col>1</xdr:col>
                    <xdr:colOff>228600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AC09-6B88-4301-915A-4EA863613DC4}">
  <sheetPr codeName="Sheet15"/>
  <dimension ref="A1:T100"/>
  <sheetViews>
    <sheetView tabSelected="1" workbookViewId="0">
      <selection activeCell="H11" sqref="H11"/>
    </sheetView>
  </sheetViews>
  <sheetFormatPr defaultColWidth="9.1171875" defaultRowHeight="13.5" x14ac:dyDescent="0.3"/>
  <cols>
    <col min="1" max="1" width="4.703125" style="11" customWidth="1"/>
    <col min="2" max="2" width="9.703125" style="12" customWidth="1"/>
    <col min="3" max="3" width="9.703125" style="19" customWidth="1"/>
    <col min="4" max="4" width="9.703125" style="11" customWidth="1"/>
    <col min="5" max="5" width="9.703125" style="17" customWidth="1"/>
    <col min="6" max="6" width="9.703125" style="11" customWidth="1"/>
    <col min="7" max="7" width="9.703125" style="17" customWidth="1"/>
    <col min="8" max="9" width="9.703125" style="11" customWidth="1"/>
    <col min="10" max="12" width="10.703125" style="11" customWidth="1"/>
    <col min="13" max="16384" width="9.1171875" style="11"/>
  </cols>
  <sheetData>
    <row r="1" spans="1:20" x14ac:dyDescent="0.3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20" x14ac:dyDescent="0.3">
      <c r="B2" s="62" t="s">
        <v>166</v>
      </c>
    </row>
    <row r="4" spans="1:20" x14ac:dyDescent="0.3">
      <c r="C4" s="13"/>
      <c r="D4" s="14" t="s">
        <v>29</v>
      </c>
      <c r="E4" s="11">
        <v>43.999996185302734</v>
      </c>
      <c r="G4" s="11"/>
      <c r="H4" s="15" t="s">
        <v>135</v>
      </c>
      <c r="I4" s="11">
        <v>24088</v>
      </c>
      <c r="J4" s="16" t="s">
        <v>30</v>
      </c>
    </row>
    <row r="5" spans="1:20" x14ac:dyDescent="0.3">
      <c r="C5" s="13"/>
      <c r="D5" s="14" t="s">
        <v>28</v>
      </c>
      <c r="E5" s="11">
        <v>11</v>
      </c>
      <c r="H5" s="15" t="s">
        <v>136</v>
      </c>
      <c r="I5" s="11">
        <v>17532</v>
      </c>
      <c r="J5" s="16" t="s">
        <v>30</v>
      </c>
    </row>
    <row r="6" spans="1:20" x14ac:dyDescent="0.3">
      <c r="C6" s="13"/>
      <c r="D6" s="14" t="s">
        <v>27</v>
      </c>
      <c r="E6" s="11">
        <v>1</v>
      </c>
    </row>
    <row r="7" spans="1:20" x14ac:dyDescent="0.3">
      <c r="C7" s="13"/>
      <c r="D7" s="14" t="s">
        <v>12</v>
      </c>
      <c r="E7" s="11">
        <v>0.20000000298023224</v>
      </c>
    </row>
    <row r="8" spans="1:20" x14ac:dyDescent="0.3">
      <c r="C8" s="13"/>
      <c r="D8" s="14" t="s">
        <v>13</v>
      </c>
      <c r="E8" s="11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20" x14ac:dyDescent="0.3">
      <c r="G9" s="20" t="s">
        <v>24</v>
      </c>
      <c r="H9" s="11">
        <v>1.5800000429153442</v>
      </c>
      <c r="I9" s="11">
        <v>0.60799999999999998</v>
      </c>
      <c r="L9" s="16"/>
    </row>
    <row r="10" spans="1:20" x14ac:dyDescent="0.3">
      <c r="D10" s="17" t="s">
        <v>186</v>
      </c>
      <c r="E10" s="22">
        <v>3845</v>
      </c>
      <c r="F10" s="12"/>
      <c r="G10" s="15" t="s">
        <v>25</v>
      </c>
      <c r="H10" s="11">
        <v>2.0350000858306885</v>
      </c>
      <c r="I10" s="11">
        <v>0.47199999999999998</v>
      </c>
    </row>
    <row r="11" spans="1:20" x14ac:dyDescent="0.3">
      <c r="D11" s="17" t="s">
        <v>187</v>
      </c>
      <c r="E11" s="22">
        <v>3917</v>
      </c>
      <c r="F11" s="22"/>
      <c r="G11" s="20" t="s">
        <v>122</v>
      </c>
      <c r="H11" s="11">
        <v>1.3199999332427979</v>
      </c>
      <c r="I11" s="11">
        <v>0.72727279295277991</v>
      </c>
      <c r="K11" s="18" t="s">
        <v>45</v>
      </c>
    </row>
    <row r="12" spans="1:20" x14ac:dyDescent="0.3">
      <c r="B12" s="23"/>
      <c r="C12" s="21"/>
      <c r="D12" s="24"/>
      <c r="E12" s="24"/>
      <c r="F12" s="25"/>
      <c r="G12" s="22"/>
      <c r="I12" s="26"/>
      <c r="J12" s="26"/>
    </row>
    <row r="13" spans="1:20" x14ac:dyDescent="0.3">
      <c r="B13" s="32" t="s">
        <v>0</v>
      </c>
      <c r="C13" s="27" t="s">
        <v>116</v>
      </c>
      <c r="D13" s="28" t="s">
        <v>117</v>
      </c>
      <c r="E13" s="29" t="s">
        <v>3</v>
      </c>
      <c r="F13" s="29" t="s">
        <v>118</v>
      </c>
      <c r="G13" s="18" t="s">
        <v>46</v>
      </c>
      <c r="H13" s="28" t="s">
        <v>47</v>
      </c>
      <c r="I13" s="28" t="s">
        <v>48</v>
      </c>
    </row>
    <row r="14" spans="1:20" x14ac:dyDescent="0.3">
      <c r="B14" s="23"/>
      <c r="C14" s="27" t="s">
        <v>6</v>
      </c>
      <c r="D14" s="28" t="s">
        <v>119</v>
      </c>
      <c r="E14" s="29" t="s">
        <v>2</v>
      </c>
      <c r="F14" s="30"/>
      <c r="G14" s="18" t="s">
        <v>7</v>
      </c>
      <c r="H14" s="18"/>
      <c r="I14" s="31"/>
      <c r="J14" s="31"/>
    </row>
    <row r="15" spans="1:20" x14ac:dyDescent="0.3">
      <c r="A15"/>
      <c r="B15">
        <v>11</v>
      </c>
      <c r="C15">
        <v>6.2E-2</v>
      </c>
      <c r="D15">
        <v>0.57699999999999996</v>
      </c>
      <c r="E15">
        <v>5.07</v>
      </c>
      <c r="F15" s="91" t="s">
        <v>326</v>
      </c>
      <c r="G15">
        <v>251</v>
      </c>
      <c r="H15">
        <v>144.83000000000001</v>
      </c>
      <c r="I15">
        <v>83.57</v>
      </c>
      <c r="J15"/>
      <c r="K15"/>
      <c r="L15"/>
      <c r="M15"/>
      <c r="N15"/>
      <c r="O15"/>
      <c r="P15"/>
      <c r="Q15"/>
      <c r="R15"/>
      <c r="S15"/>
      <c r="T15"/>
    </row>
    <row r="16" spans="1:20" x14ac:dyDescent="0.3">
      <c r="A16"/>
      <c r="B16">
        <v>10</v>
      </c>
      <c r="C16">
        <v>3.5999999999999997E-2</v>
      </c>
      <c r="D16">
        <v>0.51500000000000001</v>
      </c>
      <c r="E16">
        <v>3.8</v>
      </c>
      <c r="F16" s="91" t="s">
        <v>327</v>
      </c>
      <c r="G16">
        <v>640</v>
      </c>
      <c r="H16">
        <v>329.6</v>
      </c>
      <c r="I16">
        <v>169.74</v>
      </c>
      <c r="J16"/>
      <c r="K16"/>
      <c r="L16"/>
      <c r="M16"/>
      <c r="N16"/>
      <c r="O16"/>
      <c r="P16"/>
      <c r="Q16"/>
      <c r="R16"/>
      <c r="S16"/>
      <c r="T16"/>
    </row>
    <row r="17" spans="1:20" x14ac:dyDescent="0.3">
      <c r="A17"/>
      <c r="B17">
        <v>9</v>
      </c>
      <c r="C17">
        <v>0.05</v>
      </c>
      <c r="D17">
        <v>0.47899999999999998</v>
      </c>
      <c r="E17">
        <v>3.8</v>
      </c>
      <c r="F17" s="91" t="s">
        <v>328</v>
      </c>
      <c r="G17">
        <v>454</v>
      </c>
      <c r="H17">
        <v>217.47</v>
      </c>
      <c r="I17">
        <v>104.17</v>
      </c>
      <c r="J17"/>
      <c r="K17"/>
      <c r="L17"/>
      <c r="M17"/>
      <c r="N17"/>
      <c r="O17"/>
      <c r="P17"/>
      <c r="Q17"/>
      <c r="R17"/>
      <c r="S17"/>
      <c r="T17"/>
    </row>
    <row r="18" spans="1:20" x14ac:dyDescent="0.3">
      <c r="A18"/>
      <c r="B18">
        <v>8</v>
      </c>
      <c r="C18">
        <v>6.2E-2</v>
      </c>
      <c r="D18">
        <v>0.42899999999999999</v>
      </c>
      <c r="E18">
        <v>3.8</v>
      </c>
      <c r="F18" s="91" t="s">
        <v>329</v>
      </c>
      <c r="G18">
        <v>455</v>
      </c>
      <c r="H18">
        <v>195.2</v>
      </c>
      <c r="I18">
        <v>83.74</v>
      </c>
      <c r="J18"/>
      <c r="K18"/>
      <c r="L18"/>
      <c r="M18"/>
      <c r="N18"/>
      <c r="O18"/>
      <c r="P18"/>
      <c r="Q18"/>
      <c r="R18"/>
      <c r="S18"/>
      <c r="T18"/>
    </row>
    <row r="19" spans="1:20" x14ac:dyDescent="0.3">
      <c r="A19"/>
      <c r="B19">
        <v>7</v>
      </c>
      <c r="C19">
        <v>6.3E-2</v>
      </c>
      <c r="D19">
        <v>0.36699999999999999</v>
      </c>
      <c r="E19">
        <v>3.8</v>
      </c>
      <c r="F19" s="91" t="s">
        <v>330</v>
      </c>
      <c r="G19">
        <v>460</v>
      </c>
      <c r="H19">
        <v>168.82</v>
      </c>
      <c r="I19">
        <v>61.96</v>
      </c>
      <c r="J19"/>
      <c r="K19"/>
      <c r="L19"/>
      <c r="M19"/>
      <c r="N19"/>
      <c r="O19"/>
      <c r="P19"/>
      <c r="Q19"/>
      <c r="R19"/>
      <c r="S19"/>
      <c r="T19"/>
    </row>
    <row r="20" spans="1:20" x14ac:dyDescent="0.3">
      <c r="A20"/>
      <c r="B20">
        <v>6</v>
      </c>
      <c r="C20">
        <v>5.8000000000000003E-2</v>
      </c>
      <c r="D20">
        <v>0.30399999999999999</v>
      </c>
      <c r="E20">
        <v>3.8</v>
      </c>
      <c r="F20" s="91" t="s">
        <v>331</v>
      </c>
      <c r="G20">
        <v>467</v>
      </c>
      <c r="H20">
        <v>141.97</v>
      </c>
      <c r="I20">
        <v>43.16</v>
      </c>
      <c r="J20"/>
      <c r="K20"/>
      <c r="L20"/>
      <c r="M20"/>
      <c r="N20"/>
      <c r="O20"/>
      <c r="P20"/>
      <c r="Q20"/>
      <c r="R20"/>
      <c r="S20"/>
      <c r="T20"/>
    </row>
    <row r="21" spans="1:20" x14ac:dyDescent="0.3">
      <c r="A21"/>
      <c r="B21">
        <v>5</v>
      </c>
      <c r="C21">
        <v>5.8999999999999997E-2</v>
      </c>
      <c r="D21">
        <v>0.246</v>
      </c>
      <c r="E21">
        <v>3.8</v>
      </c>
      <c r="F21" s="91" t="s">
        <v>332</v>
      </c>
      <c r="G21">
        <v>469</v>
      </c>
      <c r="H21">
        <v>115.37</v>
      </c>
      <c r="I21">
        <v>28.38</v>
      </c>
      <c r="J21"/>
      <c r="K21"/>
      <c r="L21"/>
      <c r="M21"/>
      <c r="N21"/>
      <c r="O21"/>
      <c r="P21"/>
      <c r="Q21"/>
      <c r="R21"/>
      <c r="S21"/>
      <c r="T21"/>
    </row>
    <row r="22" spans="1:20" x14ac:dyDescent="0.3">
      <c r="A22"/>
      <c r="B22">
        <v>4</v>
      </c>
      <c r="C22">
        <v>5.6000000000000001E-2</v>
      </c>
      <c r="D22">
        <v>0.187</v>
      </c>
      <c r="E22">
        <v>3.8</v>
      </c>
      <c r="F22" s="91" t="s">
        <v>333</v>
      </c>
      <c r="G22">
        <v>471</v>
      </c>
      <c r="H22">
        <v>88.08</v>
      </c>
      <c r="I22">
        <v>16.47</v>
      </c>
      <c r="J22"/>
      <c r="K22"/>
      <c r="L22"/>
      <c r="M22"/>
      <c r="N22"/>
      <c r="O22"/>
      <c r="P22"/>
      <c r="Q22"/>
      <c r="R22"/>
      <c r="S22"/>
      <c r="T22"/>
    </row>
    <row r="23" spans="1:20" x14ac:dyDescent="0.3">
      <c r="A23"/>
      <c r="B23">
        <v>3</v>
      </c>
      <c r="C23">
        <v>4.7E-2</v>
      </c>
      <c r="D23">
        <v>0.13100000000000001</v>
      </c>
      <c r="E23">
        <v>3.8</v>
      </c>
      <c r="F23" s="91" t="s">
        <v>334</v>
      </c>
      <c r="G23">
        <v>475</v>
      </c>
      <c r="H23">
        <v>62.23</v>
      </c>
      <c r="I23">
        <v>8.15</v>
      </c>
      <c r="J23"/>
      <c r="K23"/>
      <c r="L23"/>
      <c r="M23"/>
      <c r="N23"/>
      <c r="O23"/>
      <c r="P23"/>
      <c r="Q23"/>
      <c r="R23"/>
      <c r="S23"/>
      <c r="T23"/>
    </row>
    <row r="24" spans="1:20" x14ac:dyDescent="0.3">
      <c r="A24"/>
      <c r="B24">
        <v>2</v>
      </c>
      <c r="C24">
        <v>4.2999999999999997E-2</v>
      </c>
      <c r="D24">
        <v>8.4000000000000005E-2</v>
      </c>
      <c r="E24">
        <v>3.8</v>
      </c>
      <c r="F24" s="91" t="s">
        <v>335</v>
      </c>
      <c r="G24">
        <v>477</v>
      </c>
      <c r="H24">
        <v>40.07</v>
      </c>
      <c r="I24">
        <v>3.37</v>
      </c>
      <c r="J24"/>
      <c r="K24"/>
      <c r="L24"/>
      <c r="M24"/>
      <c r="N24"/>
      <c r="O24"/>
      <c r="P24"/>
      <c r="Q24"/>
      <c r="R24"/>
      <c r="S24"/>
      <c r="T24"/>
    </row>
    <row r="25" spans="1:20" x14ac:dyDescent="0.3">
      <c r="A25"/>
      <c r="B25">
        <v>1</v>
      </c>
      <c r="C25">
        <v>4.1000000000000002E-2</v>
      </c>
      <c r="D25">
        <v>4.1000000000000002E-2</v>
      </c>
      <c r="E25">
        <v>4.7300000000000004</v>
      </c>
      <c r="F25" s="91" t="s">
        <v>336</v>
      </c>
      <c r="G25">
        <v>481</v>
      </c>
      <c r="H25">
        <v>19.72</v>
      </c>
      <c r="I25">
        <v>0.81</v>
      </c>
      <c r="J25"/>
      <c r="K25"/>
      <c r="L25"/>
      <c r="M25"/>
      <c r="N25"/>
      <c r="O25"/>
      <c r="P25"/>
      <c r="Q25"/>
      <c r="R25"/>
      <c r="S25"/>
      <c r="T25"/>
    </row>
    <row r="26" spans="1:20" x14ac:dyDescent="0.3">
      <c r="A26"/>
      <c r="B26"/>
      <c r="C26"/>
      <c r="D26"/>
      <c r="E26"/>
      <c r="F26"/>
      <c r="G26">
        <v>5100</v>
      </c>
      <c r="H26">
        <v>1523.34</v>
      </c>
      <c r="I26">
        <v>603.51</v>
      </c>
      <c r="J26"/>
      <c r="K26"/>
      <c r="L26"/>
      <c r="M26"/>
      <c r="N26"/>
      <c r="O26"/>
      <c r="P26"/>
      <c r="Q26"/>
      <c r="R26"/>
      <c r="S26"/>
      <c r="T26"/>
    </row>
    <row r="27" spans="1:20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3">
      <c r="A28"/>
      <c r="B28"/>
      <c r="C28" t="s">
        <v>343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3">
      <c r="A30"/>
      <c r="B30"/>
      <c r="C30" t="s">
        <v>344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3">
      <c r="A32"/>
      <c r="B32"/>
      <c r="C32" t="s">
        <v>345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3">
      <c r="A35"/>
      <c r="B35" t="s">
        <v>308</v>
      </c>
      <c r="C35" t="s">
        <v>309</v>
      </c>
      <c r="D35" t="s">
        <v>310</v>
      </c>
      <c r="E35" t="s">
        <v>9</v>
      </c>
      <c r="F35" t="s">
        <v>311</v>
      </c>
      <c r="G35" t="s">
        <v>312</v>
      </c>
      <c r="H35" t="s">
        <v>313</v>
      </c>
      <c r="I35" t="s">
        <v>314</v>
      </c>
      <c r="J35"/>
      <c r="K35"/>
      <c r="L35"/>
      <c r="M35"/>
      <c r="N35"/>
      <c r="O35"/>
      <c r="P35"/>
      <c r="Q35"/>
      <c r="R35"/>
      <c r="S35"/>
      <c r="T35"/>
    </row>
    <row r="36" spans="1:20" x14ac:dyDescent="0.3">
      <c r="A36"/>
      <c r="B36"/>
      <c r="C36" t="s">
        <v>315</v>
      </c>
      <c r="D36" t="s">
        <v>316</v>
      </c>
      <c r="E36" t="s">
        <v>317</v>
      </c>
      <c r="F36"/>
      <c r="G36" t="s">
        <v>318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3">
      <c r="A37"/>
      <c r="B37">
        <v>11</v>
      </c>
      <c r="C37">
        <v>3.7999999999999999E-2</v>
      </c>
      <c r="D37">
        <v>0.65800000000000003</v>
      </c>
      <c r="E37">
        <v>5.07</v>
      </c>
      <c r="F37" s="91" t="s">
        <v>337</v>
      </c>
      <c r="G37">
        <v>251</v>
      </c>
      <c r="H37">
        <v>165.16</v>
      </c>
      <c r="I37">
        <v>108.67</v>
      </c>
      <c r="J37"/>
      <c r="K37"/>
      <c r="L37"/>
      <c r="M37"/>
      <c r="N37"/>
      <c r="O37"/>
      <c r="P37"/>
      <c r="Q37"/>
      <c r="R37"/>
      <c r="S37"/>
      <c r="T37"/>
    </row>
    <row r="38" spans="1:20" x14ac:dyDescent="0.3">
      <c r="A38"/>
      <c r="B38">
        <v>10</v>
      </c>
      <c r="C38">
        <v>4.2999999999999997E-2</v>
      </c>
      <c r="D38">
        <v>0.62</v>
      </c>
      <c r="E38">
        <v>3.8</v>
      </c>
      <c r="F38" s="91" t="s">
        <v>335</v>
      </c>
      <c r="G38">
        <v>640</v>
      </c>
      <c r="H38">
        <v>396.8</v>
      </c>
      <c r="I38">
        <v>246.02</v>
      </c>
      <c r="J38"/>
      <c r="K38"/>
      <c r="L38"/>
      <c r="M38"/>
      <c r="N38"/>
      <c r="O38"/>
      <c r="P38"/>
      <c r="Q38"/>
      <c r="R38"/>
      <c r="S38"/>
      <c r="T38"/>
    </row>
    <row r="39" spans="1:20" x14ac:dyDescent="0.3">
      <c r="A39"/>
      <c r="B39">
        <v>9</v>
      </c>
      <c r="C39">
        <v>6.6000000000000003E-2</v>
      </c>
      <c r="D39">
        <v>0.57699999999999996</v>
      </c>
      <c r="E39">
        <v>3.8</v>
      </c>
      <c r="F39" s="91" t="s">
        <v>338</v>
      </c>
      <c r="G39">
        <v>454</v>
      </c>
      <c r="H39">
        <v>261.95999999999998</v>
      </c>
      <c r="I39">
        <v>151.15</v>
      </c>
      <c r="J39"/>
      <c r="K39"/>
      <c r="L39"/>
      <c r="M39"/>
      <c r="N39"/>
      <c r="O39"/>
      <c r="P39"/>
      <c r="Q39"/>
      <c r="R39"/>
      <c r="S39"/>
      <c r="T39"/>
    </row>
    <row r="40" spans="1:20" x14ac:dyDescent="0.3">
      <c r="A40"/>
      <c r="B40">
        <v>8</v>
      </c>
      <c r="C40">
        <v>7.5999999999999998E-2</v>
      </c>
      <c r="D40">
        <v>0.51100000000000001</v>
      </c>
      <c r="E40">
        <v>3.8</v>
      </c>
      <c r="F40" s="91" t="s">
        <v>339</v>
      </c>
      <c r="G40">
        <v>455</v>
      </c>
      <c r="H40">
        <v>232.51</v>
      </c>
      <c r="I40">
        <v>118.81</v>
      </c>
      <c r="J40"/>
      <c r="K40"/>
      <c r="L40"/>
      <c r="M40"/>
      <c r="N40"/>
      <c r="O40"/>
      <c r="P40"/>
      <c r="Q40"/>
      <c r="R40"/>
      <c r="S40"/>
      <c r="T40"/>
    </row>
    <row r="41" spans="1:20" x14ac:dyDescent="0.3">
      <c r="A41"/>
      <c r="B41">
        <v>7</v>
      </c>
      <c r="C41">
        <v>7.0999999999999994E-2</v>
      </c>
      <c r="D41">
        <v>0.435</v>
      </c>
      <c r="E41">
        <v>3.8</v>
      </c>
      <c r="F41" s="91" t="s">
        <v>340</v>
      </c>
      <c r="G41">
        <v>460</v>
      </c>
      <c r="H41">
        <v>200.1</v>
      </c>
      <c r="I41">
        <v>87.04</v>
      </c>
      <c r="J41"/>
      <c r="K41"/>
      <c r="L41"/>
      <c r="M41"/>
      <c r="N41"/>
      <c r="O41"/>
      <c r="P41"/>
      <c r="Q41"/>
      <c r="R41"/>
      <c r="S41"/>
      <c r="T41"/>
    </row>
    <row r="42" spans="1:20" x14ac:dyDescent="0.3">
      <c r="A42"/>
      <c r="B42">
        <v>6</v>
      </c>
      <c r="C42">
        <v>6.4000000000000001E-2</v>
      </c>
      <c r="D42">
        <v>0.36399999999999999</v>
      </c>
      <c r="E42">
        <v>3.8</v>
      </c>
      <c r="F42" s="91" t="s">
        <v>341</v>
      </c>
      <c r="G42">
        <v>467</v>
      </c>
      <c r="H42">
        <v>169.99</v>
      </c>
      <c r="I42">
        <v>61.88</v>
      </c>
      <c r="J42"/>
      <c r="K42"/>
      <c r="L42"/>
      <c r="M42"/>
      <c r="N42"/>
      <c r="O42"/>
      <c r="P42"/>
      <c r="Q42"/>
      <c r="R42"/>
      <c r="S42"/>
      <c r="T42"/>
    </row>
    <row r="43" spans="1:20" x14ac:dyDescent="0.3">
      <c r="A43"/>
      <c r="B43">
        <v>5</v>
      </c>
      <c r="C43">
        <v>6.3E-2</v>
      </c>
      <c r="D43">
        <v>0.3</v>
      </c>
      <c r="E43">
        <v>3.8</v>
      </c>
      <c r="F43" s="91" t="s">
        <v>330</v>
      </c>
      <c r="G43">
        <v>469</v>
      </c>
      <c r="H43">
        <v>140.69999999999999</v>
      </c>
      <c r="I43">
        <v>42.21</v>
      </c>
      <c r="J43"/>
      <c r="K43"/>
      <c r="L43"/>
      <c r="M43"/>
      <c r="N43"/>
      <c r="O43"/>
      <c r="P43"/>
      <c r="Q43"/>
      <c r="R43"/>
      <c r="S43"/>
      <c r="T43"/>
    </row>
    <row r="44" spans="1:20" x14ac:dyDescent="0.3">
      <c r="A44"/>
      <c r="B44">
        <v>4</v>
      </c>
      <c r="C44">
        <v>6.3E-2</v>
      </c>
      <c r="D44">
        <v>0.23699999999999999</v>
      </c>
      <c r="E44">
        <v>3.8</v>
      </c>
      <c r="F44" s="91" t="s">
        <v>330</v>
      </c>
      <c r="G44">
        <v>471</v>
      </c>
      <c r="H44">
        <v>111.63</v>
      </c>
      <c r="I44">
        <v>26.46</v>
      </c>
      <c r="J44"/>
      <c r="K44"/>
      <c r="L44"/>
      <c r="M44"/>
      <c r="N44"/>
      <c r="O44"/>
      <c r="P44"/>
      <c r="Q44"/>
      <c r="R44"/>
      <c r="S44"/>
      <c r="T44"/>
    </row>
    <row r="45" spans="1:20" x14ac:dyDescent="0.3">
      <c r="A45"/>
      <c r="B45">
        <v>3</v>
      </c>
      <c r="C45">
        <v>6.3E-2</v>
      </c>
      <c r="D45">
        <v>0.17399999999999999</v>
      </c>
      <c r="E45">
        <v>3.8</v>
      </c>
      <c r="F45" s="91" t="s">
        <v>330</v>
      </c>
      <c r="G45">
        <v>475</v>
      </c>
      <c r="H45">
        <v>82.65</v>
      </c>
      <c r="I45">
        <v>14.38</v>
      </c>
      <c r="J45"/>
      <c r="K45"/>
      <c r="L45"/>
      <c r="M45"/>
      <c r="N45"/>
      <c r="O45"/>
      <c r="P45"/>
      <c r="Q45"/>
      <c r="R45"/>
      <c r="S45"/>
      <c r="T45"/>
    </row>
    <row r="46" spans="1:20" x14ac:dyDescent="0.3">
      <c r="A46"/>
      <c r="B46">
        <v>2</v>
      </c>
      <c r="C46">
        <v>5.8999999999999997E-2</v>
      </c>
      <c r="D46">
        <v>0.111</v>
      </c>
      <c r="E46">
        <v>3.8</v>
      </c>
      <c r="F46" s="91" t="s">
        <v>332</v>
      </c>
      <c r="G46">
        <v>477</v>
      </c>
      <c r="H46">
        <v>52.95</v>
      </c>
      <c r="I46">
        <v>5.88</v>
      </c>
      <c r="J46"/>
      <c r="K46"/>
      <c r="L46"/>
      <c r="M46"/>
      <c r="N46"/>
      <c r="O46"/>
      <c r="P46"/>
      <c r="Q46"/>
      <c r="R46"/>
      <c r="S46"/>
      <c r="T46"/>
    </row>
    <row r="47" spans="1:20" x14ac:dyDescent="0.3">
      <c r="A47"/>
      <c r="B47">
        <v>1</v>
      </c>
      <c r="C47">
        <v>5.1999999999999998E-2</v>
      </c>
      <c r="D47">
        <v>5.1999999999999998E-2</v>
      </c>
      <c r="E47">
        <v>4.7300000000000004</v>
      </c>
      <c r="F47" s="91" t="s">
        <v>342</v>
      </c>
      <c r="G47">
        <v>481</v>
      </c>
      <c r="H47">
        <v>25.01</v>
      </c>
      <c r="I47">
        <v>1.3</v>
      </c>
      <c r="J47"/>
      <c r="K47"/>
      <c r="L47"/>
      <c r="M47"/>
      <c r="N47"/>
      <c r="O47"/>
      <c r="P47"/>
      <c r="Q47"/>
      <c r="R47"/>
      <c r="S47"/>
      <c r="T47"/>
    </row>
    <row r="48" spans="1:20" x14ac:dyDescent="0.3">
      <c r="A48"/>
      <c r="B48"/>
      <c r="C48"/>
      <c r="D48"/>
      <c r="E48"/>
      <c r="F48"/>
      <c r="G48">
        <v>5100</v>
      </c>
      <c r="H48">
        <v>1839.45</v>
      </c>
      <c r="I48">
        <v>863.79</v>
      </c>
      <c r="J48"/>
      <c r="K48"/>
      <c r="L48"/>
      <c r="M48"/>
      <c r="N48"/>
      <c r="O48"/>
      <c r="P48"/>
      <c r="Q48"/>
      <c r="R48"/>
      <c r="S48"/>
      <c r="T48"/>
    </row>
    <row r="49" spans="1:2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3">
      <c r="A50"/>
      <c r="B50"/>
      <c r="C50" t="s">
        <v>346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3">
      <c r="A52"/>
      <c r="B52"/>
      <c r="C52" t="s">
        <v>347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3">
      <c r="A54"/>
      <c r="B54"/>
      <c r="C54" t="s">
        <v>348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2"/>
  <pageMargins left="0.25" right="0.25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s_period">
                <anchor moveWithCells="1" sizeWithCells="1">
                  <from>
                    <xdr:col>3</xdr:col>
                    <xdr:colOff>430530</xdr:colOff>
                    <xdr:row>1</xdr:row>
                    <xdr:rowOff>68580</xdr:rowOff>
                  </from>
                  <to>
                    <xdr:col>4</xdr:col>
                    <xdr:colOff>419100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88B-49A5-4F00-9624-099CD377FCA3}">
  <sheetPr codeName="Sheet24"/>
  <dimension ref="A1:GR266"/>
  <sheetViews>
    <sheetView zoomScaleNormal="100" workbookViewId="0">
      <selection activeCell="D5" sqref="D5"/>
    </sheetView>
  </sheetViews>
  <sheetFormatPr defaultColWidth="17.87890625" defaultRowHeight="13.5" x14ac:dyDescent="0.3"/>
  <cols>
    <col min="1" max="1" width="5.29296875" style="65" customWidth="1"/>
    <col min="2" max="3" width="9.87890625" style="65" customWidth="1"/>
    <col min="4" max="4" width="11" style="65" customWidth="1"/>
    <col min="5" max="8" width="9.87890625" style="65" customWidth="1"/>
    <col min="9" max="17" width="8.703125" style="65" customWidth="1"/>
    <col min="18" max="18" width="11" style="65" customWidth="1"/>
    <col min="19" max="19" width="17.41015625" style="65" customWidth="1"/>
    <col min="20" max="54" width="11" style="65" customWidth="1"/>
    <col min="55" max="256" width="17.87890625" style="65"/>
    <col min="257" max="257" width="5.29296875" style="65" customWidth="1"/>
    <col min="258" max="310" width="11" style="65" customWidth="1"/>
    <col min="311" max="512" width="17.87890625" style="65"/>
    <col min="513" max="513" width="5.29296875" style="65" customWidth="1"/>
    <col min="514" max="566" width="11" style="65" customWidth="1"/>
    <col min="567" max="768" width="17.87890625" style="65"/>
    <col min="769" max="769" width="5.29296875" style="65" customWidth="1"/>
    <col min="770" max="822" width="11" style="65" customWidth="1"/>
    <col min="823" max="1024" width="17.87890625" style="65"/>
    <col min="1025" max="1025" width="5.29296875" style="65" customWidth="1"/>
    <col min="1026" max="1078" width="11" style="65" customWidth="1"/>
    <col min="1079" max="1280" width="17.87890625" style="65"/>
    <col min="1281" max="1281" width="5.29296875" style="65" customWidth="1"/>
    <col min="1282" max="1334" width="11" style="65" customWidth="1"/>
    <col min="1335" max="1536" width="17.87890625" style="65"/>
    <col min="1537" max="1537" width="5.29296875" style="65" customWidth="1"/>
    <col min="1538" max="1590" width="11" style="65" customWidth="1"/>
    <col min="1591" max="1792" width="17.87890625" style="65"/>
    <col min="1793" max="1793" width="5.29296875" style="65" customWidth="1"/>
    <col min="1794" max="1846" width="11" style="65" customWidth="1"/>
    <col min="1847" max="2048" width="17.87890625" style="65"/>
    <col min="2049" max="2049" width="5.29296875" style="65" customWidth="1"/>
    <col min="2050" max="2102" width="11" style="65" customWidth="1"/>
    <col min="2103" max="2304" width="17.87890625" style="65"/>
    <col min="2305" max="2305" width="5.29296875" style="65" customWidth="1"/>
    <col min="2306" max="2358" width="11" style="65" customWidth="1"/>
    <col min="2359" max="2560" width="17.87890625" style="65"/>
    <col min="2561" max="2561" width="5.29296875" style="65" customWidth="1"/>
    <col min="2562" max="2614" width="11" style="65" customWidth="1"/>
    <col min="2615" max="2816" width="17.87890625" style="65"/>
    <col min="2817" max="2817" width="5.29296875" style="65" customWidth="1"/>
    <col min="2818" max="2870" width="11" style="65" customWidth="1"/>
    <col min="2871" max="3072" width="17.87890625" style="65"/>
    <col min="3073" max="3073" width="5.29296875" style="65" customWidth="1"/>
    <col min="3074" max="3126" width="11" style="65" customWidth="1"/>
    <col min="3127" max="3328" width="17.87890625" style="65"/>
    <col min="3329" max="3329" width="5.29296875" style="65" customWidth="1"/>
    <col min="3330" max="3382" width="11" style="65" customWidth="1"/>
    <col min="3383" max="3584" width="17.87890625" style="65"/>
    <col min="3585" max="3585" width="5.29296875" style="65" customWidth="1"/>
    <col min="3586" max="3638" width="11" style="65" customWidth="1"/>
    <col min="3639" max="3840" width="17.87890625" style="65"/>
    <col min="3841" max="3841" width="5.29296875" style="65" customWidth="1"/>
    <col min="3842" max="3894" width="11" style="65" customWidth="1"/>
    <col min="3895" max="4096" width="17.87890625" style="65"/>
    <col min="4097" max="4097" width="5.29296875" style="65" customWidth="1"/>
    <col min="4098" max="4150" width="11" style="65" customWidth="1"/>
    <col min="4151" max="4352" width="17.87890625" style="65"/>
    <col min="4353" max="4353" width="5.29296875" style="65" customWidth="1"/>
    <col min="4354" max="4406" width="11" style="65" customWidth="1"/>
    <col min="4407" max="4608" width="17.87890625" style="65"/>
    <col min="4609" max="4609" width="5.29296875" style="65" customWidth="1"/>
    <col min="4610" max="4662" width="11" style="65" customWidth="1"/>
    <col min="4663" max="4864" width="17.87890625" style="65"/>
    <col min="4865" max="4865" width="5.29296875" style="65" customWidth="1"/>
    <col min="4866" max="4918" width="11" style="65" customWidth="1"/>
    <col min="4919" max="5120" width="17.87890625" style="65"/>
    <col min="5121" max="5121" width="5.29296875" style="65" customWidth="1"/>
    <col min="5122" max="5174" width="11" style="65" customWidth="1"/>
    <col min="5175" max="5376" width="17.87890625" style="65"/>
    <col min="5377" max="5377" width="5.29296875" style="65" customWidth="1"/>
    <col min="5378" max="5430" width="11" style="65" customWidth="1"/>
    <col min="5431" max="5632" width="17.87890625" style="65"/>
    <col min="5633" max="5633" width="5.29296875" style="65" customWidth="1"/>
    <col min="5634" max="5686" width="11" style="65" customWidth="1"/>
    <col min="5687" max="5888" width="17.87890625" style="65"/>
    <col min="5889" max="5889" width="5.29296875" style="65" customWidth="1"/>
    <col min="5890" max="5942" width="11" style="65" customWidth="1"/>
    <col min="5943" max="6144" width="17.87890625" style="65"/>
    <col min="6145" max="6145" width="5.29296875" style="65" customWidth="1"/>
    <col min="6146" max="6198" width="11" style="65" customWidth="1"/>
    <col min="6199" max="6400" width="17.87890625" style="65"/>
    <col min="6401" max="6401" width="5.29296875" style="65" customWidth="1"/>
    <col min="6402" max="6454" width="11" style="65" customWidth="1"/>
    <col min="6455" max="6656" width="17.87890625" style="65"/>
    <col min="6657" max="6657" width="5.29296875" style="65" customWidth="1"/>
    <col min="6658" max="6710" width="11" style="65" customWidth="1"/>
    <col min="6711" max="6912" width="17.87890625" style="65"/>
    <col min="6913" max="6913" width="5.29296875" style="65" customWidth="1"/>
    <col min="6914" max="6966" width="11" style="65" customWidth="1"/>
    <col min="6967" max="7168" width="17.87890625" style="65"/>
    <col min="7169" max="7169" width="5.29296875" style="65" customWidth="1"/>
    <col min="7170" max="7222" width="11" style="65" customWidth="1"/>
    <col min="7223" max="7424" width="17.87890625" style="65"/>
    <col min="7425" max="7425" width="5.29296875" style="65" customWidth="1"/>
    <col min="7426" max="7478" width="11" style="65" customWidth="1"/>
    <col min="7479" max="7680" width="17.87890625" style="65"/>
    <col min="7681" max="7681" width="5.29296875" style="65" customWidth="1"/>
    <col min="7682" max="7734" width="11" style="65" customWidth="1"/>
    <col min="7735" max="7936" width="17.87890625" style="65"/>
    <col min="7937" max="7937" width="5.29296875" style="65" customWidth="1"/>
    <col min="7938" max="7990" width="11" style="65" customWidth="1"/>
    <col min="7991" max="8192" width="17.87890625" style="65"/>
    <col min="8193" max="8193" width="5.29296875" style="65" customWidth="1"/>
    <col min="8194" max="8246" width="11" style="65" customWidth="1"/>
    <col min="8247" max="8448" width="17.87890625" style="65"/>
    <col min="8449" max="8449" width="5.29296875" style="65" customWidth="1"/>
    <col min="8450" max="8502" width="11" style="65" customWidth="1"/>
    <col min="8503" max="8704" width="17.87890625" style="65"/>
    <col min="8705" max="8705" width="5.29296875" style="65" customWidth="1"/>
    <col min="8706" max="8758" width="11" style="65" customWidth="1"/>
    <col min="8759" max="8960" width="17.87890625" style="65"/>
    <col min="8961" max="8961" width="5.29296875" style="65" customWidth="1"/>
    <col min="8962" max="9014" width="11" style="65" customWidth="1"/>
    <col min="9015" max="9216" width="17.87890625" style="65"/>
    <col min="9217" max="9217" width="5.29296875" style="65" customWidth="1"/>
    <col min="9218" max="9270" width="11" style="65" customWidth="1"/>
    <col min="9271" max="9472" width="17.87890625" style="65"/>
    <col min="9473" max="9473" width="5.29296875" style="65" customWidth="1"/>
    <col min="9474" max="9526" width="11" style="65" customWidth="1"/>
    <col min="9527" max="9728" width="17.87890625" style="65"/>
    <col min="9729" max="9729" width="5.29296875" style="65" customWidth="1"/>
    <col min="9730" max="9782" width="11" style="65" customWidth="1"/>
    <col min="9783" max="9984" width="17.87890625" style="65"/>
    <col min="9985" max="9985" width="5.29296875" style="65" customWidth="1"/>
    <col min="9986" max="10038" width="11" style="65" customWidth="1"/>
    <col min="10039" max="10240" width="17.87890625" style="65"/>
    <col min="10241" max="10241" width="5.29296875" style="65" customWidth="1"/>
    <col min="10242" max="10294" width="11" style="65" customWidth="1"/>
    <col min="10295" max="10496" width="17.87890625" style="65"/>
    <col min="10497" max="10497" width="5.29296875" style="65" customWidth="1"/>
    <col min="10498" max="10550" width="11" style="65" customWidth="1"/>
    <col min="10551" max="10752" width="17.87890625" style="65"/>
    <col min="10753" max="10753" width="5.29296875" style="65" customWidth="1"/>
    <col min="10754" max="10806" width="11" style="65" customWidth="1"/>
    <col min="10807" max="11008" width="17.87890625" style="65"/>
    <col min="11009" max="11009" width="5.29296875" style="65" customWidth="1"/>
    <col min="11010" max="11062" width="11" style="65" customWidth="1"/>
    <col min="11063" max="11264" width="17.87890625" style="65"/>
    <col min="11265" max="11265" width="5.29296875" style="65" customWidth="1"/>
    <col min="11266" max="11318" width="11" style="65" customWidth="1"/>
    <col min="11319" max="11520" width="17.87890625" style="65"/>
    <col min="11521" max="11521" width="5.29296875" style="65" customWidth="1"/>
    <col min="11522" max="11574" width="11" style="65" customWidth="1"/>
    <col min="11575" max="11776" width="17.87890625" style="65"/>
    <col min="11777" max="11777" width="5.29296875" style="65" customWidth="1"/>
    <col min="11778" max="11830" width="11" style="65" customWidth="1"/>
    <col min="11831" max="12032" width="17.87890625" style="65"/>
    <col min="12033" max="12033" width="5.29296875" style="65" customWidth="1"/>
    <col min="12034" max="12086" width="11" style="65" customWidth="1"/>
    <col min="12087" max="12288" width="17.87890625" style="65"/>
    <col min="12289" max="12289" width="5.29296875" style="65" customWidth="1"/>
    <col min="12290" max="12342" width="11" style="65" customWidth="1"/>
    <col min="12343" max="12544" width="17.87890625" style="65"/>
    <col min="12545" max="12545" width="5.29296875" style="65" customWidth="1"/>
    <col min="12546" max="12598" width="11" style="65" customWidth="1"/>
    <col min="12599" max="12800" width="17.87890625" style="65"/>
    <col min="12801" max="12801" width="5.29296875" style="65" customWidth="1"/>
    <col min="12802" max="12854" width="11" style="65" customWidth="1"/>
    <col min="12855" max="13056" width="17.87890625" style="65"/>
    <col min="13057" max="13057" width="5.29296875" style="65" customWidth="1"/>
    <col min="13058" max="13110" width="11" style="65" customWidth="1"/>
    <col min="13111" max="13312" width="17.87890625" style="65"/>
    <col min="13313" max="13313" width="5.29296875" style="65" customWidth="1"/>
    <col min="13314" max="13366" width="11" style="65" customWidth="1"/>
    <col min="13367" max="13568" width="17.87890625" style="65"/>
    <col min="13569" max="13569" width="5.29296875" style="65" customWidth="1"/>
    <col min="13570" max="13622" width="11" style="65" customWidth="1"/>
    <col min="13623" max="13824" width="17.87890625" style="65"/>
    <col min="13825" max="13825" width="5.29296875" style="65" customWidth="1"/>
    <col min="13826" max="13878" width="11" style="65" customWidth="1"/>
    <col min="13879" max="14080" width="17.87890625" style="65"/>
    <col min="14081" max="14081" width="5.29296875" style="65" customWidth="1"/>
    <col min="14082" max="14134" width="11" style="65" customWidth="1"/>
    <col min="14135" max="14336" width="17.87890625" style="65"/>
    <col min="14337" max="14337" width="5.29296875" style="65" customWidth="1"/>
    <col min="14338" max="14390" width="11" style="65" customWidth="1"/>
    <col min="14391" max="14592" width="17.87890625" style="65"/>
    <col min="14593" max="14593" width="5.29296875" style="65" customWidth="1"/>
    <col min="14594" max="14646" width="11" style="65" customWidth="1"/>
    <col min="14647" max="14848" width="17.87890625" style="65"/>
    <col min="14849" max="14849" width="5.29296875" style="65" customWidth="1"/>
    <col min="14850" max="14902" width="11" style="65" customWidth="1"/>
    <col min="14903" max="15104" width="17.87890625" style="65"/>
    <col min="15105" max="15105" width="5.29296875" style="65" customWidth="1"/>
    <col min="15106" max="15158" width="11" style="65" customWidth="1"/>
    <col min="15159" max="15360" width="17.87890625" style="65"/>
    <col min="15361" max="15361" width="5.29296875" style="65" customWidth="1"/>
    <col min="15362" max="15414" width="11" style="65" customWidth="1"/>
    <col min="15415" max="15616" width="17.87890625" style="65"/>
    <col min="15617" max="15617" width="5.29296875" style="65" customWidth="1"/>
    <col min="15618" max="15670" width="11" style="65" customWidth="1"/>
    <col min="15671" max="15872" width="17.87890625" style="65"/>
    <col min="15873" max="15873" width="5.29296875" style="65" customWidth="1"/>
    <col min="15874" max="15926" width="11" style="65" customWidth="1"/>
    <col min="15927" max="16128" width="17.87890625" style="65"/>
    <col min="16129" max="16129" width="5.29296875" style="65" customWidth="1"/>
    <col min="16130" max="16182" width="11" style="65" customWidth="1"/>
    <col min="16183" max="16384" width="17.87890625" style="65"/>
  </cols>
  <sheetData>
    <row r="1" spans="1:200" x14ac:dyDescent="0.3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3">
      <c r="B2" s="65" t="s">
        <v>252</v>
      </c>
      <c r="L2" s="65" t="s">
        <v>259</v>
      </c>
    </row>
    <row r="4" spans="1:200" x14ac:dyDescent="0.3">
      <c r="B4" s="75" t="s">
        <v>0</v>
      </c>
      <c r="C4" s="75" t="s">
        <v>216</v>
      </c>
      <c r="D4" s="75" t="s">
        <v>217</v>
      </c>
      <c r="E4" s="75" t="s">
        <v>253</v>
      </c>
      <c r="F4" s="75" t="s">
        <v>254</v>
      </c>
      <c r="G4" s="75" t="s">
        <v>140</v>
      </c>
      <c r="L4" s="80" t="s">
        <v>266</v>
      </c>
      <c r="M4" s="81">
        <f>+C5</f>
        <v>1.5800000429153442</v>
      </c>
    </row>
    <row r="5" spans="1:200" x14ac:dyDescent="0.3">
      <c r="B5" s="75">
        <f>損傷限界固有周期!E5</f>
        <v>11</v>
      </c>
      <c r="C5" s="76">
        <f>安全限界固有周期!H9</f>
        <v>1.5800000429153442</v>
      </c>
      <c r="D5" s="76">
        <f>安全限界固有周期!H10</f>
        <v>2.0350000858306885</v>
      </c>
      <c r="E5" s="75">
        <f>安全限界固有周期!E10</f>
        <v>3845</v>
      </c>
      <c r="F5" s="75">
        <f>安全限界固有周期!E11</f>
        <v>3917</v>
      </c>
      <c r="G5" s="75">
        <f>損傷限界固有周期!E9</f>
        <v>5100</v>
      </c>
      <c r="L5" s="65" t="str">
        <f>IF(C5&lt;=0.16,"Pdi=","")</f>
        <v/>
      </c>
      <c r="M5" s="65" t="s">
        <v>260</v>
      </c>
      <c r="R5" s="65" t="s">
        <v>263</v>
      </c>
    </row>
    <row r="6" spans="1:200" x14ac:dyDescent="0.3">
      <c r="L6" s="80" t="str">
        <f>IF(C5&lt;=0.64,IF(C5&gt;0.16,"Pdi=",""),"")</f>
        <v/>
      </c>
      <c r="M6" s="65" t="s">
        <v>261</v>
      </c>
      <c r="Q6" s="65">
        <v>0.16</v>
      </c>
      <c r="R6" s="65" t="s">
        <v>265</v>
      </c>
    </row>
    <row r="7" spans="1:200" x14ac:dyDescent="0.3">
      <c r="B7" s="65" t="s">
        <v>226</v>
      </c>
      <c r="L7" s="80" t="str">
        <f>IF(C5&gt;0.64,"Pdi=","")</f>
        <v>Pdi=</v>
      </c>
      <c r="M7" s="65" t="s">
        <v>267</v>
      </c>
      <c r="Q7" s="65">
        <v>0.64</v>
      </c>
      <c r="R7" s="65" t="s">
        <v>264</v>
      </c>
    </row>
    <row r="8" spans="1:200" x14ac:dyDescent="0.3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S8" s="11"/>
    </row>
    <row r="9" spans="1:200" x14ac:dyDescent="0.3">
      <c r="B9" s="22" t="s">
        <v>0</v>
      </c>
      <c r="C9" s="11" t="s">
        <v>224</v>
      </c>
      <c r="D9" s="11"/>
      <c r="E9" s="11" t="s">
        <v>225</v>
      </c>
      <c r="F9" s="11"/>
      <c r="G9" s="11"/>
      <c r="H9" s="11"/>
      <c r="I9" s="11"/>
      <c r="J9" s="11"/>
      <c r="K9" s="11"/>
      <c r="M9" s="82" t="s">
        <v>195</v>
      </c>
      <c r="N9" s="82" t="s">
        <v>123</v>
      </c>
      <c r="O9" s="82" t="s">
        <v>258</v>
      </c>
      <c r="P9" s="82" t="s">
        <v>268</v>
      </c>
      <c r="S9" s="11"/>
    </row>
    <row r="10" spans="1:200" x14ac:dyDescent="0.3">
      <c r="B10" s="22">
        <v>1</v>
      </c>
      <c r="C10" s="11" t="s">
        <v>106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0.64810124821931125</v>
      </c>
      <c r="N10" s="82">
        <f>損傷限界固有周期!E6</f>
        <v>1</v>
      </c>
      <c r="O10" s="82">
        <f>C52</f>
        <v>1.360379695892334</v>
      </c>
      <c r="P10" s="82">
        <f>M10*N10*O10</f>
        <v>0.88166377896002868</v>
      </c>
      <c r="S10" s="11"/>
    </row>
    <row r="11" spans="1:200" x14ac:dyDescent="0.3">
      <c r="B11" s="22">
        <v>2</v>
      </c>
      <c r="C11" s="11" t="s">
        <v>107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3">
      <c r="B12" s="22">
        <v>3</v>
      </c>
      <c r="C12" s="11" t="s">
        <v>108</v>
      </c>
      <c r="D12" s="11"/>
      <c r="E12" s="26">
        <v>0.9</v>
      </c>
      <c r="F12" s="11"/>
      <c r="G12" s="11"/>
      <c r="H12" s="11"/>
      <c r="I12" s="11"/>
      <c r="J12" s="11"/>
      <c r="K12" s="11"/>
      <c r="L12" s="80"/>
      <c r="M12" s="81"/>
      <c r="S12" s="11"/>
    </row>
    <row r="13" spans="1:200" x14ac:dyDescent="0.3">
      <c r="B13" s="22">
        <v>4</v>
      </c>
      <c r="C13" s="11" t="s">
        <v>109</v>
      </c>
      <c r="D13" s="11"/>
      <c r="E13" s="26">
        <v>0.95</v>
      </c>
      <c r="F13" s="11"/>
      <c r="G13" s="11"/>
      <c r="H13" s="11"/>
      <c r="I13" s="11"/>
      <c r="J13" s="11"/>
      <c r="K13" s="11"/>
      <c r="L13" s="80" t="s">
        <v>269</v>
      </c>
      <c r="M13" s="78">
        <f>D5</f>
        <v>2.0350000858306885</v>
      </c>
      <c r="S13" s="11"/>
    </row>
    <row r="14" spans="1:200" x14ac:dyDescent="0.3">
      <c r="B14" s="22" t="s">
        <v>105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K14" s="11"/>
      <c r="L14" s="65" t="str">
        <f>IF(C10&lt;=0.16,"Pdi=","")</f>
        <v/>
      </c>
      <c r="M14" s="65" t="s">
        <v>260</v>
      </c>
      <c r="R14" s="65" t="s">
        <v>263</v>
      </c>
      <c r="S14" s="11"/>
    </row>
    <row r="15" spans="1:200" x14ac:dyDescent="0.3">
      <c r="H15" s="11"/>
      <c r="I15" s="11"/>
      <c r="J15" s="11"/>
      <c r="K15" s="11"/>
      <c r="L15" s="80" t="str">
        <f>IF(C10&lt;=0.64,IF(C10&gt;0.16,"Pdi=",""),"")</f>
        <v/>
      </c>
      <c r="M15" s="65" t="s">
        <v>261</v>
      </c>
      <c r="Q15" s="65">
        <v>0.16</v>
      </c>
      <c r="R15" s="65" t="s">
        <v>265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3">
      <c r="B16" s="75"/>
      <c r="C16" s="75" t="s">
        <v>24</v>
      </c>
      <c r="D16" s="75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262</v>
      </c>
      <c r="Q16" s="65">
        <v>0.64</v>
      </c>
      <c r="R16" s="65" t="s">
        <v>264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3">
      <c r="B17" s="75" t="s">
        <v>124</v>
      </c>
      <c r="C17" s="77" cm="1">
        <f t="array" ref="C17">bdi_p(B5,C5)</f>
        <v>1</v>
      </c>
      <c r="D17" s="77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3">
      <c r="H18" s="11"/>
      <c r="I18" s="11"/>
      <c r="J18" s="11"/>
      <c r="K18" s="11"/>
      <c r="L18" s="68"/>
      <c r="M18" s="82" t="s">
        <v>195</v>
      </c>
      <c r="N18" s="82" t="s">
        <v>123</v>
      </c>
      <c r="O18" s="82" t="s">
        <v>258</v>
      </c>
      <c r="P18" s="82" t="s">
        <v>268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3">
      <c r="B19" s="65" t="s">
        <v>227</v>
      </c>
      <c r="I19" s="11"/>
      <c r="J19" s="11"/>
      <c r="K19" s="11"/>
      <c r="L19" s="68"/>
      <c r="M19" s="82" cm="1">
        <f t="array" ref="M19">Pdi_alf(M13)</f>
        <v>0.50319408197076443</v>
      </c>
      <c r="N19" s="82">
        <f>N10</f>
        <v>1</v>
      </c>
      <c r="O19" s="82">
        <f>D52</f>
        <v>1.2641522884368896</v>
      </c>
      <c r="P19" s="82">
        <f>M19*N19*O19</f>
        <v>0.63611395025124173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3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3">
      <c r="C21" s="42" t="s">
        <v>110</v>
      </c>
      <c r="D21" s="42" t="s">
        <v>111</v>
      </c>
      <c r="F21" s="42" t="s">
        <v>223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3">
      <c r="C22" s="42"/>
      <c r="D22" s="42" t="s">
        <v>112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3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3">
      <c r="C24" s="75" t="s">
        <v>24</v>
      </c>
      <c r="D24" s="75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3">
      <c r="B25" s="75" t="s">
        <v>231</v>
      </c>
      <c r="C25" s="77">
        <f>E5/G5</f>
        <v>0.75392156862745097</v>
      </c>
      <c r="D25" s="77">
        <f>F5/G5</f>
        <v>0.76803921568627453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3">
      <c r="B26" s="75" t="s">
        <v>124</v>
      </c>
      <c r="C26" s="77" cm="1">
        <f t="array" ref="C26">bdi_q(E5,G5)</f>
        <v>1</v>
      </c>
      <c r="D26" s="77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3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3">
      <c r="B28" s="65" t="s">
        <v>232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3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3">
      <c r="B30" s="65" t="s">
        <v>233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3">
      <c r="F31" s="65" t="s">
        <v>238</v>
      </c>
      <c r="G31" s="65" t="s">
        <v>240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3">
      <c r="B32" s="65" t="s">
        <v>242</v>
      </c>
      <c r="F32" s="65" t="s">
        <v>239</v>
      </c>
      <c r="G32" s="65" t="s">
        <v>241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3">
      <c r="B33" s="65" t="s">
        <v>243</v>
      </c>
      <c r="D33" s="65" t="s">
        <v>247</v>
      </c>
      <c r="F33" s="65" t="s">
        <v>234</v>
      </c>
      <c r="H33" s="65" t="s">
        <v>247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3">
      <c r="B34" s="65" t="s">
        <v>244</v>
      </c>
      <c r="D34" s="65" t="s">
        <v>246</v>
      </c>
      <c r="F34" s="65" t="s">
        <v>235</v>
      </c>
      <c r="H34" s="65" t="s">
        <v>249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3">
      <c r="B35" s="65" t="s">
        <v>245</v>
      </c>
      <c r="D35" s="65" t="s">
        <v>248</v>
      </c>
      <c r="F35" s="65" t="s">
        <v>236</v>
      </c>
      <c r="H35" s="65" t="s">
        <v>250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3">
      <c r="F36" s="65" t="s">
        <v>237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3">
      <c r="B37" s="65" t="s">
        <v>222</v>
      </c>
      <c r="C37" s="65" t="s">
        <v>214</v>
      </c>
      <c r="D37" s="65" t="s">
        <v>213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3">
      <c r="B38" s="65">
        <v>2</v>
      </c>
      <c r="C38" s="65" cm="1">
        <f t="array" ref="C38">Gs387_7_2(C5,B38)</f>
        <v>2.0249999999999999</v>
      </c>
      <c r="D38" s="65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3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3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3">
      <c r="B41" s="65" t="s">
        <v>251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3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3">
      <c r="C43" s="42" t="s">
        <v>205</v>
      </c>
      <c r="D43" s="43" t="s">
        <v>209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3">
      <c r="B44" s="11"/>
      <c r="C44" s="42" t="s">
        <v>206</v>
      </c>
      <c r="D44" s="43" t="s">
        <v>210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3">
      <c r="B45" s="11"/>
      <c r="C45" s="42" t="s">
        <v>207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3">
      <c r="B46" s="11"/>
      <c r="C46" s="65" t="s">
        <v>208</v>
      </c>
      <c r="D46" s="65" t="s">
        <v>211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3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3">
      <c r="C48" s="75" t="s">
        <v>214</v>
      </c>
      <c r="D48" s="75" t="s">
        <v>213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3">
      <c r="C49" s="76">
        <f>GS!B36</f>
        <v>1.360379695892334</v>
      </c>
      <c r="D49" s="76">
        <f>GS!C36</f>
        <v>1.2641522884368896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3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3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3">
      <c r="B52" s="83" t="s">
        <v>257</v>
      </c>
      <c r="C52" s="83">
        <f>IF(E52=1,C38,C49)</f>
        <v>1.360379695892334</v>
      </c>
      <c r="D52" s="83">
        <f>IF(E52=1,D38,D49)</f>
        <v>1.2641522884368896</v>
      </c>
      <c r="E52" s="84">
        <v>2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3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3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3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3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3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3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3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3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3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3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3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3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3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3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3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3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3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3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3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3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3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3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3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3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3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3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3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3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3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3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3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3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3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3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3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3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3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3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3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3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3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3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3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3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3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3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3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3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3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3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3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3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3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3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3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3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3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3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3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3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3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3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3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3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3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3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3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3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3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3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3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3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3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3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3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3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3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3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3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3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3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3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3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3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3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3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3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3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3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3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3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3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3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3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3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3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3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3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3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3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3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3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3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3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3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3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3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3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3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3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3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3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3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3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3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3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3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3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3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3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3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3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3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3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3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3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3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3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3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3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3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3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3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3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3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3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3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3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3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3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3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3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3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3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3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3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3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3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3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3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3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3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3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3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3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3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3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3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3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3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3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3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3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3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3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3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3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3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3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3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3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3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3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3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E719-61E6-4C86-9B1F-07CFA38D719A}">
  <sheetPr codeName="Sheet14"/>
  <dimension ref="A1:AA38"/>
  <sheetViews>
    <sheetView workbookViewId="0">
      <selection activeCell="B4" sqref="B4"/>
    </sheetView>
  </sheetViews>
  <sheetFormatPr defaultColWidth="9.1171875" defaultRowHeight="13.5" x14ac:dyDescent="0.3"/>
  <cols>
    <col min="1" max="12" width="9.1171875" style="11"/>
    <col min="13" max="22" width="8.703125" style="11" customWidth="1"/>
    <col min="23" max="16384" width="9.1171875" style="11"/>
  </cols>
  <sheetData>
    <row r="1" spans="1:22" x14ac:dyDescent="0.3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</row>
    <row r="2" spans="1:22" x14ac:dyDescent="0.3">
      <c r="E2" s="54" t="s">
        <v>24</v>
      </c>
      <c r="F2" s="54" t="s">
        <v>25</v>
      </c>
      <c r="J2" s="42"/>
      <c r="O2" s="11">
        <v>1.5800000429153442</v>
      </c>
      <c r="P2" s="11">
        <v>2.0350000858306885</v>
      </c>
    </row>
    <row r="3" spans="1:22" x14ac:dyDescent="0.3">
      <c r="D3" s="54" t="s">
        <v>183</v>
      </c>
      <c r="E3" s="11">
        <v>1.5800000429153442</v>
      </c>
      <c r="F3" s="11">
        <v>2.0350000858306885</v>
      </c>
      <c r="H3" s="11" t="s">
        <v>175</v>
      </c>
      <c r="I3" s="11">
        <v>2.0249999999999999</v>
      </c>
      <c r="O3" s="11">
        <v>3845</v>
      </c>
      <c r="P3" s="11">
        <v>3917</v>
      </c>
    </row>
    <row r="4" spans="1:22" ht="15" x14ac:dyDescent="0.3">
      <c r="D4" s="42" t="s">
        <v>171</v>
      </c>
      <c r="E4" s="11">
        <v>3845</v>
      </c>
      <c r="F4" s="11">
        <v>3917</v>
      </c>
      <c r="H4" s="11" t="s">
        <v>176</v>
      </c>
      <c r="I4" s="11">
        <v>2.0249999999999999</v>
      </c>
      <c r="N4" s="45"/>
      <c r="O4" s="11">
        <v>0.75400000810623169</v>
      </c>
      <c r="P4" s="11">
        <v>0.76800000667572021</v>
      </c>
      <c r="Q4" s="45"/>
      <c r="R4" s="45"/>
      <c r="S4" s="45"/>
      <c r="T4" s="45"/>
      <c r="U4" s="45"/>
      <c r="V4" s="45"/>
    </row>
    <row r="5" spans="1:22" x14ac:dyDescent="0.3">
      <c r="D5" s="42" t="s">
        <v>182</v>
      </c>
      <c r="E5" s="11">
        <v>0.75400000810623169</v>
      </c>
      <c r="F5" s="11">
        <v>0.76800000667572021</v>
      </c>
      <c r="H5" s="11" t="s">
        <v>177</v>
      </c>
      <c r="K5" s="42"/>
      <c r="O5" s="11">
        <v>7057</v>
      </c>
      <c r="P5" s="11">
        <v>6444</v>
      </c>
    </row>
    <row r="6" spans="1:22" x14ac:dyDescent="0.3">
      <c r="D6" s="54" t="s">
        <v>181</v>
      </c>
      <c r="E6" s="11">
        <v>24088</v>
      </c>
      <c r="F6" s="11">
        <v>17532</v>
      </c>
      <c r="H6" s="11" t="s">
        <v>178</v>
      </c>
      <c r="J6" s="55"/>
      <c r="K6" s="42"/>
      <c r="O6" s="11">
        <v>18553</v>
      </c>
      <c r="P6" s="11">
        <v>12984</v>
      </c>
    </row>
    <row r="7" spans="1:22" x14ac:dyDescent="0.3">
      <c r="D7" s="54" t="s">
        <v>179</v>
      </c>
      <c r="E7" s="11">
        <v>18553</v>
      </c>
      <c r="F7" s="11">
        <v>12984</v>
      </c>
      <c r="J7" s="55"/>
      <c r="O7" s="11">
        <v>0.37999999523162842</v>
      </c>
      <c r="P7" s="11">
        <v>0.49599999189376831</v>
      </c>
    </row>
    <row r="8" spans="1:22" x14ac:dyDescent="0.3">
      <c r="D8" s="54" t="s">
        <v>180</v>
      </c>
      <c r="E8" s="11">
        <v>1.2979999780654907</v>
      </c>
      <c r="F8" s="11">
        <v>1.3500000238418579</v>
      </c>
      <c r="J8" s="55"/>
      <c r="O8" s="42"/>
      <c r="P8" s="42"/>
    </row>
    <row r="9" spans="1:22" x14ac:dyDescent="0.3">
      <c r="D9" s="54" t="s">
        <v>157</v>
      </c>
      <c r="H9" s="11">
        <v>0.7353338414824212</v>
      </c>
      <c r="I9" s="11">
        <v>0.65059944760276622</v>
      </c>
      <c r="J9" s="55"/>
      <c r="O9" s="42"/>
      <c r="P9" s="42"/>
    </row>
    <row r="10" spans="1:22" x14ac:dyDescent="0.3">
      <c r="O10" s="42"/>
      <c r="P10" s="42"/>
    </row>
    <row r="11" spans="1:22" x14ac:dyDescent="0.3">
      <c r="J11" s="55"/>
      <c r="O11" s="42"/>
      <c r="P11" s="42"/>
    </row>
    <row r="12" spans="1:22" x14ac:dyDescent="0.3">
      <c r="B12" s="11" t="s">
        <v>19</v>
      </c>
      <c r="C12" s="11" t="s">
        <v>124</v>
      </c>
      <c r="D12" s="11" t="s">
        <v>125</v>
      </c>
      <c r="E12" s="11" t="s">
        <v>5</v>
      </c>
      <c r="F12" s="11" t="s">
        <v>349</v>
      </c>
      <c r="G12" s="11" t="s">
        <v>350</v>
      </c>
      <c r="H12" s="11" t="s">
        <v>158</v>
      </c>
      <c r="I12" s="11" t="s">
        <v>127</v>
      </c>
      <c r="O12" s="42"/>
    </row>
    <row r="13" spans="1:22" x14ac:dyDescent="0.3">
      <c r="J13" s="55"/>
      <c r="O13" s="42"/>
    </row>
    <row r="14" spans="1:22" x14ac:dyDescent="0.3">
      <c r="B14" s="11">
        <v>11</v>
      </c>
      <c r="C14" s="11">
        <v>1</v>
      </c>
      <c r="D14" s="11">
        <v>1</v>
      </c>
      <c r="E14" s="11">
        <v>251</v>
      </c>
      <c r="F14" s="11">
        <v>3.372999906539917</v>
      </c>
      <c r="G14" s="11">
        <v>2.5429999828338623</v>
      </c>
      <c r="H14" s="11">
        <v>3080</v>
      </c>
      <c r="I14" s="11">
        <v>3080</v>
      </c>
      <c r="J14" s="92">
        <v>4.9215689301490784E-2</v>
      </c>
      <c r="L14" s="11">
        <v>3.3730266094207764</v>
      </c>
      <c r="O14" s="22"/>
    </row>
    <row r="15" spans="1:22" x14ac:dyDescent="0.3">
      <c r="B15" s="11">
        <v>10</v>
      </c>
      <c r="C15" s="11">
        <v>1</v>
      </c>
      <c r="D15" s="11">
        <v>1</v>
      </c>
      <c r="E15" s="11">
        <v>640</v>
      </c>
      <c r="F15" s="11">
        <v>1.7130000591278076</v>
      </c>
      <c r="G15" s="11">
        <v>1.2910000085830688</v>
      </c>
      <c r="H15" s="11">
        <v>3988</v>
      </c>
      <c r="I15" s="11">
        <v>7068</v>
      </c>
      <c r="J15" s="92">
        <v>0.1747058779001236</v>
      </c>
      <c r="L15" s="11">
        <v>1.7126973867416382</v>
      </c>
      <c r="O15" s="22"/>
    </row>
    <row r="16" spans="1:22" x14ac:dyDescent="0.3">
      <c r="B16" s="11">
        <v>9</v>
      </c>
      <c r="C16" s="11">
        <v>1</v>
      </c>
      <c r="D16" s="11">
        <v>1</v>
      </c>
      <c r="E16" s="11">
        <v>454</v>
      </c>
      <c r="F16" s="11">
        <v>1.3380000591278076</v>
      </c>
      <c r="G16" s="11">
        <v>1.0089999437332153</v>
      </c>
      <c r="H16" s="11">
        <v>2210</v>
      </c>
      <c r="I16" s="11">
        <v>9277</v>
      </c>
      <c r="J16" s="92">
        <v>0.26372548937797546</v>
      </c>
      <c r="L16" s="11">
        <v>1.3380277156829834</v>
      </c>
      <c r="O16" s="22"/>
    </row>
    <row r="17" spans="1:27" x14ac:dyDescent="0.3">
      <c r="B17" s="11">
        <v>8</v>
      </c>
      <c r="C17" s="11">
        <v>1</v>
      </c>
      <c r="D17" s="11">
        <v>1</v>
      </c>
      <c r="E17" s="11">
        <v>455</v>
      </c>
      <c r="F17" s="11">
        <v>1.1519999504089355</v>
      </c>
      <c r="G17" s="11">
        <v>0.86900001764297485</v>
      </c>
      <c r="H17" s="11">
        <v>1907</v>
      </c>
      <c r="I17" s="11">
        <v>11185</v>
      </c>
      <c r="J17" s="11">
        <v>0.35294118523597717</v>
      </c>
      <c r="L17" s="11">
        <v>1.1523116827011108</v>
      </c>
      <c r="O17" s="22"/>
    </row>
    <row r="18" spans="1:27" x14ac:dyDescent="0.3">
      <c r="B18" s="11">
        <v>7</v>
      </c>
      <c r="C18" s="11">
        <v>1</v>
      </c>
      <c r="D18" s="11">
        <v>1</v>
      </c>
      <c r="E18" s="11">
        <v>460</v>
      </c>
      <c r="F18" s="11">
        <v>0.99900001287460327</v>
      </c>
      <c r="G18" s="11">
        <v>0.75300002098083496</v>
      </c>
      <c r="H18" s="11">
        <v>1671</v>
      </c>
      <c r="I18" s="11">
        <v>12856</v>
      </c>
      <c r="J18" s="11">
        <v>0.44313725829124451</v>
      </c>
      <c r="L18" s="11">
        <v>0.99878358840942383</v>
      </c>
      <c r="O18" s="22"/>
    </row>
    <row r="19" spans="1:27" x14ac:dyDescent="0.3">
      <c r="B19" s="11">
        <v>6</v>
      </c>
      <c r="C19" s="11">
        <v>1</v>
      </c>
      <c r="D19" s="11">
        <v>1</v>
      </c>
      <c r="E19" s="11">
        <v>467</v>
      </c>
      <c r="F19" s="11">
        <v>0.86100000143051147</v>
      </c>
      <c r="G19" s="11">
        <v>0.64899998903274536</v>
      </c>
      <c r="H19" s="11">
        <v>1462</v>
      </c>
      <c r="I19" s="11">
        <v>14318</v>
      </c>
      <c r="J19" s="11">
        <v>0.53470587730407715</v>
      </c>
      <c r="L19" s="11">
        <v>0.86055731773376465</v>
      </c>
      <c r="O19" s="22"/>
    </row>
    <row r="20" spans="1:27" x14ac:dyDescent="0.3">
      <c r="B20" s="11">
        <v>5</v>
      </c>
      <c r="C20" s="11">
        <v>1</v>
      </c>
      <c r="D20" s="11">
        <v>1</v>
      </c>
      <c r="E20" s="11">
        <v>469</v>
      </c>
      <c r="F20" s="11">
        <v>0.73100000619888306</v>
      </c>
      <c r="G20" s="11">
        <v>0.55099999904632568</v>
      </c>
      <c r="H20" s="11">
        <v>1248</v>
      </c>
      <c r="I20" s="56">
        <v>15566</v>
      </c>
      <c r="J20" s="11">
        <v>0.62666666507720947</v>
      </c>
      <c r="L20" s="11">
        <v>0.73136252164840698</v>
      </c>
    </row>
    <row r="21" spans="1:27" x14ac:dyDescent="0.3">
      <c r="B21" s="11">
        <v>4</v>
      </c>
      <c r="C21" s="11">
        <v>1</v>
      </c>
      <c r="D21" s="11">
        <v>1</v>
      </c>
      <c r="E21" s="11">
        <v>471</v>
      </c>
      <c r="F21" s="11">
        <v>0.60799998044967651</v>
      </c>
      <c r="G21" s="11">
        <v>0.45899999141693115</v>
      </c>
      <c r="H21" s="11">
        <v>1042</v>
      </c>
      <c r="I21" s="56">
        <v>16608</v>
      </c>
      <c r="J21" s="11">
        <v>0.71901959180831909</v>
      </c>
      <c r="K21" s="56"/>
      <c r="L21" s="11">
        <v>0.60837984085083008</v>
      </c>
      <c r="O21" s="42"/>
    </row>
    <row r="22" spans="1:27" x14ac:dyDescent="0.3">
      <c r="B22" s="11">
        <v>3</v>
      </c>
      <c r="C22" s="11">
        <v>1</v>
      </c>
      <c r="D22" s="11">
        <v>1</v>
      </c>
      <c r="E22" s="11">
        <v>475</v>
      </c>
      <c r="F22" s="11">
        <v>0.48899999260902405</v>
      </c>
      <c r="G22" s="11">
        <v>0.36899998784065247</v>
      </c>
      <c r="H22" s="11">
        <v>846</v>
      </c>
      <c r="I22" s="56">
        <v>17454</v>
      </c>
      <c r="J22" s="11">
        <v>0.81215685606002808</v>
      </c>
      <c r="K22" s="56"/>
      <c r="L22" s="11">
        <v>0.48931461572647095</v>
      </c>
    </row>
    <row r="23" spans="1:27" x14ac:dyDescent="0.3">
      <c r="B23" s="11">
        <v>2</v>
      </c>
      <c r="C23" s="11">
        <v>1</v>
      </c>
      <c r="D23" s="11">
        <v>1</v>
      </c>
      <c r="E23" s="11">
        <v>477</v>
      </c>
      <c r="F23" s="11">
        <v>0.37299999594688416</v>
      </c>
      <c r="G23" s="11">
        <v>0.28099998831748962</v>
      </c>
      <c r="H23" s="11">
        <v>647</v>
      </c>
      <c r="I23" s="56">
        <v>18101</v>
      </c>
      <c r="J23" s="11">
        <v>0.90568625926971436</v>
      </c>
      <c r="K23" s="56"/>
      <c r="L23" s="11">
        <v>0.37292516231536865</v>
      </c>
    </row>
    <row r="24" spans="1:27" x14ac:dyDescent="0.3">
      <c r="B24" s="11">
        <v>1</v>
      </c>
      <c r="C24" s="11">
        <v>1</v>
      </c>
      <c r="D24" s="11">
        <v>1</v>
      </c>
      <c r="E24" s="11">
        <v>481</v>
      </c>
      <c r="F24" s="11">
        <v>0.25799998641014099</v>
      </c>
      <c r="G24" s="11">
        <v>0.19499999284744263</v>
      </c>
      <c r="H24" s="11">
        <v>452</v>
      </c>
      <c r="I24" s="56">
        <v>18553</v>
      </c>
      <c r="J24" s="11">
        <v>1</v>
      </c>
      <c r="K24" s="56"/>
      <c r="L24" s="11">
        <v>0.2584015429019928</v>
      </c>
    </row>
    <row r="25" spans="1:27" x14ac:dyDescent="0.3">
      <c r="E25" s="11">
        <v>5100</v>
      </c>
      <c r="I25" s="56"/>
      <c r="K25" s="56"/>
    </row>
    <row r="26" spans="1:27" x14ac:dyDescent="0.3">
      <c r="B26" s="11" t="s">
        <v>19</v>
      </c>
      <c r="C26" s="11" t="s">
        <v>124</v>
      </c>
      <c r="D26" s="11" t="s">
        <v>125</v>
      </c>
      <c r="E26" s="11" t="s">
        <v>5</v>
      </c>
      <c r="F26" s="11" t="s">
        <v>129</v>
      </c>
      <c r="G26" s="11" t="s">
        <v>152</v>
      </c>
      <c r="H26" s="11" t="s">
        <v>153</v>
      </c>
      <c r="I26" s="56" t="s">
        <v>174</v>
      </c>
      <c r="K26" s="56"/>
    </row>
    <row r="27" spans="1:27" x14ac:dyDescent="0.3">
      <c r="A27" s="11">
        <v>1</v>
      </c>
      <c r="B27" s="11">
        <v>2</v>
      </c>
      <c r="C27" s="11">
        <v>3</v>
      </c>
      <c r="D27" s="11">
        <v>4</v>
      </c>
      <c r="E27" s="11">
        <v>5</v>
      </c>
      <c r="F27" s="11">
        <v>6</v>
      </c>
      <c r="G27" s="11">
        <v>7</v>
      </c>
      <c r="H27" s="11">
        <v>8</v>
      </c>
      <c r="I27" s="11">
        <v>9</v>
      </c>
      <c r="K27" s="56"/>
    </row>
    <row r="28" spans="1:27" x14ac:dyDescent="0.3">
      <c r="B28" s="11">
        <v>11</v>
      </c>
      <c r="C28" s="11">
        <v>1</v>
      </c>
      <c r="D28" s="11">
        <v>1</v>
      </c>
      <c r="E28" s="11">
        <v>251</v>
      </c>
      <c r="F28" s="11">
        <v>3.372999906539917</v>
      </c>
      <c r="G28" s="11">
        <v>2.5910000801086426</v>
      </c>
      <c r="H28" s="11">
        <v>2155</v>
      </c>
      <c r="I28" s="56">
        <v>2155</v>
      </c>
      <c r="K28" s="56"/>
      <c r="Z28" s="42"/>
      <c r="AA28" s="43"/>
    </row>
    <row r="29" spans="1:27" x14ac:dyDescent="0.3">
      <c r="B29" s="11">
        <v>10</v>
      </c>
      <c r="C29" s="11">
        <v>1</v>
      </c>
      <c r="D29" s="11">
        <v>1</v>
      </c>
      <c r="E29" s="11">
        <v>640</v>
      </c>
      <c r="F29" s="11">
        <v>1.7130000591278076</v>
      </c>
      <c r="G29" s="11">
        <v>1.315000057220459</v>
      </c>
      <c r="H29" s="11">
        <v>2791</v>
      </c>
      <c r="I29" s="56">
        <v>4946</v>
      </c>
      <c r="K29" s="56"/>
      <c r="Z29" s="42"/>
      <c r="AA29" s="43"/>
    </row>
    <row r="30" spans="1:27" x14ac:dyDescent="0.3">
      <c r="B30" s="11">
        <v>9</v>
      </c>
      <c r="C30" s="11">
        <v>1</v>
      </c>
      <c r="D30" s="11">
        <v>1</v>
      </c>
      <c r="E30" s="11">
        <v>454</v>
      </c>
      <c r="F30" s="11">
        <v>1.3380000591278076</v>
      </c>
      <c r="G30" s="11">
        <v>1.0279999971389771</v>
      </c>
      <c r="H30" s="11">
        <v>1546</v>
      </c>
      <c r="I30" s="56">
        <v>6492</v>
      </c>
      <c r="J30" s="44"/>
      <c r="K30" s="56"/>
      <c r="Z30" s="42"/>
      <c r="AA30" s="43"/>
    </row>
    <row r="31" spans="1:27" x14ac:dyDescent="0.3">
      <c r="B31" s="11">
        <v>8</v>
      </c>
      <c r="C31" s="11">
        <v>1</v>
      </c>
      <c r="D31" s="11">
        <v>1</v>
      </c>
      <c r="E31" s="11">
        <v>455</v>
      </c>
      <c r="F31" s="11">
        <v>1.1519999504089355</v>
      </c>
      <c r="G31" s="11">
        <v>0.88499999046325684</v>
      </c>
      <c r="H31" s="11">
        <v>1335</v>
      </c>
      <c r="I31" s="11">
        <v>7827</v>
      </c>
      <c r="Z31" s="42"/>
      <c r="AA31" s="43"/>
    </row>
    <row r="32" spans="1:27" x14ac:dyDescent="0.3">
      <c r="B32" s="11">
        <v>7</v>
      </c>
      <c r="C32" s="11">
        <v>1</v>
      </c>
      <c r="D32" s="11">
        <v>1</v>
      </c>
      <c r="E32" s="11">
        <v>460</v>
      </c>
      <c r="F32" s="11">
        <v>0.99900001287460327</v>
      </c>
      <c r="G32" s="11">
        <v>0.76700001955032349</v>
      </c>
      <c r="H32" s="11">
        <v>1170</v>
      </c>
      <c r="I32" s="11">
        <v>8997</v>
      </c>
    </row>
    <row r="33" spans="2:9" x14ac:dyDescent="0.3">
      <c r="B33" s="11">
        <v>6</v>
      </c>
      <c r="C33" s="11">
        <v>1</v>
      </c>
      <c r="D33" s="11">
        <v>1</v>
      </c>
      <c r="E33" s="11">
        <v>467</v>
      </c>
      <c r="F33" s="11">
        <v>0.86100000143051147</v>
      </c>
      <c r="G33" s="11">
        <v>0.66100001335144043</v>
      </c>
      <c r="H33" s="11">
        <v>1023</v>
      </c>
      <c r="I33" s="11">
        <v>10020</v>
      </c>
    </row>
    <row r="34" spans="2:9" x14ac:dyDescent="0.3">
      <c r="B34" s="11">
        <v>5</v>
      </c>
      <c r="C34" s="11">
        <v>1</v>
      </c>
      <c r="D34" s="11">
        <v>1</v>
      </c>
      <c r="E34" s="11">
        <v>469</v>
      </c>
      <c r="F34" s="11">
        <v>0.73100000619888306</v>
      </c>
      <c r="G34" s="11">
        <v>0.56199997663497925</v>
      </c>
      <c r="H34" s="11">
        <v>873</v>
      </c>
      <c r="I34" s="11">
        <v>10893</v>
      </c>
    </row>
    <row r="35" spans="2:9" x14ac:dyDescent="0.3">
      <c r="B35" s="11">
        <v>4</v>
      </c>
      <c r="C35" s="11">
        <v>1</v>
      </c>
      <c r="D35" s="11">
        <v>1</v>
      </c>
      <c r="E35" s="11">
        <v>471</v>
      </c>
      <c r="F35" s="11">
        <v>0.60799998044967651</v>
      </c>
      <c r="G35" s="11">
        <v>0.46700000762939453</v>
      </c>
      <c r="H35" s="11">
        <v>729</v>
      </c>
      <c r="I35" s="11">
        <v>11623</v>
      </c>
    </row>
    <row r="36" spans="2:9" x14ac:dyDescent="0.3">
      <c r="B36" s="11">
        <v>3</v>
      </c>
      <c r="C36" s="11">
        <v>1</v>
      </c>
      <c r="D36" s="11">
        <v>1</v>
      </c>
      <c r="E36" s="11">
        <v>475</v>
      </c>
      <c r="F36" s="11">
        <v>0.48899999260902405</v>
      </c>
      <c r="G36" s="11">
        <v>0.37599998712539673</v>
      </c>
      <c r="H36" s="11">
        <v>592</v>
      </c>
      <c r="I36" s="11">
        <v>12214</v>
      </c>
    </row>
    <row r="37" spans="2:9" x14ac:dyDescent="0.3">
      <c r="B37" s="11">
        <v>2</v>
      </c>
      <c r="C37" s="11">
        <v>1</v>
      </c>
      <c r="D37" s="11">
        <v>1</v>
      </c>
      <c r="E37" s="11">
        <v>477</v>
      </c>
      <c r="F37" s="11">
        <v>0.37299999594688416</v>
      </c>
      <c r="G37" s="11">
        <v>0.28600001335144043</v>
      </c>
      <c r="H37" s="11">
        <v>453</v>
      </c>
      <c r="I37" s="11">
        <v>12667</v>
      </c>
    </row>
    <row r="38" spans="2:9" x14ac:dyDescent="0.3">
      <c r="B38" s="11">
        <v>1</v>
      </c>
      <c r="C38" s="11">
        <v>1</v>
      </c>
      <c r="D38" s="11">
        <v>1</v>
      </c>
      <c r="E38" s="11">
        <v>481</v>
      </c>
      <c r="F38" s="11">
        <v>0.25799998641014099</v>
      </c>
      <c r="G38" s="11">
        <v>0.19799999892711639</v>
      </c>
      <c r="H38" s="11">
        <v>316</v>
      </c>
      <c r="I38" s="11">
        <v>12984</v>
      </c>
    </row>
  </sheetData>
  <phoneticPr fontId="2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need_SQ">
                <anchor moveWithCells="1" sizeWithCells="1">
                  <from>
                    <xdr:col>0</xdr:col>
                    <xdr:colOff>201930</xdr:colOff>
                    <xdr:row>1</xdr:row>
                    <xdr:rowOff>125730</xdr:rowOff>
                  </from>
                  <to>
                    <xdr:col>1</xdr:col>
                    <xdr:colOff>285750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8FBE-26B0-4980-BFEB-6CFE4EDD43B9}">
  <sheetPr codeName="Sheet16"/>
  <dimension ref="A1:GR1000"/>
  <sheetViews>
    <sheetView zoomScaleNormal="100" workbookViewId="0">
      <selection activeCell="J15" sqref="J15"/>
    </sheetView>
  </sheetViews>
  <sheetFormatPr defaultColWidth="17.87890625" defaultRowHeight="13.5" x14ac:dyDescent="0.3"/>
  <cols>
    <col min="1" max="1" width="5.29296875" style="65" customWidth="1"/>
    <col min="2" max="54" width="11" style="65" customWidth="1"/>
    <col min="55" max="256" width="17.87890625" style="65"/>
    <col min="257" max="257" width="5.29296875" style="65" customWidth="1"/>
    <col min="258" max="310" width="11" style="65" customWidth="1"/>
    <col min="311" max="512" width="17.87890625" style="65"/>
    <col min="513" max="513" width="5.29296875" style="65" customWidth="1"/>
    <col min="514" max="566" width="11" style="65" customWidth="1"/>
    <col min="567" max="768" width="17.87890625" style="65"/>
    <col min="769" max="769" width="5.29296875" style="65" customWidth="1"/>
    <col min="770" max="822" width="11" style="65" customWidth="1"/>
    <col min="823" max="1024" width="17.87890625" style="65"/>
    <col min="1025" max="1025" width="5.29296875" style="65" customWidth="1"/>
    <col min="1026" max="1078" width="11" style="65" customWidth="1"/>
    <col min="1079" max="1280" width="17.87890625" style="65"/>
    <col min="1281" max="1281" width="5.29296875" style="65" customWidth="1"/>
    <col min="1282" max="1334" width="11" style="65" customWidth="1"/>
    <col min="1335" max="1536" width="17.87890625" style="65"/>
    <col min="1537" max="1537" width="5.29296875" style="65" customWidth="1"/>
    <col min="1538" max="1590" width="11" style="65" customWidth="1"/>
    <col min="1591" max="1792" width="17.87890625" style="65"/>
    <col min="1793" max="1793" width="5.29296875" style="65" customWidth="1"/>
    <col min="1794" max="1846" width="11" style="65" customWidth="1"/>
    <col min="1847" max="2048" width="17.87890625" style="65"/>
    <col min="2049" max="2049" width="5.29296875" style="65" customWidth="1"/>
    <col min="2050" max="2102" width="11" style="65" customWidth="1"/>
    <col min="2103" max="2304" width="17.87890625" style="65"/>
    <col min="2305" max="2305" width="5.29296875" style="65" customWidth="1"/>
    <col min="2306" max="2358" width="11" style="65" customWidth="1"/>
    <col min="2359" max="2560" width="17.87890625" style="65"/>
    <col min="2561" max="2561" width="5.29296875" style="65" customWidth="1"/>
    <col min="2562" max="2614" width="11" style="65" customWidth="1"/>
    <col min="2615" max="2816" width="17.87890625" style="65"/>
    <col min="2817" max="2817" width="5.29296875" style="65" customWidth="1"/>
    <col min="2818" max="2870" width="11" style="65" customWidth="1"/>
    <col min="2871" max="3072" width="17.87890625" style="65"/>
    <col min="3073" max="3073" width="5.29296875" style="65" customWidth="1"/>
    <col min="3074" max="3126" width="11" style="65" customWidth="1"/>
    <col min="3127" max="3328" width="17.87890625" style="65"/>
    <col min="3329" max="3329" width="5.29296875" style="65" customWidth="1"/>
    <col min="3330" max="3382" width="11" style="65" customWidth="1"/>
    <col min="3383" max="3584" width="17.87890625" style="65"/>
    <col min="3585" max="3585" width="5.29296875" style="65" customWidth="1"/>
    <col min="3586" max="3638" width="11" style="65" customWidth="1"/>
    <col min="3639" max="3840" width="17.87890625" style="65"/>
    <col min="3841" max="3841" width="5.29296875" style="65" customWidth="1"/>
    <col min="3842" max="3894" width="11" style="65" customWidth="1"/>
    <col min="3895" max="4096" width="17.87890625" style="65"/>
    <col min="4097" max="4097" width="5.29296875" style="65" customWidth="1"/>
    <col min="4098" max="4150" width="11" style="65" customWidth="1"/>
    <col min="4151" max="4352" width="17.87890625" style="65"/>
    <col min="4353" max="4353" width="5.29296875" style="65" customWidth="1"/>
    <col min="4354" max="4406" width="11" style="65" customWidth="1"/>
    <col min="4407" max="4608" width="17.87890625" style="65"/>
    <col min="4609" max="4609" width="5.29296875" style="65" customWidth="1"/>
    <col min="4610" max="4662" width="11" style="65" customWidth="1"/>
    <col min="4663" max="4864" width="17.87890625" style="65"/>
    <col min="4865" max="4865" width="5.29296875" style="65" customWidth="1"/>
    <col min="4866" max="4918" width="11" style="65" customWidth="1"/>
    <col min="4919" max="5120" width="17.87890625" style="65"/>
    <col min="5121" max="5121" width="5.29296875" style="65" customWidth="1"/>
    <col min="5122" max="5174" width="11" style="65" customWidth="1"/>
    <col min="5175" max="5376" width="17.87890625" style="65"/>
    <col min="5377" max="5377" width="5.29296875" style="65" customWidth="1"/>
    <col min="5378" max="5430" width="11" style="65" customWidth="1"/>
    <col min="5431" max="5632" width="17.87890625" style="65"/>
    <col min="5633" max="5633" width="5.29296875" style="65" customWidth="1"/>
    <col min="5634" max="5686" width="11" style="65" customWidth="1"/>
    <col min="5687" max="5888" width="17.87890625" style="65"/>
    <col min="5889" max="5889" width="5.29296875" style="65" customWidth="1"/>
    <col min="5890" max="5942" width="11" style="65" customWidth="1"/>
    <col min="5943" max="6144" width="17.87890625" style="65"/>
    <col min="6145" max="6145" width="5.29296875" style="65" customWidth="1"/>
    <col min="6146" max="6198" width="11" style="65" customWidth="1"/>
    <col min="6199" max="6400" width="17.87890625" style="65"/>
    <col min="6401" max="6401" width="5.29296875" style="65" customWidth="1"/>
    <col min="6402" max="6454" width="11" style="65" customWidth="1"/>
    <col min="6455" max="6656" width="17.87890625" style="65"/>
    <col min="6657" max="6657" width="5.29296875" style="65" customWidth="1"/>
    <col min="6658" max="6710" width="11" style="65" customWidth="1"/>
    <col min="6711" max="6912" width="17.87890625" style="65"/>
    <col min="6913" max="6913" width="5.29296875" style="65" customWidth="1"/>
    <col min="6914" max="6966" width="11" style="65" customWidth="1"/>
    <col min="6967" max="7168" width="17.87890625" style="65"/>
    <col min="7169" max="7169" width="5.29296875" style="65" customWidth="1"/>
    <col min="7170" max="7222" width="11" style="65" customWidth="1"/>
    <col min="7223" max="7424" width="17.87890625" style="65"/>
    <col min="7425" max="7425" width="5.29296875" style="65" customWidth="1"/>
    <col min="7426" max="7478" width="11" style="65" customWidth="1"/>
    <col min="7479" max="7680" width="17.87890625" style="65"/>
    <col min="7681" max="7681" width="5.29296875" style="65" customWidth="1"/>
    <col min="7682" max="7734" width="11" style="65" customWidth="1"/>
    <col min="7735" max="7936" width="17.87890625" style="65"/>
    <col min="7937" max="7937" width="5.29296875" style="65" customWidth="1"/>
    <col min="7938" max="7990" width="11" style="65" customWidth="1"/>
    <col min="7991" max="8192" width="17.87890625" style="65"/>
    <col min="8193" max="8193" width="5.29296875" style="65" customWidth="1"/>
    <col min="8194" max="8246" width="11" style="65" customWidth="1"/>
    <col min="8247" max="8448" width="17.87890625" style="65"/>
    <col min="8449" max="8449" width="5.29296875" style="65" customWidth="1"/>
    <col min="8450" max="8502" width="11" style="65" customWidth="1"/>
    <col min="8503" max="8704" width="17.87890625" style="65"/>
    <col min="8705" max="8705" width="5.29296875" style="65" customWidth="1"/>
    <col min="8706" max="8758" width="11" style="65" customWidth="1"/>
    <col min="8759" max="8960" width="17.87890625" style="65"/>
    <col min="8961" max="8961" width="5.29296875" style="65" customWidth="1"/>
    <col min="8962" max="9014" width="11" style="65" customWidth="1"/>
    <col min="9015" max="9216" width="17.87890625" style="65"/>
    <col min="9217" max="9217" width="5.29296875" style="65" customWidth="1"/>
    <col min="9218" max="9270" width="11" style="65" customWidth="1"/>
    <col min="9271" max="9472" width="17.87890625" style="65"/>
    <col min="9473" max="9473" width="5.29296875" style="65" customWidth="1"/>
    <col min="9474" max="9526" width="11" style="65" customWidth="1"/>
    <col min="9527" max="9728" width="17.87890625" style="65"/>
    <col min="9729" max="9729" width="5.29296875" style="65" customWidth="1"/>
    <col min="9730" max="9782" width="11" style="65" customWidth="1"/>
    <col min="9783" max="9984" width="17.87890625" style="65"/>
    <col min="9985" max="9985" width="5.29296875" style="65" customWidth="1"/>
    <col min="9986" max="10038" width="11" style="65" customWidth="1"/>
    <col min="10039" max="10240" width="17.87890625" style="65"/>
    <col min="10241" max="10241" width="5.29296875" style="65" customWidth="1"/>
    <col min="10242" max="10294" width="11" style="65" customWidth="1"/>
    <col min="10295" max="10496" width="17.87890625" style="65"/>
    <col min="10497" max="10497" width="5.29296875" style="65" customWidth="1"/>
    <col min="10498" max="10550" width="11" style="65" customWidth="1"/>
    <col min="10551" max="10752" width="17.87890625" style="65"/>
    <col min="10753" max="10753" width="5.29296875" style="65" customWidth="1"/>
    <col min="10754" max="10806" width="11" style="65" customWidth="1"/>
    <col min="10807" max="11008" width="17.87890625" style="65"/>
    <col min="11009" max="11009" width="5.29296875" style="65" customWidth="1"/>
    <col min="11010" max="11062" width="11" style="65" customWidth="1"/>
    <col min="11063" max="11264" width="17.87890625" style="65"/>
    <col min="11265" max="11265" width="5.29296875" style="65" customWidth="1"/>
    <col min="11266" max="11318" width="11" style="65" customWidth="1"/>
    <col min="11319" max="11520" width="17.87890625" style="65"/>
    <col min="11521" max="11521" width="5.29296875" style="65" customWidth="1"/>
    <col min="11522" max="11574" width="11" style="65" customWidth="1"/>
    <col min="11575" max="11776" width="17.87890625" style="65"/>
    <col min="11777" max="11777" width="5.29296875" style="65" customWidth="1"/>
    <col min="11778" max="11830" width="11" style="65" customWidth="1"/>
    <col min="11831" max="12032" width="17.87890625" style="65"/>
    <col min="12033" max="12033" width="5.29296875" style="65" customWidth="1"/>
    <col min="12034" max="12086" width="11" style="65" customWidth="1"/>
    <col min="12087" max="12288" width="17.87890625" style="65"/>
    <col min="12289" max="12289" width="5.29296875" style="65" customWidth="1"/>
    <col min="12290" max="12342" width="11" style="65" customWidth="1"/>
    <col min="12343" max="12544" width="17.87890625" style="65"/>
    <col min="12545" max="12545" width="5.29296875" style="65" customWidth="1"/>
    <col min="12546" max="12598" width="11" style="65" customWidth="1"/>
    <col min="12599" max="12800" width="17.87890625" style="65"/>
    <col min="12801" max="12801" width="5.29296875" style="65" customWidth="1"/>
    <col min="12802" max="12854" width="11" style="65" customWidth="1"/>
    <col min="12855" max="13056" width="17.87890625" style="65"/>
    <col min="13057" max="13057" width="5.29296875" style="65" customWidth="1"/>
    <col min="13058" max="13110" width="11" style="65" customWidth="1"/>
    <col min="13111" max="13312" width="17.87890625" style="65"/>
    <col min="13313" max="13313" width="5.29296875" style="65" customWidth="1"/>
    <col min="13314" max="13366" width="11" style="65" customWidth="1"/>
    <col min="13367" max="13568" width="17.87890625" style="65"/>
    <col min="13569" max="13569" width="5.29296875" style="65" customWidth="1"/>
    <col min="13570" max="13622" width="11" style="65" customWidth="1"/>
    <col min="13623" max="13824" width="17.87890625" style="65"/>
    <col min="13825" max="13825" width="5.29296875" style="65" customWidth="1"/>
    <col min="13826" max="13878" width="11" style="65" customWidth="1"/>
    <col min="13879" max="14080" width="17.87890625" style="65"/>
    <col min="14081" max="14081" width="5.29296875" style="65" customWidth="1"/>
    <col min="14082" max="14134" width="11" style="65" customWidth="1"/>
    <col min="14135" max="14336" width="17.87890625" style="65"/>
    <col min="14337" max="14337" width="5.29296875" style="65" customWidth="1"/>
    <col min="14338" max="14390" width="11" style="65" customWidth="1"/>
    <col min="14391" max="14592" width="17.87890625" style="65"/>
    <col min="14593" max="14593" width="5.29296875" style="65" customWidth="1"/>
    <col min="14594" max="14646" width="11" style="65" customWidth="1"/>
    <col min="14647" max="14848" width="17.87890625" style="65"/>
    <col min="14849" max="14849" width="5.29296875" style="65" customWidth="1"/>
    <col min="14850" max="14902" width="11" style="65" customWidth="1"/>
    <col min="14903" max="15104" width="17.87890625" style="65"/>
    <col min="15105" max="15105" width="5.29296875" style="65" customWidth="1"/>
    <col min="15106" max="15158" width="11" style="65" customWidth="1"/>
    <col min="15159" max="15360" width="17.87890625" style="65"/>
    <col min="15361" max="15361" width="5.29296875" style="65" customWidth="1"/>
    <col min="15362" max="15414" width="11" style="65" customWidth="1"/>
    <col min="15415" max="15616" width="17.87890625" style="65"/>
    <col min="15617" max="15617" width="5.29296875" style="65" customWidth="1"/>
    <col min="15618" max="15670" width="11" style="65" customWidth="1"/>
    <col min="15671" max="15872" width="17.87890625" style="65"/>
    <col min="15873" max="15873" width="5.29296875" style="65" customWidth="1"/>
    <col min="15874" max="15926" width="11" style="65" customWidth="1"/>
    <col min="15927" max="16128" width="17.87890625" style="65"/>
    <col min="16129" max="16129" width="5.29296875" style="65" customWidth="1"/>
    <col min="16130" max="16182" width="11" style="65" customWidth="1"/>
    <col min="16183" max="16384" width="17.87890625" style="65"/>
  </cols>
  <sheetData>
    <row r="1" spans="1:200" x14ac:dyDescent="0.3">
      <c r="A1" s="11"/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  <c r="H1" s="65">
        <v>8</v>
      </c>
      <c r="I1" s="65">
        <v>9</v>
      </c>
      <c r="J1" s="65">
        <v>10</v>
      </c>
      <c r="K1" s="65">
        <v>11</v>
      </c>
      <c r="L1" s="65">
        <v>12</v>
      </c>
      <c r="M1" s="65">
        <v>13</v>
      </c>
      <c r="N1" s="65">
        <v>14</v>
      </c>
      <c r="O1" s="65">
        <v>15</v>
      </c>
      <c r="P1" s="65">
        <v>16</v>
      </c>
      <c r="Q1" s="65">
        <v>17</v>
      </c>
    </row>
    <row r="2" spans="1:200" x14ac:dyDescent="0.3">
      <c r="B2" s="75" t="s">
        <v>161</v>
      </c>
      <c r="C2" s="65" t="s">
        <v>51</v>
      </c>
      <c r="D2" s="75" t="s">
        <v>162</v>
      </c>
      <c r="E2" s="75" t="s">
        <v>86</v>
      </c>
      <c r="F2" s="75" t="s">
        <v>163</v>
      </c>
    </row>
    <row r="3" spans="1:200" x14ac:dyDescent="0.3">
      <c r="B3" s="75">
        <v>6</v>
      </c>
    </row>
    <row r="4" spans="1:200" x14ac:dyDescent="0.3">
      <c r="B4" s="75" t="s">
        <v>55</v>
      </c>
      <c r="C4" s="75" t="s">
        <v>56</v>
      </c>
      <c r="D4" s="75" t="s">
        <v>57</v>
      </c>
      <c r="E4" s="75" t="s">
        <v>58</v>
      </c>
      <c r="F4" s="75" t="s">
        <v>59</v>
      </c>
      <c r="G4" s="75" t="s">
        <v>60</v>
      </c>
      <c r="H4" s="89" t="s">
        <v>290</v>
      </c>
      <c r="I4"/>
      <c r="J4" s="89" t="s">
        <v>292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</row>
    <row r="5" spans="1:200" x14ac:dyDescent="0.3">
      <c r="B5" s="65">
        <v>1</v>
      </c>
      <c r="C5" s="65">
        <v>5.5</v>
      </c>
      <c r="D5" s="65">
        <v>1.4</v>
      </c>
      <c r="E5" s="90">
        <v>360</v>
      </c>
      <c r="F5" s="90">
        <v>120</v>
      </c>
      <c r="G5" s="22" t="s">
        <v>189</v>
      </c>
      <c r="H5">
        <v>20160</v>
      </c>
      <c r="I5"/>
      <c r="J5">
        <v>1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</row>
    <row r="6" spans="1:200" x14ac:dyDescent="0.3">
      <c r="B6" s="65">
        <v>2</v>
      </c>
      <c r="C6" s="65">
        <v>3.9</v>
      </c>
      <c r="D6" s="65">
        <v>1.5</v>
      </c>
      <c r="E6" s="90">
        <v>680</v>
      </c>
      <c r="F6" s="90">
        <v>210</v>
      </c>
      <c r="G6" s="22" t="s">
        <v>189</v>
      </c>
      <c r="H6">
        <v>66150</v>
      </c>
      <c r="I6"/>
      <c r="J6">
        <v>0.53001600503921509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</row>
    <row r="7" spans="1:200" x14ac:dyDescent="0.3">
      <c r="B7" s="65">
        <v>3</v>
      </c>
      <c r="C7" s="65">
        <v>4.7</v>
      </c>
      <c r="D7" s="65">
        <v>1.5</v>
      </c>
      <c r="E7" s="90">
        <v>680</v>
      </c>
      <c r="F7" s="90">
        <v>230</v>
      </c>
      <c r="G7" s="22" t="s">
        <v>189</v>
      </c>
      <c r="H7">
        <v>79350</v>
      </c>
      <c r="I7"/>
      <c r="J7">
        <v>0.33364999294281006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</row>
    <row r="8" spans="1:200" x14ac:dyDescent="0.3">
      <c r="B8" s="65">
        <v>4</v>
      </c>
      <c r="C8" s="65">
        <v>3.1</v>
      </c>
      <c r="D8" s="65">
        <v>2</v>
      </c>
      <c r="E8" s="90">
        <v>1220</v>
      </c>
      <c r="F8" s="90">
        <v>470</v>
      </c>
      <c r="G8" s="22" t="s">
        <v>291</v>
      </c>
      <c r="H8">
        <v>441800</v>
      </c>
      <c r="I8"/>
      <c r="J8">
        <v>7.9312525689601898E-2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</row>
    <row r="9" spans="1:200" x14ac:dyDescent="0.3">
      <c r="B9" s="65">
        <v>5</v>
      </c>
      <c r="C9" s="65">
        <v>2.4</v>
      </c>
      <c r="D9" s="65">
        <v>1.7</v>
      </c>
      <c r="E9" s="90">
        <v>1220</v>
      </c>
      <c r="F9" s="90">
        <v>380</v>
      </c>
      <c r="G9" s="22" t="s">
        <v>189</v>
      </c>
      <c r="H9">
        <v>245480</v>
      </c>
      <c r="I9"/>
      <c r="J9">
        <v>4.7531194984912872E-2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</row>
    <row r="10" spans="1:200" x14ac:dyDescent="0.3">
      <c r="A10" s="11"/>
      <c r="B10" s="65">
        <v>6</v>
      </c>
      <c r="C10" s="65">
        <v>5.7</v>
      </c>
      <c r="D10" s="65">
        <v>2.1</v>
      </c>
      <c r="E10" s="90">
        <v>2000</v>
      </c>
      <c r="F10" s="90">
        <v>590</v>
      </c>
      <c r="G10" s="22" t="s">
        <v>189</v>
      </c>
      <c r="H10">
        <v>731010</v>
      </c>
      <c r="I10"/>
      <c r="J10">
        <v>2.1795444190502167E-3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</row>
    <row r="11" spans="1:200" x14ac:dyDescent="0.3">
      <c r="A11" s="11"/>
      <c r="B11" s="11"/>
      <c r="C11" s="11"/>
      <c r="D11" s="11"/>
      <c r="E11" s="11"/>
      <c r="F11" s="11"/>
      <c r="G11" s="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</row>
    <row r="12" spans="1:200" x14ac:dyDescent="0.3">
      <c r="A12" s="1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</row>
    <row r="13" spans="1:200" x14ac:dyDescent="0.3">
      <c r="A13" s="11"/>
      <c r="B13" t="s">
        <v>283</v>
      </c>
      <c r="C13" t="s">
        <v>284</v>
      </c>
      <c r="D13" t="s">
        <v>285</v>
      </c>
      <c r="E13" t="s">
        <v>286</v>
      </c>
      <c r="F13" t="s">
        <v>287</v>
      </c>
      <c r="G13" t="s">
        <v>288</v>
      </c>
      <c r="H13" t="s">
        <v>85</v>
      </c>
      <c r="I13" t="s">
        <v>86</v>
      </c>
      <c r="J13" t="s">
        <v>289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</row>
    <row r="14" spans="1:200" x14ac:dyDescent="0.3">
      <c r="A14" s="11"/>
      <c r="B14">
        <v>6</v>
      </c>
      <c r="C14">
        <v>20160</v>
      </c>
      <c r="D14">
        <v>1</v>
      </c>
      <c r="E14">
        <v>20160</v>
      </c>
      <c r="F14">
        <v>3665</v>
      </c>
      <c r="G14">
        <v>3.85</v>
      </c>
      <c r="H14">
        <v>0.312</v>
      </c>
      <c r="I14">
        <v>0.104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</row>
    <row r="15" spans="1:200" x14ac:dyDescent="0.3">
      <c r="A15" s="11"/>
      <c r="B15">
        <v>5</v>
      </c>
      <c r="C15">
        <v>66150</v>
      </c>
      <c r="D15">
        <v>1</v>
      </c>
      <c r="E15">
        <v>66150</v>
      </c>
      <c r="F15">
        <v>16962</v>
      </c>
      <c r="G15">
        <v>6.78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</row>
    <row r="16" spans="1:200" x14ac:dyDescent="0.3">
      <c r="A16" s="11"/>
      <c r="B16">
        <v>4</v>
      </c>
      <c r="C16">
        <v>79350</v>
      </c>
      <c r="D16">
        <v>1</v>
      </c>
      <c r="E16">
        <v>79350</v>
      </c>
      <c r="F16">
        <v>16883</v>
      </c>
      <c r="G16">
        <v>6.45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</row>
    <row r="17" spans="1:200" x14ac:dyDescent="0.3">
      <c r="A17" s="11"/>
      <c r="B17">
        <v>3</v>
      </c>
      <c r="C17">
        <v>441800</v>
      </c>
      <c r="D17">
        <v>1</v>
      </c>
      <c r="E17">
        <v>441800</v>
      </c>
      <c r="F17">
        <v>142516</v>
      </c>
      <c r="G17">
        <v>6.63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</row>
    <row r="18" spans="1:200" x14ac:dyDescent="0.3">
      <c r="A18" s="11"/>
      <c r="B18">
        <v>2</v>
      </c>
      <c r="C18">
        <v>245480</v>
      </c>
      <c r="D18">
        <v>1</v>
      </c>
      <c r="E18">
        <v>245480</v>
      </c>
      <c r="F18">
        <v>102283</v>
      </c>
      <c r="G18">
        <v>5.14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</row>
    <row r="19" spans="1:200" x14ac:dyDescent="0.3">
      <c r="A19" s="11"/>
      <c r="B19">
        <v>1</v>
      </c>
      <c r="C19">
        <v>731010</v>
      </c>
      <c r="D19">
        <v>1</v>
      </c>
      <c r="E19">
        <v>731010</v>
      </c>
      <c r="F19">
        <v>2131880</v>
      </c>
      <c r="G19">
        <v>8.02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</row>
    <row r="20" spans="1:200" x14ac:dyDescent="0.3">
      <c r="A20" s="1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</row>
    <row r="21" spans="1:200" x14ac:dyDescent="0.3">
      <c r="A21" s="1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</row>
    <row r="22" spans="1:200" x14ac:dyDescent="0.3">
      <c r="A22" s="1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</row>
    <row r="23" spans="1:200" x14ac:dyDescent="0.3">
      <c r="A23" s="1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</row>
    <row r="24" spans="1:200" x14ac:dyDescent="0.3">
      <c r="A24" s="1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</row>
    <row r="25" spans="1:200" x14ac:dyDescent="0.3">
      <c r="A25" s="1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</row>
    <row r="26" spans="1:200" x14ac:dyDescent="0.3">
      <c r="A26" s="1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</row>
    <row r="27" spans="1:200" x14ac:dyDescent="0.3">
      <c r="A27" s="1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</row>
    <row r="28" spans="1:200" x14ac:dyDescent="0.3">
      <c r="A28" s="1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</row>
    <row r="29" spans="1:200" x14ac:dyDescent="0.3">
      <c r="A29" s="1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</row>
    <row r="30" spans="1:200" x14ac:dyDescent="0.3">
      <c r="A30" s="1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</row>
    <row r="31" spans="1:200" x14ac:dyDescent="0.3">
      <c r="A31" s="1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</row>
    <row r="32" spans="1:200" x14ac:dyDescent="0.3">
      <c r="A32" s="1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</row>
    <row r="33" spans="1:200" x14ac:dyDescent="0.3">
      <c r="A33" s="1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</row>
    <row r="34" spans="1:200" x14ac:dyDescent="0.3">
      <c r="A34" s="1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</row>
    <row r="35" spans="1:200" x14ac:dyDescent="0.3">
      <c r="A35" s="1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</row>
    <row r="36" spans="1:200" x14ac:dyDescent="0.3">
      <c r="A36" s="1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</row>
    <row r="37" spans="1:200" x14ac:dyDescent="0.3">
      <c r="A37" s="1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</row>
    <row r="38" spans="1:200" x14ac:dyDescent="0.3">
      <c r="A38" s="1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</row>
    <row r="39" spans="1:200" x14ac:dyDescent="0.3">
      <c r="A39" s="1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</row>
    <row r="40" spans="1:200" x14ac:dyDescent="0.3">
      <c r="A40" s="1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</row>
    <row r="41" spans="1:200" x14ac:dyDescent="0.3">
      <c r="A41" s="1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</row>
    <row r="42" spans="1:200" x14ac:dyDescent="0.3">
      <c r="A42" s="1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</row>
    <row r="43" spans="1:200" x14ac:dyDescent="0.3">
      <c r="A43" s="11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</row>
    <row r="44" spans="1:200" x14ac:dyDescent="0.3">
      <c r="A44" s="11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</row>
    <row r="45" spans="1:200" x14ac:dyDescent="0.3">
      <c r="A45" s="11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</row>
    <row r="46" spans="1:200" x14ac:dyDescent="0.3">
      <c r="A46" s="1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</row>
    <row r="47" spans="1:200" x14ac:dyDescent="0.3">
      <c r="A47" s="1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</row>
    <row r="48" spans="1:200" x14ac:dyDescent="0.3">
      <c r="A48" s="1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</row>
    <row r="49" spans="1:200" x14ac:dyDescent="0.3">
      <c r="A49" s="1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</row>
    <row r="50" spans="1:200" x14ac:dyDescent="0.3">
      <c r="A50" s="11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</row>
    <row r="51" spans="1:200" x14ac:dyDescent="0.3">
      <c r="A51" s="1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</row>
    <row r="52" spans="1:200" x14ac:dyDescent="0.3">
      <c r="A52" s="11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</row>
    <row r="53" spans="1:200" x14ac:dyDescent="0.3">
      <c r="A53" s="11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</row>
    <row r="54" spans="1:200" x14ac:dyDescent="0.3">
      <c r="A54" s="11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</row>
    <row r="55" spans="1:200" x14ac:dyDescent="0.3">
      <c r="A55" s="11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</row>
    <row r="56" spans="1:200" x14ac:dyDescent="0.3">
      <c r="A56" s="11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</row>
    <row r="57" spans="1:200" x14ac:dyDescent="0.3">
      <c r="A57" s="11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</row>
    <row r="58" spans="1:200" x14ac:dyDescent="0.3">
      <c r="A58" s="11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</row>
    <row r="59" spans="1:200" x14ac:dyDescent="0.3">
      <c r="A59" s="11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</row>
    <row r="60" spans="1:200" x14ac:dyDescent="0.3">
      <c r="A60" s="11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</row>
    <row r="61" spans="1:200" x14ac:dyDescent="0.3">
      <c r="A61" s="1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</row>
    <row r="62" spans="1:200" x14ac:dyDescent="0.3">
      <c r="A62" s="11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</row>
    <row r="63" spans="1:200" x14ac:dyDescent="0.3">
      <c r="A63" s="11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</row>
    <row r="64" spans="1:200" x14ac:dyDescent="0.3">
      <c r="A64" s="11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</row>
    <row r="65" spans="1:200" x14ac:dyDescent="0.3">
      <c r="A65" s="11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</row>
    <row r="66" spans="1:200" x14ac:dyDescent="0.3">
      <c r="A66" s="11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</row>
    <row r="67" spans="1:200" x14ac:dyDescent="0.3">
      <c r="A67" s="1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</row>
    <row r="68" spans="1:200" x14ac:dyDescent="0.3">
      <c r="A68" s="11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</row>
    <row r="69" spans="1:200" x14ac:dyDescent="0.3">
      <c r="A69" s="11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</row>
    <row r="70" spans="1:200" x14ac:dyDescent="0.3">
      <c r="A70" s="11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</row>
    <row r="71" spans="1:200" x14ac:dyDescent="0.3">
      <c r="A71" s="1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</row>
    <row r="72" spans="1:200" x14ac:dyDescent="0.3">
      <c r="A72" s="11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</row>
    <row r="73" spans="1:200" x14ac:dyDescent="0.3">
      <c r="A73" s="11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</row>
    <row r="74" spans="1:200" x14ac:dyDescent="0.3">
      <c r="A74" s="11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</row>
    <row r="75" spans="1:200" x14ac:dyDescent="0.3">
      <c r="A75" s="11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</row>
    <row r="76" spans="1:200" x14ac:dyDescent="0.3">
      <c r="A76" s="11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</row>
    <row r="77" spans="1:200" x14ac:dyDescent="0.3">
      <c r="A77" s="11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</row>
    <row r="78" spans="1:200" x14ac:dyDescent="0.3">
      <c r="A78" s="1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</row>
    <row r="79" spans="1:200" x14ac:dyDescent="0.3">
      <c r="A79" s="11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</row>
    <row r="80" spans="1:200" x14ac:dyDescent="0.3">
      <c r="A80" s="11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</row>
    <row r="81" spans="1:200" x14ac:dyDescent="0.3">
      <c r="A81" s="1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</row>
    <row r="82" spans="1:200" x14ac:dyDescent="0.3">
      <c r="A82" s="11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</row>
    <row r="83" spans="1:200" x14ac:dyDescent="0.3">
      <c r="A83" s="11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</row>
    <row r="84" spans="1:200" x14ac:dyDescent="0.3">
      <c r="A84" s="11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</row>
    <row r="85" spans="1:200" x14ac:dyDescent="0.3">
      <c r="A85" s="11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</row>
    <row r="86" spans="1:200" x14ac:dyDescent="0.3">
      <c r="A86" s="11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</row>
    <row r="87" spans="1:200" x14ac:dyDescent="0.3">
      <c r="A87" s="1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</row>
    <row r="88" spans="1:200" x14ac:dyDescent="0.3">
      <c r="A88" s="11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</row>
    <row r="89" spans="1:200" x14ac:dyDescent="0.3">
      <c r="A89" s="11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</row>
    <row r="90" spans="1:200" x14ac:dyDescent="0.3">
      <c r="A90" s="11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</row>
    <row r="91" spans="1:200" x14ac:dyDescent="0.3">
      <c r="A91" s="1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</row>
    <row r="92" spans="1:200" x14ac:dyDescent="0.3">
      <c r="A92" s="11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</row>
    <row r="93" spans="1:200" x14ac:dyDescent="0.3">
      <c r="A93" s="11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</row>
    <row r="94" spans="1:200" x14ac:dyDescent="0.3">
      <c r="A94" s="11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</row>
    <row r="95" spans="1:200" x14ac:dyDescent="0.3">
      <c r="A95" s="11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</row>
    <row r="96" spans="1:200" x14ac:dyDescent="0.3">
      <c r="A96" s="11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</row>
    <row r="97" spans="1:200" x14ac:dyDescent="0.3">
      <c r="A97" s="11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</row>
    <row r="98" spans="1:200" x14ac:dyDescent="0.3">
      <c r="A98" s="11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</row>
    <row r="99" spans="1:200" x14ac:dyDescent="0.3">
      <c r="A99" s="11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</row>
    <row r="100" spans="1:200" x14ac:dyDescent="0.3">
      <c r="A100" s="11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</row>
    <row r="101" spans="1:200" x14ac:dyDescent="0.3">
      <c r="A101" s="1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</row>
    <row r="102" spans="1:200" x14ac:dyDescent="0.3">
      <c r="A102" s="11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</row>
    <row r="103" spans="1:200" x14ac:dyDescent="0.3">
      <c r="A103" s="11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</row>
    <row r="104" spans="1:200" x14ac:dyDescent="0.3">
      <c r="A104" s="11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</row>
    <row r="105" spans="1:200" x14ac:dyDescent="0.3">
      <c r="A105" s="11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</row>
    <row r="106" spans="1:200" x14ac:dyDescent="0.3">
      <c r="A106" s="11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</row>
    <row r="107" spans="1:200" x14ac:dyDescent="0.3">
      <c r="A107" s="11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</row>
    <row r="108" spans="1:200" x14ac:dyDescent="0.3">
      <c r="A108" s="11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</row>
    <row r="109" spans="1:200" x14ac:dyDescent="0.3">
      <c r="A109" s="11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</row>
    <row r="110" spans="1:200" x14ac:dyDescent="0.3">
      <c r="A110" s="11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</row>
    <row r="111" spans="1:200" x14ac:dyDescent="0.3">
      <c r="A111" s="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</row>
    <row r="112" spans="1:200" x14ac:dyDescent="0.3">
      <c r="A112" s="11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</row>
    <row r="113" spans="1:200" x14ac:dyDescent="0.3">
      <c r="A113" s="11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</row>
    <row r="114" spans="1:200" x14ac:dyDescent="0.3">
      <c r="A114" s="11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</row>
    <row r="115" spans="1:200" x14ac:dyDescent="0.3">
      <c r="A115" s="11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</row>
    <row r="116" spans="1:200" x14ac:dyDescent="0.3">
      <c r="A116" s="11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</row>
    <row r="117" spans="1:200" x14ac:dyDescent="0.3">
      <c r="A117" s="11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</row>
    <row r="118" spans="1:200" x14ac:dyDescent="0.3">
      <c r="A118" s="11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</row>
    <row r="119" spans="1:200" x14ac:dyDescent="0.3">
      <c r="A119" s="11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</row>
    <row r="120" spans="1:200" x14ac:dyDescent="0.3">
      <c r="A120" s="11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</row>
    <row r="121" spans="1:200" x14ac:dyDescent="0.3">
      <c r="A121" s="1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</row>
    <row r="122" spans="1:200" x14ac:dyDescent="0.3">
      <c r="A122" s="11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</row>
    <row r="123" spans="1:200" x14ac:dyDescent="0.3">
      <c r="A123" s="11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</row>
    <row r="124" spans="1:200" x14ac:dyDescent="0.3">
      <c r="A124" s="11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</row>
    <row r="125" spans="1:200" x14ac:dyDescent="0.3">
      <c r="A125" s="11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</row>
    <row r="126" spans="1:200" x14ac:dyDescent="0.3">
      <c r="A126" s="11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</row>
    <row r="127" spans="1:200" x14ac:dyDescent="0.3">
      <c r="A127" s="1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</row>
    <row r="128" spans="1:200" x14ac:dyDescent="0.3">
      <c r="A128" s="11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</row>
    <row r="129" spans="1:200" x14ac:dyDescent="0.3">
      <c r="A129" s="11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</row>
    <row r="130" spans="1:200" x14ac:dyDescent="0.3">
      <c r="A130" s="11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</row>
    <row r="131" spans="1:200" x14ac:dyDescent="0.3">
      <c r="A131" s="1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</row>
    <row r="132" spans="1:200" x14ac:dyDescent="0.3">
      <c r="A132" s="11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</row>
    <row r="133" spans="1:200" x14ac:dyDescent="0.3">
      <c r="A133" s="11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</row>
    <row r="134" spans="1:200" x14ac:dyDescent="0.3">
      <c r="A134" s="11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</row>
    <row r="135" spans="1:200" x14ac:dyDescent="0.3">
      <c r="A135" s="11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</row>
    <row r="136" spans="1:200" x14ac:dyDescent="0.3">
      <c r="A136" s="11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</row>
    <row r="137" spans="1:200" x14ac:dyDescent="0.3">
      <c r="A137" s="11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</row>
    <row r="138" spans="1:200" x14ac:dyDescent="0.3">
      <c r="A138" s="11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</row>
    <row r="139" spans="1:200" x14ac:dyDescent="0.3">
      <c r="A139" s="11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</row>
    <row r="140" spans="1:200" x14ac:dyDescent="0.3">
      <c r="A140" s="11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</row>
    <row r="141" spans="1:200" x14ac:dyDescent="0.3">
      <c r="A141" s="1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</row>
    <row r="142" spans="1:200" x14ac:dyDescent="0.3">
      <c r="A142" s="11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</row>
    <row r="143" spans="1:200" x14ac:dyDescent="0.3">
      <c r="A143" s="11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</row>
    <row r="144" spans="1:200" x14ac:dyDescent="0.3">
      <c r="A144" s="11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</row>
    <row r="145" spans="1:200" x14ac:dyDescent="0.3">
      <c r="A145" s="11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</row>
    <row r="146" spans="1:200" x14ac:dyDescent="0.3">
      <c r="A146" s="1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</row>
    <row r="147" spans="1:200" x14ac:dyDescent="0.3">
      <c r="A147" s="11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</row>
    <row r="148" spans="1:200" x14ac:dyDescent="0.3">
      <c r="A148" s="11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</row>
    <row r="149" spans="1:200" x14ac:dyDescent="0.3">
      <c r="A149" s="11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</row>
    <row r="150" spans="1:200" x14ac:dyDescent="0.3">
      <c r="A150" s="11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</row>
    <row r="151" spans="1:200" x14ac:dyDescent="0.3">
      <c r="A151" s="1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</row>
    <row r="152" spans="1:200" x14ac:dyDescent="0.3">
      <c r="A152" s="11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</row>
    <row r="153" spans="1:200" x14ac:dyDescent="0.3">
      <c r="A153" s="11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</row>
    <row r="154" spans="1:200" x14ac:dyDescent="0.3">
      <c r="A154" s="11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</row>
    <row r="155" spans="1:200" x14ac:dyDescent="0.3">
      <c r="A155" s="11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</row>
    <row r="156" spans="1:200" x14ac:dyDescent="0.3">
      <c r="A156" s="11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</row>
    <row r="157" spans="1:200" x14ac:dyDescent="0.3">
      <c r="A157" s="11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</row>
    <row r="158" spans="1:200" x14ac:dyDescent="0.3">
      <c r="A158" s="11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</row>
    <row r="159" spans="1:200" x14ac:dyDescent="0.3">
      <c r="A159" s="11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</row>
    <row r="160" spans="1:200" x14ac:dyDescent="0.3">
      <c r="A160" s="11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</row>
    <row r="161" spans="1:200" x14ac:dyDescent="0.3">
      <c r="A161" s="1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</row>
    <row r="162" spans="1:200" x14ac:dyDescent="0.3">
      <c r="A162" s="11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</row>
    <row r="163" spans="1:200" x14ac:dyDescent="0.3">
      <c r="A163" s="11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</row>
    <row r="164" spans="1:200" x14ac:dyDescent="0.3">
      <c r="A164" s="11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</row>
    <row r="165" spans="1:200" x14ac:dyDescent="0.3">
      <c r="A165" s="11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</row>
    <row r="166" spans="1:200" x14ac:dyDescent="0.3">
      <c r="A166" s="11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</row>
    <row r="167" spans="1:200" x14ac:dyDescent="0.3">
      <c r="A167" s="11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</row>
    <row r="168" spans="1:200" x14ac:dyDescent="0.3">
      <c r="A168" s="11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</row>
    <row r="169" spans="1:200" x14ac:dyDescent="0.3">
      <c r="A169" s="11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</row>
    <row r="170" spans="1:200" x14ac:dyDescent="0.3">
      <c r="A170" s="11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</row>
    <row r="171" spans="1:200" x14ac:dyDescent="0.3">
      <c r="A171" s="1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</row>
    <row r="172" spans="1:200" x14ac:dyDescent="0.3">
      <c r="A172" s="11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</row>
    <row r="173" spans="1:200" x14ac:dyDescent="0.3">
      <c r="A173" s="11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</row>
    <row r="174" spans="1:200" x14ac:dyDescent="0.3">
      <c r="A174" s="11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</row>
    <row r="175" spans="1:200" x14ac:dyDescent="0.3">
      <c r="A175" s="11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</row>
    <row r="176" spans="1:200" x14ac:dyDescent="0.3">
      <c r="A176" s="11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</row>
    <row r="177" spans="1:200" x14ac:dyDescent="0.3">
      <c r="A177" s="11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</row>
    <row r="178" spans="1:200" x14ac:dyDescent="0.3">
      <c r="A178" s="11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</row>
    <row r="179" spans="1:200" x14ac:dyDescent="0.3">
      <c r="A179" s="11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</row>
    <row r="180" spans="1:200" x14ac:dyDescent="0.3">
      <c r="A180" s="11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</row>
    <row r="181" spans="1:200" x14ac:dyDescent="0.3">
      <c r="A181" s="1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</row>
    <row r="182" spans="1:200" x14ac:dyDescent="0.3">
      <c r="A182" s="11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</row>
    <row r="183" spans="1:200" x14ac:dyDescent="0.3">
      <c r="A183" s="11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</row>
    <row r="184" spans="1:200" x14ac:dyDescent="0.3">
      <c r="A184" s="11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</row>
    <row r="185" spans="1:200" x14ac:dyDescent="0.3">
      <c r="A185" s="11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</row>
    <row r="186" spans="1:200" x14ac:dyDescent="0.3">
      <c r="A186" s="11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</row>
    <row r="187" spans="1:200" x14ac:dyDescent="0.3">
      <c r="A187" s="11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</row>
    <row r="188" spans="1:200" x14ac:dyDescent="0.3">
      <c r="A188" s="11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</row>
    <row r="189" spans="1:200" x14ac:dyDescent="0.3">
      <c r="A189" s="11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</row>
    <row r="190" spans="1:200" x14ac:dyDescent="0.3">
      <c r="A190" s="11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</row>
    <row r="191" spans="1:200" x14ac:dyDescent="0.3">
      <c r="A191" s="1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</row>
    <row r="192" spans="1:200" x14ac:dyDescent="0.3">
      <c r="A192" s="11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</row>
    <row r="193" spans="1:200" x14ac:dyDescent="0.3">
      <c r="A193" s="11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</row>
    <row r="194" spans="1:200" x14ac:dyDescent="0.3">
      <c r="A194" s="11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</row>
    <row r="195" spans="1:200" x14ac:dyDescent="0.3">
      <c r="A195" s="11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</row>
    <row r="196" spans="1:200" x14ac:dyDescent="0.3">
      <c r="A196" s="11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</row>
    <row r="197" spans="1:200" x14ac:dyDescent="0.3">
      <c r="A197" s="1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</row>
    <row r="198" spans="1:200" x14ac:dyDescent="0.3">
      <c r="A198" s="1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</row>
    <row r="199" spans="1:200" x14ac:dyDescent="0.3">
      <c r="A199" s="1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</row>
    <row r="200" spans="1:200" x14ac:dyDescent="0.3">
      <c r="A200" s="1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</row>
    <row r="201" spans="1:200" x14ac:dyDescent="0.3">
      <c r="A201" s="1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</row>
    <row r="202" spans="1:200" x14ac:dyDescent="0.3">
      <c r="A202" s="11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</row>
    <row r="203" spans="1:200" x14ac:dyDescent="0.3">
      <c r="A203" s="11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</row>
    <row r="204" spans="1:200" x14ac:dyDescent="0.3">
      <c r="A204" s="11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</row>
    <row r="205" spans="1:200" x14ac:dyDescent="0.3">
      <c r="A205" s="11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</row>
    <row r="206" spans="1:200" x14ac:dyDescent="0.3">
      <c r="A206" s="11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</row>
    <row r="207" spans="1:200" x14ac:dyDescent="0.3">
      <c r="A207" s="11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</row>
    <row r="208" spans="1:200" x14ac:dyDescent="0.3">
      <c r="A208" s="11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</row>
    <row r="209" spans="1:200" x14ac:dyDescent="0.3">
      <c r="A209" s="11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</row>
    <row r="210" spans="1:200" x14ac:dyDescent="0.3">
      <c r="A210" s="11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</row>
    <row r="211" spans="1:200" x14ac:dyDescent="0.3">
      <c r="A211" s="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</row>
    <row r="212" spans="1:200" x14ac:dyDescent="0.3">
      <c r="A212" s="11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</row>
    <row r="213" spans="1:200" x14ac:dyDescent="0.3">
      <c r="A213" s="11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</row>
    <row r="214" spans="1:200" x14ac:dyDescent="0.3">
      <c r="A214" s="11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</row>
    <row r="215" spans="1:200" x14ac:dyDescent="0.3">
      <c r="A215" s="11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</row>
    <row r="216" spans="1:200" x14ac:dyDescent="0.3">
      <c r="A216" s="11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</row>
    <row r="217" spans="1:200" x14ac:dyDescent="0.3">
      <c r="A217" s="11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</row>
    <row r="218" spans="1:200" x14ac:dyDescent="0.3">
      <c r="A218" s="11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</row>
    <row r="219" spans="1:200" x14ac:dyDescent="0.3">
      <c r="A219" s="11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</row>
    <row r="220" spans="1:200" x14ac:dyDescent="0.3">
      <c r="A220" s="11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</row>
    <row r="221" spans="1:200" x14ac:dyDescent="0.3">
      <c r="A221" s="1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</row>
    <row r="222" spans="1:200" x14ac:dyDescent="0.3">
      <c r="A222" s="11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</row>
    <row r="223" spans="1:200" x14ac:dyDescent="0.3">
      <c r="A223" s="11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</row>
    <row r="224" spans="1:200" x14ac:dyDescent="0.3">
      <c r="A224" s="11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</row>
    <row r="225" spans="1:200" x14ac:dyDescent="0.3">
      <c r="A225" s="11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</row>
    <row r="226" spans="1:200" x14ac:dyDescent="0.3">
      <c r="A226" s="11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</row>
    <row r="227" spans="1:200" x14ac:dyDescent="0.3">
      <c r="A227" s="11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</row>
    <row r="228" spans="1:200" x14ac:dyDescent="0.3">
      <c r="A228" s="11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</row>
    <row r="229" spans="1:200" x14ac:dyDescent="0.3">
      <c r="A229" s="11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</row>
    <row r="230" spans="1:200" x14ac:dyDescent="0.3">
      <c r="A230" s="11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</row>
    <row r="231" spans="1:200" x14ac:dyDescent="0.3">
      <c r="A231" s="1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</row>
    <row r="232" spans="1:200" x14ac:dyDescent="0.3">
      <c r="A232" s="11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</row>
    <row r="233" spans="1:200" x14ac:dyDescent="0.3">
      <c r="A233" s="11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</row>
    <row r="234" spans="1:200" x14ac:dyDescent="0.3">
      <c r="A234" s="11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</row>
    <row r="235" spans="1:200" x14ac:dyDescent="0.3">
      <c r="A235" s="11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</row>
    <row r="236" spans="1:200" x14ac:dyDescent="0.3">
      <c r="A236" s="11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</row>
    <row r="237" spans="1:200" x14ac:dyDescent="0.3">
      <c r="A237" s="11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</row>
    <row r="238" spans="1:200" x14ac:dyDescent="0.3">
      <c r="A238" s="11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</row>
    <row r="239" spans="1:200" x14ac:dyDescent="0.3">
      <c r="A239" s="11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</row>
    <row r="240" spans="1:200" x14ac:dyDescent="0.3">
      <c r="A240" s="11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</row>
    <row r="241" spans="1:200" x14ac:dyDescent="0.3">
      <c r="A241" s="1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</row>
    <row r="242" spans="1:200" x14ac:dyDescent="0.3">
      <c r="A242" s="11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</row>
    <row r="243" spans="1:200" x14ac:dyDescent="0.3">
      <c r="A243" s="11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</row>
    <row r="244" spans="1:200" x14ac:dyDescent="0.3">
      <c r="A244" s="11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</row>
    <row r="245" spans="1:200" x14ac:dyDescent="0.3">
      <c r="A245" s="11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</row>
    <row r="246" spans="1:200" x14ac:dyDescent="0.3">
      <c r="A246" s="11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</row>
    <row r="247" spans="1:200" x14ac:dyDescent="0.3">
      <c r="A247" s="11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</row>
    <row r="248" spans="1:200" x14ac:dyDescent="0.3">
      <c r="A248" s="11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</row>
    <row r="249" spans="1:200" x14ac:dyDescent="0.3">
      <c r="A249" s="11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</row>
    <row r="250" spans="1:200" x14ac:dyDescent="0.3">
      <c r="A250" s="11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</row>
    <row r="251" spans="1:200" x14ac:dyDescent="0.3">
      <c r="A251" s="1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200" x14ac:dyDescent="0.3">
      <c r="A252" s="11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200" x14ac:dyDescent="0.3">
      <c r="A253" s="11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200" x14ac:dyDescent="0.3">
      <c r="A254" s="11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200" x14ac:dyDescent="0.3">
      <c r="A255" s="11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200" x14ac:dyDescent="0.3">
      <c r="A256" s="11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x14ac:dyDescent="0.3">
      <c r="A257" s="11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x14ac:dyDescent="0.3">
      <c r="A258" s="11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x14ac:dyDescent="0.3">
      <c r="A259" s="11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x14ac:dyDescent="0.3">
      <c r="A260" s="11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x14ac:dyDescent="0.3">
      <c r="A261" s="1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x14ac:dyDescent="0.3">
      <c r="A262" s="11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x14ac:dyDescent="0.3">
      <c r="A263" s="11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x14ac:dyDescent="0.3">
      <c r="A264" s="11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x14ac:dyDescent="0.3">
      <c r="A265" s="11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x14ac:dyDescent="0.3">
      <c r="A266" s="11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x14ac:dyDescent="0.3">
      <c r="A267" s="11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x14ac:dyDescent="0.3">
      <c r="A268" s="11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x14ac:dyDescent="0.3">
      <c r="A269" s="11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x14ac:dyDescent="0.3">
      <c r="A270" s="11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x14ac:dyDescent="0.3">
      <c r="A271" s="1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x14ac:dyDescent="0.3">
      <c r="A272" s="11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x14ac:dyDescent="0.3">
      <c r="A273" s="11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x14ac:dyDescent="0.3">
      <c r="A274" s="11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x14ac:dyDescent="0.3">
      <c r="A275" s="11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x14ac:dyDescent="0.3">
      <c r="A276" s="11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x14ac:dyDescent="0.3">
      <c r="A277" s="11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x14ac:dyDescent="0.3">
      <c r="A278" s="11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x14ac:dyDescent="0.3">
      <c r="A279" s="11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x14ac:dyDescent="0.3">
      <c r="A280" s="11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x14ac:dyDescent="0.3">
      <c r="A281" s="1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x14ac:dyDescent="0.3">
      <c r="A282" s="11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x14ac:dyDescent="0.3">
      <c r="A283" s="11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x14ac:dyDescent="0.3">
      <c r="A284" s="11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x14ac:dyDescent="0.3">
      <c r="A285" s="11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x14ac:dyDescent="0.3">
      <c r="A286" s="11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x14ac:dyDescent="0.3">
      <c r="A287" s="11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x14ac:dyDescent="0.3">
      <c r="A288" s="11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x14ac:dyDescent="0.3">
      <c r="A289" s="11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x14ac:dyDescent="0.3">
      <c r="A290" s="11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x14ac:dyDescent="0.3">
      <c r="A291" s="1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x14ac:dyDescent="0.3">
      <c r="A292" s="11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x14ac:dyDescent="0.3">
      <c r="A293" s="11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x14ac:dyDescent="0.3">
      <c r="A294" s="11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x14ac:dyDescent="0.3">
      <c r="A295" s="11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x14ac:dyDescent="0.3">
      <c r="A296" s="1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x14ac:dyDescent="0.3">
      <c r="A297" s="1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x14ac:dyDescent="0.3">
      <c r="A298" s="11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x14ac:dyDescent="0.3">
      <c r="A299" s="11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x14ac:dyDescent="0.3">
      <c r="A300" s="11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x14ac:dyDescent="0.3">
      <c r="A301" s="1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x14ac:dyDescent="0.3">
      <c r="A302" s="11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x14ac:dyDescent="0.3">
      <c r="A303" s="11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x14ac:dyDescent="0.3">
      <c r="A304" s="11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x14ac:dyDescent="0.3">
      <c r="A305" s="11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x14ac:dyDescent="0.3">
      <c r="A306" s="11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x14ac:dyDescent="0.3">
      <c r="A307" s="11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x14ac:dyDescent="0.3">
      <c r="A308" s="11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x14ac:dyDescent="0.3">
      <c r="A309" s="11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x14ac:dyDescent="0.3">
      <c r="A310" s="11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x14ac:dyDescent="0.3">
      <c r="A311" s="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x14ac:dyDescent="0.3">
      <c r="A312" s="11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x14ac:dyDescent="0.3">
      <c r="A313" s="11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x14ac:dyDescent="0.3">
      <c r="A314" s="11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x14ac:dyDescent="0.3">
      <c r="A315" s="11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x14ac:dyDescent="0.3">
      <c r="A316" s="11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x14ac:dyDescent="0.3">
      <c r="A317" s="11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x14ac:dyDescent="0.3">
      <c r="A318" s="11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x14ac:dyDescent="0.3">
      <c r="A319" s="11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x14ac:dyDescent="0.3">
      <c r="A320" s="11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x14ac:dyDescent="0.3">
      <c r="A321" s="1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x14ac:dyDescent="0.3">
      <c r="A322" s="11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x14ac:dyDescent="0.3">
      <c r="A323" s="11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x14ac:dyDescent="0.3">
      <c r="A324" s="11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x14ac:dyDescent="0.3">
      <c r="A325" s="11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x14ac:dyDescent="0.3">
      <c r="A326" s="11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x14ac:dyDescent="0.3">
      <c r="A327" s="11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x14ac:dyDescent="0.3">
      <c r="A328" s="11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x14ac:dyDescent="0.3">
      <c r="A329" s="1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x14ac:dyDescent="0.3">
      <c r="A330" s="1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x14ac:dyDescent="0.3">
      <c r="A331" s="1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x14ac:dyDescent="0.3">
      <c r="A332" s="1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x14ac:dyDescent="0.3">
      <c r="A333" s="1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x14ac:dyDescent="0.3">
      <c r="A334" s="1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x14ac:dyDescent="0.3">
      <c r="A335" s="1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x14ac:dyDescent="0.3">
      <c r="A336" s="1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x14ac:dyDescent="0.3">
      <c r="A337" s="1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x14ac:dyDescent="0.3">
      <c r="A338" s="11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x14ac:dyDescent="0.3">
      <c r="A339" s="1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x14ac:dyDescent="0.3">
      <c r="A340" s="1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x14ac:dyDescent="0.3">
      <c r="A341" s="1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x14ac:dyDescent="0.3">
      <c r="A342" s="1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x14ac:dyDescent="0.3">
      <c r="A343" s="1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x14ac:dyDescent="0.3">
      <c r="A344" s="1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x14ac:dyDescent="0.3">
      <c r="A345" s="1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x14ac:dyDescent="0.3">
      <c r="A346" s="1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x14ac:dyDescent="0.3">
      <c r="A347" s="1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x14ac:dyDescent="0.3">
      <c r="A348" s="11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x14ac:dyDescent="0.3">
      <c r="A349" s="11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x14ac:dyDescent="0.3">
      <c r="A350" s="11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x14ac:dyDescent="0.3">
      <c r="A351" s="1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x14ac:dyDescent="0.3">
      <c r="A352" s="11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x14ac:dyDescent="0.3">
      <c r="A353" s="11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x14ac:dyDescent="0.3">
      <c r="A354" s="11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x14ac:dyDescent="0.3">
      <c r="A355" s="11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x14ac:dyDescent="0.3">
      <c r="A356" s="11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x14ac:dyDescent="0.3">
      <c r="A357" s="11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x14ac:dyDescent="0.3">
      <c r="A358" s="11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x14ac:dyDescent="0.3">
      <c r="A359" s="11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x14ac:dyDescent="0.3">
      <c r="A360" s="11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x14ac:dyDescent="0.3">
      <c r="A361" s="1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x14ac:dyDescent="0.3">
      <c r="A362" s="11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x14ac:dyDescent="0.3">
      <c r="A363" s="11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x14ac:dyDescent="0.3">
      <c r="A364" s="11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x14ac:dyDescent="0.3">
      <c r="A365" s="11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x14ac:dyDescent="0.3">
      <c r="A366" s="11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x14ac:dyDescent="0.3">
      <c r="A367" s="11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x14ac:dyDescent="0.3">
      <c r="A368" s="11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x14ac:dyDescent="0.3">
      <c r="A369" s="11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x14ac:dyDescent="0.3">
      <c r="A370" s="11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x14ac:dyDescent="0.3">
      <c r="A371" s="1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x14ac:dyDescent="0.3">
      <c r="A372" s="11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x14ac:dyDescent="0.3">
      <c r="A373" s="11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x14ac:dyDescent="0.3">
      <c r="A374" s="11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x14ac:dyDescent="0.3">
      <c r="A375" s="11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x14ac:dyDescent="0.3">
      <c r="A376" s="11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x14ac:dyDescent="0.3">
      <c r="A377" s="11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x14ac:dyDescent="0.3">
      <c r="A378" s="11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x14ac:dyDescent="0.3">
      <c r="A379" s="11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x14ac:dyDescent="0.3">
      <c r="A380" s="11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x14ac:dyDescent="0.3">
      <c r="A381" s="1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x14ac:dyDescent="0.3">
      <c r="A382" s="11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x14ac:dyDescent="0.3">
      <c r="A383" s="11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x14ac:dyDescent="0.3">
      <c r="A384" s="11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x14ac:dyDescent="0.3">
      <c r="A385" s="11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x14ac:dyDescent="0.3">
      <c r="A386" s="11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x14ac:dyDescent="0.3">
      <c r="A387" s="11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x14ac:dyDescent="0.3">
      <c r="A388" s="11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x14ac:dyDescent="0.3">
      <c r="A389" s="11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x14ac:dyDescent="0.3">
      <c r="A390" s="11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x14ac:dyDescent="0.3">
      <c r="A391" s="1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x14ac:dyDescent="0.3">
      <c r="A392" s="11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x14ac:dyDescent="0.3">
      <c r="A393" s="11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x14ac:dyDescent="0.3">
      <c r="A394" s="11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x14ac:dyDescent="0.3">
      <c r="A395" s="11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x14ac:dyDescent="0.3">
      <c r="A396" s="11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x14ac:dyDescent="0.3">
      <c r="A397" s="11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x14ac:dyDescent="0.3">
      <c r="A398" s="11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x14ac:dyDescent="0.3">
      <c r="A399" s="11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x14ac:dyDescent="0.3">
      <c r="A400" s="11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x14ac:dyDescent="0.3">
      <c r="A401" s="1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x14ac:dyDescent="0.3">
      <c r="A402" s="11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x14ac:dyDescent="0.3">
      <c r="A403" s="11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x14ac:dyDescent="0.3">
      <c r="A404" s="11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x14ac:dyDescent="0.3">
      <c r="A405" s="11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x14ac:dyDescent="0.3">
      <c r="A406" s="11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x14ac:dyDescent="0.3">
      <c r="A407" s="11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x14ac:dyDescent="0.3">
      <c r="A408" s="11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x14ac:dyDescent="0.3">
      <c r="A409" s="11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x14ac:dyDescent="0.3">
      <c r="A410" s="11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x14ac:dyDescent="0.3">
      <c r="A411" s="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x14ac:dyDescent="0.3">
      <c r="A412" s="11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x14ac:dyDescent="0.3">
      <c r="A413" s="11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x14ac:dyDescent="0.3">
      <c r="A414" s="11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x14ac:dyDescent="0.3">
      <c r="A415" s="11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x14ac:dyDescent="0.3">
      <c r="A416" s="11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x14ac:dyDescent="0.3">
      <c r="A417" s="11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x14ac:dyDescent="0.3">
      <c r="A418" s="11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x14ac:dyDescent="0.3">
      <c r="A419" s="11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x14ac:dyDescent="0.3">
      <c r="A420" s="11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x14ac:dyDescent="0.3">
      <c r="A421" s="1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x14ac:dyDescent="0.3">
      <c r="A422" s="11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x14ac:dyDescent="0.3">
      <c r="A423" s="11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x14ac:dyDescent="0.3">
      <c r="A424" s="11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x14ac:dyDescent="0.3">
      <c r="A425" s="11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x14ac:dyDescent="0.3">
      <c r="A426" s="11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x14ac:dyDescent="0.3">
      <c r="A427" s="11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x14ac:dyDescent="0.3">
      <c r="A428" s="11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x14ac:dyDescent="0.3">
      <c r="A429" s="11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x14ac:dyDescent="0.3">
      <c r="A430" s="11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x14ac:dyDescent="0.3">
      <c r="A431" s="1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x14ac:dyDescent="0.3">
      <c r="A432" s="11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x14ac:dyDescent="0.3">
      <c r="A433" s="11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x14ac:dyDescent="0.3">
      <c r="A434" s="11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x14ac:dyDescent="0.3">
      <c r="A435" s="11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x14ac:dyDescent="0.3">
      <c r="A436" s="11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x14ac:dyDescent="0.3">
      <c r="A437" s="11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x14ac:dyDescent="0.3">
      <c r="A438" s="11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x14ac:dyDescent="0.3">
      <c r="A439" s="11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x14ac:dyDescent="0.3">
      <c r="A440" s="11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x14ac:dyDescent="0.3">
      <c r="A441" s="1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x14ac:dyDescent="0.3">
      <c r="A442" s="11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x14ac:dyDescent="0.3">
      <c r="A443" s="11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x14ac:dyDescent="0.3">
      <c r="A444" s="11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x14ac:dyDescent="0.3">
      <c r="A445" s="11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x14ac:dyDescent="0.3">
      <c r="A446" s="11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x14ac:dyDescent="0.3">
      <c r="A447" s="11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x14ac:dyDescent="0.3">
      <c r="A448" s="11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x14ac:dyDescent="0.3">
      <c r="A449" s="11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x14ac:dyDescent="0.3">
      <c r="A450" s="11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x14ac:dyDescent="0.3">
      <c r="A451" s="1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x14ac:dyDescent="0.3">
      <c r="A452" s="11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x14ac:dyDescent="0.3">
      <c r="A453" s="11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x14ac:dyDescent="0.3">
      <c r="A454" s="11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x14ac:dyDescent="0.3">
      <c r="A455" s="11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x14ac:dyDescent="0.3">
      <c r="A456" s="11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x14ac:dyDescent="0.3">
      <c r="A457" s="11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x14ac:dyDescent="0.3">
      <c r="A458" s="11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x14ac:dyDescent="0.3">
      <c r="A459" s="11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x14ac:dyDescent="0.3">
      <c r="A460" s="11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x14ac:dyDescent="0.3">
      <c r="A461" s="1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x14ac:dyDescent="0.3">
      <c r="A462" s="11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x14ac:dyDescent="0.3">
      <c r="A463" s="11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x14ac:dyDescent="0.3">
      <c r="A464" s="11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x14ac:dyDescent="0.3">
      <c r="A465" s="11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x14ac:dyDescent="0.3">
      <c r="A466" s="11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x14ac:dyDescent="0.3">
      <c r="A467" s="11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x14ac:dyDescent="0.3">
      <c r="A468" s="11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x14ac:dyDescent="0.3">
      <c r="A469" s="11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x14ac:dyDescent="0.3">
      <c r="A470" s="11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x14ac:dyDescent="0.3">
      <c r="A471" s="1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x14ac:dyDescent="0.3">
      <c r="A472" s="11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x14ac:dyDescent="0.3">
      <c r="A473" s="11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x14ac:dyDescent="0.3">
      <c r="A474" s="11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x14ac:dyDescent="0.3">
      <c r="A475" s="11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x14ac:dyDescent="0.3">
      <c r="A476" s="11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x14ac:dyDescent="0.3">
      <c r="A477" s="11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x14ac:dyDescent="0.3">
      <c r="A478" s="11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x14ac:dyDescent="0.3">
      <c r="A479" s="11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x14ac:dyDescent="0.3">
      <c r="A480" s="11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x14ac:dyDescent="0.3">
      <c r="A481" s="1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x14ac:dyDescent="0.3">
      <c r="A482" s="11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x14ac:dyDescent="0.3">
      <c r="A483" s="11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x14ac:dyDescent="0.3">
      <c r="A484" s="11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x14ac:dyDescent="0.3">
      <c r="A485" s="11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x14ac:dyDescent="0.3">
      <c r="A486" s="11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x14ac:dyDescent="0.3">
      <c r="A487" s="11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x14ac:dyDescent="0.3">
      <c r="A488" s="11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x14ac:dyDescent="0.3">
      <c r="A489" s="11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x14ac:dyDescent="0.3">
      <c r="A490" s="11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x14ac:dyDescent="0.3">
      <c r="A491" s="1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x14ac:dyDescent="0.3">
      <c r="A492" s="11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x14ac:dyDescent="0.3">
      <c r="A493" s="11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x14ac:dyDescent="0.3">
      <c r="A494" s="11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x14ac:dyDescent="0.3">
      <c r="A495" s="11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x14ac:dyDescent="0.3">
      <c r="A496" s="11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x14ac:dyDescent="0.3">
      <c r="A497" s="11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x14ac:dyDescent="0.3">
      <c r="A498" s="11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x14ac:dyDescent="0.3">
      <c r="A499" s="11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x14ac:dyDescent="0.3">
      <c r="A500" s="11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x14ac:dyDescent="0.3">
      <c r="A501" s="1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x14ac:dyDescent="0.3">
      <c r="A502" s="11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x14ac:dyDescent="0.3">
      <c r="A503" s="11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x14ac:dyDescent="0.3">
      <c r="A504" s="11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x14ac:dyDescent="0.3">
      <c r="A505" s="11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x14ac:dyDescent="0.3">
      <c r="A506" s="11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x14ac:dyDescent="0.3">
      <c r="A507" s="11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x14ac:dyDescent="0.3">
      <c r="A508" s="11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x14ac:dyDescent="0.3">
      <c r="A509" s="11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x14ac:dyDescent="0.3">
      <c r="A510" s="11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x14ac:dyDescent="0.3">
      <c r="A511" s="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x14ac:dyDescent="0.3">
      <c r="A512" s="11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x14ac:dyDescent="0.3">
      <c r="A513" s="11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x14ac:dyDescent="0.3">
      <c r="A514" s="11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x14ac:dyDescent="0.3">
      <c r="A515" s="11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3">
      <c r="A516" s="11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3">
      <c r="A517" s="11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3">
      <c r="A518" s="11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3">
      <c r="A519" s="11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3">
      <c r="A520" s="11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3">
      <c r="A521" s="1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x14ac:dyDescent="0.3">
      <c r="A522" s="11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x14ac:dyDescent="0.3">
      <c r="A523" s="11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x14ac:dyDescent="0.3">
      <c r="A524" s="11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x14ac:dyDescent="0.3">
      <c r="A525" s="11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x14ac:dyDescent="0.3">
      <c r="A526" s="11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x14ac:dyDescent="0.3">
      <c r="A527" s="11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x14ac:dyDescent="0.3">
      <c r="A528" s="11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x14ac:dyDescent="0.3">
      <c r="A529" s="11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x14ac:dyDescent="0.3">
      <c r="A530" s="11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x14ac:dyDescent="0.3">
      <c r="A531" s="1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x14ac:dyDescent="0.3">
      <c r="A532" s="11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x14ac:dyDescent="0.3">
      <c r="A533" s="11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x14ac:dyDescent="0.3">
      <c r="A534" s="11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x14ac:dyDescent="0.3">
      <c r="A535" s="11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x14ac:dyDescent="0.3">
      <c r="A536" s="11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x14ac:dyDescent="0.3">
      <c r="A537" s="11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x14ac:dyDescent="0.3">
      <c r="A538" s="11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x14ac:dyDescent="0.3">
      <c r="A539" s="11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x14ac:dyDescent="0.3">
      <c r="A540" s="11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x14ac:dyDescent="0.3">
      <c r="A541" s="1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x14ac:dyDescent="0.3">
      <c r="A542" s="11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x14ac:dyDescent="0.3">
      <c r="A543" s="11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x14ac:dyDescent="0.3">
      <c r="A544" s="11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x14ac:dyDescent="0.3">
      <c r="A545" s="11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x14ac:dyDescent="0.3">
      <c r="A546" s="11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x14ac:dyDescent="0.3">
      <c r="A547" s="11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x14ac:dyDescent="0.3">
      <c r="A548" s="11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x14ac:dyDescent="0.3">
      <c r="A549" s="11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x14ac:dyDescent="0.3">
      <c r="A550" s="11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x14ac:dyDescent="0.3">
      <c r="A551" s="1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x14ac:dyDescent="0.3">
      <c r="A552" s="11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x14ac:dyDescent="0.3">
      <c r="A553" s="11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x14ac:dyDescent="0.3">
      <c r="A554" s="11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x14ac:dyDescent="0.3">
      <c r="A555" s="11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x14ac:dyDescent="0.3">
      <c r="A556" s="11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x14ac:dyDescent="0.3">
      <c r="A557" s="11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x14ac:dyDescent="0.3">
      <c r="A558" s="11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x14ac:dyDescent="0.3">
      <c r="A559" s="11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x14ac:dyDescent="0.3">
      <c r="A560" s="11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x14ac:dyDescent="0.3">
      <c r="A561" s="1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x14ac:dyDescent="0.3">
      <c r="A562" s="11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x14ac:dyDescent="0.3">
      <c r="A563" s="11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x14ac:dyDescent="0.3">
      <c r="A564" s="11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x14ac:dyDescent="0.3">
      <c r="A565" s="11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x14ac:dyDescent="0.3">
      <c r="A566" s="11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x14ac:dyDescent="0.3">
      <c r="A567" s="11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x14ac:dyDescent="0.3">
      <c r="A568" s="11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x14ac:dyDescent="0.3">
      <c r="A569" s="11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x14ac:dyDescent="0.3">
      <c r="A570" s="11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x14ac:dyDescent="0.3">
      <c r="A571" s="1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x14ac:dyDescent="0.3">
      <c r="A572" s="11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x14ac:dyDescent="0.3">
      <c r="A573" s="11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x14ac:dyDescent="0.3">
      <c r="A574" s="11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x14ac:dyDescent="0.3">
      <c r="A575" s="11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x14ac:dyDescent="0.3">
      <c r="A576" s="11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x14ac:dyDescent="0.3">
      <c r="A577" s="11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x14ac:dyDescent="0.3">
      <c r="A578" s="11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x14ac:dyDescent="0.3">
      <c r="A579" s="11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x14ac:dyDescent="0.3">
      <c r="A580" s="11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x14ac:dyDescent="0.3">
      <c r="A581" s="1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x14ac:dyDescent="0.3">
      <c r="A582" s="11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x14ac:dyDescent="0.3">
      <c r="A583" s="11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x14ac:dyDescent="0.3">
      <c r="A584" s="11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x14ac:dyDescent="0.3">
      <c r="A585" s="11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x14ac:dyDescent="0.3">
      <c r="A586" s="11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x14ac:dyDescent="0.3">
      <c r="A587" s="11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x14ac:dyDescent="0.3">
      <c r="A588" s="11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x14ac:dyDescent="0.3">
      <c r="A589" s="11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x14ac:dyDescent="0.3">
      <c r="A590" s="11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x14ac:dyDescent="0.3">
      <c r="A591" s="1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x14ac:dyDescent="0.3">
      <c r="A592" s="11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x14ac:dyDescent="0.3">
      <c r="A593" s="11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x14ac:dyDescent="0.3">
      <c r="A594" s="11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x14ac:dyDescent="0.3">
      <c r="A595" s="11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x14ac:dyDescent="0.3">
      <c r="A596" s="11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x14ac:dyDescent="0.3">
      <c r="A597" s="11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x14ac:dyDescent="0.3">
      <c r="A598" s="11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x14ac:dyDescent="0.3">
      <c r="A599" s="11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x14ac:dyDescent="0.3">
      <c r="A600" s="11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x14ac:dyDescent="0.3">
      <c r="A601" s="1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x14ac:dyDescent="0.3">
      <c r="A602" s="11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x14ac:dyDescent="0.3">
      <c r="A603" s="11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x14ac:dyDescent="0.3">
      <c r="A604" s="11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x14ac:dyDescent="0.3">
      <c r="A605" s="11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x14ac:dyDescent="0.3">
      <c r="A606" s="11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x14ac:dyDescent="0.3">
      <c r="A607" s="11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x14ac:dyDescent="0.3">
      <c r="A608" s="11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x14ac:dyDescent="0.3">
      <c r="A609" s="11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x14ac:dyDescent="0.3">
      <c r="A610" s="11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x14ac:dyDescent="0.3">
      <c r="A611" s="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x14ac:dyDescent="0.3">
      <c r="A612" s="11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x14ac:dyDescent="0.3">
      <c r="A613" s="11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x14ac:dyDescent="0.3">
      <c r="A614" s="11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x14ac:dyDescent="0.3">
      <c r="A615" s="11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x14ac:dyDescent="0.3">
      <c r="A616" s="11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x14ac:dyDescent="0.3">
      <c r="A617" s="11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x14ac:dyDescent="0.3">
      <c r="A618" s="11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x14ac:dyDescent="0.3">
      <c r="A619" s="11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x14ac:dyDescent="0.3">
      <c r="A620" s="11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x14ac:dyDescent="0.3">
      <c r="A621" s="1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x14ac:dyDescent="0.3">
      <c r="A622" s="11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x14ac:dyDescent="0.3">
      <c r="A623" s="11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x14ac:dyDescent="0.3">
      <c r="A624" s="11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x14ac:dyDescent="0.3">
      <c r="A625" s="11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x14ac:dyDescent="0.3">
      <c r="A626" s="11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x14ac:dyDescent="0.3">
      <c r="A627" s="11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x14ac:dyDescent="0.3">
      <c r="A628" s="11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x14ac:dyDescent="0.3">
      <c r="A629" s="11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x14ac:dyDescent="0.3">
      <c r="A630" s="11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x14ac:dyDescent="0.3">
      <c r="A631" s="1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x14ac:dyDescent="0.3">
      <c r="A632" s="11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x14ac:dyDescent="0.3">
      <c r="A633" s="11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x14ac:dyDescent="0.3">
      <c r="A634" s="11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x14ac:dyDescent="0.3">
      <c r="A635" s="11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x14ac:dyDescent="0.3">
      <c r="A636" s="11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x14ac:dyDescent="0.3">
      <c r="A637" s="11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x14ac:dyDescent="0.3">
      <c r="A638" s="11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x14ac:dyDescent="0.3">
      <c r="A639" s="11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x14ac:dyDescent="0.3">
      <c r="A640" s="11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x14ac:dyDescent="0.3">
      <c r="A641" s="1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x14ac:dyDescent="0.3">
      <c r="A642" s="11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x14ac:dyDescent="0.3">
      <c r="A643" s="11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x14ac:dyDescent="0.3">
      <c r="A644" s="11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x14ac:dyDescent="0.3">
      <c r="A645" s="11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x14ac:dyDescent="0.3">
      <c r="A646" s="11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x14ac:dyDescent="0.3">
      <c r="A647" s="11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x14ac:dyDescent="0.3">
      <c r="A648" s="11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x14ac:dyDescent="0.3">
      <c r="A649" s="11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x14ac:dyDescent="0.3">
      <c r="A650" s="11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x14ac:dyDescent="0.3">
      <c r="A651" s="1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x14ac:dyDescent="0.3">
      <c r="A652" s="11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x14ac:dyDescent="0.3">
      <c r="A653" s="11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x14ac:dyDescent="0.3">
      <c r="A654" s="11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x14ac:dyDescent="0.3">
      <c r="A655" s="11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x14ac:dyDescent="0.3">
      <c r="A656" s="11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x14ac:dyDescent="0.3">
      <c r="A657" s="11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x14ac:dyDescent="0.3">
      <c r="A658" s="11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x14ac:dyDescent="0.3">
      <c r="A659" s="11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x14ac:dyDescent="0.3">
      <c r="A660" s="11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x14ac:dyDescent="0.3">
      <c r="A661" s="1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x14ac:dyDescent="0.3">
      <c r="A662" s="11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x14ac:dyDescent="0.3">
      <c r="A663" s="11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x14ac:dyDescent="0.3">
      <c r="A664" s="11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x14ac:dyDescent="0.3">
      <c r="A665" s="11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x14ac:dyDescent="0.3">
      <c r="A666" s="11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x14ac:dyDescent="0.3">
      <c r="A667" s="11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x14ac:dyDescent="0.3">
      <c r="A668" s="11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x14ac:dyDescent="0.3">
      <c r="A669" s="11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x14ac:dyDescent="0.3">
      <c r="A670" s="11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x14ac:dyDescent="0.3">
      <c r="A671" s="1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x14ac:dyDescent="0.3">
      <c r="A672" s="11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x14ac:dyDescent="0.3">
      <c r="A673" s="11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x14ac:dyDescent="0.3">
      <c r="A674" s="11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x14ac:dyDescent="0.3">
      <c r="A675" s="11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x14ac:dyDescent="0.3">
      <c r="A676" s="11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x14ac:dyDescent="0.3">
      <c r="A677" s="11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x14ac:dyDescent="0.3">
      <c r="A678" s="11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x14ac:dyDescent="0.3">
      <c r="A679" s="11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x14ac:dyDescent="0.3">
      <c r="A680" s="11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x14ac:dyDescent="0.3">
      <c r="A681" s="1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x14ac:dyDescent="0.3">
      <c r="A682" s="11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x14ac:dyDescent="0.3">
      <c r="A683" s="11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x14ac:dyDescent="0.3">
      <c r="A684" s="11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x14ac:dyDescent="0.3">
      <c r="A685" s="11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x14ac:dyDescent="0.3">
      <c r="A686" s="11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x14ac:dyDescent="0.3">
      <c r="A687" s="11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x14ac:dyDescent="0.3">
      <c r="A688" s="11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x14ac:dyDescent="0.3">
      <c r="A689" s="11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x14ac:dyDescent="0.3">
      <c r="A690" s="11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x14ac:dyDescent="0.3">
      <c r="A691" s="1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x14ac:dyDescent="0.3">
      <c r="A692" s="11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x14ac:dyDescent="0.3">
      <c r="A693" s="11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x14ac:dyDescent="0.3">
      <c r="A694" s="11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x14ac:dyDescent="0.3">
      <c r="A695" s="11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x14ac:dyDescent="0.3">
      <c r="A696" s="11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x14ac:dyDescent="0.3">
      <c r="A697" s="11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x14ac:dyDescent="0.3">
      <c r="A698" s="11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x14ac:dyDescent="0.3">
      <c r="A699" s="11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x14ac:dyDescent="0.3">
      <c r="A700" s="11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x14ac:dyDescent="0.3">
      <c r="A701" s="1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x14ac:dyDescent="0.3">
      <c r="A702" s="11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x14ac:dyDescent="0.3">
      <c r="A703" s="11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x14ac:dyDescent="0.3">
      <c r="A704" s="11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x14ac:dyDescent="0.3">
      <c r="A705" s="11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x14ac:dyDescent="0.3">
      <c r="A706" s="11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x14ac:dyDescent="0.3">
      <c r="A707" s="11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x14ac:dyDescent="0.3">
      <c r="A708" s="11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x14ac:dyDescent="0.3">
      <c r="A709" s="11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x14ac:dyDescent="0.3">
      <c r="A710" s="11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x14ac:dyDescent="0.3">
      <c r="A711" s="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x14ac:dyDescent="0.3">
      <c r="A712" s="11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x14ac:dyDescent="0.3">
      <c r="A713" s="11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x14ac:dyDescent="0.3">
      <c r="A714" s="11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x14ac:dyDescent="0.3">
      <c r="A715" s="11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x14ac:dyDescent="0.3">
      <c r="A716" s="11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x14ac:dyDescent="0.3">
      <c r="A717" s="11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x14ac:dyDescent="0.3">
      <c r="A718" s="11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x14ac:dyDescent="0.3">
      <c r="A719" s="11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x14ac:dyDescent="0.3">
      <c r="A720" s="11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x14ac:dyDescent="0.3">
      <c r="A721" s="1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x14ac:dyDescent="0.3">
      <c r="A722" s="11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x14ac:dyDescent="0.3">
      <c r="A723" s="11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x14ac:dyDescent="0.3">
      <c r="A724" s="11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x14ac:dyDescent="0.3">
      <c r="A725" s="11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x14ac:dyDescent="0.3">
      <c r="A726" s="11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x14ac:dyDescent="0.3">
      <c r="A727" s="11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x14ac:dyDescent="0.3">
      <c r="A728" s="11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x14ac:dyDescent="0.3">
      <c r="A729" s="11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x14ac:dyDescent="0.3">
      <c r="A730" s="11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x14ac:dyDescent="0.3">
      <c r="A731" s="1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x14ac:dyDescent="0.3">
      <c r="A732" s="11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x14ac:dyDescent="0.3">
      <c r="A733" s="11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x14ac:dyDescent="0.3">
      <c r="A734" s="11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x14ac:dyDescent="0.3">
      <c r="A735" s="11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x14ac:dyDescent="0.3">
      <c r="A736" s="11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x14ac:dyDescent="0.3">
      <c r="A737" s="11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x14ac:dyDescent="0.3">
      <c r="A738" s="11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x14ac:dyDescent="0.3">
      <c r="A739" s="11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x14ac:dyDescent="0.3">
      <c r="A740" s="11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x14ac:dyDescent="0.3">
      <c r="A741" s="1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x14ac:dyDescent="0.3">
      <c r="A742" s="11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x14ac:dyDescent="0.3">
      <c r="A743" s="11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x14ac:dyDescent="0.3">
      <c r="A744" s="11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x14ac:dyDescent="0.3">
      <c r="A745" s="11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x14ac:dyDescent="0.3">
      <c r="A746" s="11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x14ac:dyDescent="0.3">
      <c r="A747" s="11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x14ac:dyDescent="0.3">
      <c r="A748" s="11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x14ac:dyDescent="0.3">
      <c r="A749" s="11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x14ac:dyDescent="0.3">
      <c r="A750" s="11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x14ac:dyDescent="0.3">
      <c r="A751" s="1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x14ac:dyDescent="0.3">
      <c r="A752" s="11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x14ac:dyDescent="0.3">
      <c r="A753" s="11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x14ac:dyDescent="0.3">
      <c r="A754" s="11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x14ac:dyDescent="0.3">
      <c r="A755" s="11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x14ac:dyDescent="0.3">
      <c r="A756" s="11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x14ac:dyDescent="0.3">
      <c r="A757" s="11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x14ac:dyDescent="0.3">
      <c r="A758" s="11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x14ac:dyDescent="0.3">
      <c r="A759" s="11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x14ac:dyDescent="0.3">
      <c r="A760" s="11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x14ac:dyDescent="0.3">
      <c r="A761" s="1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x14ac:dyDescent="0.3">
      <c r="A762" s="11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x14ac:dyDescent="0.3">
      <c r="A763" s="11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x14ac:dyDescent="0.3">
      <c r="A764" s="11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x14ac:dyDescent="0.3">
      <c r="A765" s="11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x14ac:dyDescent="0.3">
      <c r="A766" s="11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x14ac:dyDescent="0.3">
      <c r="A767" s="11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x14ac:dyDescent="0.3">
      <c r="A768" s="11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x14ac:dyDescent="0.3">
      <c r="A769" s="11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x14ac:dyDescent="0.3">
      <c r="A770" s="11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x14ac:dyDescent="0.3">
      <c r="A771" s="1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x14ac:dyDescent="0.3">
      <c r="A772" s="11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x14ac:dyDescent="0.3">
      <c r="A773" s="11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x14ac:dyDescent="0.3">
      <c r="A774" s="11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x14ac:dyDescent="0.3">
      <c r="A775" s="11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x14ac:dyDescent="0.3">
      <c r="A776" s="11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x14ac:dyDescent="0.3">
      <c r="A777" s="11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x14ac:dyDescent="0.3">
      <c r="A778" s="11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x14ac:dyDescent="0.3">
      <c r="A779" s="11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x14ac:dyDescent="0.3">
      <c r="A780" s="11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x14ac:dyDescent="0.3">
      <c r="A781" s="1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x14ac:dyDescent="0.3">
      <c r="A782" s="11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x14ac:dyDescent="0.3">
      <c r="A783" s="11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x14ac:dyDescent="0.3">
      <c r="A784" s="11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x14ac:dyDescent="0.3">
      <c r="A785" s="11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x14ac:dyDescent="0.3">
      <c r="A786" s="11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x14ac:dyDescent="0.3">
      <c r="A787" s="11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x14ac:dyDescent="0.3">
      <c r="A788" s="11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x14ac:dyDescent="0.3">
      <c r="A789" s="11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x14ac:dyDescent="0.3">
      <c r="A790" s="11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x14ac:dyDescent="0.3">
      <c r="A791" s="1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x14ac:dyDescent="0.3">
      <c r="A792" s="11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x14ac:dyDescent="0.3">
      <c r="A793" s="11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x14ac:dyDescent="0.3">
      <c r="A794" s="11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x14ac:dyDescent="0.3">
      <c r="A795" s="11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x14ac:dyDescent="0.3">
      <c r="A796" s="11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x14ac:dyDescent="0.3">
      <c r="A797" s="11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x14ac:dyDescent="0.3">
      <c r="A798" s="11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x14ac:dyDescent="0.3">
      <c r="A799" s="11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x14ac:dyDescent="0.3">
      <c r="A800" s="11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x14ac:dyDescent="0.3">
      <c r="A801" s="1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x14ac:dyDescent="0.3">
      <c r="A802" s="11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x14ac:dyDescent="0.3">
      <c r="A803" s="11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x14ac:dyDescent="0.3">
      <c r="A804" s="11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x14ac:dyDescent="0.3">
      <c r="A805" s="11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x14ac:dyDescent="0.3">
      <c r="A806" s="11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x14ac:dyDescent="0.3">
      <c r="A807" s="11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x14ac:dyDescent="0.3">
      <c r="A808" s="11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x14ac:dyDescent="0.3">
      <c r="A809" s="11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x14ac:dyDescent="0.3">
      <c r="A810" s="11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x14ac:dyDescent="0.3">
      <c r="A811" s="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x14ac:dyDescent="0.3">
      <c r="A812" s="11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x14ac:dyDescent="0.3">
      <c r="A813" s="11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x14ac:dyDescent="0.3">
      <c r="A814" s="11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x14ac:dyDescent="0.3">
      <c r="A815" s="11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x14ac:dyDescent="0.3">
      <c r="A816" s="11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x14ac:dyDescent="0.3">
      <c r="A817" s="11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x14ac:dyDescent="0.3">
      <c r="A818" s="11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x14ac:dyDescent="0.3">
      <c r="A819" s="11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x14ac:dyDescent="0.3">
      <c r="A820" s="11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x14ac:dyDescent="0.3">
      <c r="A821" s="1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x14ac:dyDescent="0.3">
      <c r="A822" s="11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x14ac:dyDescent="0.3">
      <c r="A823" s="11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x14ac:dyDescent="0.3">
      <c r="A824" s="11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x14ac:dyDescent="0.3">
      <c r="A825" s="11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x14ac:dyDescent="0.3">
      <c r="A826" s="11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x14ac:dyDescent="0.3">
      <c r="A827" s="11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x14ac:dyDescent="0.3">
      <c r="A828" s="11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x14ac:dyDescent="0.3">
      <c r="A829" s="11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x14ac:dyDescent="0.3">
      <c r="A830" s="11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x14ac:dyDescent="0.3">
      <c r="A831" s="1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x14ac:dyDescent="0.3">
      <c r="A832" s="11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x14ac:dyDescent="0.3">
      <c r="A833" s="11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x14ac:dyDescent="0.3">
      <c r="A834" s="11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x14ac:dyDescent="0.3">
      <c r="A835" s="11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x14ac:dyDescent="0.3">
      <c r="A836" s="11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x14ac:dyDescent="0.3">
      <c r="A837" s="11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x14ac:dyDescent="0.3">
      <c r="A838" s="11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x14ac:dyDescent="0.3">
      <c r="A839" s="11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x14ac:dyDescent="0.3">
      <c r="A840" s="11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x14ac:dyDescent="0.3">
      <c r="A841" s="1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x14ac:dyDescent="0.3">
      <c r="A842" s="11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x14ac:dyDescent="0.3">
      <c r="A843" s="11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x14ac:dyDescent="0.3">
      <c r="A844" s="11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x14ac:dyDescent="0.3">
      <c r="A845" s="11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x14ac:dyDescent="0.3">
      <c r="A846" s="11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x14ac:dyDescent="0.3">
      <c r="A847" s="11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x14ac:dyDescent="0.3">
      <c r="A848" s="11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x14ac:dyDescent="0.3">
      <c r="A849" s="11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x14ac:dyDescent="0.3">
      <c r="A850" s="11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x14ac:dyDescent="0.3">
      <c r="A851" s="1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x14ac:dyDescent="0.3">
      <c r="A852" s="11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x14ac:dyDescent="0.3">
      <c r="A853" s="11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x14ac:dyDescent="0.3">
      <c r="A854" s="11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x14ac:dyDescent="0.3">
      <c r="A855" s="11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x14ac:dyDescent="0.3">
      <c r="A856" s="11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x14ac:dyDescent="0.3">
      <c r="A857" s="11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x14ac:dyDescent="0.3">
      <c r="A858" s="11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x14ac:dyDescent="0.3">
      <c r="A859" s="11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x14ac:dyDescent="0.3">
      <c r="A860" s="11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x14ac:dyDescent="0.3">
      <c r="A861" s="1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x14ac:dyDescent="0.3">
      <c r="A862" s="11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x14ac:dyDescent="0.3">
      <c r="A863" s="11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x14ac:dyDescent="0.3">
      <c r="A864" s="11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x14ac:dyDescent="0.3">
      <c r="A865" s="11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x14ac:dyDescent="0.3">
      <c r="A866" s="11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x14ac:dyDescent="0.3">
      <c r="A867" s="11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x14ac:dyDescent="0.3">
      <c r="A868" s="11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x14ac:dyDescent="0.3">
      <c r="A869" s="11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x14ac:dyDescent="0.3">
      <c r="A870" s="11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x14ac:dyDescent="0.3">
      <c r="A871" s="1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x14ac:dyDescent="0.3">
      <c r="A872" s="11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x14ac:dyDescent="0.3">
      <c r="A873" s="11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x14ac:dyDescent="0.3">
      <c r="A874" s="11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x14ac:dyDescent="0.3">
      <c r="A875" s="11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x14ac:dyDescent="0.3">
      <c r="A876" s="11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x14ac:dyDescent="0.3">
      <c r="A877" s="11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x14ac:dyDescent="0.3">
      <c r="A878" s="11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x14ac:dyDescent="0.3">
      <c r="A879" s="11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x14ac:dyDescent="0.3">
      <c r="A880" s="11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x14ac:dyDescent="0.3">
      <c r="A881" s="1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x14ac:dyDescent="0.3">
      <c r="A882" s="11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x14ac:dyDescent="0.3">
      <c r="A883" s="11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x14ac:dyDescent="0.3">
      <c r="A884" s="11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x14ac:dyDescent="0.3">
      <c r="A885" s="11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x14ac:dyDescent="0.3">
      <c r="A886" s="11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x14ac:dyDescent="0.3">
      <c r="A887" s="11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x14ac:dyDescent="0.3">
      <c r="A888" s="11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x14ac:dyDescent="0.3">
      <c r="A889" s="11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x14ac:dyDescent="0.3">
      <c r="A890" s="11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x14ac:dyDescent="0.3">
      <c r="A891" s="1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x14ac:dyDescent="0.3">
      <c r="A892" s="11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x14ac:dyDescent="0.3">
      <c r="A893" s="11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x14ac:dyDescent="0.3">
      <c r="A894" s="11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x14ac:dyDescent="0.3">
      <c r="A895" s="11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x14ac:dyDescent="0.3">
      <c r="A896" s="11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x14ac:dyDescent="0.3">
      <c r="A897" s="11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x14ac:dyDescent="0.3">
      <c r="A898" s="11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x14ac:dyDescent="0.3">
      <c r="A899" s="11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x14ac:dyDescent="0.3">
      <c r="A900" s="11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x14ac:dyDescent="0.3">
      <c r="A901" s="1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x14ac:dyDescent="0.3">
      <c r="A902" s="11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x14ac:dyDescent="0.3">
      <c r="A903" s="11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x14ac:dyDescent="0.3">
      <c r="A904" s="11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x14ac:dyDescent="0.3">
      <c r="A905" s="11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x14ac:dyDescent="0.3">
      <c r="A906" s="11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x14ac:dyDescent="0.3">
      <c r="A907" s="11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x14ac:dyDescent="0.3">
      <c r="A908" s="11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x14ac:dyDescent="0.3">
      <c r="A909" s="11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x14ac:dyDescent="0.3">
      <c r="A910" s="11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x14ac:dyDescent="0.3">
      <c r="A911" s="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x14ac:dyDescent="0.3">
      <c r="A912" s="11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x14ac:dyDescent="0.3">
      <c r="A913" s="11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x14ac:dyDescent="0.3">
      <c r="A914" s="11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x14ac:dyDescent="0.3">
      <c r="A915" s="11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x14ac:dyDescent="0.3">
      <c r="A916" s="11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x14ac:dyDescent="0.3">
      <c r="A917" s="11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x14ac:dyDescent="0.3">
      <c r="A918" s="11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x14ac:dyDescent="0.3">
      <c r="A919" s="11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x14ac:dyDescent="0.3">
      <c r="A920" s="11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x14ac:dyDescent="0.3">
      <c r="A921" s="1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x14ac:dyDescent="0.3">
      <c r="A922" s="11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x14ac:dyDescent="0.3">
      <c r="A923" s="11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x14ac:dyDescent="0.3">
      <c r="A924" s="11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x14ac:dyDescent="0.3">
      <c r="A925" s="11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x14ac:dyDescent="0.3">
      <c r="A926" s="11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x14ac:dyDescent="0.3">
      <c r="A927" s="11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x14ac:dyDescent="0.3">
      <c r="A928" s="11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x14ac:dyDescent="0.3">
      <c r="A929" s="11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x14ac:dyDescent="0.3">
      <c r="A930" s="11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x14ac:dyDescent="0.3">
      <c r="A931" s="1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x14ac:dyDescent="0.3">
      <c r="A932" s="11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x14ac:dyDescent="0.3">
      <c r="A933" s="11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x14ac:dyDescent="0.3">
      <c r="A934" s="11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x14ac:dyDescent="0.3">
      <c r="A935" s="11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x14ac:dyDescent="0.3">
      <c r="A936" s="11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x14ac:dyDescent="0.3">
      <c r="A937" s="11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x14ac:dyDescent="0.3">
      <c r="A938" s="11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x14ac:dyDescent="0.3">
      <c r="A939" s="11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x14ac:dyDescent="0.3">
      <c r="A940" s="11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x14ac:dyDescent="0.3">
      <c r="A941" s="1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x14ac:dyDescent="0.3">
      <c r="A942" s="11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x14ac:dyDescent="0.3">
      <c r="A943" s="11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x14ac:dyDescent="0.3">
      <c r="A944" s="11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x14ac:dyDescent="0.3">
      <c r="A945" s="11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x14ac:dyDescent="0.3">
      <c r="A946" s="11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x14ac:dyDescent="0.3">
      <c r="A947" s="11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x14ac:dyDescent="0.3">
      <c r="A948" s="11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x14ac:dyDescent="0.3">
      <c r="A949" s="11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x14ac:dyDescent="0.3">
      <c r="A950" s="11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x14ac:dyDescent="0.3">
      <c r="A951" s="1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x14ac:dyDescent="0.3">
      <c r="A952" s="11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x14ac:dyDescent="0.3">
      <c r="A953" s="11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x14ac:dyDescent="0.3">
      <c r="A954" s="11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x14ac:dyDescent="0.3">
      <c r="A955" s="11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x14ac:dyDescent="0.3">
      <c r="A956" s="11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x14ac:dyDescent="0.3">
      <c r="A957" s="11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x14ac:dyDescent="0.3">
      <c r="A958" s="11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x14ac:dyDescent="0.3">
      <c r="A959" s="11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x14ac:dyDescent="0.3">
      <c r="A960" s="11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x14ac:dyDescent="0.3">
      <c r="A961" s="1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x14ac:dyDescent="0.3">
      <c r="A962" s="11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x14ac:dyDescent="0.3">
      <c r="A963" s="11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x14ac:dyDescent="0.3">
      <c r="A964" s="11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x14ac:dyDescent="0.3">
      <c r="A965" s="11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x14ac:dyDescent="0.3">
      <c r="A966" s="11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x14ac:dyDescent="0.3">
      <c r="A967" s="11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x14ac:dyDescent="0.3">
      <c r="A968" s="11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x14ac:dyDescent="0.3">
      <c r="A969" s="11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x14ac:dyDescent="0.3">
      <c r="A970" s="11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x14ac:dyDescent="0.3">
      <c r="A971" s="1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x14ac:dyDescent="0.3">
      <c r="A972" s="11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x14ac:dyDescent="0.3">
      <c r="A973" s="11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x14ac:dyDescent="0.3">
      <c r="A974" s="11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x14ac:dyDescent="0.3">
      <c r="A975" s="11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x14ac:dyDescent="0.3">
      <c r="A976" s="11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x14ac:dyDescent="0.3">
      <c r="A977" s="11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x14ac:dyDescent="0.3">
      <c r="A978" s="11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x14ac:dyDescent="0.3">
      <c r="A979" s="11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x14ac:dyDescent="0.3">
      <c r="A980" s="11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x14ac:dyDescent="0.3">
      <c r="A981" s="1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x14ac:dyDescent="0.3">
      <c r="A982" s="11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x14ac:dyDescent="0.3">
      <c r="A983" s="11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x14ac:dyDescent="0.3">
      <c r="A984" s="11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x14ac:dyDescent="0.3">
      <c r="A985" s="11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x14ac:dyDescent="0.3">
      <c r="A986" s="11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x14ac:dyDescent="0.3">
      <c r="A987" s="11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x14ac:dyDescent="0.3">
      <c r="A988" s="11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x14ac:dyDescent="0.3">
      <c r="A989" s="11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x14ac:dyDescent="0.3">
      <c r="A990" s="11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x14ac:dyDescent="0.3">
      <c r="A991" s="1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x14ac:dyDescent="0.3">
      <c r="A992" s="11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x14ac:dyDescent="0.3">
      <c r="A993" s="11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x14ac:dyDescent="0.3">
      <c r="A994" s="11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x14ac:dyDescent="0.3">
      <c r="A995" s="11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x14ac:dyDescent="0.3">
      <c r="A996" s="11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x14ac:dyDescent="0.3">
      <c r="A997" s="11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x14ac:dyDescent="0.3">
      <c r="A998" s="11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x14ac:dyDescent="0.3">
      <c r="A999" s="11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x14ac:dyDescent="0.3">
      <c r="A1000" s="11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Gs_Ready.Gs_Ready">
                <anchor moveWithCells="1" sizeWithCells="1">
                  <from>
                    <xdr:col>7</xdr:col>
                    <xdr:colOff>0</xdr:colOff>
                    <xdr:row>0</xdr:row>
                    <xdr:rowOff>152400</xdr:rowOff>
                  </from>
                  <to>
                    <xdr:col>7</xdr:col>
                    <xdr:colOff>716280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Gs_clear1">
                <anchor moveWithCells="1" sizeWithCells="1">
                  <from>
                    <xdr:col>5</xdr:col>
                    <xdr:colOff>723900</xdr:colOff>
                    <xdr:row>0</xdr:row>
                    <xdr:rowOff>171450</xdr:rowOff>
                  </from>
                  <to>
                    <xdr:col>6</xdr:col>
                    <xdr:colOff>716280</xdr:colOff>
                    <xdr:row>1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stodola_go">
                <anchor moveWithCells="1" sizeWithCells="1">
                  <from>
                    <xdr:col>8</xdr:col>
                    <xdr:colOff>11430</xdr:colOff>
                    <xdr:row>0</xdr:row>
                    <xdr:rowOff>171450</xdr:rowOff>
                  </from>
                  <to>
                    <xdr:col>8</xdr:col>
                    <xdr:colOff>704850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9A9FD-1CBA-4D88-9F5A-F61DB97C7B40}">
  <sheetPr codeName="Sheet7"/>
  <dimension ref="A1:GR250"/>
  <sheetViews>
    <sheetView zoomScaleNormal="100" workbookViewId="0">
      <selection activeCell="E6" sqref="E6"/>
    </sheetView>
  </sheetViews>
  <sheetFormatPr defaultColWidth="17.87890625" defaultRowHeight="13.5" x14ac:dyDescent="0.3"/>
  <cols>
    <col min="1" max="1" width="5.29296875" style="65" customWidth="1"/>
    <col min="2" max="3" width="9.87890625" style="65" customWidth="1"/>
    <col min="4" max="4" width="11" style="65" customWidth="1"/>
    <col min="5" max="8" width="9.87890625" style="65" customWidth="1"/>
    <col min="9" max="17" width="8.703125" style="65" customWidth="1"/>
    <col min="18" max="18" width="11" style="65" customWidth="1"/>
    <col min="19" max="19" width="17.41015625" style="65" customWidth="1"/>
    <col min="20" max="54" width="11" style="65" customWidth="1"/>
    <col min="55" max="256" width="17.87890625" style="65"/>
    <col min="257" max="257" width="5.29296875" style="65" customWidth="1"/>
    <col min="258" max="310" width="11" style="65" customWidth="1"/>
    <col min="311" max="512" width="17.87890625" style="65"/>
    <col min="513" max="513" width="5.29296875" style="65" customWidth="1"/>
    <col min="514" max="566" width="11" style="65" customWidth="1"/>
    <col min="567" max="768" width="17.87890625" style="65"/>
    <col min="769" max="769" width="5.29296875" style="65" customWidth="1"/>
    <col min="770" max="822" width="11" style="65" customWidth="1"/>
    <col min="823" max="1024" width="17.87890625" style="65"/>
    <col min="1025" max="1025" width="5.29296875" style="65" customWidth="1"/>
    <col min="1026" max="1078" width="11" style="65" customWidth="1"/>
    <col min="1079" max="1280" width="17.87890625" style="65"/>
    <col min="1281" max="1281" width="5.29296875" style="65" customWidth="1"/>
    <col min="1282" max="1334" width="11" style="65" customWidth="1"/>
    <col min="1335" max="1536" width="17.87890625" style="65"/>
    <col min="1537" max="1537" width="5.29296875" style="65" customWidth="1"/>
    <col min="1538" max="1590" width="11" style="65" customWidth="1"/>
    <col min="1591" max="1792" width="17.87890625" style="65"/>
    <col min="1793" max="1793" width="5.29296875" style="65" customWidth="1"/>
    <col min="1794" max="1846" width="11" style="65" customWidth="1"/>
    <col min="1847" max="2048" width="17.87890625" style="65"/>
    <col min="2049" max="2049" width="5.29296875" style="65" customWidth="1"/>
    <col min="2050" max="2102" width="11" style="65" customWidth="1"/>
    <col min="2103" max="2304" width="17.87890625" style="65"/>
    <col min="2305" max="2305" width="5.29296875" style="65" customWidth="1"/>
    <col min="2306" max="2358" width="11" style="65" customWidth="1"/>
    <col min="2359" max="2560" width="17.87890625" style="65"/>
    <col min="2561" max="2561" width="5.29296875" style="65" customWidth="1"/>
    <col min="2562" max="2614" width="11" style="65" customWidth="1"/>
    <col min="2615" max="2816" width="17.87890625" style="65"/>
    <col min="2817" max="2817" width="5.29296875" style="65" customWidth="1"/>
    <col min="2818" max="2870" width="11" style="65" customWidth="1"/>
    <col min="2871" max="3072" width="17.87890625" style="65"/>
    <col min="3073" max="3073" width="5.29296875" style="65" customWidth="1"/>
    <col min="3074" max="3126" width="11" style="65" customWidth="1"/>
    <col min="3127" max="3328" width="17.87890625" style="65"/>
    <col min="3329" max="3329" width="5.29296875" style="65" customWidth="1"/>
    <col min="3330" max="3382" width="11" style="65" customWidth="1"/>
    <col min="3383" max="3584" width="17.87890625" style="65"/>
    <col min="3585" max="3585" width="5.29296875" style="65" customWidth="1"/>
    <col min="3586" max="3638" width="11" style="65" customWidth="1"/>
    <col min="3639" max="3840" width="17.87890625" style="65"/>
    <col min="3841" max="3841" width="5.29296875" style="65" customWidth="1"/>
    <col min="3842" max="3894" width="11" style="65" customWidth="1"/>
    <col min="3895" max="4096" width="17.87890625" style="65"/>
    <col min="4097" max="4097" width="5.29296875" style="65" customWidth="1"/>
    <col min="4098" max="4150" width="11" style="65" customWidth="1"/>
    <col min="4151" max="4352" width="17.87890625" style="65"/>
    <col min="4353" max="4353" width="5.29296875" style="65" customWidth="1"/>
    <col min="4354" max="4406" width="11" style="65" customWidth="1"/>
    <col min="4407" max="4608" width="17.87890625" style="65"/>
    <col min="4609" max="4609" width="5.29296875" style="65" customWidth="1"/>
    <col min="4610" max="4662" width="11" style="65" customWidth="1"/>
    <col min="4663" max="4864" width="17.87890625" style="65"/>
    <col min="4865" max="4865" width="5.29296875" style="65" customWidth="1"/>
    <col min="4866" max="4918" width="11" style="65" customWidth="1"/>
    <col min="4919" max="5120" width="17.87890625" style="65"/>
    <col min="5121" max="5121" width="5.29296875" style="65" customWidth="1"/>
    <col min="5122" max="5174" width="11" style="65" customWidth="1"/>
    <col min="5175" max="5376" width="17.87890625" style="65"/>
    <col min="5377" max="5377" width="5.29296875" style="65" customWidth="1"/>
    <col min="5378" max="5430" width="11" style="65" customWidth="1"/>
    <col min="5431" max="5632" width="17.87890625" style="65"/>
    <col min="5633" max="5633" width="5.29296875" style="65" customWidth="1"/>
    <col min="5634" max="5686" width="11" style="65" customWidth="1"/>
    <col min="5687" max="5888" width="17.87890625" style="65"/>
    <col min="5889" max="5889" width="5.29296875" style="65" customWidth="1"/>
    <col min="5890" max="5942" width="11" style="65" customWidth="1"/>
    <col min="5943" max="6144" width="17.87890625" style="65"/>
    <col min="6145" max="6145" width="5.29296875" style="65" customWidth="1"/>
    <col min="6146" max="6198" width="11" style="65" customWidth="1"/>
    <col min="6199" max="6400" width="17.87890625" style="65"/>
    <col min="6401" max="6401" width="5.29296875" style="65" customWidth="1"/>
    <col min="6402" max="6454" width="11" style="65" customWidth="1"/>
    <col min="6455" max="6656" width="17.87890625" style="65"/>
    <col min="6657" max="6657" width="5.29296875" style="65" customWidth="1"/>
    <col min="6658" max="6710" width="11" style="65" customWidth="1"/>
    <col min="6711" max="6912" width="17.87890625" style="65"/>
    <col min="6913" max="6913" width="5.29296875" style="65" customWidth="1"/>
    <col min="6914" max="6966" width="11" style="65" customWidth="1"/>
    <col min="6967" max="7168" width="17.87890625" style="65"/>
    <col min="7169" max="7169" width="5.29296875" style="65" customWidth="1"/>
    <col min="7170" max="7222" width="11" style="65" customWidth="1"/>
    <col min="7223" max="7424" width="17.87890625" style="65"/>
    <col min="7425" max="7425" width="5.29296875" style="65" customWidth="1"/>
    <col min="7426" max="7478" width="11" style="65" customWidth="1"/>
    <col min="7479" max="7680" width="17.87890625" style="65"/>
    <col min="7681" max="7681" width="5.29296875" style="65" customWidth="1"/>
    <col min="7682" max="7734" width="11" style="65" customWidth="1"/>
    <col min="7735" max="7936" width="17.87890625" style="65"/>
    <col min="7937" max="7937" width="5.29296875" style="65" customWidth="1"/>
    <col min="7938" max="7990" width="11" style="65" customWidth="1"/>
    <col min="7991" max="8192" width="17.87890625" style="65"/>
    <col min="8193" max="8193" width="5.29296875" style="65" customWidth="1"/>
    <col min="8194" max="8246" width="11" style="65" customWidth="1"/>
    <col min="8247" max="8448" width="17.87890625" style="65"/>
    <col min="8449" max="8449" width="5.29296875" style="65" customWidth="1"/>
    <col min="8450" max="8502" width="11" style="65" customWidth="1"/>
    <col min="8503" max="8704" width="17.87890625" style="65"/>
    <col min="8705" max="8705" width="5.29296875" style="65" customWidth="1"/>
    <col min="8706" max="8758" width="11" style="65" customWidth="1"/>
    <col min="8759" max="8960" width="17.87890625" style="65"/>
    <col min="8961" max="8961" width="5.29296875" style="65" customWidth="1"/>
    <col min="8962" max="9014" width="11" style="65" customWidth="1"/>
    <col min="9015" max="9216" width="17.87890625" style="65"/>
    <col min="9217" max="9217" width="5.29296875" style="65" customWidth="1"/>
    <col min="9218" max="9270" width="11" style="65" customWidth="1"/>
    <col min="9271" max="9472" width="17.87890625" style="65"/>
    <col min="9473" max="9473" width="5.29296875" style="65" customWidth="1"/>
    <col min="9474" max="9526" width="11" style="65" customWidth="1"/>
    <col min="9527" max="9728" width="17.87890625" style="65"/>
    <col min="9729" max="9729" width="5.29296875" style="65" customWidth="1"/>
    <col min="9730" max="9782" width="11" style="65" customWidth="1"/>
    <col min="9783" max="9984" width="17.87890625" style="65"/>
    <col min="9985" max="9985" width="5.29296875" style="65" customWidth="1"/>
    <col min="9986" max="10038" width="11" style="65" customWidth="1"/>
    <col min="10039" max="10240" width="17.87890625" style="65"/>
    <col min="10241" max="10241" width="5.29296875" style="65" customWidth="1"/>
    <col min="10242" max="10294" width="11" style="65" customWidth="1"/>
    <col min="10295" max="10496" width="17.87890625" style="65"/>
    <col min="10497" max="10497" width="5.29296875" style="65" customWidth="1"/>
    <col min="10498" max="10550" width="11" style="65" customWidth="1"/>
    <col min="10551" max="10752" width="17.87890625" style="65"/>
    <col min="10753" max="10753" width="5.29296875" style="65" customWidth="1"/>
    <col min="10754" max="10806" width="11" style="65" customWidth="1"/>
    <col min="10807" max="11008" width="17.87890625" style="65"/>
    <col min="11009" max="11009" width="5.29296875" style="65" customWidth="1"/>
    <col min="11010" max="11062" width="11" style="65" customWidth="1"/>
    <col min="11063" max="11264" width="17.87890625" style="65"/>
    <col min="11265" max="11265" width="5.29296875" style="65" customWidth="1"/>
    <col min="11266" max="11318" width="11" style="65" customWidth="1"/>
    <col min="11319" max="11520" width="17.87890625" style="65"/>
    <col min="11521" max="11521" width="5.29296875" style="65" customWidth="1"/>
    <col min="11522" max="11574" width="11" style="65" customWidth="1"/>
    <col min="11575" max="11776" width="17.87890625" style="65"/>
    <col min="11777" max="11777" width="5.29296875" style="65" customWidth="1"/>
    <col min="11778" max="11830" width="11" style="65" customWidth="1"/>
    <col min="11831" max="12032" width="17.87890625" style="65"/>
    <col min="12033" max="12033" width="5.29296875" style="65" customWidth="1"/>
    <col min="12034" max="12086" width="11" style="65" customWidth="1"/>
    <col min="12087" max="12288" width="17.87890625" style="65"/>
    <col min="12289" max="12289" width="5.29296875" style="65" customWidth="1"/>
    <col min="12290" max="12342" width="11" style="65" customWidth="1"/>
    <col min="12343" max="12544" width="17.87890625" style="65"/>
    <col min="12545" max="12545" width="5.29296875" style="65" customWidth="1"/>
    <col min="12546" max="12598" width="11" style="65" customWidth="1"/>
    <col min="12599" max="12800" width="17.87890625" style="65"/>
    <col min="12801" max="12801" width="5.29296875" style="65" customWidth="1"/>
    <col min="12802" max="12854" width="11" style="65" customWidth="1"/>
    <col min="12855" max="13056" width="17.87890625" style="65"/>
    <col min="13057" max="13057" width="5.29296875" style="65" customWidth="1"/>
    <col min="13058" max="13110" width="11" style="65" customWidth="1"/>
    <col min="13111" max="13312" width="17.87890625" style="65"/>
    <col min="13313" max="13313" width="5.29296875" style="65" customWidth="1"/>
    <col min="13314" max="13366" width="11" style="65" customWidth="1"/>
    <col min="13367" max="13568" width="17.87890625" style="65"/>
    <col min="13569" max="13569" width="5.29296875" style="65" customWidth="1"/>
    <col min="13570" max="13622" width="11" style="65" customWidth="1"/>
    <col min="13623" max="13824" width="17.87890625" style="65"/>
    <col min="13825" max="13825" width="5.29296875" style="65" customWidth="1"/>
    <col min="13826" max="13878" width="11" style="65" customWidth="1"/>
    <col min="13879" max="14080" width="17.87890625" style="65"/>
    <col min="14081" max="14081" width="5.29296875" style="65" customWidth="1"/>
    <col min="14082" max="14134" width="11" style="65" customWidth="1"/>
    <col min="14135" max="14336" width="17.87890625" style="65"/>
    <col min="14337" max="14337" width="5.29296875" style="65" customWidth="1"/>
    <col min="14338" max="14390" width="11" style="65" customWidth="1"/>
    <col min="14391" max="14592" width="17.87890625" style="65"/>
    <col min="14593" max="14593" width="5.29296875" style="65" customWidth="1"/>
    <col min="14594" max="14646" width="11" style="65" customWidth="1"/>
    <col min="14647" max="14848" width="17.87890625" style="65"/>
    <col min="14849" max="14849" width="5.29296875" style="65" customWidth="1"/>
    <col min="14850" max="14902" width="11" style="65" customWidth="1"/>
    <col min="14903" max="15104" width="17.87890625" style="65"/>
    <col min="15105" max="15105" width="5.29296875" style="65" customWidth="1"/>
    <col min="15106" max="15158" width="11" style="65" customWidth="1"/>
    <col min="15159" max="15360" width="17.87890625" style="65"/>
    <col min="15361" max="15361" width="5.29296875" style="65" customWidth="1"/>
    <col min="15362" max="15414" width="11" style="65" customWidth="1"/>
    <col min="15415" max="15616" width="17.87890625" style="65"/>
    <col min="15617" max="15617" width="5.29296875" style="65" customWidth="1"/>
    <col min="15618" max="15670" width="11" style="65" customWidth="1"/>
    <col min="15671" max="15872" width="17.87890625" style="65"/>
    <col min="15873" max="15873" width="5.29296875" style="65" customWidth="1"/>
    <col min="15874" max="15926" width="11" style="65" customWidth="1"/>
    <col min="15927" max="16128" width="17.87890625" style="65"/>
    <col min="16129" max="16129" width="5.29296875" style="65" customWidth="1"/>
    <col min="16130" max="16182" width="11" style="65" customWidth="1"/>
    <col min="16183" max="16384" width="17.87890625" style="65"/>
  </cols>
  <sheetData>
    <row r="1" spans="1:200" x14ac:dyDescent="0.3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3">
      <c r="B2" s="65" t="s">
        <v>212</v>
      </c>
    </row>
    <row r="3" spans="1:200" x14ac:dyDescent="0.3">
      <c r="B3" s="65" t="s">
        <v>144</v>
      </c>
      <c r="C3" s="65" t="s">
        <v>151</v>
      </c>
    </row>
    <row r="4" spans="1:200" x14ac:dyDescent="0.3">
      <c r="B4" s="65">
        <f>損傷限界固有周期!H9</f>
        <v>1.2359999418258667</v>
      </c>
      <c r="C4" s="65">
        <f>損傷限界固有周期!H10</f>
        <v>1.3940000534057617</v>
      </c>
    </row>
    <row r="5" spans="1:200" x14ac:dyDescent="0.3">
      <c r="B5" s="11" t="str">
        <f>ji_zofuku!B2</f>
        <v>GS1</v>
      </c>
      <c r="C5" s="11" t="str">
        <f>ji_zofuku!C2</f>
        <v>GS2</v>
      </c>
      <c r="D5" s="11" t="str">
        <f>ji_zofuku!D2</f>
        <v>T1</v>
      </c>
      <c r="E5" s="11" t="str">
        <f>ji_zofuku!E2</f>
        <v>T2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00" x14ac:dyDescent="0.3">
      <c r="B6" s="11">
        <f>ji_zofuku!B3</f>
        <v>2.5799999237060547</v>
      </c>
      <c r="C6" s="11">
        <f>ji_zofuku!C3</f>
        <v>1.7200000286102295</v>
      </c>
      <c r="D6" s="11">
        <f>ji_zofuku!D3</f>
        <v>0.34400001168251038</v>
      </c>
      <c r="E6" s="11">
        <f>ji_zofuku!E3</f>
        <v>0.11500000208616257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00" x14ac:dyDescent="0.3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200" x14ac:dyDescent="0.3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200" x14ac:dyDescent="0.3">
      <c r="B9" s="11"/>
      <c r="C9" s="42"/>
      <c r="D9" s="4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00" x14ac:dyDescent="0.3">
      <c r="B10" s="11"/>
      <c r="C10" s="42" t="s">
        <v>354</v>
      </c>
      <c r="D10" s="43" t="s">
        <v>358</v>
      </c>
      <c r="E10" s="11"/>
      <c r="F10" s="11">
        <v>1.5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200" x14ac:dyDescent="0.3">
      <c r="B11" s="11"/>
      <c r="C11" s="42" t="s">
        <v>355</v>
      </c>
      <c r="D11" s="43" t="s">
        <v>359</v>
      </c>
      <c r="E11" s="11"/>
      <c r="F11" s="11">
        <v>1.5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200" x14ac:dyDescent="0.3">
      <c r="B12" s="11"/>
      <c r="C12" s="42" t="s">
        <v>356</v>
      </c>
      <c r="D12" s="43">
        <v>2.58</v>
      </c>
      <c r="E12" s="11"/>
      <c r="F12" s="11">
        <v>1.5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</row>
    <row r="13" spans="1:200" x14ac:dyDescent="0.3">
      <c r="C13" s="65" t="s">
        <v>357</v>
      </c>
      <c r="D13" s="65" t="s">
        <v>360</v>
      </c>
      <c r="F13" s="11">
        <v>1.35</v>
      </c>
      <c r="G13" s="11"/>
      <c r="H13" s="11"/>
      <c r="I13" s="11"/>
      <c r="J13" s="11"/>
      <c r="K13" s="11"/>
      <c r="L13" s="68"/>
      <c r="M13" s="69"/>
      <c r="N13" s="70"/>
      <c r="O13" s="71"/>
      <c r="P13" s="71"/>
      <c r="Q13" s="11"/>
      <c r="R13" s="11"/>
      <c r="S13" s="68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</row>
    <row r="14" spans="1:200" x14ac:dyDescent="0.3">
      <c r="G14" s="11"/>
      <c r="H14" s="11"/>
      <c r="I14" s="11"/>
      <c r="J14" s="11"/>
      <c r="K14" s="11"/>
      <c r="L14" s="68"/>
      <c r="M14" s="69"/>
      <c r="N14" s="70"/>
      <c r="O14" s="71"/>
      <c r="P14" s="7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</row>
    <row r="15" spans="1:200" x14ac:dyDescent="0.3">
      <c r="B15" s="87" t="s">
        <v>214</v>
      </c>
      <c r="C15" s="84" t="s">
        <v>213</v>
      </c>
      <c r="H15" s="11"/>
      <c r="I15" s="11"/>
      <c r="J15" s="11"/>
      <c r="K15" s="11"/>
      <c r="L15" s="68"/>
      <c r="M15" s="69"/>
      <c r="N15" s="70"/>
      <c r="O15" s="71"/>
      <c r="P15" s="7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</row>
    <row r="16" spans="1:200" x14ac:dyDescent="0.3">
      <c r="B16" s="87">
        <v>1.4801617860794067</v>
      </c>
      <c r="C16" s="87">
        <v>1.4178048372268677</v>
      </c>
      <c r="I16" s="11"/>
      <c r="J16" s="11"/>
      <c r="K16" s="11"/>
      <c r="L16" s="68"/>
      <c r="M16" s="69"/>
      <c r="N16" s="70"/>
      <c r="O16" s="71"/>
      <c r="P16" s="7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200" x14ac:dyDescent="0.3">
      <c r="I17" s="11"/>
      <c r="J17" s="11"/>
      <c r="K17" s="11"/>
      <c r="L17" s="68"/>
      <c r="M17" s="69"/>
      <c r="N17" s="70"/>
      <c r="O17" s="71"/>
      <c r="P17" s="7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200" x14ac:dyDescent="0.3">
      <c r="I18" s="11"/>
      <c r="J18" s="11"/>
      <c r="K18" s="11"/>
      <c r="L18" s="68"/>
      <c r="M18" s="69"/>
      <c r="N18" s="70"/>
      <c r="O18" s="71"/>
      <c r="P18" s="7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200" x14ac:dyDescent="0.3">
      <c r="I19" s="11"/>
      <c r="J19" s="11"/>
      <c r="K19" s="11"/>
      <c r="L19" s="72"/>
      <c r="M19" s="72"/>
      <c r="N19" s="73"/>
      <c r="O19" s="72"/>
      <c r="P19" s="72"/>
      <c r="Q19" s="73"/>
      <c r="R19" s="73"/>
      <c r="S19" s="74"/>
      <c r="T19" s="73"/>
      <c r="U19" s="73"/>
      <c r="V19" s="73"/>
      <c r="W19" s="73"/>
      <c r="X19" s="73"/>
      <c r="Y19" s="73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200" x14ac:dyDescent="0.3">
      <c r="I20" s="11"/>
      <c r="J20" s="11"/>
      <c r="K20" s="11"/>
      <c r="L20" s="72"/>
      <c r="M20" s="72"/>
      <c r="N20" s="73"/>
      <c r="O20" s="72"/>
      <c r="P20" s="72"/>
      <c r="Q20" s="73"/>
      <c r="R20" s="73"/>
      <c r="S20" s="74"/>
      <c r="T20" s="73"/>
      <c r="U20" s="73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200" x14ac:dyDescent="0.3">
      <c r="B21" s="65" t="s">
        <v>215</v>
      </c>
      <c r="H21" s="11"/>
      <c r="I21" s="11"/>
      <c r="J21" s="11"/>
      <c r="K21" s="11"/>
      <c r="L21" s="72"/>
      <c r="M21" s="72"/>
      <c r="N21" s="73"/>
      <c r="O21" s="72"/>
      <c r="P21" s="72"/>
      <c r="Q21" s="73"/>
      <c r="R21" s="73"/>
      <c r="S21" s="74"/>
      <c r="T21" s="73"/>
      <c r="U21" s="73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</row>
    <row r="22" spans="2:200" x14ac:dyDescent="0.3">
      <c r="B22" s="65" t="s">
        <v>216</v>
      </c>
      <c r="C22" s="65" t="s">
        <v>217</v>
      </c>
      <c r="H22" s="11"/>
      <c r="I22" s="11"/>
      <c r="J22" s="11"/>
      <c r="K22" s="11"/>
      <c r="L22" s="72"/>
      <c r="M22" s="72"/>
      <c r="N22" s="73"/>
      <c r="O22" s="72"/>
      <c r="P22" s="72"/>
      <c r="Q22" s="73"/>
      <c r="R22" s="73"/>
      <c r="S22" s="74"/>
      <c r="T22" s="73"/>
      <c r="U22" s="73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</row>
    <row r="23" spans="2:200" x14ac:dyDescent="0.3">
      <c r="B23" s="65">
        <f>安全限界固有周期!H9</f>
        <v>1.5800000429153442</v>
      </c>
      <c r="C23" s="65">
        <f>安全限界固有周期!H10</f>
        <v>2.0350000858306885</v>
      </c>
      <c r="F23" s="11"/>
      <c r="G23" s="11"/>
      <c r="H23" s="11"/>
      <c r="I23" s="11"/>
      <c r="J23" s="11"/>
      <c r="K23" s="11"/>
      <c r="L23" s="72"/>
      <c r="M23" s="72"/>
      <c r="N23" s="73"/>
      <c r="O23" s="72"/>
      <c r="P23" s="72"/>
      <c r="Q23" s="73"/>
      <c r="R23" s="73"/>
      <c r="S23" s="74"/>
      <c r="T23" s="73"/>
      <c r="U23" s="73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</row>
    <row r="24" spans="2:200" x14ac:dyDescent="0.3">
      <c r="B24" s="11" t="str">
        <f>ji_zofuku!S2</f>
        <v>GS1</v>
      </c>
      <c r="C24" s="11" t="str">
        <f>ji_zofuku!T2</f>
        <v>GS2</v>
      </c>
      <c r="D24" s="11" t="str">
        <f>ji_zofuku!U2</f>
        <v>T1</v>
      </c>
      <c r="E24" s="11" t="str">
        <f>ji_zofuku!V2</f>
        <v>T2</v>
      </c>
      <c r="F24" s="11"/>
      <c r="G24" s="11"/>
      <c r="H24" s="11"/>
      <c r="I24" s="11"/>
      <c r="J24" s="11"/>
      <c r="K24" s="11"/>
      <c r="L24" s="72"/>
      <c r="M24" s="72"/>
      <c r="N24" s="73"/>
      <c r="O24" s="72"/>
      <c r="P24" s="72"/>
      <c r="Q24" s="73"/>
      <c r="R24" s="73"/>
      <c r="S24" s="74"/>
      <c r="T24" s="73"/>
      <c r="U24" s="73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</row>
    <row r="25" spans="2:200" x14ac:dyDescent="0.3">
      <c r="B25" s="11">
        <f>ji_zofuku!S3</f>
        <v>2.1700000762939453</v>
      </c>
      <c r="C25" s="11">
        <f>ji_zofuku!T3</f>
        <v>1.0499999523162842</v>
      </c>
      <c r="D25" s="11">
        <f>ji_zofuku!U3</f>
        <v>0.45800000429153442</v>
      </c>
      <c r="E25" s="11">
        <f>ji_zofuku!V3</f>
        <v>0.15299999713897705</v>
      </c>
      <c r="F25" s="11"/>
      <c r="G25" s="11"/>
      <c r="H25" s="11"/>
      <c r="I25" s="11"/>
      <c r="J25" s="11"/>
      <c r="K25" s="11"/>
      <c r="L25" s="72"/>
      <c r="M25" s="72"/>
      <c r="N25" s="72"/>
      <c r="O25" s="72"/>
      <c r="P25" s="72"/>
      <c r="Q25" s="73"/>
      <c r="R25" s="73"/>
      <c r="S25" s="74"/>
      <c r="T25" s="73"/>
      <c r="U25" s="73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</row>
    <row r="26" spans="2:200" x14ac:dyDescent="0.3">
      <c r="H26" s="11"/>
      <c r="I26" s="11"/>
      <c r="J26" s="11"/>
      <c r="K26" s="11"/>
      <c r="L26" s="72"/>
      <c r="M26" s="72"/>
      <c r="N26" s="72"/>
      <c r="O26" s="72"/>
      <c r="P26" s="72"/>
      <c r="Q26" s="73"/>
      <c r="R26" s="73"/>
      <c r="S26" s="74"/>
      <c r="T26" s="73"/>
      <c r="U26" s="73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</row>
    <row r="27" spans="2:200" x14ac:dyDescent="0.3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72"/>
      <c r="M27" s="72"/>
      <c r="N27" s="72"/>
      <c r="O27" s="72"/>
      <c r="P27" s="72"/>
      <c r="Q27" s="73"/>
      <c r="R27" s="73"/>
      <c r="S27" s="74"/>
      <c r="T27" s="73"/>
      <c r="U27" s="73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</row>
    <row r="28" spans="2:200" x14ac:dyDescent="0.3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72"/>
      <c r="M28" s="72"/>
      <c r="N28" s="72"/>
      <c r="O28" s="72"/>
      <c r="P28" s="72"/>
      <c r="Q28" s="73"/>
      <c r="R28" s="73"/>
      <c r="S28" s="74"/>
      <c r="T28" s="73"/>
      <c r="U28" s="73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</row>
    <row r="29" spans="2:200" x14ac:dyDescent="0.3">
      <c r="B29" s="11"/>
      <c r="C29" s="11" t="s">
        <v>271</v>
      </c>
      <c r="D29" s="43" t="s">
        <v>275</v>
      </c>
      <c r="E29" s="11"/>
      <c r="F29" s="11">
        <v>1.2</v>
      </c>
      <c r="G29" s="11"/>
      <c r="H29" s="11"/>
      <c r="I29" s="11"/>
      <c r="J29" s="11"/>
      <c r="K29" s="11"/>
      <c r="L29" s="72"/>
      <c r="M29" s="72"/>
      <c r="N29" s="72"/>
      <c r="O29" s="72"/>
      <c r="P29" s="72"/>
      <c r="Q29" s="73"/>
      <c r="R29" s="73"/>
      <c r="S29" s="74"/>
      <c r="T29" s="73"/>
      <c r="U29" s="73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</row>
    <row r="30" spans="2:200" x14ac:dyDescent="0.3">
      <c r="B30" s="11"/>
      <c r="C30" s="42" t="s">
        <v>272</v>
      </c>
      <c r="D30" s="43" t="s">
        <v>276</v>
      </c>
      <c r="E30" s="11"/>
      <c r="F30" s="11">
        <v>1.2</v>
      </c>
      <c r="G30" s="11"/>
      <c r="H30" s="11"/>
      <c r="I30" s="11"/>
      <c r="J30" s="11"/>
      <c r="K30" s="11"/>
      <c r="L30" s="72"/>
      <c r="M30" s="72"/>
      <c r="N30" s="72"/>
      <c r="O30" s="72"/>
      <c r="P30" s="72"/>
      <c r="Q30" s="73"/>
      <c r="R30" s="73"/>
      <c r="S30" s="74"/>
      <c r="T30" s="73"/>
      <c r="U30" s="73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</row>
    <row r="31" spans="2:200" x14ac:dyDescent="0.3">
      <c r="B31" s="11"/>
      <c r="C31" s="42" t="s">
        <v>273</v>
      </c>
      <c r="D31" s="43">
        <v>2.17</v>
      </c>
      <c r="E31" s="11"/>
      <c r="F31" s="11">
        <v>1.2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73"/>
      <c r="R31" s="73"/>
      <c r="S31" s="74"/>
      <c r="T31" s="73"/>
      <c r="U31" s="73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</row>
    <row r="32" spans="2:200" x14ac:dyDescent="0.3">
      <c r="B32" s="11"/>
      <c r="C32" s="42" t="s">
        <v>274</v>
      </c>
      <c r="D32" s="43" t="s">
        <v>270</v>
      </c>
      <c r="E32" s="11"/>
      <c r="F32" s="11">
        <v>1</v>
      </c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73"/>
      <c r="R32" s="73"/>
      <c r="S32" s="74"/>
      <c r="T32" s="73"/>
      <c r="U32" s="73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</row>
    <row r="33" spans="2:200" x14ac:dyDescent="0.3">
      <c r="B33" s="11"/>
      <c r="C33" s="42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73"/>
      <c r="R33" s="73"/>
      <c r="S33" s="74"/>
      <c r="T33" s="73"/>
      <c r="U33" s="73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</row>
    <row r="34" spans="2:200" x14ac:dyDescent="0.3">
      <c r="B34" s="11"/>
      <c r="C34" s="42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73"/>
      <c r="R34" s="73"/>
      <c r="S34" s="74"/>
      <c r="T34" s="73"/>
      <c r="U34" s="73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</row>
    <row r="35" spans="2:200" x14ac:dyDescent="0.3">
      <c r="B35" s="87" t="s">
        <v>214</v>
      </c>
      <c r="C35" s="84" t="s">
        <v>213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73"/>
      <c r="R35" s="73"/>
      <c r="S35" s="74"/>
      <c r="T35" s="73"/>
      <c r="U35" s="73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</row>
    <row r="36" spans="2:200" x14ac:dyDescent="0.3">
      <c r="B36" s="84">
        <v>1.360379695892334</v>
      </c>
      <c r="C36" s="88">
        <v>1.2641522884368896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</row>
    <row r="37" spans="2:200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3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3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3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3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73"/>
      <c r="R43" s="73"/>
      <c r="S43" s="73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3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73"/>
      <c r="R44" s="73"/>
      <c r="S44" s="73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3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73"/>
      <c r="R45" s="73"/>
      <c r="S45" s="73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73"/>
      <c r="R46" s="73"/>
      <c r="S46" s="73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3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3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3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3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3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3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3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3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3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3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3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3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3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3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3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3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3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3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3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3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3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3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3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3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3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3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3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3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3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3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3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3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3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3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3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3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3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3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3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3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3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3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3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3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3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3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3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3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3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3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3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3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3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3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3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3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3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3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3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3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3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3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3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3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3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3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3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3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3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3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3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3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3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3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3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3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3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3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3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3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3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3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3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3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3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3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3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3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3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3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3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3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3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3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3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3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3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3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3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3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3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3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3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3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3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3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3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3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3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3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3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3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3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3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3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3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3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3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3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3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3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3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3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3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3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3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3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3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3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3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3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3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3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3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3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3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3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3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3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3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3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3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3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3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3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3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3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3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3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3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3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3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3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3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3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3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3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3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3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3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3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3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3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3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3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3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3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3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3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3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3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3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3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3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3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Gs_spectrum.GS_spectrum">
                <anchor moveWithCells="1" sizeWithCells="1">
                  <from>
                    <xdr:col>4</xdr:col>
                    <xdr:colOff>11430</xdr:colOff>
                    <xdr:row>1</xdr:row>
                    <xdr:rowOff>163830</xdr:rowOff>
                  </from>
                  <to>
                    <xdr:col>5</xdr:col>
                    <xdr:colOff>392430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A5C4-636F-426E-93BD-5DA04DF69980}">
  <sheetPr codeName="Sheet19"/>
  <dimension ref="A3:R16"/>
  <sheetViews>
    <sheetView workbookViewId="0">
      <selection activeCell="F22" sqref="F22"/>
    </sheetView>
  </sheetViews>
  <sheetFormatPr defaultRowHeight="11.7" x14ac:dyDescent="0.3"/>
  <cols>
    <col min="6" max="6" width="10" customWidth="1"/>
    <col min="9" max="9" width="7.5859375" customWidth="1"/>
  </cols>
  <sheetData>
    <row r="3" spans="1:18" x14ac:dyDescent="0.3">
      <c r="A3" s="64" t="s">
        <v>0</v>
      </c>
    </row>
    <row r="4" spans="1:18" x14ac:dyDescent="0.3">
      <c r="A4">
        <v>6</v>
      </c>
      <c r="B4">
        <v>6</v>
      </c>
      <c r="C4">
        <v>3.8499999046325684</v>
      </c>
      <c r="D4">
        <v>3665</v>
      </c>
      <c r="E4">
        <v>3.8499999046325684</v>
      </c>
      <c r="F4">
        <v>1</v>
      </c>
      <c r="G4">
        <v>3.8499999046325684</v>
      </c>
      <c r="H4">
        <v>1</v>
      </c>
      <c r="I4">
        <v>3.8499999046325684</v>
      </c>
      <c r="J4">
        <v>1</v>
      </c>
      <c r="K4">
        <v>3.8499999046325684</v>
      </c>
      <c r="L4">
        <v>1</v>
      </c>
      <c r="M4">
        <v>3.8499999046325684</v>
      </c>
      <c r="N4">
        <v>1</v>
      </c>
      <c r="O4">
        <v>3.8499999046325684</v>
      </c>
      <c r="P4">
        <v>1</v>
      </c>
      <c r="Q4">
        <v>3.8499999046325684</v>
      </c>
      <c r="R4">
        <v>1</v>
      </c>
    </row>
    <row r="5" spans="1:18" x14ac:dyDescent="0.3">
      <c r="B5">
        <v>5</v>
      </c>
      <c r="C5">
        <v>6.7800002098083496</v>
      </c>
      <c r="D5">
        <v>16962</v>
      </c>
      <c r="E5">
        <v>6.7800002098083496</v>
      </c>
      <c r="F5">
        <v>0.66699749231338501</v>
      </c>
      <c r="G5">
        <v>4.5222431378263934</v>
      </c>
      <c r="H5">
        <v>0.56903046369552612</v>
      </c>
      <c r="I5">
        <v>3.8580266632430096</v>
      </c>
      <c r="J5">
        <v>0.54097229242324829</v>
      </c>
      <c r="K5">
        <v>3.6677922561301273</v>
      </c>
      <c r="L5">
        <v>0.53304469585418701</v>
      </c>
      <c r="M5">
        <v>3.6140431497286158</v>
      </c>
      <c r="N5">
        <v>0.53081649541854858</v>
      </c>
      <c r="O5">
        <v>3.5989359503074922</v>
      </c>
      <c r="P5">
        <v>0.53019136190414429</v>
      </c>
      <c r="Q5">
        <v>3.5946975449486729</v>
      </c>
      <c r="R5">
        <v>0.53001600503921509</v>
      </c>
    </row>
    <row r="6" spans="1:18" x14ac:dyDescent="0.3">
      <c r="B6">
        <v>4</v>
      </c>
      <c r="C6">
        <v>6.4499998092651367</v>
      </c>
      <c r="D6">
        <v>16883</v>
      </c>
      <c r="E6">
        <v>6.4499998092651367</v>
      </c>
      <c r="F6">
        <v>0.46833455562591553</v>
      </c>
      <c r="G6">
        <v>3.0207577944594277</v>
      </c>
      <c r="H6">
        <v>0.36653059720993042</v>
      </c>
      <c r="I6">
        <v>2.3641222820938879</v>
      </c>
      <c r="J6">
        <v>0.34240016341209412</v>
      </c>
      <c r="K6">
        <v>2.2084809887003587</v>
      </c>
      <c r="L6">
        <v>0.3360285758972168</v>
      </c>
      <c r="M6">
        <v>2.1673842504446839</v>
      </c>
      <c r="N6">
        <v>0.33427557349205017</v>
      </c>
      <c r="O6">
        <v>2.1560773852657178</v>
      </c>
      <c r="P6">
        <v>0.33378684520721436</v>
      </c>
      <c r="Q6">
        <v>2.1529250879217443</v>
      </c>
      <c r="R6">
        <v>0.33364999294281006</v>
      </c>
    </row>
    <row r="7" spans="1:18" x14ac:dyDescent="0.3">
      <c r="B7">
        <v>3</v>
      </c>
      <c r="C7">
        <v>6.630000114440918</v>
      </c>
      <c r="D7">
        <v>142516</v>
      </c>
      <c r="E7">
        <v>6.630000114440918</v>
      </c>
      <c r="F7">
        <v>0.14763453602790833</v>
      </c>
      <c r="G7">
        <v>0.97881699076046402</v>
      </c>
      <c r="H7">
        <v>8.9678153395652771E-2</v>
      </c>
      <c r="I7">
        <v>0.59456616727602807</v>
      </c>
      <c r="J7">
        <v>8.1709988415241241E-2</v>
      </c>
      <c r="K7">
        <v>0.54173723254401551</v>
      </c>
      <c r="L7">
        <v>7.9942852258682251E-2</v>
      </c>
      <c r="M7">
        <v>0.53002111962379672</v>
      </c>
      <c r="N7">
        <v>7.9477027058601379E-2</v>
      </c>
      <c r="O7">
        <v>0.52693269849395108</v>
      </c>
      <c r="P7">
        <v>7.9348437488079071E-2</v>
      </c>
      <c r="Q7">
        <v>0.52608014962667227</v>
      </c>
      <c r="R7">
        <v>7.9312525689601898E-2</v>
      </c>
    </row>
    <row r="8" spans="1:18" x14ac:dyDescent="0.3">
      <c r="B8">
        <v>2</v>
      </c>
      <c r="C8">
        <v>5.1399998664855957</v>
      </c>
      <c r="D8">
        <v>102283</v>
      </c>
      <c r="E8">
        <v>5.1399998664855957</v>
      </c>
      <c r="F8">
        <v>9.4895914196968079E-2</v>
      </c>
      <c r="G8">
        <v>0.48776498630244447</v>
      </c>
      <c r="H8">
        <v>5.4063405841588974E-2</v>
      </c>
      <c r="I8">
        <v>0.2778858988075239</v>
      </c>
      <c r="J8">
        <v>4.9004603177309036E-2</v>
      </c>
      <c r="K8">
        <v>0.25188365378854805</v>
      </c>
      <c r="L8">
        <v>4.7916222363710403E-2</v>
      </c>
      <c r="M8">
        <v>0.24628937655196559</v>
      </c>
      <c r="N8">
        <v>4.7631535679101944E-2</v>
      </c>
      <c r="O8">
        <v>0.24482608703108788</v>
      </c>
      <c r="P8">
        <v>4.7553092241287231E-2</v>
      </c>
      <c r="Q8">
        <v>0.24442288777119359</v>
      </c>
      <c r="R8">
        <v>4.7531194984912872E-2</v>
      </c>
    </row>
    <row r="9" spans="1:18" x14ac:dyDescent="0.3">
      <c r="B9">
        <v>1</v>
      </c>
      <c r="C9">
        <v>8.0200004577636719</v>
      </c>
      <c r="D9">
        <v>2131880</v>
      </c>
      <c r="E9">
        <v>8.0200004577636719</v>
      </c>
      <c r="F9">
        <v>5.482405424118042E-3</v>
      </c>
      <c r="G9">
        <v>4.3968894011072734E-2</v>
      </c>
      <c r="H9">
        <v>2.4831695482134819E-3</v>
      </c>
      <c r="I9">
        <v>1.9915020913376935E-2</v>
      </c>
      <c r="J9">
        <v>2.2473919671028852E-3</v>
      </c>
      <c r="K9">
        <v>1.8024084604939539E-2</v>
      </c>
      <c r="L9">
        <v>2.1972556132823229E-3</v>
      </c>
      <c r="M9">
        <v>1.7621991024348027E-2</v>
      </c>
      <c r="N9">
        <v>2.1841588895767927E-3</v>
      </c>
      <c r="O9">
        <v>1.7516955294234471E-2</v>
      </c>
      <c r="P9">
        <v>2.1805514115840197E-3</v>
      </c>
      <c r="Q9">
        <v>1.7488023319081059E-2</v>
      </c>
      <c r="R9">
        <v>2.1795444190502167E-3</v>
      </c>
    </row>
    <row r="10" spans="1:18" x14ac:dyDescent="0.3">
      <c r="F10">
        <v>8.4720849990844727</v>
      </c>
      <c r="H10">
        <v>6.980250358581543</v>
      </c>
      <c r="J10">
        <v>6.6470069885253906</v>
      </c>
      <c r="L10">
        <v>6.5589604377746582</v>
      </c>
      <c r="N10">
        <v>6.5346775054931641</v>
      </c>
      <c r="P10">
        <v>6.527900218963623</v>
      </c>
      <c r="R10">
        <v>6.5260028839111328</v>
      </c>
    </row>
    <row r="11" spans="1:18" x14ac:dyDescent="0.3">
      <c r="F11">
        <v>4087.36572265625</v>
      </c>
      <c r="H11">
        <v>3135.71044921875</v>
      </c>
      <c r="J11">
        <v>2974.731201171875</v>
      </c>
      <c r="L11">
        <v>2934.48681640625</v>
      </c>
      <c r="N11">
        <v>2923.559326171875</v>
      </c>
      <c r="P11">
        <v>2920.5234375</v>
      </c>
      <c r="R11">
        <v>2919.674072265625</v>
      </c>
    </row>
    <row r="12" spans="1:18" x14ac:dyDescent="0.3">
      <c r="F12">
        <v>0.28605747222900391</v>
      </c>
      <c r="H12">
        <v>0.29644724726676941</v>
      </c>
      <c r="J12">
        <v>0.29700866341590881</v>
      </c>
      <c r="L12">
        <v>0.29705122113227844</v>
      </c>
      <c r="N12">
        <v>0.29705443978309631</v>
      </c>
      <c r="P12">
        <v>0.29705461859703064</v>
      </c>
      <c r="R12">
        <v>0.29705464839935303</v>
      </c>
    </row>
    <row r="14" spans="1:18" x14ac:dyDescent="0.3">
      <c r="C14">
        <v>6.53</v>
      </c>
    </row>
    <row r="15" spans="1:18" x14ac:dyDescent="0.3">
      <c r="C15">
        <v>2920</v>
      </c>
    </row>
    <row r="16" spans="1:18" x14ac:dyDescent="0.3">
      <c r="C16">
        <v>0.29699999999999999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todola_ready">
                <anchor moveWithCells="1" sizeWithCells="1">
                  <from>
                    <xdr:col>1</xdr:col>
                    <xdr:colOff>438150</xdr:colOff>
                    <xdr:row>1</xdr:row>
                    <xdr:rowOff>19050</xdr:rowOff>
                  </from>
                  <to>
                    <xdr:col>3</xdr:col>
                    <xdr:colOff>49530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todola.stodola">
                <anchor moveWithCells="1" sizeWithCells="1">
                  <from>
                    <xdr:col>4</xdr:col>
                    <xdr:colOff>49530</xdr:colOff>
                    <xdr:row>1</xdr:row>
                    <xdr:rowOff>49530</xdr:rowOff>
                  </from>
                  <to>
                    <xdr:col>5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1E20-1548-490B-8031-52C4533CA02C}">
  <sheetPr codeName="Sheet18"/>
  <dimension ref="A1:H33"/>
  <sheetViews>
    <sheetView zoomScale="90" zoomScaleNormal="90" workbookViewId="0">
      <selection activeCell="K25" sqref="K25"/>
    </sheetView>
  </sheetViews>
  <sheetFormatPr defaultRowHeight="11.7" x14ac:dyDescent="0.3"/>
  <cols>
    <col min="1" max="1" width="10.703125" customWidth="1"/>
    <col min="2" max="2" width="17.87890625" customWidth="1"/>
    <col min="3" max="8" width="7.5859375" customWidth="1"/>
    <col min="9" max="16" width="6.703125" customWidth="1"/>
    <col min="17" max="17" width="9.5859375" customWidth="1"/>
    <col min="18" max="22" width="6.703125" customWidth="1"/>
    <col min="23" max="23" width="16.87890625" customWidth="1"/>
    <col min="24" max="56" width="6.703125" customWidth="1"/>
  </cols>
  <sheetData>
    <row r="1" spans="1:8" x14ac:dyDescent="0.3">
      <c r="A1" s="64" t="s">
        <v>0</v>
      </c>
      <c r="B1" s="64" t="s">
        <v>19</v>
      </c>
      <c r="C1" t="s">
        <v>20</v>
      </c>
      <c r="D1" t="s">
        <v>21</v>
      </c>
    </row>
    <row r="2" spans="1:8" x14ac:dyDescent="0.3">
      <c r="A2">
        <v>6</v>
      </c>
      <c r="B2">
        <v>6</v>
      </c>
      <c r="C2">
        <v>3.8499999046325684</v>
      </c>
      <c r="D2">
        <v>3665</v>
      </c>
    </row>
    <row r="3" spans="1:8" x14ac:dyDescent="0.3">
      <c r="B3">
        <v>5</v>
      </c>
      <c r="C3">
        <v>6.7800002098083496</v>
      </c>
      <c r="D3">
        <v>16962</v>
      </c>
    </row>
    <row r="4" spans="1:8" x14ac:dyDescent="0.3">
      <c r="B4">
        <v>4</v>
      </c>
      <c r="C4">
        <v>6.4499998092651367</v>
      </c>
      <c r="D4">
        <v>16883</v>
      </c>
    </row>
    <row r="5" spans="1:8" x14ac:dyDescent="0.3">
      <c r="B5">
        <v>3</v>
      </c>
      <c r="C5">
        <v>6.630000114440918</v>
      </c>
      <c r="D5">
        <v>142516</v>
      </c>
    </row>
    <row r="6" spans="1:8" x14ac:dyDescent="0.3">
      <c r="B6">
        <v>2</v>
      </c>
      <c r="C6">
        <v>5.1399998664855957</v>
      </c>
      <c r="D6">
        <v>102283</v>
      </c>
    </row>
    <row r="7" spans="1:8" x14ac:dyDescent="0.3">
      <c r="B7">
        <v>1</v>
      </c>
      <c r="C7">
        <v>8.0200004577636719</v>
      </c>
      <c r="D7">
        <v>2131880</v>
      </c>
    </row>
    <row r="11" spans="1:8" x14ac:dyDescent="0.3">
      <c r="B11" t="s">
        <v>277</v>
      </c>
      <c r="C11">
        <v>447.47310264597832</v>
      </c>
      <c r="D11">
        <v>1596.1901586915099</v>
      </c>
      <c r="E11">
        <v>5876.9108799207052</v>
      </c>
      <c r="F11">
        <v>9690.4478497597174</v>
      </c>
      <c r="G11">
        <v>61779.192316305474</v>
      </c>
      <c r="H11">
        <v>265820.44647262729</v>
      </c>
    </row>
    <row r="12" spans="1:8" x14ac:dyDescent="0.3">
      <c r="B12" t="s">
        <v>278</v>
      </c>
      <c r="C12">
        <v>21.153560046620481</v>
      </c>
      <c r="D12">
        <v>39.952348600445376</v>
      </c>
      <c r="E12">
        <v>76.661012776513104</v>
      </c>
      <c r="F12">
        <v>98.440072377867125</v>
      </c>
      <c r="G12">
        <v>248.55420398035008</v>
      </c>
      <c r="H12">
        <v>515.5777792657741</v>
      </c>
    </row>
    <row r="13" spans="1:8" x14ac:dyDescent="0.3">
      <c r="B13" t="s">
        <v>279</v>
      </c>
      <c r="C13">
        <v>0.29702735355253429</v>
      </c>
      <c r="D13">
        <v>0.15726699878645586</v>
      </c>
      <c r="E13">
        <v>8.1960643765292204E-2</v>
      </c>
      <c r="F13">
        <v>6.3827522746468357E-2</v>
      </c>
      <c r="G13">
        <v>2.5278936578996804E-2</v>
      </c>
      <c r="H13">
        <v>1.2186688820860525E-2</v>
      </c>
    </row>
    <row r="15" spans="1:8" x14ac:dyDescent="0.3">
      <c r="B15" t="s">
        <v>280</v>
      </c>
      <c r="C15">
        <v>1.4989999608035096</v>
      </c>
      <c r="D15">
        <v>0.47137236148501571</v>
      </c>
      <c r="E15">
        <v>0.50434039693093924</v>
      </c>
      <c r="F15">
        <v>0.67144710528125695</v>
      </c>
      <c r="G15">
        <v>0.26519104687571704</v>
      </c>
      <c r="H15">
        <v>1</v>
      </c>
    </row>
    <row r="17" spans="2:8" x14ac:dyDescent="0.3">
      <c r="B17" t="s">
        <v>281</v>
      </c>
    </row>
    <row r="18" spans="2:8" x14ac:dyDescent="0.3">
      <c r="B18">
        <v>6</v>
      </c>
      <c r="C18">
        <v>1</v>
      </c>
      <c r="D18">
        <v>-1</v>
      </c>
      <c r="E18">
        <v>0.1469110352492618</v>
      </c>
      <c r="F18">
        <v>-6.3690017254983298E-3</v>
      </c>
      <c r="G18">
        <v>-7.4387024734371321E-4</v>
      </c>
      <c r="H18">
        <v>0</v>
      </c>
    </row>
    <row r="19" spans="2:8" x14ac:dyDescent="0.3">
      <c r="B19">
        <v>5</v>
      </c>
      <c r="C19">
        <v>0.5295934728069891</v>
      </c>
      <c r="D19">
        <v>0.68620070540398326</v>
      </c>
      <c r="E19">
        <v>-0.85490955174022798</v>
      </c>
      <c r="F19">
        <v>0.16862260281941507</v>
      </c>
      <c r="G19">
        <v>1.6030102358075973E-2</v>
      </c>
      <c r="H19">
        <v>0</v>
      </c>
    </row>
    <row r="20" spans="2:8" x14ac:dyDescent="0.3">
      <c r="B20">
        <v>4</v>
      </c>
      <c r="C20">
        <v>0.33513909194693076</v>
      </c>
      <c r="D20">
        <v>0.59323895112170333</v>
      </c>
      <c r="E20">
        <v>1</v>
      </c>
      <c r="F20">
        <v>-0.58446959092893447</v>
      </c>
      <c r="G20">
        <v>1.5415723412482785E-3</v>
      </c>
      <c r="H20">
        <v>0</v>
      </c>
    </row>
    <row r="21" spans="2:8" x14ac:dyDescent="0.3">
      <c r="B21">
        <v>3</v>
      </c>
      <c r="C21">
        <v>7.6695947725546582E-2</v>
      </c>
      <c r="D21">
        <v>0.15743114427268898</v>
      </c>
      <c r="E21">
        <v>0.4957350664448601</v>
      </c>
      <c r="F21">
        <v>1</v>
      </c>
      <c r="G21">
        <v>-0.57607880457726546</v>
      </c>
      <c r="H21">
        <v>0</v>
      </c>
    </row>
    <row r="22" spans="2:8" x14ac:dyDescent="0.3">
      <c r="B22">
        <v>2</v>
      </c>
      <c r="C22">
        <v>4.5701531294371503E-2</v>
      </c>
      <c r="D22">
        <v>0.10076872471214228</v>
      </c>
      <c r="E22">
        <v>0.384592304495112</v>
      </c>
      <c r="F22">
        <v>0.74063602414673402</v>
      </c>
      <c r="G22">
        <v>1</v>
      </c>
      <c r="H22">
        <v>0</v>
      </c>
    </row>
    <row r="23" spans="2:8" x14ac:dyDescent="0.3">
      <c r="B23">
        <v>1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</row>
    <row r="27" spans="2:8" x14ac:dyDescent="0.3">
      <c r="B27" t="s">
        <v>282</v>
      </c>
    </row>
    <row r="28" spans="2:8" x14ac:dyDescent="0.3">
      <c r="B28">
        <v>6</v>
      </c>
      <c r="C28">
        <v>1.4989999608035096</v>
      </c>
      <c r="D28">
        <v>-0.47137236148501571</v>
      </c>
      <c r="E28">
        <v>7.4093169831147901E-2</v>
      </c>
      <c r="F28">
        <v>-4.2764477721171845E-3</v>
      </c>
      <c r="G28">
        <v>-1.9726772963277788E-4</v>
      </c>
      <c r="H28">
        <v>0</v>
      </c>
    </row>
    <row r="29" spans="2:8" x14ac:dyDescent="0.3">
      <c r="B29">
        <v>5</v>
      </c>
      <c r="C29">
        <v>0.79386059497947115</v>
      </c>
      <c r="D29">
        <v>0.32345604695895919</v>
      </c>
      <c r="E29">
        <v>-0.43116542266471791</v>
      </c>
      <c r="F29">
        <v>0.11322115854808737</v>
      </c>
      <c r="G29">
        <v>4.2510396258630678E-3</v>
      </c>
      <c r="H29">
        <v>0</v>
      </c>
    </row>
    <row r="30" spans="2:8" x14ac:dyDescent="0.3">
      <c r="B30">
        <v>4</v>
      </c>
      <c r="C30">
        <v>0.50237348569217299</v>
      </c>
      <c r="D30">
        <v>0.2796364453151311</v>
      </c>
      <c r="E30">
        <v>0.50434039693093924</v>
      </c>
      <c r="F30">
        <v>-0.39244041495415344</v>
      </c>
      <c r="G30">
        <v>4.0881118301028111E-4</v>
      </c>
      <c r="H30">
        <v>0</v>
      </c>
    </row>
    <row r="31" spans="2:8" x14ac:dyDescent="0.3">
      <c r="B31">
        <v>3</v>
      </c>
      <c r="C31">
        <v>0.11496722263438235</v>
      </c>
      <c r="D31">
        <v>7.4208690247105608E-2</v>
      </c>
      <c r="E31">
        <v>0.25001922018338629</v>
      </c>
      <c r="F31">
        <v>0.67144710528125695</v>
      </c>
      <c r="G31">
        <v>-0.15277094126875665</v>
      </c>
      <c r="H31">
        <v>0</v>
      </c>
    </row>
    <row r="32" spans="2:8" x14ac:dyDescent="0.3">
      <c r="B32">
        <v>2</v>
      </c>
      <c r="C32">
        <v>6.850659361892325E-2</v>
      </c>
      <c r="D32">
        <v>4.7499591731395965E-2</v>
      </c>
      <c r="E32">
        <v>0.19396543550564943</v>
      </c>
      <c r="F32">
        <v>0.49729791448034366</v>
      </c>
      <c r="G32">
        <v>0.26519104687571704</v>
      </c>
      <c r="H32">
        <v>0</v>
      </c>
    </row>
    <row r="33" spans="2:8" x14ac:dyDescent="0.3"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Jacobi2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Yacobi2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D2A61-E3D5-4181-8F28-8A525EDA946B}">
  <sheetPr codeName="Sheet20"/>
  <dimension ref="A1:AG1000"/>
  <sheetViews>
    <sheetView workbookViewId="0">
      <selection activeCell="H9" sqref="H9"/>
    </sheetView>
  </sheetViews>
  <sheetFormatPr defaultRowHeight="11.7" x14ac:dyDescent="0.3"/>
  <cols>
    <col min="1" max="1" width="8" customWidth="1"/>
    <col min="2" max="5" width="8.703125" customWidth="1"/>
    <col min="6" max="10" width="6.5859375" customWidth="1"/>
    <col min="11" max="11" width="4.703125" customWidth="1"/>
    <col min="12" max="12" width="8.703125" style="67" customWidth="1"/>
    <col min="13" max="16" width="8.703125" customWidth="1"/>
    <col min="17" max="18" width="4.87890625" customWidth="1"/>
    <col min="19" max="27" width="6.703125" customWidth="1"/>
    <col min="28" max="28" width="4.1171875" customWidth="1"/>
    <col min="29" max="33" width="8.703125" customWidth="1"/>
  </cols>
  <sheetData>
    <row r="1" spans="1:33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2" spans="1:33" x14ac:dyDescent="0.3">
      <c r="A2" s="67"/>
      <c r="B2" t="s">
        <v>203</v>
      </c>
      <c r="C2" t="s">
        <v>204</v>
      </c>
      <c r="D2" t="s">
        <v>162</v>
      </c>
      <c r="E2" t="s">
        <v>86</v>
      </c>
      <c r="S2" t="s">
        <v>203</v>
      </c>
      <c r="T2" t="s">
        <v>204</v>
      </c>
      <c r="U2" t="s">
        <v>162</v>
      </c>
      <c r="V2" t="s">
        <v>86</v>
      </c>
    </row>
    <row r="3" spans="1:33" x14ac:dyDescent="0.3">
      <c r="B3">
        <v>2.5799999237060547</v>
      </c>
      <c r="C3">
        <v>1.7200000286102295</v>
      </c>
      <c r="D3">
        <v>0.34400001168251038</v>
      </c>
      <c r="E3">
        <v>0.11500000208616257</v>
      </c>
      <c r="L3"/>
      <c r="S3">
        <v>2.1700000762939453</v>
      </c>
      <c r="T3">
        <v>1.0499999523162842</v>
      </c>
      <c r="U3">
        <v>0.45800000429153442</v>
      </c>
      <c r="V3">
        <v>0.15299999713897705</v>
      </c>
    </row>
    <row r="4" spans="1:33" x14ac:dyDescent="0.3">
      <c r="B4" t="s">
        <v>193</v>
      </c>
      <c r="C4" t="s">
        <v>194</v>
      </c>
      <c r="D4" t="s">
        <v>195</v>
      </c>
      <c r="E4" t="s">
        <v>196</v>
      </c>
      <c r="F4" t="s">
        <v>197</v>
      </c>
      <c r="G4" t="s">
        <v>198</v>
      </c>
      <c r="H4" t="s">
        <v>199</v>
      </c>
      <c r="I4" t="s">
        <v>162</v>
      </c>
      <c r="J4" t="s">
        <v>188</v>
      </c>
      <c r="L4" s="67" t="s">
        <v>191</v>
      </c>
      <c r="M4" t="s">
        <v>200</v>
      </c>
      <c r="N4" t="s">
        <v>201</v>
      </c>
      <c r="O4" t="s">
        <v>3</v>
      </c>
      <c r="P4" t="s">
        <v>4</v>
      </c>
      <c r="S4" t="s">
        <v>193</v>
      </c>
      <c r="T4" t="s">
        <v>194</v>
      </c>
      <c r="U4" t="s">
        <v>195</v>
      </c>
      <c r="V4" t="s">
        <v>196</v>
      </c>
      <c r="W4" t="s">
        <v>197</v>
      </c>
      <c r="X4" t="s">
        <v>198</v>
      </c>
      <c r="Y4" t="s">
        <v>199</v>
      </c>
      <c r="Z4" t="s">
        <v>162</v>
      </c>
      <c r="AA4" t="s">
        <v>188</v>
      </c>
      <c r="AC4" s="67" t="s">
        <v>191</v>
      </c>
      <c r="AD4" t="s">
        <v>200</v>
      </c>
      <c r="AE4" t="s">
        <v>201</v>
      </c>
      <c r="AF4" t="s">
        <v>3</v>
      </c>
      <c r="AG4" t="s">
        <v>4</v>
      </c>
    </row>
    <row r="5" spans="1:33" x14ac:dyDescent="0.3">
      <c r="B5">
        <v>1.5800000429153442</v>
      </c>
      <c r="C5">
        <v>251</v>
      </c>
      <c r="D5">
        <v>0.32069239020347595</v>
      </c>
      <c r="E5">
        <v>0.02</v>
      </c>
      <c r="F5">
        <v>2.8399999141693115</v>
      </c>
      <c r="G5">
        <v>2.4100000858306885</v>
      </c>
      <c r="H5">
        <v>8.9000001549720764E-2</v>
      </c>
      <c r="I5">
        <v>0.31200000643730164</v>
      </c>
      <c r="J5">
        <v>0.10400000214576721</v>
      </c>
      <c r="K5">
        <v>1</v>
      </c>
      <c r="L5">
        <v>8.3128100000000003E-3</v>
      </c>
      <c r="M5">
        <v>4.6171999999999999E-4</v>
      </c>
      <c r="N5">
        <v>0.67700000000000005</v>
      </c>
      <c r="O5">
        <v>8.4000000000000005E-2</v>
      </c>
      <c r="P5">
        <v>1.8938362598419189E-2</v>
      </c>
      <c r="S5">
        <v>1.5800000429153442</v>
      </c>
      <c r="T5">
        <v>251</v>
      </c>
      <c r="U5">
        <v>0.32069239020347595</v>
      </c>
      <c r="V5">
        <v>0.02</v>
      </c>
      <c r="W5">
        <v>2.8399999141693115</v>
      </c>
      <c r="X5">
        <v>2.4100000858306885</v>
      </c>
      <c r="Y5">
        <v>8.9000001549720764E-2</v>
      </c>
      <c r="Z5">
        <v>0.31200000643730164</v>
      </c>
      <c r="AA5">
        <v>0.10400000214576721</v>
      </c>
      <c r="AB5">
        <v>1</v>
      </c>
      <c r="AC5">
        <v>4.1564070000000002E-2</v>
      </c>
      <c r="AD5">
        <v>2.3086199999999999E-3</v>
      </c>
      <c r="AE5">
        <v>0.35699999999999998</v>
      </c>
      <c r="AF5">
        <v>0.16900000000000001</v>
      </c>
      <c r="AG5">
        <v>0.24941329658031464</v>
      </c>
    </row>
    <row r="6" spans="1:33" x14ac:dyDescent="0.3">
      <c r="K6">
        <v>2</v>
      </c>
      <c r="L6">
        <v>4.4059299999999997E-3</v>
      </c>
      <c r="M6">
        <v>2.7206000000000002E-4</v>
      </c>
      <c r="N6">
        <v>0.78300000000000003</v>
      </c>
      <c r="O6">
        <v>5.7000000000000002E-2</v>
      </c>
      <c r="P6">
        <v>1.7690336331725121E-2</v>
      </c>
      <c r="AB6">
        <v>2</v>
      </c>
      <c r="AC6">
        <v>2.202962E-2</v>
      </c>
      <c r="AD6">
        <v>1.3602899999999999E-3</v>
      </c>
      <c r="AE6">
        <v>0.46300000000000002</v>
      </c>
      <c r="AF6">
        <v>0.14099999999999999</v>
      </c>
      <c r="AG6">
        <v>0.26141029596328735</v>
      </c>
    </row>
    <row r="7" spans="1:33" x14ac:dyDescent="0.3">
      <c r="K7">
        <v>3</v>
      </c>
      <c r="L7">
        <v>2.7735699999999999E-3</v>
      </c>
      <c r="M7">
        <v>2.9240000000000001E-4</v>
      </c>
      <c r="N7">
        <v>0.76800000000000002</v>
      </c>
      <c r="O7">
        <v>6.0999999999999999E-2</v>
      </c>
      <c r="P7">
        <v>2.8994927182793617E-2</v>
      </c>
      <c r="AB7">
        <v>3</v>
      </c>
      <c r="AC7">
        <v>1.3867849999999999E-2</v>
      </c>
      <c r="AD7">
        <v>1.46199E-3</v>
      </c>
      <c r="AE7">
        <v>0.44900000000000001</v>
      </c>
      <c r="AF7">
        <v>0.14399999999999999</v>
      </c>
      <c r="AG7">
        <v>0.42365539073944092</v>
      </c>
    </row>
    <row r="8" spans="1:33" x14ac:dyDescent="0.3">
      <c r="K8">
        <v>4</v>
      </c>
      <c r="L8">
        <v>6.5930999999999997E-4</v>
      </c>
      <c r="M8">
        <v>5.5399999999999998E-5</v>
      </c>
      <c r="N8">
        <v>0.91100000000000003</v>
      </c>
      <c r="O8">
        <v>2.5000000000000001E-2</v>
      </c>
      <c r="P8">
        <v>4.5293448492884636E-3</v>
      </c>
      <c r="AB8">
        <v>4</v>
      </c>
      <c r="AC8">
        <v>3.2965500000000001E-3</v>
      </c>
      <c r="AD8">
        <v>2.7698000000000002E-4</v>
      </c>
      <c r="AE8">
        <v>0.60499999999999998</v>
      </c>
      <c r="AF8">
        <v>0.112</v>
      </c>
      <c r="AG8">
        <v>7.5210504233837128E-2</v>
      </c>
    </row>
    <row r="9" spans="1:33" x14ac:dyDescent="0.3">
      <c r="K9">
        <v>5</v>
      </c>
      <c r="L9">
        <v>3.9512E-4</v>
      </c>
      <c r="M9">
        <v>1.021E-4</v>
      </c>
      <c r="N9">
        <v>0.91800000000000004</v>
      </c>
      <c r="O9">
        <v>2.1000000000000001E-2</v>
      </c>
      <c r="P9">
        <v>6.6740592010319233E-3</v>
      </c>
      <c r="AB9">
        <v>5</v>
      </c>
      <c r="AC9">
        <v>1.9755900000000002E-3</v>
      </c>
      <c r="AD9">
        <v>5.1051999999999998E-4</v>
      </c>
      <c r="AE9">
        <v>0.65500000000000003</v>
      </c>
      <c r="AF9">
        <v>0.09</v>
      </c>
      <c r="AG9">
        <v>0.11900635808706284</v>
      </c>
    </row>
    <row r="10" spans="1:33" x14ac:dyDescent="0.3">
      <c r="K10">
        <v>6</v>
      </c>
      <c r="L10">
        <v>1.8119999999999999E-5</v>
      </c>
      <c r="M10">
        <v>0</v>
      </c>
      <c r="N10">
        <v>0</v>
      </c>
      <c r="O10">
        <v>0</v>
      </c>
      <c r="P10">
        <v>0</v>
      </c>
      <c r="AB10">
        <v>6</v>
      </c>
      <c r="AC10">
        <v>9.0589999999999998E-5</v>
      </c>
      <c r="AD10">
        <v>0</v>
      </c>
      <c r="AE10">
        <v>0</v>
      </c>
      <c r="AF10">
        <v>0</v>
      </c>
      <c r="AG10">
        <v>0</v>
      </c>
    </row>
    <row r="11" spans="1:33" x14ac:dyDescent="0.3">
      <c r="L11"/>
    </row>
    <row r="12" spans="1:33" x14ac:dyDescent="0.3">
      <c r="L12"/>
    </row>
    <row r="13" spans="1:33" x14ac:dyDescent="0.3">
      <c r="B13">
        <v>1.5800000429153442</v>
      </c>
      <c r="C13">
        <v>229</v>
      </c>
      <c r="D13">
        <v>0.291451096534729</v>
      </c>
      <c r="E13">
        <v>5.9999998658895493E-2</v>
      </c>
      <c r="F13">
        <v>2.5899999141693115</v>
      </c>
      <c r="G13">
        <v>1.7400000095367432</v>
      </c>
      <c r="H13">
        <v>0.24400000274181366</v>
      </c>
      <c r="I13">
        <v>0.34299999475479126</v>
      </c>
      <c r="J13">
        <v>0.11400000005960464</v>
      </c>
      <c r="K13">
        <v>1</v>
      </c>
      <c r="L13">
        <v>8.5778199999999999E-3</v>
      </c>
      <c r="M13">
        <v>4.7644000000000001E-4</v>
      </c>
      <c r="N13">
        <v>0.67</v>
      </c>
      <c r="O13">
        <v>8.5999999999999993E-2</v>
      </c>
      <c r="P13">
        <v>1.9959021359682083E-2</v>
      </c>
      <c r="S13">
        <v>1.5800000429153442</v>
      </c>
      <c r="T13">
        <v>181</v>
      </c>
      <c r="U13">
        <v>0.23076869547367096</v>
      </c>
      <c r="V13">
        <v>0.14100000262260437</v>
      </c>
      <c r="W13">
        <v>2.2100000381469727</v>
      </c>
      <c r="X13">
        <v>1.1200000047683716</v>
      </c>
      <c r="Y13">
        <v>0.49000000953674316</v>
      </c>
      <c r="Z13">
        <v>0.43299999833106995</v>
      </c>
      <c r="AA13">
        <v>0.14399999380111694</v>
      </c>
      <c r="AB13">
        <v>1</v>
      </c>
      <c r="AC13">
        <v>5.0113669999999999E-2</v>
      </c>
      <c r="AD13">
        <v>2.78349E-3</v>
      </c>
      <c r="AE13">
        <v>0.32500000000000001</v>
      </c>
      <c r="AF13">
        <v>0.17699999999999999</v>
      </c>
      <c r="AG13">
        <v>0.33070936799049377</v>
      </c>
    </row>
    <row r="14" spans="1:33" x14ac:dyDescent="0.3">
      <c r="K14">
        <v>2</v>
      </c>
      <c r="L14">
        <v>4.54638E-3</v>
      </c>
      <c r="M14">
        <v>2.8072999999999998E-4</v>
      </c>
      <c r="N14">
        <v>0.77700000000000002</v>
      </c>
      <c r="O14">
        <v>5.8999999999999997E-2</v>
      </c>
      <c r="P14">
        <v>1.8688051030039787E-2</v>
      </c>
      <c r="AB14">
        <v>2</v>
      </c>
      <c r="AC14">
        <v>2.6561049999999999E-2</v>
      </c>
      <c r="AD14">
        <v>1.6401E-3</v>
      </c>
      <c r="AE14">
        <v>0.42499999999999999</v>
      </c>
      <c r="AF14">
        <v>0.15</v>
      </c>
      <c r="AG14">
        <v>0.34922093152999878</v>
      </c>
    </row>
    <row r="15" spans="1:33" x14ac:dyDescent="0.3">
      <c r="K15">
        <v>3</v>
      </c>
      <c r="L15">
        <v>2.86199E-3</v>
      </c>
      <c r="M15">
        <v>3.0172E-4</v>
      </c>
      <c r="N15">
        <v>0.76200000000000001</v>
      </c>
      <c r="O15">
        <v>6.2E-2</v>
      </c>
      <c r="P15">
        <v>3.0616821721196175E-2</v>
      </c>
      <c r="AB15">
        <v>3</v>
      </c>
      <c r="AC15">
        <v>1.6720430000000001E-2</v>
      </c>
      <c r="AD15">
        <v>1.76271E-3</v>
      </c>
      <c r="AE15">
        <v>0.40899999999999997</v>
      </c>
      <c r="AF15">
        <v>0.155</v>
      </c>
      <c r="AG15">
        <v>0.5606076717376709</v>
      </c>
    </row>
    <row r="16" spans="1:33" x14ac:dyDescent="0.3">
      <c r="K16">
        <v>4</v>
      </c>
      <c r="L16">
        <v>6.8033000000000004E-4</v>
      </c>
      <c r="M16">
        <v>5.7160000000000002E-5</v>
      </c>
      <c r="N16">
        <v>0.90700000000000003</v>
      </c>
      <c r="O16">
        <v>2.5999999999999999E-2</v>
      </c>
      <c r="P16">
        <v>4.8030936159193516E-3</v>
      </c>
      <c r="AB16">
        <v>4</v>
      </c>
      <c r="AC16">
        <v>3.9746399999999998E-3</v>
      </c>
      <c r="AD16">
        <v>3.3395000000000001E-4</v>
      </c>
      <c r="AE16">
        <v>0.56100000000000005</v>
      </c>
      <c r="AF16">
        <v>0.124</v>
      </c>
      <c r="AG16">
        <v>0.10133017599582672</v>
      </c>
    </row>
    <row r="17" spans="2:33" x14ac:dyDescent="0.3">
      <c r="K17">
        <v>5</v>
      </c>
      <c r="L17">
        <v>4.0770999999999998E-4</v>
      </c>
      <c r="M17">
        <v>1.0535999999999999E-4</v>
      </c>
      <c r="N17">
        <v>0.91500000000000004</v>
      </c>
      <c r="O17">
        <v>2.1999999999999999E-2</v>
      </c>
      <c r="P17">
        <v>7.0847021415829659E-3</v>
      </c>
      <c r="AB17">
        <v>5</v>
      </c>
      <c r="AC17">
        <v>2.3819599999999998E-3</v>
      </c>
      <c r="AD17">
        <v>6.1552999999999998E-4</v>
      </c>
      <c r="AE17">
        <v>0.61499999999999999</v>
      </c>
      <c r="AF17">
        <v>0.10100000000000001</v>
      </c>
      <c r="AG17">
        <v>0.16242754459381104</v>
      </c>
    </row>
    <row r="18" spans="2:33" x14ac:dyDescent="0.3">
      <c r="K18">
        <v>6</v>
      </c>
      <c r="L18">
        <v>1.8700000000000001E-5</v>
      </c>
      <c r="M18">
        <v>0</v>
      </c>
      <c r="N18">
        <v>0</v>
      </c>
      <c r="O18">
        <v>0</v>
      </c>
      <c r="P18">
        <v>0</v>
      </c>
      <c r="AB18">
        <v>6</v>
      </c>
      <c r="AC18">
        <v>1.0922E-4</v>
      </c>
      <c r="AD18">
        <v>0</v>
      </c>
      <c r="AE18">
        <v>0</v>
      </c>
      <c r="AF18">
        <v>0</v>
      </c>
      <c r="AG18">
        <v>0</v>
      </c>
    </row>
    <row r="19" spans="2:33" x14ac:dyDescent="0.3">
      <c r="L19"/>
    </row>
    <row r="20" spans="2:33" x14ac:dyDescent="0.3">
      <c r="L20"/>
    </row>
    <row r="21" spans="2:33" x14ac:dyDescent="0.3">
      <c r="B21">
        <v>1.5800000429153442</v>
      </c>
      <c r="C21">
        <v>228</v>
      </c>
      <c r="D21">
        <v>0.29055678844451904</v>
      </c>
      <c r="E21">
        <v>6.1999998986721039E-2</v>
      </c>
      <c r="F21">
        <v>2.5799999237060547</v>
      </c>
      <c r="G21">
        <v>1.7200000286102295</v>
      </c>
      <c r="H21">
        <v>0.25099998712539673</v>
      </c>
      <c r="I21">
        <v>0.34400001168251038</v>
      </c>
      <c r="J21">
        <v>0.11500000208616257</v>
      </c>
      <c r="K21">
        <v>1</v>
      </c>
      <c r="L21">
        <v>8.5482200000000005E-3</v>
      </c>
      <c r="M21">
        <v>4.7479999999999999E-4</v>
      </c>
      <c r="N21">
        <v>0.67100000000000004</v>
      </c>
      <c r="O21">
        <v>8.5999999999999993E-2</v>
      </c>
      <c r="P21">
        <v>1.9844381138682365E-2</v>
      </c>
      <c r="S21">
        <v>1.5800000429153442</v>
      </c>
      <c r="T21">
        <v>174</v>
      </c>
      <c r="U21">
        <v>0.2217119038105011</v>
      </c>
      <c r="V21">
        <v>0.15099999308586121</v>
      </c>
      <c r="W21">
        <v>2.1800000667572021</v>
      </c>
      <c r="X21">
        <v>1.0700000524520874</v>
      </c>
      <c r="Y21">
        <v>0.51700001955032349</v>
      </c>
      <c r="Z21">
        <v>0.45100000500679016</v>
      </c>
      <c r="AA21">
        <v>0.15000000596046448</v>
      </c>
      <c r="AB21">
        <v>1</v>
      </c>
      <c r="AC21">
        <v>5.2499179999999999E-2</v>
      </c>
      <c r="AD21">
        <v>2.9159899999999998E-3</v>
      </c>
      <c r="AE21">
        <v>0.317</v>
      </c>
      <c r="AF21">
        <v>0.17899999999999999</v>
      </c>
      <c r="AG21">
        <v>0.35318633913993835</v>
      </c>
    </row>
    <row r="22" spans="2:33" x14ac:dyDescent="0.3">
      <c r="K22">
        <v>2</v>
      </c>
      <c r="L22">
        <v>4.5306900000000004E-3</v>
      </c>
      <c r="M22">
        <v>2.7975999999999999E-4</v>
      </c>
      <c r="N22">
        <v>0.77700000000000002</v>
      </c>
      <c r="O22">
        <v>5.8000000000000003E-2</v>
      </c>
      <c r="P22">
        <v>1.8575742840766907E-2</v>
      </c>
      <c r="AB22">
        <v>2</v>
      </c>
      <c r="AC22">
        <v>2.7825409999999998E-2</v>
      </c>
      <c r="AD22">
        <v>1.7181799999999999E-3</v>
      </c>
      <c r="AE22">
        <v>0.41499999999999998</v>
      </c>
      <c r="AF22">
        <v>0.153</v>
      </c>
      <c r="AG22">
        <v>0.37383031845092773</v>
      </c>
    </row>
    <row r="23" spans="2:33" x14ac:dyDescent="0.3">
      <c r="K23">
        <v>3</v>
      </c>
      <c r="L23">
        <v>2.8521100000000001E-3</v>
      </c>
      <c r="M23">
        <v>3.0068E-4</v>
      </c>
      <c r="N23">
        <v>0.76300000000000001</v>
      </c>
      <c r="O23">
        <v>6.2E-2</v>
      </c>
      <c r="P23">
        <v>3.0429577454924583E-2</v>
      </c>
      <c r="AB23">
        <v>3</v>
      </c>
      <c r="AC23">
        <v>1.751635E-2</v>
      </c>
      <c r="AD23">
        <v>1.84662E-3</v>
      </c>
      <c r="AE23">
        <v>0.39800000000000002</v>
      </c>
      <c r="AF23">
        <v>0.158</v>
      </c>
      <c r="AG23">
        <v>0.59832799434661865</v>
      </c>
    </row>
    <row r="24" spans="2:33" x14ac:dyDescent="0.3">
      <c r="K24">
        <v>4</v>
      </c>
      <c r="L24">
        <v>6.7798000000000001E-4</v>
      </c>
      <c r="M24">
        <v>5.6959999999999997E-5</v>
      </c>
      <c r="N24">
        <v>0.90700000000000003</v>
      </c>
      <c r="O24">
        <v>2.5999999999999999E-2</v>
      </c>
      <c r="P24">
        <v>4.7721830196678638E-3</v>
      </c>
      <c r="AB24">
        <v>4</v>
      </c>
      <c r="AC24">
        <v>4.1638400000000002E-3</v>
      </c>
      <c r="AD24">
        <v>3.4985000000000002E-4</v>
      </c>
      <c r="AE24">
        <v>0.55000000000000004</v>
      </c>
      <c r="AF24">
        <v>0.127</v>
      </c>
      <c r="AG24">
        <v>0.1091255396604538</v>
      </c>
    </row>
    <row r="25" spans="2:33" x14ac:dyDescent="0.3">
      <c r="K25">
        <v>5</v>
      </c>
      <c r="L25">
        <v>4.0631E-4</v>
      </c>
      <c r="M25">
        <v>1.05E-4</v>
      </c>
      <c r="N25">
        <v>0.91600000000000004</v>
      </c>
      <c r="O25">
        <v>2.1999999999999999E-2</v>
      </c>
      <c r="P25">
        <v>7.0382989943027496E-3</v>
      </c>
      <c r="AB25">
        <v>5</v>
      </c>
      <c r="AC25">
        <v>2.4953499999999999E-3</v>
      </c>
      <c r="AD25">
        <v>6.4482999999999999E-4</v>
      </c>
      <c r="AE25">
        <v>0.60499999999999998</v>
      </c>
      <c r="AF25">
        <v>0.104</v>
      </c>
      <c r="AG25">
        <v>0.17545613646507263</v>
      </c>
    </row>
    <row r="26" spans="2:33" x14ac:dyDescent="0.3">
      <c r="K26">
        <v>6</v>
      </c>
      <c r="L26">
        <v>1.863E-5</v>
      </c>
      <c r="M26">
        <v>0</v>
      </c>
      <c r="N26">
        <v>0</v>
      </c>
      <c r="O26">
        <v>0</v>
      </c>
      <c r="P26">
        <v>0</v>
      </c>
      <c r="AB26">
        <v>6</v>
      </c>
      <c r="AC26">
        <v>1.1442000000000001E-4</v>
      </c>
      <c r="AD26">
        <v>0</v>
      </c>
      <c r="AE26">
        <v>0</v>
      </c>
      <c r="AF26">
        <v>0</v>
      </c>
      <c r="AG26">
        <v>0</v>
      </c>
    </row>
    <row r="27" spans="2:33" x14ac:dyDescent="0.3">
      <c r="L27"/>
    </row>
    <row r="28" spans="2:33" x14ac:dyDescent="0.3">
      <c r="L28"/>
    </row>
    <row r="29" spans="2:33" x14ac:dyDescent="0.3">
      <c r="B29">
        <v>1.5800000429153442</v>
      </c>
      <c r="C29">
        <v>228</v>
      </c>
      <c r="D29">
        <v>0.29065209627151489</v>
      </c>
      <c r="E29">
        <v>6.1999998986721039E-2</v>
      </c>
      <c r="F29">
        <v>2.5799999237060547</v>
      </c>
      <c r="G29">
        <v>1.7200000286102295</v>
      </c>
      <c r="H29">
        <v>0.25099998712539673</v>
      </c>
      <c r="I29">
        <v>0.34400001168251038</v>
      </c>
      <c r="J29">
        <v>0.11500000208616257</v>
      </c>
      <c r="K29">
        <v>1</v>
      </c>
      <c r="L29">
        <v>8.5461200000000008E-3</v>
      </c>
      <c r="M29">
        <v>4.7468E-4</v>
      </c>
      <c r="N29">
        <v>0.67100000000000004</v>
      </c>
      <c r="O29">
        <v>8.5999999999999993E-2</v>
      </c>
      <c r="P29">
        <v>1.9836252555251122E-2</v>
      </c>
      <c r="S29">
        <v>1.5800000429153442</v>
      </c>
      <c r="T29">
        <v>172</v>
      </c>
      <c r="U29">
        <v>0.21929299831390381</v>
      </c>
      <c r="V29">
        <v>0.15299999713897705</v>
      </c>
      <c r="W29">
        <v>2.1800000667572021</v>
      </c>
      <c r="X29">
        <v>1.059999942779541</v>
      </c>
      <c r="Y29">
        <v>0.52300000190734863</v>
      </c>
      <c r="Z29">
        <v>0.45600000023841858</v>
      </c>
      <c r="AA29">
        <v>0.15199999511241913</v>
      </c>
      <c r="AB29">
        <v>1</v>
      </c>
      <c r="AC29">
        <v>5.3364929999999998E-2</v>
      </c>
      <c r="AD29">
        <v>2.96408E-3</v>
      </c>
      <c r="AE29">
        <v>0.313</v>
      </c>
      <c r="AF29">
        <v>0.18</v>
      </c>
      <c r="AG29">
        <v>0.36127206683158875</v>
      </c>
    </row>
    <row r="30" spans="2:33" x14ac:dyDescent="0.3">
      <c r="K30">
        <v>2</v>
      </c>
      <c r="L30">
        <v>4.5295800000000001E-3</v>
      </c>
      <c r="M30">
        <v>2.7968999999999997E-4</v>
      </c>
      <c r="N30">
        <v>0.77700000000000002</v>
      </c>
      <c r="O30">
        <v>5.8000000000000003E-2</v>
      </c>
      <c r="P30">
        <v>1.8567787483334541E-2</v>
      </c>
      <c r="AB30">
        <v>2</v>
      </c>
      <c r="AC30">
        <v>2.8284259999999999E-2</v>
      </c>
      <c r="AD30">
        <v>1.7465099999999999E-3</v>
      </c>
      <c r="AE30">
        <v>0.41099999999999998</v>
      </c>
      <c r="AF30">
        <v>0.154</v>
      </c>
      <c r="AG30">
        <v>0.38272547721862793</v>
      </c>
    </row>
    <row r="31" spans="2:33" x14ac:dyDescent="0.3">
      <c r="K31">
        <v>3</v>
      </c>
      <c r="L31">
        <v>2.85141E-3</v>
      </c>
      <c r="M31">
        <v>3.0059999999999999E-4</v>
      </c>
      <c r="N31">
        <v>0.76300000000000001</v>
      </c>
      <c r="O31">
        <v>6.2E-2</v>
      </c>
      <c r="P31">
        <v>3.041631355881691E-2</v>
      </c>
      <c r="AB31">
        <v>3</v>
      </c>
      <c r="AC31">
        <v>1.7805209999999998E-2</v>
      </c>
      <c r="AD31">
        <v>1.8770799999999999E-3</v>
      </c>
      <c r="AE31">
        <v>0.39300000000000002</v>
      </c>
      <c r="AF31">
        <v>0.159</v>
      </c>
      <c r="AG31">
        <v>0.61187863349914551</v>
      </c>
    </row>
    <row r="32" spans="2:33" x14ac:dyDescent="0.3">
      <c r="K32">
        <v>4</v>
      </c>
      <c r="L32">
        <v>6.7781000000000004E-4</v>
      </c>
      <c r="M32">
        <v>5.6950000000000002E-5</v>
      </c>
      <c r="N32">
        <v>0.90700000000000003</v>
      </c>
      <c r="O32">
        <v>2.5999999999999999E-2</v>
      </c>
      <c r="P32">
        <v>4.7699939459562302E-3</v>
      </c>
      <c r="AB32">
        <v>4</v>
      </c>
      <c r="AC32">
        <v>4.2325100000000001E-3</v>
      </c>
      <c r="AD32">
        <v>3.5561000000000002E-4</v>
      </c>
      <c r="AE32">
        <v>0.54600000000000004</v>
      </c>
      <c r="AF32">
        <v>0.129</v>
      </c>
      <c r="AG32">
        <v>0.11197388917207718</v>
      </c>
    </row>
    <row r="33" spans="11:33" x14ac:dyDescent="0.3">
      <c r="K33">
        <v>5</v>
      </c>
      <c r="L33">
        <v>4.0621E-4</v>
      </c>
      <c r="M33">
        <v>1.0497000000000001E-4</v>
      </c>
      <c r="N33">
        <v>0.91600000000000004</v>
      </c>
      <c r="O33">
        <v>2.1999999999999999E-2</v>
      </c>
      <c r="P33">
        <v>7.0350128225982189E-3</v>
      </c>
      <c r="AB33">
        <v>5</v>
      </c>
      <c r="AC33">
        <v>2.5365000000000001E-3</v>
      </c>
      <c r="AD33">
        <v>6.5547000000000001E-4</v>
      </c>
      <c r="AE33">
        <v>0.60199999999999998</v>
      </c>
      <c r="AF33">
        <v>0.104</v>
      </c>
      <c r="AG33">
        <v>0.18023945391178131</v>
      </c>
    </row>
    <row r="34" spans="11:33" x14ac:dyDescent="0.3">
      <c r="K34">
        <v>6</v>
      </c>
      <c r="L34">
        <v>1.863E-5</v>
      </c>
      <c r="M34">
        <v>0</v>
      </c>
      <c r="N34">
        <v>0</v>
      </c>
      <c r="O34">
        <v>0</v>
      </c>
      <c r="P34">
        <v>0</v>
      </c>
      <c r="AB34">
        <v>6</v>
      </c>
      <c r="AC34">
        <v>1.1631E-4</v>
      </c>
      <c r="AD34">
        <v>0</v>
      </c>
      <c r="AE34">
        <v>0</v>
      </c>
      <c r="AF34">
        <v>0</v>
      </c>
      <c r="AG34">
        <v>0</v>
      </c>
    </row>
    <row r="35" spans="11:33" x14ac:dyDescent="0.3">
      <c r="L35"/>
    </row>
    <row r="36" spans="11:33" x14ac:dyDescent="0.3">
      <c r="L36"/>
    </row>
    <row r="37" spans="11:33" x14ac:dyDescent="0.3">
      <c r="L37"/>
      <c r="S37">
        <v>1.5800000429153442</v>
      </c>
      <c r="T37">
        <v>171</v>
      </c>
      <c r="U37">
        <v>0.21840819716453552</v>
      </c>
      <c r="V37">
        <v>0.15399999916553497</v>
      </c>
      <c r="W37">
        <v>2.1700000762939453</v>
      </c>
      <c r="X37">
        <v>1.059999942779541</v>
      </c>
      <c r="Y37">
        <v>0.52499997615814209</v>
      </c>
      <c r="Z37">
        <v>0.45800000429153442</v>
      </c>
      <c r="AA37">
        <v>0.15299999713897705</v>
      </c>
      <c r="AB37">
        <v>1</v>
      </c>
      <c r="AC37">
        <v>5.3642839999999997E-2</v>
      </c>
      <c r="AD37">
        <v>2.9795099999999999E-3</v>
      </c>
      <c r="AE37">
        <v>0.312</v>
      </c>
      <c r="AF37">
        <v>0.18099999999999999</v>
      </c>
      <c r="AG37">
        <v>0.36385795474052429</v>
      </c>
    </row>
    <row r="38" spans="11:33" x14ac:dyDescent="0.3">
      <c r="L38"/>
      <c r="AB38">
        <v>2</v>
      </c>
      <c r="AC38">
        <v>2.8431560000000002E-2</v>
      </c>
      <c r="AD38">
        <v>1.7556E-3</v>
      </c>
      <c r="AE38">
        <v>0.41</v>
      </c>
      <c r="AF38">
        <v>0.154</v>
      </c>
      <c r="AG38">
        <v>0.38557523488998413</v>
      </c>
    </row>
    <row r="39" spans="11:33" x14ac:dyDescent="0.3">
      <c r="L39"/>
      <c r="AB39">
        <v>3</v>
      </c>
      <c r="AC39">
        <v>1.7897929999999999E-2</v>
      </c>
      <c r="AD39">
        <v>1.88685E-3</v>
      </c>
      <c r="AE39">
        <v>0.39200000000000002</v>
      </c>
      <c r="AF39">
        <v>0.159</v>
      </c>
      <c r="AG39">
        <v>0.61621004343032837</v>
      </c>
    </row>
    <row r="40" spans="11:33" x14ac:dyDescent="0.3">
      <c r="L40"/>
      <c r="AB40">
        <v>4</v>
      </c>
      <c r="AC40">
        <v>4.2545500000000002E-3</v>
      </c>
      <c r="AD40">
        <v>3.5746999999999998E-4</v>
      </c>
      <c r="AE40">
        <v>0.54500000000000004</v>
      </c>
      <c r="AF40">
        <v>0.129</v>
      </c>
      <c r="AG40">
        <v>0.11289004236459732</v>
      </c>
    </row>
    <row r="41" spans="11:33" x14ac:dyDescent="0.3">
      <c r="L41"/>
      <c r="AB41">
        <v>5</v>
      </c>
      <c r="AC41">
        <v>2.5497100000000002E-3</v>
      </c>
      <c r="AD41">
        <v>6.5888000000000003E-4</v>
      </c>
      <c r="AE41">
        <v>0.60099999999999998</v>
      </c>
      <c r="AF41">
        <v>0.105</v>
      </c>
      <c r="AG41">
        <v>0.18178068101406097</v>
      </c>
    </row>
    <row r="42" spans="11:33" x14ac:dyDescent="0.3">
      <c r="L42"/>
      <c r="AB42">
        <v>6</v>
      </c>
      <c r="AC42">
        <v>1.1692E-4</v>
      </c>
      <c r="AD42">
        <v>0</v>
      </c>
      <c r="AE42">
        <v>0</v>
      </c>
      <c r="AF42">
        <v>0</v>
      </c>
      <c r="AG42">
        <v>0</v>
      </c>
    </row>
    <row r="43" spans="11:33" x14ac:dyDescent="0.3">
      <c r="L43"/>
    </row>
    <row r="44" spans="11:33" x14ac:dyDescent="0.3">
      <c r="L44"/>
    </row>
    <row r="45" spans="11:33" x14ac:dyDescent="0.3">
      <c r="L45"/>
      <c r="S45">
        <v>1.5800000429153442</v>
      </c>
      <c r="T45">
        <v>171</v>
      </c>
      <c r="U45">
        <v>0.21812330186367035</v>
      </c>
      <c r="V45">
        <v>0.1550000011920929</v>
      </c>
      <c r="W45">
        <v>2.1700000762939453</v>
      </c>
      <c r="X45">
        <v>1.0499999523162842</v>
      </c>
      <c r="Y45">
        <v>0.52700001001358032</v>
      </c>
      <c r="Z45">
        <v>0.45800000429153442</v>
      </c>
      <c r="AA45">
        <v>0.15299999713897705</v>
      </c>
      <c r="AB45">
        <v>1</v>
      </c>
      <c r="AC45">
        <v>5.3382680000000002E-2</v>
      </c>
      <c r="AD45">
        <v>2.9650599999999998E-3</v>
      </c>
      <c r="AE45">
        <v>0.313</v>
      </c>
      <c r="AF45">
        <v>0.18</v>
      </c>
      <c r="AG45">
        <v>0.36143741011619568</v>
      </c>
    </row>
    <row r="46" spans="11:33" x14ac:dyDescent="0.3">
      <c r="L46"/>
      <c r="AB46">
        <v>2</v>
      </c>
      <c r="AC46">
        <v>2.829367E-2</v>
      </c>
      <c r="AD46">
        <v>1.74709E-3</v>
      </c>
      <c r="AE46">
        <v>0.41099999999999998</v>
      </c>
      <c r="AF46">
        <v>0.154</v>
      </c>
      <c r="AG46">
        <v>0.38290765881538391</v>
      </c>
    </row>
    <row r="47" spans="11:33" x14ac:dyDescent="0.3">
      <c r="L47"/>
      <c r="AB47">
        <v>3</v>
      </c>
      <c r="AC47">
        <v>1.7811130000000001E-2</v>
      </c>
      <c r="AD47">
        <v>1.8776999999999999E-3</v>
      </c>
      <c r="AE47">
        <v>0.39300000000000002</v>
      </c>
      <c r="AF47">
        <v>0.159</v>
      </c>
      <c r="AG47">
        <v>0.61215555667877197</v>
      </c>
    </row>
    <row r="48" spans="11:33" x14ac:dyDescent="0.3">
      <c r="L48"/>
      <c r="AB48">
        <v>4</v>
      </c>
      <c r="AC48">
        <v>4.2339200000000004E-3</v>
      </c>
      <c r="AD48">
        <v>3.5573000000000001E-4</v>
      </c>
      <c r="AE48">
        <v>0.54600000000000004</v>
      </c>
      <c r="AF48">
        <v>0.129</v>
      </c>
      <c r="AG48">
        <v>0.11203239858150482</v>
      </c>
    </row>
    <row r="49" spans="12:33" x14ac:dyDescent="0.3">
      <c r="L49"/>
      <c r="AB49">
        <v>5</v>
      </c>
      <c r="AC49">
        <v>2.5373399999999999E-3</v>
      </c>
      <c r="AD49">
        <v>6.5569000000000001E-4</v>
      </c>
      <c r="AE49">
        <v>0.60199999999999998</v>
      </c>
      <c r="AF49">
        <v>0.104</v>
      </c>
      <c r="AG49">
        <v>0.1803378164768219</v>
      </c>
    </row>
    <row r="50" spans="12:33" x14ac:dyDescent="0.3">
      <c r="L50"/>
      <c r="AB50">
        <v>6</v>
      </c>
      <c r="AC50">
        <v>1.1635E-4</v>
      </c>
      <c r="AD50">
        <v>0</v>
      </c>
      <c r="AE50">
        <v>0</v>
      </c>
      <c r="AF50">
        <v>0</v>
      </c>
      <c r="AG50">
        <v>0</v>
      </c>
    </row>
    <row r="51" spans="12:33" x14ac:dyDescent="0.3">
      <c r="L51"/>
    </row>
    <row r="52" spans="12:33" x14ac:dyDescent="0.3">
      <c r="L52"/>
    </row>
    <row r="53" spans="12:33" x14ac:dyDescent="0.3">
      <c r="L53"/>
    </row>
    <row r="54" spans="12:33" x14ac:dyDescent="0.3">
      <c r="L54"/>
    </row>
    <row r="55" spans="12:33" x14ac:dyDescent="0.3">
      <c r="L55"/>
    </row>
    <row r="56" spans="12:33" x14ac:dyDescent="0.3">
      <c r="L56"/>
    </row>
    <row r="57" spans="12:33" x14ac:dyDescent="0.3">
      <c r="L57"/>
    </row>
    <row r="58" spans="12:33" x14ac:dyDescent="0.3">
      <c r="L58"/>
    </row>
    <row r="59" spans="12:33" x14ac:dyDescent="0.3">
      <c r="L59"/>
    </row>
    <row r="60" spans="12:33" x14ac:dyDescent="0.3">
      <c r="L60"/>
    </row>
    <row r="61" spans="12:33" x14ac:dyDescent="0.3">
      <c r="L61"/>
    </row>
    <row r="62" spans="12:33" x14ac:dyDescent="0.3">
      <c r="L62"/>
    </row>
    <row r="63" spans="12:33" x14ac:dyDescent="0.3">
      <c r="L63"/>
    </row>
    <row r="64" spans="12:33" x14ac:dyDescent="0.3">
      <c r="L64"/>
    </row>
    <row r="65" spans="12:12" x14ac:dyDescent="0.3">
      <c r="L65"/>
    </row>
    <row r="66" spans="12:12" x14ac:dyDescent="0.3">
      <c r="L66"/>
    </row>
    <row r="67" spans="12:12" x14ac:dyDescent="0.3">
      <c r="L67"/>
    </row>
    <row r="68" spans="12:12" x14ac:dyDescent="0.3">
      <c r="L68"/>
    </row>
    <row r="69" spans="12:12" x14ac:dyDescent="0.3">
      <c r="L69"/>
    </row>
    <row r="70" spans="12:12" x14ac:dyDescent="0.3">
      <c r="L70"/>
    </row>
    <row r="71" spans="12:12" x14ac:dyDescent="0.3">
      <c r="L71"/>
    </row>
    <row r="72" spans="12:12" x14ac:dyDescent="0.3">
      <c r="L72"/>
    </row>
    <row r="73" spans="12:12" x14ac:dyDescent="0.3">
      <c r="L73"/>
    </row>
    <row r="74" spans="12:12" x14ac:dyDescent="0.3">
      <c r="L74"/>
    </row>
    <row r="75" spans="12:12" x14ac:dyDescent="0.3">
      <c r="L75"/>
    </row>
    <row r="76" spans="12:12" x14ac:dyDescent="0.3">
      <c r="L76"/>
    </row>
    <row r="77" spans="12:12" x14ac:dyDescent="0.3">
      <c r="L77"/>
    </row>
    <row r="78" spans="12:12" x14ac:dyDescent="0.3">
      <c r="L78"/>
    </row>
    <row r="79" spans="12:12" x14ac:dyDescent="0.3">
      <c r="L79"/>
    </row>
    <row r="80" spans="12:12" x14ac:dyDescent="0.3">
      <c r="L80"/>
    </row>
    <row r="81" spans="12:12" x14ac:dyDescent="0.3">
      <c r="L81"/>
    </row>
    <row r="82" spans="12:12" x14ac:dyDescent="0.3">
      <c r="L82"/>
    </row>
    <row r="83" spans="12:12" x14ac:dyDescent="0.3">
      <c r="L83"/>
    </row>
    <row r="84" spans="12:12" x14ac:dyDescent="0.3">
      <c r="L84"/>
    </row>
    <row r="85" spans="12:12" x14ac:dyDescent="0.3">
      <c r="L85"/>
    </row>
    <row r="86" spans="12:12" x14ac:dyDescent="0.3">
      <c r="L86"/>
    </row>
    <row r="87" spans="12:12" x14ac:dyDescent="0.3">
      <c r="L87"/>
    </row>
    <row r="88" spans="12:12" x14ac:dyDescent="0.3">
      <c r="L88"/>
    </row>
    <row r="89" spans="12:12" x14ac:dyDescent="0.3">
      <c r="L89"/>
    </row>
    <row r="90" spans="12:12" x14ac:dyDescent="0.3">
      <c r="L90"/>
    </row>
    <row r="91" spans="12:12" x14ac:dyDescent="0.3">
      <c r="L91"/>
    </row>
    <row r="92" spans="12:12" x14ac:dyDescent="0.3">
      <c r="L92"/>
    </row>
    <row r="93" spans="12:12" x14ac:dyDescent="0.3">
      <c r="L93"/>
    </row>
    <row r="94" spans="12:12" x14ac:dyDescent="0.3">
      <c r="L94"/>
    </row>
    <row r="95" spans="12:12" x14ac:dyDescent="0.3">
      <c r="L95"/>
    </row>
    <row r="96" spans="12:12" x14ac:dyDescent="0.3">
      <c r="L96"/>
    </row>
    <row r="97" spans="12:12" x14ac:dyDescent="0.3">
      <c r="L97"/>
    </row>
    <row r="98" spans="12:12" x14ac:dyDescent="0.3">
      <c r="L98"/>
    </row>
    <row r="99" spans="12:12" x14ac:dyDescent="0.3">
      <c r="L99"/>
    </row>
    <row r="100" spans="12:12" x14ac:dyDescent="0.3">
      <c r="L100"/>
    </row>
    <row r="101" spans="12:12" x14ac:dyDescent="0.3">
      <c r="L101"/>
    </row>
    <row r="102" spans="12:12" x14ac:dyDescent="0.3">
      <c r="L102"/>
    </row>
    <row r="103" spans="12:12" x14ac:dyDescent="0.3">
      <c r="L103"/>
    </row>
    <row r="104" spans="12:12" x14ac:dyDescent="0.3">
      <c r="L104"/>
    </row>
    <row r="105" spans="12:12" x14ac:dyDescent="0.3">
      <c r="L105"/>
    </row>
    <row r="106" spans="12:12" x14ac:dyDescent="0.3">
      <c r="L106"/>
    </row>
    <row r="107" spans="12:12" x14ac:dyDescent="0.3">
      <c r="L107"/>
    </row>
    <row r="108" spans="12:12" x14ac:dyDescent="0.3">
      <c r="L108"/>
    </row>
    <row r="109" spans="12:12" x14ac:dyDescent="0.3">
      <c r="L109"/>
    </row>
    <row r="110" spans="12:12" x14ac:dyDescent="0.3">
      <c r="L110"/>
    </row>
    <row r="111" spans="12:12" x14ac:dyDescent="0.3">
      <c r="L111"/>
    </row>
    <row r="112" spans="12:12" x14ac:dyDescent="0.3">
      <c r="L112"/>
    </row>
    <row r="113" spans="12:12" x14ac:dyDescent="0.3">
      <c r="L113"/>
    </row>
    <row r="114" spans="12:12" x14ac:dyDescent="0.3">
      <c r="L114"/>
    </row>
    <row r="115" spans="12:12" x14ac:dyDescent="0.3">
      <c r="L115"/>
    </row>
    <row r="116" spans="12:12" x14ac:dyDescent="0.3">
      <c r="L116"/>
    </row>
    <row r="117" spans="12:12" x14ac:dyDescent="0.3">
      <c r="L117"/>
    </row>
    <row r="118" spans="12:12" x14ac:dyDescent="0.3">
      <c r="L118"/>
    </row>
    <row r="119" spans="12:12" x14ac:dyDescent="0.3">
      <c r="L119"/>
    </row>
    <row r="120" spans="12:12" x14ac:dyDescent="0.3">
      <c r="L120"/>
    </row>
    <row r="121" spans="12:12" x14ac:dyDescent="0.3">
      <c r="L121"/>
    </row>
    <row r="122" spans="12:12" x14ac:dyDescent="0.3">
      <c r="L122"/>
    </row>
    <row r="123" spans="12:12" x14ac:dyDescent="0.3">
      <c r="L123"/>
    </row>
    <row r="124" spans="12:12" x14ac:dyDescent="0.3">
      <c r="L124"/>
    </row>
    <row r="125" spans="12:12" x14ac:dyDescent="0.3">
      <c r="L125"/>
    </row>
    <row r="126" spans="12:12" x14ac:dyDescent="0.3">
      <c r="L126"/>
    </row>
    <row r="127" spans="12:12" x14ac:dyDescent="0.3">
      <c r="L127"/>
    </row>
    <row r="128" spans="12:12" x14ac:dyDescent="0.3">
      <c r="L128"/>
    </row>
    <row r="129" spans="12:12" x14ac:dyDescent="0.3">
      <c r="L129"/>
    </row>
    <row r="130" spans="12:12" x14ac:dyDescent="0.3">
      <c r="L130"/>
    </row>
    <row r="131" spans="12:12" x14ac:dyDescent="0.3">
      <c r="L131"/>
    </row>
    <row r="132" spans="12:12" x14ac:dyDescent="0.3">
      <c r="L132"/>
    </row>
    <row r="133" spans="12:12" x14ac:dyDescent="0.3">
      <c r="L133"/>
    </row>
    <row r="134" spans="12:12" x14ac:dyDescent="0.3">
      <c r="L134"/>
    </row>
    <row r="135" spans="12:12" x14ac:dyDescent="0.3">
      <c r="L135"/>
    </row>
    <row r="136" spans="12:12" x14ac:dyDescent="0.3">
      <c r="L136"/>
    </row>
    <row r="137" spans="12:12" x14ac:dyDescent="0.3">
      <c r="L137"/>
    </row>
    <row r="138" spans="12:12" x14ac:dyDescent="0.3">
      <c r="L138"/>
    </row>
    <row r="139" spans="12:12" x14ac:dyDescent="0.3">
      <c r="L139"/>
    </row>
    <row r="140" spans="12:12" x14ac:dyDescent="0.3">
      <c r="L140"/>
    </row>
    <row r="141" spans="12:12" x14ac:dyDescent="0.3">
      <c r="L141"/>
    </row>
    <row r="142" spans="12:12" x14ac:dyDescent="0.3">
      <c r="L142"/>
    </row>
    <row r="143" spans="12:12" x14ac:dyDescent="0.3">
      <c r="L143"/>
    </row>
    <row r="144" spans="12:12" x14ac:dyDescent="0.3">
      <c r="L144"/>
    </row>
    <row r="145" spans="12:12" x14ac:dyDescent="0.3">
      <c r="L145"/>
    </row>
    <row r="146" spans="12:12" x14ac:dyDescent="0.3">
      <c r="L146"/>
    </row>
    <row r="147" spans="12:12" x14ac:dyDescent="0.3">
      <c r="L147"/>
    </row>
    <row r="148" spans="12:12" x14ac:dyDescent="0.3">
      <c r="L148"/>
    </row>
    <row r="149" spans="12:12" x14ac:dyDescent="0.3">
      <c r="L149"/>
    </row>
    <row r="150" spans="12:12" x14ac:dyDescent="0.3">
      <c r="L150"/>
    </row>
    <row r="151" spans="12:12" x14ac:dyDescent="0.3">
      <c r="L151"/>
    </row>
    <row r="152" spans="12:12" x14ac:dyDescent="0.3">
      <c r="L152"/>
    </row>
    <row r="153" spans="12:12" x14ac:dyDescent="0.3">
      <c r="L153"/>
    </row>
    <row r="154" spans="12:12" x14ac:dyDescent="0.3">
      <c r="L154"/>
    </row>
    <row r="155" spans="12:12" x14ac:dyDescent="0.3">
      <c r="L155"/>
    </row>
    <row r="156" spans="12:12" x14ac:dyDescent="0.3">
      <c r="L156"/>
    </row>
    <row r="157" spans="12:12" x14ac:dyDescent="0.3">
      <c r="L157"/>
    </row>
    <row r="158" spans="12:12" x14ac:dyDescent="0.3">
      <c r="L158"/>
    </row>
    <row r="159" spans="12:12" x14ac:dyDescent="0.3">
      <c r="L159"/>
    </row>
    <row r="160" spans="12:12" x14ac:dyDescent="0.3">
      <c r="L160"/>
    </row>
    <row r="161" spans="12:12" x14ac:dyDescent="0.3">
      <c r="L161"/>
    </row>
    <row r="162" spans="12:12" x14ac:dyDescent="0.3">
      <c r="L162"/>
    </row>
    <row r="163" spans="12:12" x14ac:dyDescent="0.3">
      <c r="L163"/>
    </row>
    <row r="164" spans="12:12" x14ac:dyDescent="0.3">
      <c r="L164"/>
    </row>
    <row r="165" spans="12:12" x14ac:dyDescent="0.3">
      <c r="L165"/>
    </row>
    <row r="166" spans="12:12" x14ac:dyDescent="0.3">
      <c r="L166"/>
    </row>
    <row r="167" spans="12:12" x14ac:dyDescent="0.3">
      <c r="L167"/>
    </row>
    <row r="168" spans="12:12" x14ac:dyDescent="0.3">
      <c r="L168"/>
    </row>
    <row r="169" spans="12:12" x14ac:dyDescent="0.3">
      <c r="L169"/>
    </row>
    <row r="170" spans="12:12" x14ac:dyDescent="0.3">
      <c r="L170"/>
    </row>
    <row r="171" spans="12:12" x14ac:dyDescent="0.3">
      <c r="L171"/>
    </row>
    <row r="172" spans="12:12" x14ac:dyDescent="0.3">
      <c r="L172"/>
    </row>
    <row r="173" spans="12:12" x14ac:dyDescent="0.3">
      <c r="L173"/>
    </row>
    <row r="174" spans="12:12" x14ac:dyDescent="0.3">
      <c r="L174"/>
    </row>
    <row r="175" spans="12:12" x14ac:dyDescent="0.3">
      <c r="L175"/>
    </row>
    <row r="176" spans="12:12" x14ac:dyDescent="0.3">
      <c r="L176"/>
    </row>
    <row r="177" spans="12:12" x14ac:dyDescent="0.3">
      <c r="L177"/>
    </row>
    <row r="178" spans="12:12" x14ac:dyDescent="0.3">
      <c r="L178"/>
    </row>
    <row r="179" spans="12:12" x14ac:dyDescent="0.3">
      <c r="L179"/>
    </row>
    <row r="180" spans="12:12" x14ac:dyDescent="0.3">
      <c r="L180"/>
    </row>
    <row r="181" spans="12:12" x14ac:dyDescent="0.3">
      <c r="L181"/>
    </row>
    <row r="182" spans="12:12" x14ac:dyDescent="0.3">
      <c r="L182"/>
    </row>
    <row r="183" spans="12:12" x14ac:dyDescent="0.3">
      <c r="L183"/>
    </row>
    <row r="184" spans="12:12" x14ac:dyDescent="0.3">
      <c r="L184"/>
    </row>
    <row r="185" spans="12:12" x14ac:dyDescent="0.3">
      <c r="L185"/>
    </row>
    <row r="186" spans="12:12" x14ac:dyDescent="0.3">
      <c r="L186"/>
    </row>
    <row r="187" spans="12:12" x14ac:dyDescent="0.3">
      <c r="L187"/>
    </row>
    <row r="188" spans="12:12" x14ac:dyDescent="0.3">
      <c r="L188"/>
    </row>
    <row r="189" spans="12:12" x14ac:dyDescent="0.3">
      <c r="L189"/>
    </row>
    <row r="190" spans="12:12" x14ac:dyDescent="0.3">
      <c r="L190"/>
    </row>
    <row r="191" spans="12:12" x14ac:dyDescent="0.3">
      <c r="L191"/>
    </row>
    <row r="192" spans="12:12" x14ac:dyDescent="0.3">
      <c r="L192"/>
    </row>
    <row r="193" spans="12:12" x14ac:dyDescent="0.3">
      <c r="L193"/>
    </row>
    <row r="194" spans="12:12" x14ac:dyDescent="0.3">
      <c r="L194"/>
    </row>
    <row r="195" spans="12:12" x14ac:dyDescent="0.3">
      <c r="L195"/>
    </row>
    <row r="196" spans="12:12" x14ac:dyDescent="0.3">
      <c r="L196"/>
    </row>
    <row r="197" spans="12:12" x14ac:dyDescent="0.3">
      <c r="L197"/>
    </row>
    <row r="198" spans="12:12" x14ac:dyDescent="0.3">
      <c r="L198"/>
    </row>
    <row r="199" spans="12:12" x14ac:dyDescent="0.3">
      <c r="L199"/>
    </row>
    <row r="200" spans="12:12" x14ac:dyDescent="0.3">
      <c r="L200"/>
    </row>
    <row r="201" spans="12:12" x14ac:dyDescent="0.3">
      <c r="L201"/>
    </row>
    <row r="202" spans="12:12" x14ac:dyDescent="0.3">
      <c r="L202"/>
    </row>
    <row r="203" spans="12:12" x14ac:dyDescent="0.3">
      <c r="L203"/>
    </row>
    <row r="204" spans="12:12" x14ac:dyDescent="0.3">
      <c r="L204"/>
    </row>
    <row r="205" spans="12:12" x14ac:dyDescent="0.3">
      <c r="L205"/>
    </row>
    <row r="206" spans="12:12" x14ac:dyDescent="0.3">
      <c r="L206"/>
    </row>
    <row r="207" spans="12:12" x14ac:dyDescent="0.3">
      <c r="L207"/>
    </row>
    <row r="208" spans="12:12" x14ac:dyDescent="0.3">
      <c r="L208"/>
    </row>
    <row r="209" spans="12:12" x14ac:dyDescent="0.3">
      <c r="L209"/>
    </row>
    <row r="210" spans="12:12" x14ac:dyDescent="0.3">
      <c r="L210"/>
    </row>
    <row r="211" spans="12:12" x14ac:dyDescent="0.3">
      <c r="L211"/>
    </row>
    <row r="212" spans="12:12" x14ac:dyDescent="0.3">
      <c r="L212"/>
    </row>
    <row r="213" spans="12:12" x14ac:dyDescent="0.3">
      <c r="L213"/>
    </row>
    <row r="214" spans="12:12" x14ac:dyDescent="0.3">
      <c r="L214"/>
    </row>
    <row r="215" spans="12:12" x14ac:dyDescent="0.3">
      <c r="L215"/>
    </row>
    <row r="216" spans="12:12" x14ac:dyDescent="0.3">
      <c r="L216"/>
    </row>
    <row r="217" spans="12:12" x14ac:dyDescent="0.3">
      <c r="L217"/>
    </row>
    <row r="218" spans="12:12" x14ac:dyDescent="0.3">
      <c r="L218"/>
    </row>
    <row r="219" spans="12:12" x14ac:dyDescent="0.3">
      <c r="L219"/>
    </row>
    <row r="220" spans="12:12" x14ac:dyDescent="0.3">
      <c r="L220"/>
    </row>
    <row r="221" spans="12:12" x14ac:dyDescent="0.3">
      <c r="L221"/>
    </row>
    <row r="222" spans="12:12" x14ac:dyDescent="0.3">
      <c r="L222"/>
    </row>
    <row r="223" spans="12:12" x14ac:dyDescent="0.3">
      <c r="L223"/>
    </row>
    <row r="224" spans="12:12" x14ac:dyDescent="0.3">
      <c r="L224"/>
    </row>
    <row r="225" spans="12:12" x14ac:dyDescent="0.3">
      <c r="L225"/>
    </row>
    <row r="226" spans="12:12" x14ac:dyDescent="0.3">
      <c r="L226"/>
    </row>
    <row r="227" spans="12:12" x14ac:dyDescent="0.3">
      <c r="L227"/>
    </row>
    <row r="228" spans="12:12" x14ac:dyDescent="0.3">
      <c r="L228"/>
    </row>
    <row r="229" spans="12:12" x14ac:dyDescent="0.3">
      <c r="L229"/>
    </row>
    <row r="230" spans="12:12" x14ac:dyDescent="0.3">
      <c r="L230"/>
    </row>
    <row r="231" spans="12:12" x14ac:dyDescent="0.3">
      <c r="L231"/>
    </row>
    <row r="232" spans="12:12" x14ac:dyDescent="0.3">
      <c r="L232"/>
    </row>
    <row r="233" spans="12:12" x14ac:dyDescent="0.3">
      <c r="L233"/>
    </row>
    <row r="234" spans="12:12" x14ac:dyDescent="0.3">
      <c r="L234"/>
    </row>
    <row r="235" spans="12:12" x14ac:dyDescent="0.3">
      <c r="L235"/>
    </row>
    <row r="236" spans="12:12" x14ac:dyDescent="0.3">
      <c r="L236"/>
    </row>
    <row r="237" spans="12:12" x14ac:dyDescent="0.3">
      <c r="L237"/>
    </row>
    <row r="238" spans="12:12" x14ac:dyDescent="0.3">
      <c r="L238"/>
    </row>
    <row r="239" spans="12:12" x14ac:dyDescent="0.3">
      <c r="L239"/>
    </row>
    <row r="240" spans="12:12" x14ac:dyDescent="0.3">
      <c r="L240"/>
    </row>
    <row r="241" spans="12:12" x14ac:dyDescent="0.3">
      <c r="L241"/>
    </row>
    <row r="242" spans="12:12" x14ac:dyDescent="0.3">
      <c r="L242"/>
    </row>
    <row r="243" spans="12:12" x14ac:dyDescent="0.3">
      <c r="L243"/>
    </row>
    <row r="244" spans="12:12" x14ac:dyDescent="0.3">
      <c r="L244"/>
    </row>
    <row r="245" spans="12:12" x14ac:dyDescent="0.3">
      <c r="L245"/>
    </row>
    <row r="246" spans="12:12" x14ac:dyDescent="0.3">
      <c r="L246"/>
    </row>
    <row r="247" spans="12:12" x14ac:dyDescent="0.3">
      <c r="L247"/>
    </row>
    <row r="248" spans="12:12" x14ac:dyDescent="0.3">
      <c r="L248"/>
    </row>
    <row r="249" spans="12:12" x14ac:dyDescent="0.3">
      <c r="L249"/>
    </row>
    <row r="250" spans="12:12" x14ac:dyDescent="0.3">
      <c r="L250"/>
    </row>
    <row r="251" spans="12:12" x14ac:dyDescent="0.3">
      <c r="L251"/>
    </row>
    <row r="252" spans="12:12" x14ac:dyDescent="0.3">
      <c r="L252"/>
    </row>
    <row r="253" spans="12:12" x14ac:dyDescent="0.3">
      <c r="L253"/>
    </row>
    <row r="254" spans="12:12" x14ac:dyDescent="0.3">
      <c r="L254"/>
    </row>
    <row r="255" spans="12:12" x14ac:dyDescent="0.3">
      <c r="L255"/>
    </row>
    <row r="256" spans="12:12" x14ac:dyDescent="0.3">
      <c r="L256"/>
    </row>
    <row r="257" spans="12:12" x14ac:dyDescent="0.3">
      <c r="L257"/>
    </row>
    <row r="258" spans="12:12" x14ac:dyDescent="0.3">
      <c r="L258"/>
    </row>
    <row r="259" spans="12:12" x14ac:dyDescent="0.3">
      <c r="L259"/>
    </row>
    <row r="260" spans="12:12" x14ac:dyDescent="0.3">
      <c r="L260"/>
    </row>
    <row r="261" spans="12:12" x14ac:dyDescent="0.3">
      <c r="L261"/>
    </row>
    <row r="262" spans="12:12" x14ac:dyDescent="0.3">
      <c r="L262"/>
    </row>
    <row r="263" spans="12:12" x14ac:dyDescent="0.3">
      <c r="L263"/>
    </row>
    <row r="264" spans="12:12" x14ac:dyDescent="0.3">
      <c r="L264"/>
    </row>
    <row r="265" spans="12:12" x14ac:dyDescent="0.3">
      <c r="L265"/>
    </row>
    <row r="266" spans="12:12" x14ac:dyDescent="0.3">
      <c r="L266"/>
    </row>
    <row r="267" spans="12:12" x14ac:dyDescent="0.3">
      <c r="L267"/>
    </row>
    <row r="268" spans="12:12" x14ac:dyDescent="0.3">
      <c r="L268"/>
    </row>
    <row r="269" spans="12:12" x14ac:dyDescent="0.3">
      <c r="L269"/>
    </row>
    <row r="270" spans="12:12" x14ac:dyDescent="0.3">
      <c r="L270"/>
    </row>
    <row r="271" spans="12:12" x14ac:dyDescent="0.3">
      <c r="L271"/>
    </row>
    <row r="272" spans="12:12" x14ac:dyDescent="0.3">
      <c r="L272"/>
    </row>
    <row r="273" spans="12:12" x14ac:dyDescent="0.3">
      <c r="L273"/>
    </row>
    <row r="274" spans="12:12" x14ac:dyDescent="0.3">
      <c r="L274"/>
    </row>
    <row r="275" spans="12:12" x14ac:dyDescent="0.3">
      <c r="L275"/>
    </row>
    <row r="276" spans="12:12" x14ac:dyDescent="0.3">
      <c r="L276"/>
    </row>
    <row r="277" spans="12:12" x14ac:dyDescent="0.3">
      <c r="L277"/>
    </row>
    <row r="278" spans="12:12" x14ac:dyDescent="0.3">
      <c r="L278"/>
    </row>
    <row r="279" spans="12:12" x14ac:dyDescent="0.3">
      <c r="L279"/>
    </row>
    <row r="280" spans="12:12" x14ac:dyDescent="0.3">
      <c r="L280"/>
    </row>
    <row r="281" spans="12:12" x14ac:dyDescent="0.3">
      <c r="L281"/>
    </row>
    <row r="282" spans="12:12" x14ac:dyDescent="0.3">
      <c r="L282"/>
    </row>
    <row r="283" spans="12:12" x14ac:dyDescent="0.3">
      <c r="L283"/>
    </row>
    <row r="284" spans="12:12" x14ac:dyDescent="0.3">
      <c r="L284"/>
    </row>
    <row r="285" spans="12:12" x14ac:dyDescent="0.3">
      <c r="L285"/>
    </row>
    <row r="286" spans="12:12" x14ac:dyDescent="0.3">
      <c r="L286"/>
    </row>
    <row r="287" spans="12:12" x14ac:dyDescent="0.3">
      <c r="L287"/>
    </row>
    <row r="288" spans="12:12" x14ac:dyDescent="0.3">
      <c r="L288"/>
    </row>
    <row r="289" spans="12:12" x14ac:dyDescent="0.3">
      <c r="L289"/>
    </row>
    <row r="290" spans="12:12" x14ac:dyDescent="0.3">
      <c r="L290"/>
    </row>
    <row r="291" spans="12:12" x14ac:dyDescent="0.3">
      <c r="L291"/>
    </row>
    <row r="292" spans="12:12" x14ac:dyDescent="0.3">
      <c r="L292"/>
    </row>
    <row r="293" spans="12:12" x14ac:dyDescent="0.3">
      <c r="L293"/>
    </row>
    <row r="294" spans="12:12" x14ac:dyDescent="0.3">
      <c r="L294"/>
    </row>
    <row r="295" spans="12:12" x14ac:dyDescent="0.3">
      <c r="L295"/>
    </row>
    <row r="296" spans="12:12" x14ac:dyDescent="0.3">
      <c r="L296"/>
    </row>
    <row r="297" spans="12:12" x14ac:dyDescent="0.3">
      <c r="L297"/>
    </row>
    <row r="298" spans="12:12" x14ac:dyDescent="0.3">
      <c r="L298"/>
    </row>
    <row r="299" spans="12:12" x14ac:dyDescent="0.3">
      <c r="L299"/>
    </row>
    <row r="300" spans="12:12" x14ac:dyDescent="0.3">
      <c r="L300"/>
    </row>
    <row r="301" spans="12:12" x14ac:dyDescent="0.3">
      <c r="L301"/>
    </row>
    <row r="302" spans="12:12" x14ac:dyDescent="0.3">
      <c r="L302"/>
    </row>
    <row r="303" spans="12:12" x14ac:dyDescent="0.3">
      <c r="L303"/>
    </row>
    <row r="304" spans="12:12" x14ac:dyDescent="0.3">
      <c r="L304"/>
    </row>
    <row r="305" spans="12:12" x14ac:dyDescent="0.3">
      <c r="L305"/>
    </row>
    <row r="306" spans="12:12" x14ac:dyDescent="0.3">
      <c r="L306"/>
    </row>
    <row r="307" spans="12:12" x14ac:dyDescent="0.3">
      <c r="L307"/>
    </row>
    <row r="308" spans="12:12" x14ac:dyDescent="0.3">
      <c r="L308"/>
    </row>
    <row r="309" spans="12:12" x14ac:dyDescent="0.3">
      <c r="L309"/>
    </row>
    <row r="310" spans="12:12" x14ac:dyDescent="0.3">
      <c r="L310"/>
    </row>
    <row r="311" spans="12:12" x14ac:dyDescent="0.3">
      <c r="L311"/>
    </row>
    <row r="312" spans="12:12" x14ac:dyDescent="0.3">
      <c r="L312"/>
    </row>
    <row r="313" spans="12:12" x14ac:dyDescent="0.3">
      <c r="L313"/>
    </row>
    <row r="314" spans="12:12" x14ac:dyDescent="0.3">
      <c r="L314"/>
    </row>
    <row r="315" spans="12:12" x14ac:dyDescent="0.3">
      <c r="L315"/>
    </row>
    <row r="316" spans="12:12" x14ac:dyDescent="0.3">
      <c r="L316"/>
    </row>
    <row r="317" spans="12:12" x14ac:dyDescent="0.3">
      <c r="L317"/>
    </row>
    <row r="318" spans="12:12" x14ac:dyDescent="0.3">
      <c r="L318"/>
    </row>
    <row r="319" spans="12:12" x14ac:dyDescent="0.3">
      <c r="L319"/>
    </row>
    <row r="320" spans="12:12" x14ac:dyDescent="0.3">
      <c r="L320"/>
    </row>
    <row r="321" spans="12:12" x14ac:dyDescent="0.3">
      <c r="L321"/>
    </row>
    <row r="322" spans="12:12" x14ac:dyDescent="0.3">
      <c r="L322"/>
    </row>
    <row r="323" spans="12:12" x14ac:dyDescent="0.3">
      <c r="L323"/>
    </row>
    <row r="324" spans="12:12" x14ac:dyDescent="0.3">
      <c r="L324"/>
    </row>
    <row r="325" spans="12:12" x14ac:dyDescent="0.3">
      <c r="L325"/>
    </row>
    <row r="326" spans="12:12" x14ac:dyDescent="0.3">
      <c r="L326"/>
    </row>
    <row r="327" spans="12:12" x14ac:dyDescent="0.3">
      <c r="L327"/>
    </row>
    <row r="328" spans="12:12" x14ac:dyDescent="0.3">
      <c r="L328"/>
    </row>
    <row r="329" spans="12:12" x14ac:dyDescent="0.3">
      <c r="L329"/>
    </row>
    <row r="330" spans="12:12" x14ac:dyDescent="0.3">
      <c r="L330"/>
    </row>
    <row r="331" spans="12:12" x14ac:dyDescent="0.3">
      <c r="L331"/>
    </row>
    <row r="332" spans="12:12" x14ac:dyDescent="0.3">
      <c r="L332"/>
    </row>
    <row r="333" spans="12:12" x14ac:dyDescent="0.3">
      <c r="L333"/>
    </row>
    <row r="334" spans="12:12" x14ac:dyDescent="0.3">
      <c r="L334"/>
    </row>
    <row r="335" spans="12:12" x14ac:dyDescent="0.3">
      <c r="L335"/>
    </row>
    <row r="336" spans="12:12" x14ac:dyDescent="0.3">
      <c r="L336"/>
    </row>
    <row r="337" spans="12:12" x14ac:dyDescent="0.3">
      <c r="L337"/>
    </row>
    <row r="338" spans="12:12" x14ac:dyDescent="0.3">
      <c r="L338"/>
    </row>
    <row r="339" spans="12:12" x14ac:dyDescent="0.3">
      <c r="L339"/>
    </row>
    <row r="340" spans="12:12" x14ac:dyDescent="0.3">
      <c r="L340"/>
    </row>
    <row r="341" spans="12:12" x14ac:dyDescent="0.3">
      <c r="L341"/>
    </row>
    <row r="342" spans="12:12" x14ac:dyDescent="0.3">
      <c r="L342"/>
    </row>
    <row r="343" spans="12:12" x14ac:dyDescent="0.3">
      <c r="L343"/>
    </row>
    <row r="344" spans="12:12" x14ac:dyDescent="0.3">
      <c r="L344"/>
    </row>
    <row r="345" spans="12:12" x14ac:dyDescent="0.3">
      <c r="L345"/>
    </row>
    <row r="346" spans="12:12" x14ac:dyDescent="0.3">
      <c r="L346"/>
    </row>
    <row r="347" spans="12:12" x14ac:dyDescent="0.3">
      <c r="L347"/>
    </row>
    <row r="348" spans="12:12" x14ac:dyDescent="0.3">
      <c r="L348"/>
    </row>
    <row r="349" spans="12:12" x14ac:dyDescent="0.3">
      <c r="L349"/>
    </row>
    <row r="350" spans="12:12" x14ac:dyDescent="0.3">
      <c r="L350"/>
    </row>
    <row r="351" spans="12:12" x14ac:dyDescent="0.3">
      <c r="L351"/>
    </row>
    <row r="352" spans="12:12" x14ac:dyDescent="0.3">
      <c r="L352"/>
    </row>
    <row r="353" spans="12:12" x14ac:dyDescent="0.3">
      <c r="L353"/>
    </row>
    <row r="354" spans="12:12" x14ac:dyDescent="0.3">
      <c r="L354"/>
    </row>
    <row r="355" spans="12:12" x14ac:dyDescent="0.3">
      <c r="L355"/>
    </row>
    <row r="356" spans="12:12" x14ac:dyDescent="0.3">
      <c r="L356"/>
    </row>
    <row r="357" spans="12:12" x14ac:dyDescent="0.3">
      <c r="L357"/>
    </row>
    <row r="358" spans="12:12" x14ac:dyDescent="0.3">
      <c r="L358"/>
    </row>
    <row r="359" spans="12:12" x14ac:dyDescent="0.3">
      <c r="L359"/>
    </row>
    <row r="360" spans="12:12" x14ac:dyDescent="0.3">
      <c r="L360"/>
    </row>
    <row r="361" spans="12:12" x14ac:dyDescent="0.3">
      <c r="L361"/>
    </row>
    <row r="362" spans="12:12" x14ac:dyDescent="0.3">
      <c r="L362"/>
    </row>
    <row r="363" spans="12:12" x14ac:dyDescent="0.3">
      <c r="L363"/>
    </row>
    <row r="364" spans="12:12" x14ac:dyDescent="0.3">
      <c r="L364"/>
    </row>
    <row r="365" spans="12:12" x14ac:dyDescent="0.3">
      <c r="L365"/>
    </row>
    <row r="366" spans="12:12" x14ac:dyDescent="0.3">
      <c r="L366"/>
    </row>
    <row r="367" spans="12:12" x14ac:dyDescent="0.3">
      <c r="L367"/>
    </row>
    <row r="368" spans="12:12" x14ac:dyDescent="0.3">
      <c r="L368"/>
    </row>
    <row r="369" spans="12:12" x14ac:dyDescent="0.3">
      <c r="L369"/>
    </row>
    <row r="370" spans="12:12" x14ac:dyDescent="0.3">
      <c r="L370"/>
    </row>
    <row r="371" spans="12:12" x14ac:dyDescent="0.3">
      <c r="L371"/>
    </row>
    <row r="372" spans="12:12" x14ac:dyDescent="0.3">
      <c r="L372"/>
    </row>
    <row r="373" spans="12:12" x14ac:dyDescent="0.3">
      <c r="L373"/>
    </row>
    <row r="374" spans="12:12" x14ac:dyDescent="0.3">
      <c r="L374"/>
    </row>
    <row r="375" spans="12:12" x14ac:dyDescent="0.3">
      <c r="L375"/>
    </row>
    <row r="376" spans="12:12" x14ac:dyDescent="0.3">
      <c r="L376"/>
    </row>
    <row r="377" spans="12:12" x14ac:dyDescent="0.3">
      <c r="L377"/>
    </row>
    <row r="378" spans="12:12" x14ac:dyDescent="0.3">
      <c r="L378"/>
    </row>
    <row r="379" spans="12:12" x14ac:dyDescent="0.3">
      <c r="L379"/>
    </row>
    <row r="380" spans="12:12" x14ac:dyDescent="0.3">
      <c r="L380"/>
    </row>
    <row r="381" spans="12:12" x14ac:dyDescent="0.3">
      <c r="L381"/>
    </row>
    <row r="382" spans="12:12" x14ac:dyDescent="0.3">
      <c r="L382"/>
    </row>
    <row r="383" spans="12:12" x14ac:dyDescent="0.3">
      <c r="L383"/>
    </row>
    <row r="384" spans="12:12" x14ac:dyDescent="0.3">
      <c r="L384"/>
    </row>
    <row r="385" spans="12:12" x14ac:dyDescent="0.3">
      <c r="L385"/>
    </row>
    <row r="386" spans="12:12" x14ac:dyDescent="0.3">
      <c r="L386"/>
    </row>
    <row r="387" spans="12:12" x14ac:dyDescent="0.3">
      <c r="L387"/>
    </row>
    <row r="388" spans="12:12" x14ac:dyDescent="0.3">
      <c r="L388"/>
    </row>
    <row r="389" spans="12:12" x14ac:dyDescent="0.3">
      <c r="L389"/>
    </row>
    <row r="390" spans="12:12" x14ac:dyDescent="0.3">
      <c r="L390"/>
    </row>
    <row r="391" spans="12:12" x14ac:dyDescent="0.3">
      <c r="L391"/>
    </row>
    <row r="392" spans="12:12" x14ac:dyDescent="0.3">
      <c r="L392"/>
    </row>
    <row r="393" spans="12:12" x14ac:dyDescent="0.3">
      <c r="L393"/>
    </row>
    <row r="394" spans="12:12" x14ac:dyDescent="0.3">
      <c r="L394"/>
    </row>
    <row r="395" spans="12:12" x14ac:dyDescent="0.3">
      <c r="L395"/>
    </row>
    <row r="396" spans="12:12" x14ac:dyDescent="0.3">
      <c r="L396"/>
    </row>
    <row r="397" spans="12:12" x14ac:dyDescent="0.3">
      <c r="L397"/>
    </row>
    <row r="398" spans="12:12" x14ac:dyDescent="0.3">
      <c r="L398"/>
    </row>
    <row r="399" spans="12:12" x14ac:dyDescent="0.3">
      <c r="L399"/>
    </row>
    <row r="400" spans="12:12" x14ac:dyDescent="0.3">
      <c r="L400"/>
    </row>
    <row r="401" spans="12:12" x14ac:dyDescent="0.3">
      <c r="L401"/>
    </row>
    <row r="402" spans="12:12" x14ac:dyDescent="0.3">
      <c r="L402"/>
    </row>
    <row r="403" spans="12:12" x14ac:dyDescent="0.3">
      <c r="L403"/>
    </row>
    <row r="404" spans="12:12" x14ac:dyDescent="0.3">
      <c r="L404"/>
    </row>
    <row r="405" spans="12:12" x14ac:dyDescent="0.3">
      <c r="L405"/>
    </row>
    <row r="406" spans="12:12" x14ac:dyDescent="0.3">
      <c r="L406"/>
    </row>
    <row r="407" spans="12:12" x14ac:dyDescent="0.3">
      <c r="L407"/>
    </row>
    <row r="408" spans="12:12" x14ac:dyDescent="0.3">
      <c r="L408"/>
    </row>
    <row r="409" spans="12:12" x14ac:dyDescent="0.3">
      <c r="L409"/>
    </row>
    <row r="410" spans="12:12" x14ac:dyDescent="0.3">
      <c r="L410"/>
    </row>
    <row r="411" spans="12:12" x14ac:dyDescent="0.3">
      <c r="L411"/>
    </row>
    <row r="412" spans="12:12" x14ac:dyDescent="0.3">
      <c r="L412"/>
    </row>
    <row r="413" spans="12:12" x14ac:dyDescent="0.3">
      <c r="L413"/>
    </row>
    <row r="414" spans="12:12" x14ac:dyDescent="0.3">
      <c r="L414"/>
    </row>
    <row r="415" spans="12:12" x14ac:dyDescent="0.3">
      <c r="L415"/>
    </row>
    <row r="416" spans="12:12" x14ac:dyDescent="0.3">
      <c r="L416"/>
    </row>
    <row r="417" spans="12:12" x14ac:dyDescent="0.3">
      <c r="L417"/>
    </row>
    <row r="418" spans="12:12" x14ac:dyDescent="0.3">
      <c r="L418"/>
    </row>
    <row r="419" spans="12:12" x14ac:dyDescent="0.3">
      <c r="L419"/>
    </row>
    <row r="420" spans="12:12" x14ac:dyDescent="0.3">
      <c r="L420"/>
    </row>
    <row r="421" spans="12:12" x14ac:dyDescent="0.3">
      <c r="L421"/>
    </row>
    <row r="422" spans="12:12" x14ac:dyDescent="0.3">
      <c r="L422"/>
    </row>
    <row r="423" spans="12:12" x14ac:dyDescent="0.3">
      <c r="L423"/>
    </row>
    <row r="424" spans="12:12" x14ac:dyDescent="0.3">
      <c r="L424"/>
    </row>
    <row r="425" spans="12:12" x14ac:dyDescent="0.3">
      <c r="L425"/>
    </row>
    <row r="426" spans="12:12" x14ac:dyDescent="0.3">
      <c r="L426"/>
    </row>
    <row r="427" spans="12:12" x14ac:dyDescent="0.3">
      <c r="L427"/>
    </row>
    <row r="428" spans="12:12" x14ac:dyDescent="0.3">
      <c r="L428"/>
    </row>
    <row r="429" spans="12:12" x14ac:dyDescent="0.3">
      <c r="L429"/>
    </row>
    <row r="430" spans="12:12" x14ac:dyDescent="0.3">
      <c r="L430"/>
    </row>
    <row r="431" spans="12:12" x14ac:dyDescent="0.3">
      <c r="L431"/>
    </row>
    <row r="432" spans="12:12" x14ac:dyDescent="0.3">
      <c r="L432"/>
    </row>
    <row r="433" spans="12:12" x14ac:dyDescent="0.3">
      <c r="L433"/>
    </row>
    <row r="434" spans="12:12" x14ac:dyDescent="0.3">
      <c r="L434"/>
    </row>
    <row r="435" spans="12:12" x14ac:dyDescent="0.3">
      <c r="L435"/>
    </row>
    <row r="436" spans="12:12" x14ac:dyDescent="0.3">
      <c r="L436"/>
    </row>
    <row r="437" spans="12:12" x14ac:dyDescent="0.3">
      <c r="L437"/>
    </row>
    <row r="438" spans="12:12" x14ac:dyDescent="0.3">
      <c r="L438"/>
    </row>
    <row r="439" spans="12:12" x14ac:dyDescent="0.3">
      <c r="L439"/>
    </row>
    <row r="440" spans="12:12" x14ac:dyDescent="0.3">
      <c r="L440"/>
    </row>
    <row r="441" spans="12:12" x14ac:dyDescent="0.3">
      <c r="L441"/>
    </row>
    <row r="442" spans="12:12" x14ac:dyDescent="0.3">
      <c r="L442"/>
    </row>
    <row r="443" spans="12:12" x14ac:dyDescent="0.3">
      <c r="L443"/>
    </row>
    <row r="444" spans="12:12" x14ac:dyDescent="0.3">
      <c r="L444"/>
    </row>
    <row r="445" spans="12:12" x14ac:dyDescent="0.3">
      <c r="L445"/>
    </row>
    <row r="446" spans="12:12" x14ac:dyDescent="0.3">
      <c r="L446"/>
    </row>
    <row r="447" spans="12:12" x14ac:dyDescent="0.3">
      <c r="L447"/>
    </row>
    <row r="448" spans="12:12" x14ac:dyDescent="0.3">
      <c r="L448"/>
    </row>
    <row r="449" spans="12:12" x14ac:dyDescent="0.3">
      <c r="L449"/>
    </row>
    <row r="450" spans="12:12" x14ac:dyDescent="0.3">
      <c r="L450"/>
    </row>
    <row r="451" spans="12:12" x14ac:dyDescent="0.3">
      <c r="L451"/>
    </row>
    <row r="452" spans="12:12" x14ac:dyDescent="0.3">
      <c r="L452"/>
    </row>
    <row r="453" spans="12:12" x14ac:dyDescent="0.3">
      <c r="L453"/>
    </row>
    <row r="454" spans="12:12" x14ac:dyDescent="0.3">
      <c r="L454"/>
    </row>
    <row r="455" spans="12:12" x14ac:dyDescent="0.3">
      <c r="L455"/>
    </row>
    <row r="456" spans="12:12" x14ac:dyDescent="0.3">
      <c r="L456"/>
    </row>
    <row r="457" spans="12:12" x14ac:dyDescent="0.3">
      <c r="L457"/>
    </row>
    <row r="458" spans="12:12" x14ac:dyDescent="0.3">
      <c r="L458"/>
    </row>
    <row r="459" spans="12:12" x14ac:dyDescent="0.3">
      <c r="L459"/>
    </row>
    <row r="460" spans="12:12" x14ac:dyDescent="0.3">
      <c r="L460"/>
    </row>
    <row r="461" spans="12:12" x14ac:dyDescent="0.3">
      <c r="L461"/>
    </row>
    <row r="462" spans="12:12" x14ac:dyDescent="0.3">
      <c r="L462"/>
    </row>
    <row r="463" spans="12:12" x14ac:dyDescent="0.3">
      <c r="L463"/>
    </row>
    <row r="464" spans="12:12" x14ac:dyDescent="0.3">
      <c r="L464"/>
    </row>
    <row r="465" spans="12:12" x14ac:dyDescent="0.3">
      <c r="L465"/>
    </row>
    <row r="466" spans="12:12" x14ac:dyDescent="0.3">
      <c r="L466"/>
    </row>
    <row r="467" spans="12:12" x14ac:dyDescent="0.3">
      <c r="L467"/>
    </row>
    <row r="468" spans="12:12" x14ac:dyDescent="0.3">
      <c r="L468"/>
    </row>
    <row r="469" spans="12:12" x14ac:dyDescent="0.3">
      <c r="L469"/>
    </row>
    <row r="470" spans="12:12" x14ac:dyDescent="0.3">
      <c r="L470"/>
    </row>
    <row r="471" spans="12:12" x14ac:dyDescent="0.3">
      <c r="L471"/>
    </row>
    <row r="472" spans="12:12" x14ac:dyDescent="0.3">
      <c r="L472"/>
    </row>
    <row r="473" spans="12:12" x14ac:dyDescent="0.3">
      <c r="L473"/>
    </row>
    <row r="474" spans="12:12" x14ac:dyDescent="0.3">
      <c r="L474"/>
    </row>
    <row r="475" spans="12:12" x14ac:dyDescent="0.3">
      <c r="L475"/>
    </row>
    <row r="476" spans="12:12" x14ac:dyDescent="0.3">
      <c r="L476"/>
    </row>
    <row r="477" spans="12:12" x14ac:dyDescent="0.3">
      <c r="L477"/>
    </row>
    <row r="478" spans="12:12" x14ac:dyDescent="0.3">
      <c r="L478"/>
    </row>
    <row r="479" spans="12:12" x14ac:dyDescent="0.3">
      <c r="L479"/>
    </row>
    <row r="480" spans="12:12" x14ac:dyDescent="0.3">
      <c r="L480"/>
    </row>
    <row r="481" spans="12:12" x14ac:dyDescent="0.3">
      <c r="L481"/>
    </row>
    <row r="482" spans="12:12" x14ac:dyDescent="0.3">
      <c r="L482"/>
    </row>
    <row r="483" spans="12:12" x14ac:dyDescent="0.3">
      <c r="L483"/>
    </row>
    <row r="484" spans="12:12" x14ac:dyDescent="0.3">
      <c r="L484"/>
    </row>
    <row r="485" spans="12:12" x14ac:dyDescent="0.3">
      <c r="L485"/>
    </row>
    <row r="486" spans="12:12" x14ac:dyDescent="0.3">
      <c r="L486"/>
    </row>
    <row r="487" spans="12:12" x14ac:dyDescent="0.3">
      <c r="L487"/>
    </row>
    <row r="488" spans="12:12" x14ac:dyDescent="0.3">
      <c r="L488"/>
    </row>
    <row r="489" spans="12:12" x14ac:dyDescent="0.3">
      <c r="L489"/>
    </row>
    <row r="490" spans="12:12" x14ac:dyDescent="0.3">
      <c r="L490"/>
    </row>
    <row r="491" spans="12:12" x14ac:dyDescent="0.3">
      <c r="L491"/>
    </row>
    <row r="492" spans="12:12" x14ac:dyDescent="0.3">
      <c r="L492"/>
    </row>
    <row r="493" spans="12:12" x14ac:dyDescent="0.3">
      <c r="L493"/>
    </row>
    <row r="494" spans="12:12" x14ac:dyDescent="0.3">
      <c r="L494"/>
    </row>
    <row r="495" spans="12:12" x14ac:dyDescent="0.3">
      <c r="L495"/>
    </row>
    <row r="496" spans="12:12" x14ac:dyDescent="0.3">
      <c r="L496"/>
    </row>
    <row r="497" spans="12:12" x14ac:dyDescent="0.3">
      <c r="L497"/>
    </row>
    <row r="498" spans="12:12" x14ac:dyDescent="0.3">
      <c r="L498"/>
    </row>
    <row r="499" spans="12:12" x14ac:dyDescent="0.3">
      <c r="L499"/>
    </row>
    <row r="500" spans="12:12" x14ac:dyDescent="0.3">
      <c r="L500"/>
    </row>
    <row r="501" spans="12:12" x14ac:dyDescent="0.3">
      <c r="L501"/>
    </row>
    <row r="502" spans="12:12" x14ac:dyDescent="0.3">
      <c r="L502"/>
    </row>
    <row r="503" spans="12:12" x14ac:dyDescent="0.3">
      <c r="L503"/>
    </row>
    <row r="504" spans="12:12" x14ac:dyDescent="0.3">
      <c r="L504"/>
    </row>
    <row r="505" spans="12:12" x14ac:dyDescent="0.3">
      <c r="L505"/>
    </row>
    <row r="506" spans="12:12" x14ac:dyDescent="0.3">
      <c r="L506"/>
    </row>
    <row r="507" spans="12:12" x14ac:dyDescent="0.3">
      <c r="L507"/>
    </row>
    <row r="508" spans="12:12" x14ac:dyDescent="0.3">
      <c r="L508"/>
    </row>
    <row r="509" spans="12:12" x14ac:dyDescent="0.3">
      <c r="L509"/>
    </row>
    <row r="510" spans="12:12" x14ac:dyDescent="0.3">
      <c r="L510"/>
    </row>
    <row r="511" spans="12:12" x14ac:dyDescent="0.3">
      <c r="L511"/>
    </row>
    <row r="512" spans="12:12" x14ac:dyDescent="0.3">
      <c r="L512"/>
    </row>
    <row r="513" spans="12:12" x14ac:dyDescent="0.3">
      <c r="L513"/>
    </row>
    <row r="514" spans="12:12" x14ac:dyDescent="0.3">
      <c r="L514"/>
    </row>
    <row r="515" spans="12:12" x14ac:dyDescent="0.3">
      <c r="L515"/>
    </row>
    <row r="516" spans="12:12" x14ac:dyDescent="0.3">
      <c r="L516"/>
    </row>
    <row r="517" spans="12:12" x14ac:dyDescent="0.3">
      <c r="L517"/>
    </row>
    <row r="518" spans="12:12" x14ac:dyDescent="0.3">
      <c r="L518"/>
    </row>
    <row r="519" spans="12:12" x14ac:dyDescent="0.3">
      <c r="L519"/>
    </row>
    <row r="520" spans="12:12" x14ac:dyDescent="0.3">
      <c r="L520"/>
    </row>
    <row r="521" spans="12:12" x14ac:dyDescent="0.3">
      <c r="L521"/>
    </row>
    <row r="522" spans="12:12" x14ac:dyDescent="0.3">
      <c r="L522"/>
    </row>
    <row r="523" spans="12:12" x14ac:dyDescent="0.3">
      <c r="L523"/>
    </row>
    <row r="524" spans="12:12" x14ac:dyDescent="0.3">
      <c r="L524"/>
    </row>
    <row r="525" spans="12:12" x14ac:dyDescent="0.3">
      <c r="L525"/>
    </row>
    <row r="526" spans="12:12" x14ac:dyDescent="0.3">
      <c r="L526"/>
    </row>
    <row r="527" spans="12:12" x14ac:dyDescent="0.3">
      <c r="L527"/>
    </row>
    <row r="528" spans="12:12" x14ac:dyDescent="0.3">
      <c r="L528"/>
    </row>
    <row r="529" spans="12:12" x14ac:dyDescent="0.3">
      <c r="L529"/>
    </row>
    <row r="530" spans="12:12" x14ac:dyDescent="0.3">
      <c r="L530"/>
    </row>
    <row r="531" spans="12:12" x14ac:dyDescent="0.3">
      <c r="L531"/>
    </row>
    <row r="532" spans="12:12" x14ac:dyDescent="0.3">
      <c r="L532"/>
    </row>
    <row r="533" spans="12:12" x14ac:dyDescent="0.3">
      <c r="L533"/>
    </row>
    <row r="534" spans="12:12" x14ac:dyDescent="0.3">
      <c r="L534"/>
    </row>
    <row r="535" spans="12:12" x14ac:dyDescent="0.3">
      <c r="L535"/>
    </row>
    <row r="536" spans="12:12" x14ac:dyDescent="0.3">
      <c r="L536"/>
    </row>
    <row r="537" spans="12:12" x14ac:dyDescent="0.3">
      <c r="L537"/>
    </row>
    <row r="538" spans="12:12" x14ac:dyDescent="0.3">
      <c r="L538"/>
    </row>
    <row r="539" spans="12:12" x14ac:dyDescent="0.3">
      <c r="L539"/>
    </row>
    <row r="540" spans="12:12" x14ac:dyDescent="0.3">
      <c r="L540"/>
    </row>
    <row r="541" spans="12:12" x14ac:dyDescent="0.3">
      <c r="L541"/>
    </row>
    <row r="542" spans="12:12" x14ac:dyDescent="0.3">
      <c r="L542"/>
    </row>
    <row r="543" spans="12:12" x14ac:dyDescent="0.3">
      <c r="L543"/>
    </row>
    <row r="544" spans="12:12" x14ac:dyDescent="0.3">
      <c r="L544"/>
    </row>
    <row r="545" spans="12:12" x14ac:dyDescent="0.3">
      <c r="L545"/>
    </row>
    <row r="546" spans="12:12" x14ac:dyDescent="0.3">
      <c r="L546"/>
    </row>
    <row r="547" spans="12:12" x14ac:dyDescent="0.3">
      <c r="L547"/>
    </row>
    <row r="548" spans="12:12" x14ac:dyDescent="0.3">
      <c r="L548"/>
    </row>
    <row r="549" spans="12:12" x14ac:dyDescent="0.3">
      <c r="L549"/>
    </row>
    <row r="550" spans="12:12" x14ac:dyDescent="0.3">
      <c r="L550"/>
    </row>
    <row r="551" spans="12:12" x14ac:dyDescent="0.3">
      <c r="L551"/>
    </row>
    <row r="552" spans="12:12" x14ac:dyDescent="0.3">
      <c r="L552"/>
    </row>
    <row r="553" spans="12:12" x14ac:dyDescent="0.3">
      <c r="L553"/>
    </row>
    <row r="554" spans="12:12" x14ac:dyDescent="0.3">
      <c r="L554"/>
    </row>
    <row r="555" spans="12:12" x14ac:dyDescent="0.3">
      <c r="L555"/>
    </row>
    <row r="556" spans="12:12" x14ac:dyDescent="0.3">
      <c r="L556"/>
    </row>
    <row r="557" spans="12:12" x14ac:dyDescent="0.3">
      <c r="L557"/>
    </row>
    <row r="558" spans="12:12" x14ac:dyDescent="0.3">
      <c r="L558"/>
    </row>
    <row r="559" spans="12:12" x14ac:dyDescent="0.3">
      <c r="L559"/>
    </row>
    <row r="560" spans="12:12" x14ac:dyDescent="0.3">
      <c r="L560"/>
    </row>
    <row r="561" spans="12:12" x14ac:dyDescent="0.3">
      <c r="L561"/>
    </row>
    <row r="562" spans="12:12" x14ac:dyDescent="0.3">
      <c r="L562"/>
    </row>
    <row r="563" spans="12:12" x14ac:dyDescent="0.3">
      <c r="L563"/>
    </row>
    <row r="564" spans="12:12" x14ac:dyDescent="0.3">
      <c r="L564"/>
    </row>
    <row r="565" spans="12:12" x14ac:dyDescent="0.3">
      <c r="L565"/>
    </row>
    <row r="566" spans="12:12" x14ac:dyDescent="0.3">
      <c r="L566"/>
    </row>
    <row r="567" spans="12:12" x14ac:dyDescent="0.3">
      <c r="L567"/>
    </row>
    <row r="568" spans="12:12" x14ac:dyDescent="0.3">
      <c r="L568"/>
    </row>
    <row r="569" spans="12:12" x14ac:dyDescent="0.3">
      <c r="L569"/>
    </row>
    <row r="570" spans="12:12" x14ac:dyDescent="0.3">
      <c r="L570"/>
    </row>
    <row r="571" spans="12:12" x14ac:dyDescent="0.3">
      <c r="L571"/>
    </row>
    <row r="572" spans="12:12" x14ac:dyDescent="0.3">
      <c r="L572"/>
    </row>
    <row r="573" spans="12:12" x14ac:dyDescent="0.3">
      <c r="L573"/>
    </row>
    <row r="574" spans="12:12" x14ac:dyDescent="0.3">
      <c r="L574"/>
    </row>
    <row r="575" spans="12:12" x14ac:dyDescent="0.3">
      <c r="L575"/>
    </row>
    <row r="576" spans="12:12" x14ac:dyDescent="0.3">
      <c r="L576"/>
    </row>
    <row r="577" spans="12:12" x14ac:dyDescent="0.3">
      <c r="L577"/>
    </row>
    <row r="578" spans="12:12" x14ac:dyDescent="0.3">
      <c r="L578"/>
    </row>
    <row r="579" spans="12:12" x14ac:dyDescent="0.3">
      <c r="L579"/>
    </row>
    <row r="580" spans="12:12" x14ac:dyDescent="0.3">
      <c r="L580"/>
    </row>
    <row r="581" spans="12:12" x14ac:dyDescent="0.3">
      <c r="L581"/>
    </row>
    <row r="582" spans="12:12" x14ac:dyDescent="0.3">
      <c r="L582"/>
    </row>
    <row r="583" spans="12:12" x14ac:dyDescent="0.3">
      <c r="L583"/>
    </row>
    <row r="584" spans="12:12" x14ac:dyDescent="0.3">
      <c r="L584"/>
    </row>
    <row r="585" spans="12:12" x14ac:dyDescent="0.3">
      <c r="L585"/>
    </row>
    <row r="586" spans="12:12" x14ac:dyDescent="0.3">
      <c r="L586"/>
    </row>
    <row r="587" spans="12:12" x14ac:dyDescent="0.3">
      <c r="L587"/>
    </row>
    <row r="588" spans="12:12" x14ac:dyDescent="0.3">
      <c r="L588"/>
    </row>
    <row r="589" spans="12:12" x14ac:dyDescent="0.3">
      <c r="L589"/>
    </row>
    <row r="590" spans="12:12" x14ac:dyDescent="0.3">
      <c r="L590"/>
    </row>
    <row r="591" spans="12:12" x14ac:dyDescent="0.3">
      <c r="L591"/>
    </row>
    <row r="592" spans="12:12" x14ac:dyDescent="0.3">
      <c r="L592"/>
    </row>
    <row r="593" spans="12:12" x14ac:dyDescent="0.3">
      <c r="L593"/>
    </row>
    <row r="594" spans="12:12" x14ac:dyDescent="0.3">
      <c r="L594"/>
    </row>
    <row r="595" spans="12:12" x14ac:dyDescent="0.3">
      <c r="L595"/>
    </row>
    <row r="596" spans="12:12" x14ac:dyDescent="0.3">
      <c r="L596"/>
    </row>
    <row r="597" spans="12:12" x14ac:dyDescent="0.3">
      <c r="L597"/>
    </row>
    <row r="598" spans="12:12" x14ac:dyDescent="0.3">
      <c r="L598"/>
    </row>
    <row r="599" spans="12:12" x14ac:dyDescent="0.3">
      <c r="L599"/>
    </row>
    <row r="600" spans="12:12" x14ac:dyDescent="0.3">
      <c r="L600"/>
    </row>
    <row r="601" spans="12:12" x14ac:dyDescent="0.3">
      <c r="L601"/>
    </row>
    <row r="602" spans="12:12" x14ac:dyDescent="0.3">
      <c r="L602"/>
    </row>
    <row r="603" spans="12:12" x14ac:dyDescent="0.3">
      <c r="L603"/>
    </row>
    <row r="604" spans="12:12" x14ac:dyDescent="0.3">
      <c r="L604"/>
    </row>
    <row r="605" spans="12:12" x14ac:dyDescent="0.3">
      <c r="L605"/>
    </row>
    <row r="606" spans="12:12" x14ac:dyDescent="0.3">
      <c r="L606"/>
    </row>
    <row r="607" spans="12:12" x14ac:dyDescent="0.3">
      <c r="L607"/>
    </row>
    <row r="608" spans="12:12" x14ac:dyDescent="0.3">
      <c r="L608"/>
    </row>
    <row r="609" spans="12:12" x14ac:dyDescent="0.3">
      <c r="L609"/>
    </row>
    <row r="610" spans="12:12" x14ac:dyDescent="0.3">
      <c r="L610"/>
    </row>
    <row r="611" spans="12:12" x14ac:dyDescent="0.3">
      <c r="L611"/>
    </row>
    <row r="612" spans="12:12" x14ac:dyDescent="0.3">
      <c r="L612"/>
    </row>
    <row r="613" spans="12:12" x14ac:dyDescent="0.3">
      <c r="L613"/>
    </row>
    <row r="614" spans="12:12" x14ac:dyDescent="0.3">
      <c r="L614"/>
    </row>
    <row r="615" spans="12:12" x14ac:dyDescent="0.3">
      <c r="L615"/>
    </row>
    <row r="616" spans="12:12" x14ac:dyDescent="0.3">
      <c r="L616"/>
    </row>
    <row r="617" spans="12:12" x14ac:dyDescent="0.3">
      <c r="L617"/>
    </row>
    <row r="618" spans="12:12" x14ac:dyDescent="0.3">
      <c r="L618"/>
    </row>
    <row r="619" spans="12:12" x14ac:dyDescent="0.3">
      <c r="L619"/>
    </row>
    <row r="620" spans="12:12" x14ac:dyDescent="0.3">
      <c r="L620"/>
    </row>
    <row r="621" spans="12:12" x14ac:dyDescent="0.3">
      <c r="L621"/>
    </row>
    <row r="622" spans="12:12" x14ac:dyDescent="0.3">
      <c r="L622"/>
    </row>
    <row r="623" spans="12:12" x14ac:dyDescent="0.3">
      <c r="L623"/>
    </row>
    <row r="624" spans="12:12" x14ac:dyDescent="0.3">
      <c r="L624"/>
    </row>
    <row r="625" spans="12:12" x14ac:dyDescent="0.3">
      <c r="L625"/>
    </row>
    <row r="626" spans="12:12" x14ac:dyDescent="0.3">
      <c r="L626"/>
    </row>
    <row r="627" spans="12:12" x14ac:dyDescent="0.3">
      <c r="L627"/>
    </row>
    <row r="628" spans="12:12" x14ac:dyDescent="0.3">
      <c r="L628"/>
    </row>
    <row r="629" spans="12:12" x14ac:dyDescent="0.3">
      <c r="L629"/>
    </row>
    <row r="630" spans="12:12" x14ac:dyDescent="0.3">
      <c r="L630"/>
    </row>
    <row r="631" spans="12:12" x14ac:dyDescent="0.3">
      <c r="L631"/>
    </row>
    <row r="632" spans="12:12" x14ac:dyDescent="0.3">
      <c r="L632"/>
    </row>
    <row r="633" spans="12:12" x14ac:dyDescent="0.3">
      <c r="L633"/>
    </row>
    <row r="634" spans="12:12" x14ac:dyDescent="0.3">
      <c r="L634"/>
    </row>
    <row r="635" spans="12:12" x14ac:dyDescent="0.3">
      <c r="L635"/>
    </row>
    <row r="636" spans="12:12" x14ac:dyDescent="0.3">
      <c r="L636"/>
    </row>
    <row r="637" spans="12:12" x14ac:dyDescent="0.3">
      <c r="L637"/>
    </row>
    <row r="638" spans="12:12" x14ac:dyDescent="0.3">
      <c r="L638"/>
    </row>
    <row r="639" spans="12:12" x14ac:dyDescent="0.3">
      <c r="L639"/>
    </row>
    <row r="640" spans="12:12" x14ac:dyDescent="0.3">
      <c r="L640"/>
    </row>
    <row r="641" spans="12:12" x14ac:dyDescent="0.3">
      <c r="L641"/>
    </row>
    <row r="642" spans="12:12" x14ac:dyDescent="0.3">
      <c r="L642"/>
    </row>
    <row r="643" spans="12:12" x14ac:dyDescent="0.3">
      <c r="L643"/>
    </row>
    <row r="644" spans="12:12" x14ac:dyDescent="0.3">
      <c r="L644"/>
    </row>
    <row r="645" spans="12:12" x14ac:dyDescent="0.3">
      <c r="L645"/>
    </row>
    <row r="646" spans="12:12" x14ac:dyDescent="0.3">
      <c r="L646"/>
    </row>
    <row r="647" spans="12:12" x14ac:dyDescent="0.3">
      <c r="L647"/>
    </row>
    <row r="648" spans="12:12" x14ac:dyDescent="0.3">
      <c r="L648"/>
    </row>
    <row r="649" spans="12:12" x14ac:dyDescent="0.3">
      <c r="L649"/>
    </row>
    <row r="650" spans="12:12" x14ac:dyDescent="0.3">
      <c r="L650"/>
    </row>
    <row r="651" spans="12:12" x14ac:dyDescent="0.3">
      <c r="L651"/>
    </row>
    <row r="652" spans="12:12" x14ac:dyDescent="0.3">
      <c r="L652"/>
    </row>
    <row r="653" spans="12:12" x14ac:dyDescent="0.3">
      <c r="L653"/>
    </row>
    <row r="654" spans="12:12" x14ac:dyDescent="0.3">
      <c r="L654"/>
    </row>
    <row r="655" spans="12:12" x14ac:dyDescent="0.3">
      <c r="L655"/>
    </row>
    <row r="656" spans="12:12" x14ac:dyDescent="0.3">
      <c r="L656"/>
    </row>
    <row r="657" spans="12:12" x14ac:dyDescent="0.3">
      <c r="L657"/>
    </row>
    <row r="658" spans="12:12" x14ac:dyDescent="0.3">
      <c r="L658"/>
    </row>
    <row r="659" spans="12:12" x14ac:dyDescent="0.3">
      <c r="L659"/>
    </row>
    <row r="660" spans="12:12" x14ac:dyDescent="0.3">
      <c r="L660"/>
    </row>
    <row r="661" spans="12:12" x14ac:dyDescent="0.3">
      <c r="L661"/>
    </row>
    <row r="662" spans="12:12" x14ac:dyDescent="0.3">
      <c r="L662"/>
    </row>
    <row r="663" spans="12:12" x14ac:dyDescent="0.3">
      <c r="L663"/>
    </row>
    <row r="664" spans="12:12" x14ac:dyDescent="0.3">
      <c r="L664"/>
    </row>
    <row r="665" spans="12:12" x14ac:dyDescent="0.3">
      <c r="L665"/>
    </row>
    <row r="666" spans="12:12" x14ac:dyDescent="0.3">
      <c r="L666"/>
    </row>
    <row r="667" spans="12:12" x14ac:dyDescent="0.3">
      <c r="L667"/>
    </row>
    <row r="668" spans="12:12" x14ac:dyDescent="0.3">
      <c r="L668"/>
    </row>
    <row r="669" spans="12:12" x14ac:dyDescent="0.3">
      <c r="L669"/>
    </row>
    <row r="670" spans="12:12" x14ac:dyDescent="0.3">
      <c r="L670"/>
    </row>
    <row r="671" spans="12:12" x14ac:dyDescent="0.3">
      <c r="L671"/>
    </row>
    <row r="672" spans="12:12" x14ac:dyDescent="0.3">
      <c r="L672"/>
    </row>
    <row r="673" spans="12:12" x14ac:dyDescent="0.3">
      <c r="L673"/>
    </row>
    <row r="674" spans="12:12" x14ac:dyDescent="0.3">
      <c r="L674"/>
    </row>
    <row r="675" spans="12:12" x14ac:dyDescent="0.3">
      <c r="L675"/>
    </row>
    <row r="676" spans="12:12" x14ac:dyDescent="0.3">
      <c r="L676"/>
    </row>
    <row r="677" spans="12:12" x14ac:dyDescent="0.3">
      <c r="L677"/>
    </row>
    <row r="678" spans="12:12" x14ac:dyDescent="0.3">
      <c r="L678"/>
    </row>
    <row r="679" spans="12:12" x14ac:dyDescent="0.3">
      <c r="L679"/>
    </row>
    <row r="680" spans="12:12" x14ac:dyDescent="0.3">
      <c r="L680"/>
    </row>
    <row r="681" spans="12:12" x14ac:dyDescent="0.3">
      <c r="L681"/>
    </row>
    <row r="682" spans="12:12" x14ac:dyDescent="0.3">
      <c r="L682"/>
    </row>
    <row r="683" spans="12:12" x14ac:dyDescent="0.3">
      <c r="L683"/>
    </row>
    <row r="684" spans="12:12" x14ac:dyDescent="0.3">
      <c r="L684"/>
    </row>
    <row r="685" spans="12:12" x14ac:dyDescent="0.3">
      <c r="L685"/>
    </row>
    <row r="686" spans="12:12" x14ac:dyDescent="0.3">
      <c r="L686"/>
    </row>
    <row r="687" spans="12:12" x14ac:dyDescent="0.3">
      <c r="L687"/>
    </row>
    <row r="688" spans="12:12" x14ac:dyDescent="0.3">
      <c r="L688"/>
    </row>
    <row r="689" spans="12:12" x14ac:dyDescent="0.3">
      <c r="L689"/>
    </row>
    <row r="690" spans="12:12" x14ac:dyDescent="0.3">
      <c r="L690"/>
    </row>
    <row r="691" spans="12:12" x14ac:dyDescent="0.3">
      <c r="L691"/>
    </row>
    <row r="692" spans="12:12" x14ac:dyDescent="0.3">
      <c r="L692"/>
    </row>
    <row r="693" spans="12:12" x14ac:dyDescent="0.3">
      <c r="L693"/>
    </row>
    <row r="694" spans="12:12" x14ac:dyDescent="0.3">
      <c r="L694"/>
    </row>
    <row r="695" spans="12:12" x14ac:dyDescent="0.3">
      <c r="L695"/>
    </row>
    <row r="696" spans="12:12" x14ac:dyDescent="0.3">
      <c r="L696"/>
    </row>
    <row r="697" spans="12:12" x14ac:dyDescent="0.3">
      <c r="L697"/>
    </row>
    <row r="698" spans="12:12" x14ac:dyDescent="0.3">
      <c r="L698"/>
    </row>
    <row r="699" spans="12:12" x14ac:dyDescent="0.3">
      <c r="L699"/>
    </row>
    <row r="700" spans="12:12" x14ac:dyDescent="0.3">
      <c r="L700"/>
    </row>
    <row r="701" spans="12:12" x14ac:dyDescent="0.3">
      <c r="L701"/>
    </row>
    <row r="702" spans="12:12" x14ac:dyDescent="0.3">
      <c r="L702"/>
    </row>
    <row r="703" spans="12:12" x14ac:dyDescent="0.3">
      <c r="L703"/>
    </row>
    <row r="704" spans="12:12" x14ac:dyDescent="0.3">
      <c r="L704"/>
    </row>
    <row r="705" spans="12:12" x14ac:dyDescent="0.3">
      <c r="L705"/>
    </row>
    <row r="706" spans="12:12" x14ac:dyDescent="0.3">
      <c r="L706"/>
    </row>
    <row r="707" spans="12:12" x14ac:dyDescent="0.3">
      <c r="L707"/>
    </row>
    <row r="708" spans="12:12" x14ac:dyDescent="0.3">
      <c r="L708"/>
    </row>
    <row r="709" spans="12:12" x14ac:dyDescent="0.3">
      <c r="L709"/>
    </row>
    <row r="710" spans="12:12" x14ac:dyDescent="0.3">
      <c r="L710"/>
    </row>
    <row r="711" spans="12:12" x14ac:dyDescent="0.3">
      <c r="L711"/>
    </row>
    <row r="712" spans="12:12" x14ac:dyDescent="0.3">
      <c r="L712"/>
    </row>
    <row r="713" spans="12:12" x14ac:dyDescent="0.3">
      <c r="L713"/>
    </row>
    <row r="714" spans="12:12" x14ac:dyDescent="0.3">
      <c r="L714"/>
    </row>
    <row r="715" spans="12:12" x14ac:dyDescent="0.3">
      <c r="L715"/>
    </row>
    <row r="716" spans="12:12" x14ac:dyDescent="0.3">
      <c r="L716"/>
    </row>
    <row r="717" spans="12:12" x14ac:dyDescent="0.3">
      <c r="L717"/>
    </row>
    <row r="718" spans="12:12" x14ac:dyDescent="0.3">
      <c r="L718"/>
    </row>
    <row r="719" spans="12:12" x14ac:dyDescent="0.3">
      <c r="L719"/>
    </row>
    <row r="720" spans="12:12" x14ac:dyDescent="0.3">
      <c r="L720"/>
    </row>
    <row r="721" spans="12:12" x14ac:dyDescent="0.3">
      <c r="L721"/>
    </row>
    <row r="722" spans="12:12" x14ac:dyDescent="0.3">
      <c r="L722"/>
    </row>
    <row r="723" spans="12:12" x14ac:dyDescent="0.3">
      <c r="L723"/>
    </row>
    <row r="724" spans="12:12" x14ac:dyDescent="0.3">
      <c r="L724"/>
    </row>
    <row r="725" spans="12:12" x14ac:dyDescent="0.3">
      <c r="L725"/>
    </row>
    <row r="726" spans="12:12" x14ac:dyDescent="0.3">
      <c r="L726"/>
    </row>
    <row r="727" spans="12:12" x14ac:dyDescent="0.3">
      <c r="L727"/>
    </row>
    <row r="728" spans="12:12" x14ac:dyDescent="0.3">
      <c r="L728"/>
    </row>
    <row r="729" spans="12:12" x14ac:dyDescent="0.3">
      <c r="L729"/>
    </row>
    <row r="730" spans="12:12" x14ac:dyDescent="0.3">
      <c r="L730"/>
    </row>
    <row r="731" spans="12:12" x14ac:dyDescent="0.3">
      <c r="L731"/>
    </row>
    <row r="732" spans="12:12" x14ac:dyDescent="0.3">
      <c r="L732"/>
    </row>
    <row r="733" spans="12:12" x14ac:dyDescent="0.3">
      <c r="L733"/>
    </row>
    <row r="734" spans="12:12" x14ac:dyDescent="0.3">
      <c r="L734"/>
    </row>
    <row r="735" spans="12:12" x14ac:dyDescent="0.3">
      <c r="L735"/>
    </row>
    <row r="736" spans="12:12" x14ac:dyDescent="0.3">
      <c r="L736"/>
    </row>
    <row r="737" spans="12:12" x14ac:dyDescent="0.3">
      <c r="L737"/>
    </row>
    <row r="738" spans="12:12" x14ac:dyDescent="0.3">
      <c r="L738"/>
    </row>
    <row r="739" spans="12:12" x14ac:dyDescent="0.3">
      <c r="L739"/>
    </row>
    <row r="740" spans="12:12" x14ac:dyDescent="0.3">
      <c r="L740"/>
    </row>
    <row r="741" spans="12:12" x14ac:dyDescent="0.3">
      <c r="L741"/>
    </row>
    <row r="742" spans="12:12" x14ac:dyDescent="0.3">
      <c r="L742"/>
    </row>
    <row r="743" spans="12:12" x14ac:dyDescent="0.3">
      <c r="L743"/>
    </row>
    <row r="744" spans="12:12" x14ac:dyDescent="0.3">
      <c r="L744"/>
    </row>
    <row r="745" spans="12:12" x14ac:dyDescent="0.3">
      <c r="L745"/>
    </row>
    <row r="746" spans="12:12" x14ac:dyDescent="0.3">
      <c r="L746"/>
    </row>
    <row r="747" spans="12:12" x14ac:dyDescent="0.3">
      <c r="L747"/>
    </row>
    <row r="748" spans="12:12" x14ac:dyDescent="0.3">
      <c r="L748"/>
    </row>
    <row r="749" spans="12:12" x14ac:dyDescent="0.3">
      <c r="L749"/>
    </row>
    <row r="750" spans="12:12" x14ac:dyDescent="0.3">
      <c r="L750"/>
    </row>
    <row r="751" spans="12:12" x14ac:dyDescent="0.3">
      <c r="L751"/>
    </row>
    <row r="752" spans="12:12" x14ac:dyDescent="0.3">
      <c r="L752"/>
    </row>
    <row r="753" spans="12:12" x14ac:dyDescent="0.3">
      <c r="L753"/>
    </row>
    <row r="754" spans="12:12" x14ac:dyDescent="0.3">
      <c r="L754"/>
    </row>
    <row r="755" spans="12:12" x14ac:dyDescent="0.3">
      <c r="L755"/>
    </row>
    <row r="756" spans="12:12" x14ac:dyDescent="0.3">
      <c r="L756"/>
    </row>
    <row r="757" spans="12:12" x14ac:dyDescent="0.3">
      <c r="L757"/>
    </row>
    <row r="758" spans="12:12" x14ac:dyDescent="0.3">
      <c r="L758"/>
    </row>
    <row r="759" spans="12:12" x14ac:dyDescent="0.3">
      <c r="L759"/>
    </row>
    <row r="760" spans="12:12" x14ac:dyDescent="0.3">
      <c r="L760"/>
    </row>
    <row r="761" spans="12:12" x14ac:dyDescent="0.3">
      <c r="L761"/>
    </row>
    <row r="762" spans="12:12" x14ac:dyDescent="0.3">
      <c r="L762"/>
    </row>
    <row r="763" spans="12:12" x14ac:dyDescent="0.3">
      <c r="L763"/>
    </row>
    <row r="764" spans="12:12" x14ac:dyDescent="0.3">
      <c r="L764"/>
    </row>
    <row r="765" spans="12:12" x14ac:dyDescent="0.3">
      <c r="L765"/>
    </row>
    <row r="766" spans="12:12" x14ac:dyDescent="0.3">
      <c r="L766"/>
    </row>
    <row r="767" spans="12:12" x14ac:dyDescent="0.3">
      <c r="L767"/>
    </row>
    <row r="768" spans="12:12" x14ac:dyDescent="0.3">
      <c r="L768"/>
    </row>
    <row r="769" spans="12:12" x14ac:dyDescent="0.3">
      <c r="L769"/>
    </row>
    <row r="770" spans="12:12" x14ac:dyDescent="0.3">
      <c r="L770"/>
    </row>
    <row r="771" spans="12:12" x14ac:dyDescent="0.3">
      <c r="L771"/>
    </row>
    <row r="772" spans="12:12" x14ac:dyDescent="0.3">
      <c r="L772"/>
    </row>
    <row r="773" spans="12:12" x14ac:dyDescent="0.3">
      <c r="L773"/>
    </row>
    <row r="774" spans="12:12" x14ac:dyDescent="0.3">
      <c r="L774"/>
    </row>
    <row r="775" spans="12:12" x14ac:dyDescent="0.3">
      <c r="L775"/>
    </row>
    <row r="776" spans="12:12" x14ac:dyDescent="0.3">
      <c r="L776"/>
    </row>
    <row r="777" spans="12:12" x14ac:dyDescent="0.3">
      <c r="L777"/>
    </row>
    <row r="778" spans="12:12" x14ac:dyDescent="0.3">
      <c r="L778"/>
    </row>
    <row r="779" spans="12:12" x14ac:dyDescent="0.3">
      <c r="L779"/>
    </row>
    <row r="780" spans="12:12" x14ac:dyDescent="0.3">
      <c r="L780"/>
    </row>
    <row r="781" spans="12:12" x14ac:dyDescent="0.3">
      <c r="L781"/>
    </row>
    <row r="782" spans="12:12" x14ac:dyDescent="0.3">
      <c r="L782"/>
    </row>
    <row r="783" spans="12:12" x14ac:dyDescent="0.3">
      <c r="L783"/>
    </row>
    <row r="784" spans="12:12" x14ac:dyDescent="0.3">
      <c r="L784"/>
    </row>
    <row r="785" spans="12:12" x14ac:dyDescent="0.3">
      <c r="L785"/>
    </row>
    <row r="786" spans="12:12" x14ac:dyDescent="0.3">
      <c r="L786"/>
    </row>
    <row r="787" spans="12:12" x14ac:dyDescent="0.3">
      <c r="L787"/>
    </row>
    <row r="788" spans="12:12" x14ac:dyDescent="0.3">
      <c r="L788"/>
    </row>
    <row r="789" spans="12:12" x14ac:dyDescent="0.3">
      <c r="L789"/>
    </row>
    <row r="790" spans="12:12" x14ac:dyDescent="0.3">
      <c r="L790"/>
    </row>
    <row r="791" spans="12:12" x14ac:dyDescent="0.3">
      <c r="L791"/>
    </row>
    <row r="792" spans="12:12" x14ac:dyDescent="0.3">
      <c r="L792"/>
    </row>
    <row r="793" spans="12:12" x14ac:dyDescent="0.3">
      <c r="L793"/>
    </row>
    <row r="794" spans="12:12" x14ac:dyDescent="0.3">
      <c r="L794"/>
    </row>
    <row r="795" spans="12:12" x14ac:dyDescent="0.3">
      <c r="L795"/>
    </row>
    <row r="796" spans="12:12" x14ac:dyDescent="0.3">
      <c r="L796"/>
    </row>
    <row r="797" spans="12:12" x14ac:dyDescent="0.3">
      <c r="L797"/>
    </row>
    <row r="798" spans="12:12" x14ac:dyDescent="0.3">
      <c r="L798"/>
    </row>
    <row r="799" spans="12:12" x14ac:dyDescent="0.3">
      <c r="L799"/>
    </row>
    <row r="800" spans="12:12" x14ac:dyDescent="0.3">
      <c r="L800"/>
    </row>
    <row r="801" spans="12:12" x14ac:dyDescent="0.3">
      <c r="L801"/>
    </row>
    <row r="802" spans="12:12" x14ac:dyDescent="0.3">
      <c r="L802"/>
    </row>
    <row r="803" spans="12:12" x14ac:dyDescent="0.3">
      <c r="L803"/>
    </row>
    <row r="804" spans="12:12" x14ac:dyDescent="0.3">
      <c r="L804"/>
    </row>
    <row r="805" spans="12:12" x14ac:dyDescent="0.3">
      <c r="L805"/>
    </row>
    <row r="806" spans="12:12" x14ac:dyDescent="0.3">
      <c r="L806"/>
    </row>
    <row r="807" spans="12:12" x14ac:dyDescent="0.3">
      <c r="L807"/>
    </row>
    <row r="808" spans="12:12" x14ac:dyDescent="0.3">
      <c r="L808"/>
    </row>
    <row r="809" spans="12:12" x14ac:dyDescent="0.3">
      <c r="L809"/>
    </row>
    <row r="810" spans="12:12" x14ac:dyDescent="0.3">
      <c r="L810"/>
    </row>
    <row r="811" spans="12:12" x14ac:dyDescent="0.3">
      <c r="L811"/>
    </row>
    <row r="812" spans="12:12" x14ac:dyDescent="0.3">
      <c r="L812"/>
    </row>
    <row r="813" spans="12:12" x14ac:dyDescent="0.3">
      <c r="L813"/>
    </row>
    <row r="814" spans="12:12" x14ac:dyDescent="0.3">
      <c r="L814"/>
    </row>
    <row r="815" spans="12:12" x14ac:dyDescent="0.3">
      <c r="L815"/>
    </row>
    <row r="816" spans="12:12" x14ac:dyDescent="0.3">
      <c r="L816"/>
    </row>
    <row r="817" spans="12:12" x14ac:dyDescent="0.3">
      <c r="L817"/>
    </row>
    <row r="818" spans="12:12" x14ac:dyDescent="0.3">
      <c r="L818"/>
    </row>
    <row r="819" spans="12:12" x14ac:dyDescent="0.3">
      <c r="L819"/>
    </row>
    <row r="820" spans="12:12" x14ac:dyDescent="0.3">
      <c r="L820"/>
    </row>
    <row r="821" spans="12:12" x14ac:dyDescent="0.3">
      <c r="L821"/>
    </row>
    <row r="822" spans="12:12" x14ac:dyDescent="0.3">
      <c r="L822"/>
    </row>
    <row r="823" spans="12:12" x14ac:dyDescent="0.3">
      <c r="L823"/>
    </row>
    <row r="824" spans="12:12" x14ac:dyDescent="0.3">
      <c r="L824"/>
    </row>
    <row r="825" spans="12:12" x14ac:dyDescent="0.3">
      <c r="L825"/>
    </row>
    <row r="826" spans="12:12" x14ac:dyDescent="0.3">
      <c r="L826"/>
    </row>
    <row r="827" spans="12:12" x14ac:dyDescent="0.3">
      <c r="L827"/>
    </row>
    <row r="828" spans="12:12" x14ac:dyDescent="0.3">
      <c r="L828"/>
    </row>
    <row r="829" spans="12:12" x14ac:dyDescent="0.3">
      <c r="L829"/>
    </row>
    <row r="830" spans="12:12" x14ac:dyDescent="0.3">
      <c r="L830"/>
    </row>
    <row r="831" spans="12:12" x14ac:dyDescent="0.3">
      <c r="L831"/>
    </row>
    <row r="832" spans="12:12" x14ac:dyDescent="0.3">
      <c r="L832"/>
    </row>
    <row r="833" spans="12:12" x14ac:dyDescent="0.3">
      <c r="L833"/>
    </row>
    <row r="834" spans="12:12" x14ac:dyDescent="0.3">
      <c r="L834"/>
    </row>
    <row r="835" spans="12:12" x14ac:dyDescent="0.3">
      <c r="L835"/>
    </row>
    <row r="836" spans="12:12" x14ac:dyDescent="0.3">
      <c r="L836"/>
    </row>
    <row r="837" spans="12:12" x14ac:dyDescent="0.3">
      <c r="L837"/>
    </row>
    <row r="838" spans="12:12" x14ac:dyDescent="0.3">
      <c r="L838"/>
    </row>
    <row r="839" spans="12:12" x14ac:dyDescent="0.3">
      <c r="L839"/>
    </row>
    <row r="840" spans="12:12" x14ac:dyDescent="0.3">
      <c r="L840"/>
    </row>
    <row r="841" spans="12:12" x14ac:dyDescent="0.3">
      <c r="L841"/>
    </row>
    <row r="842" spans="12:12" x14ac:dyDescent="0.3">
      <c r="L842"/>
    </row>
    <row r="843" spans="12:12" x14ac:dyDescent="0.3">
      <c r="L843"/>
    </row>
    <row r="844" spans="12:12" x14ac:dyDescent="0.3">
      <c r="L844"/>
    </row>
    <row r="845" spans="12:12" x14ac:dyDescent="0.3">
      <c r="L845"/>
    </row>
    <row r="846" spans="12:12" x14ac:dyDescent="0.3">
      <c r="L846"/>
    </row>
    <row r="847" spans="12:12" x14ac:dyDescent="0.3">
      <c r="L847"/>
    </row>
    <row r="848" spans="12:12" x14ac:dyDescent="0.3">
      <c r="L848"/>
    </row>
    <row r="849" spans="12:12" x14ac:dyDescent="0.3">
      <c r="L849"/>
    </row>
    <row r="850" spans="12:12" x14ac:dyDescent="0.3">
      <c r="L850"/>
    </row>
    <row r="851" spans="12:12" x14ac:dyDescent="0.3">
      <c r="L851"/>
    </row>
    <row r="852" spans="12:12" x14ac:dyDescent="0.3">
      <c r="L852"/>
    </row>
    <row r="853" spans="12:12" x14ac:dyDescent="0.3">
      <c r="L853"/>
    </row>
    <row r="854" spans="12:12" x14ac:dyDescent="0.3">
      <c r="L854"/>
    </row>
    <row r="855" spans="12:12" x14ac:dyDescent="0.3">
      <c r="L855"/>
    </row>
    <row r="856" spans="12:12" x14ac:dyDescent="0.3">
      <c r="L856"/>
    </row>
    <row r="857" spans="12:12" x14ac:dyDescent="0.3">
      <c r="L857"/>
    </row>
    <row r="858" spans="12:12" x14ac:dyDescent="0.3">
      <c r="L858"/>
    </row>
    <row r="859" spans="12:12" x14ac:dyDescent="0.3">
      <c r="L859"/>
    </row>
    <row r="860" spans="12:12" x14ac:dyDescent="0.3">
      <c r="L860"/>
    </row>
    <row r="861" spans="12:12" x14ac:dyDescent="0.3">
      <c r="L861"/>
    </row>
    <row r="862" spans="12:12" x14ac:dyDescent="0.3">
      <c r="L862"/>
    </row>
    <row r="863" spans="12:12" x14ac:dyDescent="0.3">
      <c r="L863"/>
    </row>
    <row r="864" spans="12:12" x14ac:dyDescent="0.3">
      <c r="L864"/>
    </row>
    <row r="865" spans="12:12" x14ac:dyDescent="0.3">
      <c r="L865"/>
    </row>
    <row r="866" spans="12:12" x14ac:dyDescent="0.3">
      <c r="L866"/>
    </row>
    <row r="867" spans="12:12" x14ac:dyDescent="0.3">
      <c r="L867"/>
    </row>
    <row r="868" spans="12:12" x14ac:dyDescent="0.3">
      <c r="L868"/>
    </row>
    <row r="869" spans="12:12" x14ac:dyDescent="0.3">
      <c r="L869"/>
    </row>
    <row r="870" spans="12:12" x14ac:dyDescent="0.3">
      <c r="L870"/>
    </row>
    <row r="871" spans="12:12" x14ac:dyDescent="0.3">
      <c r="L871"/>
    </row>
    <row r="872" spans="12:12" x14ac:dyDescent="0.3">
      <c r="L872"/>
    </row>
    <row r="873" spans="12:12" x14ac:dyDescent="0.3">
      <c r="L873"/>
    </row>
    <row r="874" spans="12:12" x14ac:dyDescent="0.3">
      <c r="L874"/>
    </row>
    <row r="875" spans="12:12" x14ac:dyDescent="0.3">
      <c r="L875"/>
    </row>
    <row r="876" spans="12:12" x14ac:dyDescent="0.3">
      <c r="L876"/>
    </row>
    <row r="877" spans="12:12" x14ac:dyDescent="0.3">
      <c r="L877"/>
    </row>
    <row r="878" spans="12:12" x14ac:dyDescent="0.3">
      <c r="L878"/>
    </row>
    <row r="879" spans="12:12" x14ac:dyDescent="0.3">
      <c r="L879"/>
    </row>
    <row r="880" spans="12:12" x14ac:dyDescent="0.3">
      <c r="L880"/>
    </row>
    <row r="881" spans="12:12" x14ac:dyDescent="0.3">
      <c r="L881"/>
    </row>
    <row r="882" spans="12:12" x14ac:dyDescent="0.3">
      <c r="L882"/>
    </row>
    <row r="883" spans="12:12" x14ac:dyDescent="0.3">
      <c r="L883"/>
    </row>
    <row r="884" spans="12:12" x14ac:dyDescent="0.3">
      <c r="L884"/>
    </row>
    <row r="885" spans="12:12" x14ac:dyDescent="0.3">
      <c r="L885"/>
    </row>
    <row r="886" spans="12:12" x14ac:dyDescent="0.3">
      <c r="L886"/>
    </row>
    <row r="887" spans="12:12" x14ac:dyDescent="0.3">
      <c r="L887"/>
    </row>
    <row r="888" spans="12:12" x14ac:dyDescent="0.3">
      <c r="L888"/>
    </row>
    <row r="889" spans="12:12" x14ac:dyDescent="0.3">
      <c r="L889"/>
    </row>
    <row r="890" spans="12:12" x14ac:dyDescent="0.3">
      <c r="L890"/>
    </row>
    <row r="891" spans="12:12" x14ac:dyDescent="0.3">
      <c r="L891"/>
    </row>
    <row r="892" spans="12:12" x14ac:dyDescent="0.3">
      <c r="L892"/>
    </row>
    <row r="893" spans="12:12" x14ac:dyDescent="0.3">
      <c r="L893"/>
    </row>
    <row r="894" spans="12:12" x14ac:dyDescent="0.3">
      <c r="L894"/>
    </row>
    <row r="895" spans="12:12" x14ac:dyDescent="0.3">
      <c r="L895"/>
    </row>
    <row r="896" spans="12:12" x14ac:dyDescent="0.3">
      <c r="L896"/>
    </row>
    <row r="897" spans="12:12" x14ac:dyDescent="0.3">
      <c r="L897"/>
    </row>
    <row r="898" spans="12:12" x14ac:dyDescent="0.3">
      <c r="L898"/>
    </row>
    <row r="899" spans="12:12" x14ac:dyDescent="0.3">
      <c r="L899"/>
    </row>
    <row r="900" spans="12:12" x14ac:dyDescent="0.3">
      <c r="L900"/>
    </row>
    <row r="901" spans="12:12" x14ac:dyDescent="0.3">
      <c r="L901"/>
    </row>
    <row r="902" spans="12:12" x14ac:dyDescent="0.3">
      <c r="L902"/>
    </row>
    <row r="903" spans="12:12" x14ac:dyDescent="0.3">
      <c r="L903"/>
    </row>
    <row r="904" spans="12:12" x14ac:dyDescent="0.3">
      <c r="L904"/>
    </row>
    <row r="905" spans="12:12" x14ac:dyDescent="0.3">
      <c r="L905"/>
    </row>
    <row r="906" spans="12:12" x14ac:dyDescent="0.3">
      <c r="L906"/>
    </row>
    <row r="907" spans="12:12" x14ac:dyDescent="0.3">
      <c r="L907"/>
    </row>
    <row r="908" spans="12:12" x14ac:dyDescent="0.3">
      <c r="L908"/>
    </row>
    <row r="909" spans="12:12" x14ac:dyDescent="0.3">
      <c r="L909"/>
    </row>
    <row r="910" spans="12:12" x14ac:dyDescent="0.3">
      <c r="L910"/>
    </row>
    <row r="911" spans="12:12" x14ac:dyDescent="0.3">
      <c r="L911"/>
    </row>
    <row r="912" spans="12:12" x14ac:dyDescent="0.3">
      <c r="L912"/>
    </row>
    <row r="913" spans="12:12" x14ac:dyDescent="0.3">
      <c r="L913"/>
    </row>
    <row r="914" spans="12:12" x14ac:dyDescent="0.3">
      <c r="L914"/>
    </row>
    <row r="915" spans="12:12" x14ac:dyDescent="0.3">
      <c r="L915"/>
    </row>
    <row r="916" spans="12:12" x14ac:dyDescent="0.3">
      <c r="L916"/>
    </row>
    <row r="917" spans="12:12" x14ac:dyDescent="0.3">
      <c r="L917"/>
    </row>
    <row r="918" spans="12:12" x14ac:dyDescent="0.3">
      <c r="L918"/>
    </row>
    <row r="919" spans="12:12" x14ac:dyDescent="0.3">
      <c r="L919"/>
    </row>
    <row r="920" spans="12:12" x14ac:dyDescent="0.3">
      <c r="L920"/>
    </row>
    <row r="921" spans="12:12" x14ac:dyDescent="0.3">
      <c r="L921"/>
    </row>
    <row r="922" spans="12:12" x14ac:dyDescent="0.3">
      <c r="L922"/>
    </row>
    <row r="923" spans="12:12" x14ac:dyDescent="0.3">
      <c r="L923"/>
    </row>
    <row r="924" spans="12:12" x14ac:dyDescent="0.3">
      <c r="L924"/>
    </row>
    <row r="925" spans="12:12" x14ac:dyDescent="0.3">
      <c r="L925"/>
    </row>
    <row r="926" spans="12:12" x14ac:dyDescent="0.3">
      <c r="L926"/>
    </row>
    <row r="927" spans="12:12" x14ac:dyDescent="0.3">
      <c r="L927"/>
    </row>
    <row r="928" spans="12:12" x14ac:dyDescent="0.3">
      <c r="L928"/>
    </row>
    <row r="929" spans="12:12" x14ac:dyDescent="0.3">
      <c r="L929"/>
    </row>
    <row r="930" spans="12:12" x14ac:dyDescent="0.3">
      <c r="L930"/>
    </row>
    <row r="931" spans="12:12" x14ac:dyDescent="0.3">
      <c r="L931"/>
    </row>
    <row r="932" spans="12:12" x14ac:dyDescent="0.3">
      <c r="L932"/>
    </row>
    <row r="933" spans="12:12" x14ac:dyDescent="0.3">
      <c r="L933"/>
    </row>
    <row r="934" spans="12:12" x14ac:dyDescent="0.3">
      <c r="L934"/>
    </row>
    <row r="935" spans="12:12" x14ac:dyDescent="0.3">
      <c r="L935"/>
    </row>
    <row r="936" spans="12:12" x14ac:dyDescent="0.3">
      <c r="L936"/>
    </row>
    <row r="937" spans="12:12" x14ac:dyDescent="0.3">
      <c r="L937"/>
    </row>
    <row r="938" spans="12:12" x14ac:dyDescent="0.3">
      <c r="L938"/>
    </row>
    <row r="939" spans="12:12" x14ac:dyDescent="0.3">
      <c r="L939"/>
    </row>
    <row r="940" spans="12:12" x14ac:dyDescent="0.3">
      <c r="L940"/>
    </row>
    <row r="941" spans="12:12" x14ac:dyDescent="0.3">
      <c r="L941"/>
    </row>
    <row r="942" spans="12:12" x14ac:dyDescent="0.3">
      <c r="L942"/>
    </row>
    <row r="943" spans="12:12" x14ac:dyDescent="0.3">
      <c r="L943"/>
    </row>
    <row r="944" spans="12:12" x14ac:dyDescent="0.3">
      <c r="L944"/>
    </row>
    <row r="945" spans="12:12" x14ac:dyDescent="0.3">
      <c r="L945"/>
    </row>
    <row r="946" spans="12:12" x14ac:dyDescent="0.3">
      <c r="L946"/>
    </row>
    <row r="947" spans="12:12" x14ac:dyDescent="0.3">
      <c r="L947"/>
    </row>
    <row r="948" spans="12:12" x14ac:dyDescent="0.3">
      <c r="L948"/>
    </row>
    <row r="949" spans="12:12" x14ac:dyDescent="0.3">
      <c r="L949"/>
    </row>
    <row r="950" spans="12:12" x14ac:dyDescent="0.3">
      <c r="L950"/>
    </row>
    <row r="951" spans="12:12" x14ac:dyDescent="0.3">
      <c r="L951"/>
    </row>
    <row r="952" spans="12:12" x14ac:dyDescent="0.3">
      <c r="L952"/>
    </row>
    <row r="953" spans="12:12" x14ac:dyDescent="0.3">
      <c r="L953"/>
    </row>
    <row r="954" spans="12:12" x14ac:dyDescent="0.3">
      <c r="L954"/>
    </row>
    <row r="955" spans="12:12" x14ac:dyDescent="0.3">
      <c r="L955"/>
    </row>
    <row r="956" spans="12:12" x14ac:dyDescent="0.3">
      <c r="L956"/>
    </row>
    <row r="957" spans="12:12" x14ac:dyDescent="0.3">
      <c r="L957"/>
    </row>
    <row r="958" spans="12:12" x14ac:dyDescent="0.3">
      <c r="L958"/>
    </row>
    <row r="959" spans="12:12" x14ac:dyDescent="0.3">
      <c r="L959"/>
    </row>
    <row r="960" spans="12:12" x14ac:dyDescent="0.3">
      <c r="L960"/>
    </row>
    <row r="961" spans="12:12" x14ac:dyDescent="0.3">
      <c r="L961"/>
    </row>
    <row r="962" spans="12:12" x14ac:dyDescent="0.3">
      <c r="L962"/>
    </row>
    <row r="963" spans="12:12" x14ac:dyDescent="0.3">
      <c r="L963"/>
    </row>
    <row r="964" spans="12:12" x14ac:dyDescent="0.3">
      <c r="L964"/>
    </row>
    <row r="965" spans="12:12" x14ac:dyDescent="0.3">
      <c r="L965"/>
    </row>
    <row r="966" spans="12:12" x14ac:dyDescent="0.3">
      <c r="L966"/>
    </row>
    <row r="967" spans="12:12" x14ac:dyDescent="0.3">
      <c r="L967"/>
    </row>
    <row r="968" spans="12:12" x14ac:dyDescent="0.3">
      <c r="L968"/>
    </row>
    <row r="969" spans="12:12" x14ac:dyDescent="0.3">
      <c r="L969"/>
    </row>
    <row r="970" spans="12:12" x14ac:dyDescent="0.3">
      <c r="L970"/>
    </row>
    <row r="971" spans="12:12" x14ac:dyDescent="0.3">
      <c r="L971"/>
    </row>
    <row r="972" spans="12:12" x14ac:dyDescent="0.3">
      <c r="L972"/>
    </row>
    <row r="973" spans="12:12" x14ac:dyDescent="0.3">
      <c r="L973"/>
    </row>
    <row r="974" spans="12:12" x14ac:dyDescent="0.3">
      <c r="L974"/>
    </row>
    <row r="975" spans="12:12" x14ac:dyDescent="0.3">
      <c r="L975"/>
    </row>
    <row r="976" spans="12:12" x14ac:dyDescent="0.3">
      <c r="L976"/>
    </row>
    <row r="977" spans="12:12" x14ac:dyDescent="0.3">
      <c r="L977"/>
    </row>
    <row r="978" spans="12:12" x14ac:dyDescent="0.3">
      <c r="L978"/>
    </row>
    <row r="979" spans="12:12" x14ac:dyDescent="0.3">
      <c r="L979"/>
    </row>
    <row r="980" spans="12:12" x14ac:dyDescent="0.3">
      <c r="L980"/>
    </row>
    <row r="981" spans="12:12" x14ac:dyDescent="0.3">
      <c r="L981"/>
    </row>
    <row r="982" spans="12:12" x14ac:dyDescent="0.3">
      <c r="L982"/>
    </row>
    <row r="983" spans="12:12" x14ac:dyDescent="0.3">
      <c r="L983"/>
    </row>
    <row r="984" spans="12:12" x14ac:dyDescent="0.3">
      <c r="L984"/>
    </row>
    <row r="985" spans="12:12" x14ac:dyDescent="0.3">
      <c r="L985"/>
    </row>
    <row r="986" spans="12:12" x14ac:dyDescent="0.3">
      <c r="L986"/>
    </row>
    <row r="987" spans="12:12" x14ac:dyDescent="0.3">
      <c r="L987"/>
    </row>
    <row r="988" spans="12:12" x14ac:dyDescent="0.3">
      <c r="L988"/>
    </row>
    <row r="989" spans="12:12" x14ac:dyDescent="0.3">
      <c r="L989"/>
    </row>
    <row r="990" spans="12:12" x14ac:dyDescent="0.3">
      <c r="L990"/>
    </row>
    <row r="991" spans="12:12" x14ac:dyDescent="0.3">
      <c r="L991"/>
    </row>
    <row r="992" spans="12:12" x14ac:dyDescent="0.3">
      <c r="L992"/>
    </row>
    <row r="993" spans="12:12" x14ac:dyDescent="0.3">
      <c r="L993"/>
    </row>
    <row r="994" spans="12:12" x14ac:dyDescent="0.3">
      <c r="L994"/>
    </row>
    <row r="995" spans="12:12" x14ac:dyDescent="0.3">
      <c r="L995"/>
    </row>
    <row r="996" spans="12:12" x14ac:dyDescent="0.3">
      <c r="L996"/>
    </row>
    <row r="997" spans="12:12" x14ac:dyDescent="0.3">
      <c r="L997"/>
    </row>
    <row r="998" spans="12:12" x14ac:dyDescent="0.3">
      <c r="L998"/>
    </row>
    <row r="999" spans="12:12" x14ac:dyDescent="0.3">
      <c r="L999"/>
    </row>
    <row r="1000" spans="12:12" x14ac:dyDescent="0.3">
      <c r="L1000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G_amp">
                <anchor moveWithCells="1" sizeWithCells="1">
                  <from>
                    <xdr:col>0</xdr:col>
                    <xdr:colOff>87630</xdr:colOff>
                    <xdr:row>1</xdr:row>
                    <xdr:rowOff>38100</xdr:rowOff>
                  </from>
                  <to>
                    <xdr:col>0</xdr:col>
                    <xdr:colOff>457200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G_amp_clear">
                <anchor moveWithCells="1" sizeWithCells="1">
                  <from>
                    <xdr:col>0</xdr:col>
                    <xdr:colOff>87630</xdr:colOff>
                    <xdr:row>4</xdr:row>
                    <xdr:rowOff>38100</xdr:rowOff>
                  </from>
                  <to>
                    <xdr:col>0</xdr:col>
                    <xdr:colOff>457200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56B9-44A5-41E7-B01C-01A85A872703}">
  <sheetPr codeName="Sheet9"/>
  <dimension ref="A1:AL107"/>
  <sheetViews>
    <sheetView topLeftCell="A13" zoomScaleNormal="100" workbookViewId="0">
      <selection activeCell="F5" sqref="F5"/>
    </sheetView>
  </sheetViews>
  <sheetFormatPr defaultColWidth="17.87890625" defaultRowHeight="12.9" x14ac:dyDescent="0.3"/>
  <cols>
    <col min="1" max="1" width="5.29296875" style="34" customWidth="1"/>
    <col min="2" max="54" width="11" style="34" customWidth="1"/>
    <col min="55" max="256" width="17.87890625" style="34"/>
    <col min="257" max="257" width="5.29296875" style="34" customWidth="1"/>
    <col min="258" max="310" width="11" style="34" customWidth="1"/>
    <col min="311" max="512" width="17.87890625" style="34"/>
    <col min="513" max="513" width="5.29296875" style="34" customWidth="1"/>
    <col min="514" max="566" width="11" style="34" customWidth="1"/>
    <col min="567" max="768" width="17.87890625" style="34"/>
    <col min="769" max="769" width="5.29296875" style="34" customWidth="1"/>
    <col min="770" max="822" width="11" style="34" customWidth="1"/>
    <col min="823" max="1024" width="17.87890625" style="34"/>
    <col min="1025" max="1025" width="5.29296875" style="34" customWidth="1"/>
    <col min="1026" max="1078" width="11" style="34" customWidth="1"/>
    <col min="1079" max="1280" width="17.87890625" style="34"/>
    <col min="1281" max="1281" width="5.29296875" style="34" customWidth="1"/>
    <col min="1282" max="1334" width="11" style="34" customWidth="1"/>
    <col min="1335" max="1536" width="17.87890625" style="34"/>
    <col min="1537" max="1537" width="5.29296875" style="34" customWidth="1"/>
    <col min="1538" max="1590" width="11" style="34" customWidth="1"/>
    <col min="1591" max="1792" width="17.87890625" style="34"/>
    <col min="1793" max="1793" width="5.29296875" style="34" customWidth="1"/>
    <col min="1794" max="1846" width="11" style="34" customWidth="1"/>
    <col min="1847" max="2048" width="17.87890625" style="34"/>
    <col min="2049" max="2049" width="5.29296875" style="34" customWidth="1"/>
    <col min="2050" max="2102" width="11" style="34" customWidth="1"/>
    <col min="2103" max="2304" width="17.87890625" style="34"/>
    <col min="2305" max="2305" width="5.29296875" style="34" customWidth="1"/>
    <col min="2306" max="2358" width="11" style="34" customWidth="1"/>
    <col min="2359" max="2560" width="17.87890625" style="34"/>
    <col min="2561" max="2561" width="5.29296875" style="34" customWidth="1"/>
    <col min="2562" max="2614" width="11" style="34" customWidth="1"/>
    <col min="2615" max="2816" width="17.87890625" style="34"/>
    <col min="2817" max="2817" width="5.29296875" style="34" customWidth="1"/>
    <col min="2818" max="2870" width="11" style="34" customWidth="1"/>
    <col min="2871" max="3072" width="17.87890625" style="34"/>
    <col min="3073" max="3073" width="5.29296875" style="34" customWidth="1"/>
    <col min="3074" max="3126" width="11" style="34" customWidth="1"/>
    <col min="3127" max="3328" width="17.87890625" style="34"/>
    <col min="3329" max="3329" width="5.29296875" style="34" customWidth="1"/>
    <col min="3330" max="3382" width="11" style="34" customWidth="1"/>
    <col min="3383" max="3584" width="17.87890625" style="34"/>
    <col min="3585" max="3585" width="5.29296875" style="34" customWidth="1"/>
    <col min="3586" max="3638" width="11" style="34" customWidth="1"/>
    <col min="3639" max="3840" width="17.87890625" style="34"/>
    <col min="3841" max="3841" width="5.29296875" style="34" customWidth="1"/>
    <col min="3842" max="3894" width="11" style="34" customWidth="1"/>
    <col min="3895" max="4096" width="17.87890625" style="34"/>
    <col min="4097" max="4097" width="5.29296875" style="34" customWidth="1"/>
    <col min="4098" max="4150" width="11" style="34" customWidth="1"/>
    <col min="4151" max="4352" width="17.87890625" style="34"/>
    <col min="4353" max="4353" width="5.29296875" style="34" customWidth="1"/>
    <col min="4354" max="4406" width="11" style="34" customWidth="1"/>
    <col min="4407" max="4608" width="17.87890625" style="34"/>
    <col min="4609" max="4609" width="5.29296875" style="34" customWidth="1"/>
    <col min="4610" max="4662" width="11" style="34" customWidth="1"/>
    <col min="4663" max="4864" width="17.87890625" style="34"/>
    <col min="4865" max="4865" width="5.29296875" style="34" customWidth="1"/>
    <col min="4866" max="4918" width="11" style="34" customWidth="1"/>
    <col min="4919" max="5120" width="17.87890625" style="34"/>
    <col min="5121" max="5121" width="5.29296875" style="34" customWidth="1"/>
    <col min="5122" max="5174" width="11" style="34" customWidth="1"/>
    <col min="5175" max="5376" width="17.87890625" style="34"/>
    <col min="5377" max="5377" width="5.29296875" style="34" customWidth="1"/>
    <col min="5378" max="5430" width="11" style="34" customWidth="1"/>
    <col min="5431" max="5632" width="17.87890625" style="34"/>
    <col min="5633" max="5633" width="5.29296875" style="34" customWidth="1"/>
    <col min="5634" max="5686" width="11" style="34" customWidth="1"/>
    <col min="5687" max="5888" width="17.87890625" style="34"/>
    <col min="5889" max="5889" width="5.29296875" style="34" customWidth="1"/>
    <col min="5890" max="5942" width="11" style="34" customWidth="1"/>
    <col min="5943" max="6144" width="17.87890625" style="34"/>
    <col min="6145" max="6145" width="5.29296875" style="34" customWidth="1"/>
    <col min="6146" max="6198" width="11" style="34" customWidth="1"/>
    <col min="6199" max="6400" width="17.87890625" style="34"/>
    <col min="6401" max="6401" width="5.29296875" style="34" customWidth="1"/>
    <col min="6402" max="6454" width="11" style="34" customWidth="1"/>
    <col min="6455" max="6656" width="17.87890625" style="34"/>
    <col min="6657" max="6657" width="5.29296875" style="34" customWidth="1"/>
    <col min="6658" max="6710" width="11" style="34" customWidth="1"/>
    <col min="6711" max="6912" width="17.87890625" style="34"/>
    <col min="6913" max="6913" width="5.29296875" style="34" customWidth="1"/>
    <col min="6914" max="6966" width="11" style="34" customWidth="1"/>
    <col min="6967" max="7168" width="17.87890625" style="34"/>
    <col min="7169" max="7169" width="5.29296875" style="34" customWidth="1"/>
    <col min="7170" max="7222" width="11" style="34" customWidth="1"/>
    <col min="7223" max="7424" width="17.87890625" style="34"/>
    <col min="7425" max="7425" width="5.29296875" style="34" customWidth="1"/>
    <col min="7426" max="7478" width="11" style="34" customWidth="1"/>
    <col min="7479" max="7680" width="17.87890625" style="34"/>
    <col min="7681" max="7681" width="5.29296875" style="34" customWidth="1"/>
    <col min="7682" max="7734" width="11" style="34" customWidth="1"/>
    <col min="7735" max="7936" width="17.87890625" style="34"/>
    <col min="7937" max="7937" width="5.29296875" style="34" customWidth="1"/>
    <col min="7938" max="7990" width="11" style="34" customWidth="1"/>
    <col min="7991" max="8192" width="17.87890625" style="34"/>
    <col min="8193" max="8193" width="5.29296875" style="34" customWidth="1"/>
    <col min="8194" max="8246" width="11" style="34" customWidth="1"/>
    <col min="8247" max="8448" width="17.87890625" style="34"/>
    <col min="8449" max="8449" width="5.29296875" style="34" customWidth="1"/>
    <col min="8450" max="8502" width="11" style="34" customWidth="1"/>
    <col min="8503" max="8704" width="17.87890625" style="34"/>
    <col min="8705" max="8705" width="5.29296875" style="34" customWidth="1"/>
    <col min="8706" max="8758" width="11" style="34" customWidth="1"/>
    <col min="8759" max="8960" width="17.87890625" style="34"/>
    <col min="8961" max="8961" width="5.29296875" style="34" customWidth="1"/>
    <col min="8962" max="9014" width="11" style="34" customWidth="1"/>
    <col min="9015" max="9216" width="17.87890625" style="34"/>
    <col min="9217" max="9217" width="5.29296875" style="34" customWidth="1"/>
    <col min="9218" max="9270" width="11" style="34" customWidth="1"/>
    <col min="9271" max="9472" width="17.87890625" style="34"/>
    <col min="9473" max="9473" width="5.29296875" style="34" customWidth="1"/>
    <col min="9474" max="9526" width="11" style="34" customWidth="1"/>
    <col min="9527" max="9728" width="17.87890625" style="34"/>
    <col min="9729" max="9729" width="5.29296875" style="34" customWidth="1"/>
    <col min="9730" max="9782" width="11" style="34" customWidth="1"/>
    <col min="9783" max="9984" width="17.87890625" style="34"/>
    <col min="9985" max="9985" width="5.29296875" style="34" customWidth="1"/>
    <col min="9986" max="10038" width="11" style="34" customWidth="1"/>
    <col min="10039" max="10240" width="17.87890625" style="34"/>
    <col min="10241" max="10241" width="5.29296875" style="34" customWidth="1"/>
    <col min="10242" max="10294" width="11" style="34" customWidth="1"/>
    <col min="10295" max="10496" width="17.87890625" style="34"/>
    <col min="10497" max="10497" width="5.29296875" style="34" customWidth="1"/>
    <col min="10498" max="10550" width="11" style="34" customWidth="1"/>
    <col min="10551" max="10752" width="17.87890625" style="34"/>
    <col min="10753" max="10753" width="5.29296875" style="34" customWidth="1"/>
    <col min="10754" max="10806" width="11" style="34" customWidth="1"/>
    <col min="10807" max="11008" width="17.87890625" style="34"/>
    <col min="11009" max="11009" width="5.29296875" style="34" customWidth="1"/>
    <col min="11010" max="11062" width="11" style="34" customWidth="1"/>
    <col min="11063" max="11264" width="17.87890625" style="34"/>
    <col min="11265" max="11265" width="5.29296875" style="34" customWidth="1"/>
    <col min="11266" max="11318" width="11" style="34" customWidth="1"/>
    <col min="11319" max="11520" width="17.87890625" style="34"/>
    <col min="11521" max="11521" width="5.29296875" style="34" customWidth="1"/>
    <col min="11522" max="11574" width="11" style="34" customWidth="1"/>
    <col min="11575" max="11776" width="17.87890625" style="34"/>
    <col min="11777" max="11777" width="5.29296875" style="34" customWidth="1"/>
    <col min="11778" max="11830" width="11" style="34" customWidth="1"/>
    <col min="11831" max="12032" width="17.87890625" style="34"/>
    <col min="12033" max="12033" width="5.29296875" style="34" customWidth="1"/>
    <col min="12034" max="12086" width="11" style="34" customWidth="1"/>
    <col min="12087" max="12288" width="17.87890625" style="34"/>
    <col min="12289" max="12289" width="5.29296875" style="34" customWidth="1"/>
    <col min="12290" max="12342" width="11" style="34" customWidth="1"/>
    <col min="12343" max="12544" width="17.87890625" style="34"/>
    <col min="12545" max="12545" width="5.29296875" style="34" customWidth="1"/>
    <col min="12546" max="12598" width="11" style="34" customWidth="1"/>
    <col min="12599" max="12800" width="17.87890625" style="34"/>
    <col min="12801" max="12801" width="5.29296875" style="34" customWidth="1"/>
    <col min="12802" max="12854" width="11" style="34" customWidth="1"/>
    <col min="12855" max="13056" width="17.87890625" style="34"/>
    <col min="13057" max="13057" width="5.29296875" style="34" customWidth="1"/>
    <col min="13058" max="13110" width="11" style="34" customWidth="1"/>
    <col min="13111" max="13312" width="17.87890625" style="34"/>
    <col min="13313" max="13313" width="5.29296875" style="34" customWidth="1"/>
    <col min="13314" max="13366" width="11" style="34" customWidth="1"/>
    <col min="13367" max="13568" width="17.87890625" style="34"/>
    <col min="13569" max="13569" width="5.29296875" style="34" customWidth="1"/>
    <col min="13570" max="13622" width="11" style="34" customWidth="1"/>
    <col min="13623" max="13824" width="17.87890625" style="34"/>
    <col min="13825" max="13825" width="5.29296875" style="34" customWidth="1"/>
    <col min="13826" max="13878" width="11" style="34" customWidth="1"/>
    <col min="13879" max="14080" width="17.87890625" style="34"/>
    <col min="14081" max="14081" width="5.29296875" style="34" customWidth="1"/>
    <col min="14082" max="14134" width="11" style="34" customWidth="1"/>
    <col min="14135" max="14336" width="17.87890625" style="34"/>
    <col min="14337" max="14337" width="5.29296875" style="34" customWidth="1"/>
    <col min="14338" max="14390" width="11" style="34" customWidth="1"/>
    <col min="14391" max="14592" width="17.87890625" style="34"/>
    <col min="14593" max="14593" width="5.29296875" style="34" customWidth="1"/>
    <col min="14594" max="14646" width="11" style="34" customWidth="1"/>
    <col min="14647" max="14848" width="17.87890625" style="34"/>
    <col min="14849" max="14849" width="5.29296875" style="34" customWidth="1"/>
    <col min="14850" max="14902" width="11" style="34" customWidth="1"/>
    <col min="14903" max="15104" width="17.87890625" style="34"/>
    <col min="15105" max="15105" width="5.29296875" style="34" customWidth="1"/>
    <col min="15106" max="15158" width="11" style="34" customWidth="1"/>
    <col min="15159" max="15360" width="17.87890625" style="34"/>
    <col min="15361" max="15361" width="5.29296875" style="34" customWidth="1"/>
    <col min="15362" max="15414" width="11" style="34" customWidth="1"/>
    <col min="15415" max="15616" width="17.87890625" style="34"/>
    <col min="15617" max="15617" width="5.29296875" style="34" customWidth="1"/>
    <col min="15618" max="15670" width="11" style="34" customWidth="1"/>
    <col min="15671" max="15872" width="17.87890625" style="34"/>
    <col min="15873" max="15873" width="5.29296875" style="34" customWidth="1"/>
    <col min="15874" max="15926" width="11" style="34" customWidth="1"/>
    <col min="15927" max="16128" width="17.87890625" style="34"/>
    <col min="16129" max="16129" width="5.29296875" style="34" customWidth="1"/>
    <col min="16130" max="16182" width="11" style="34" customWidth="1"/>
    <col min="16183" max="16384" width="17.87890625" style="34"/>
  </cols>
  <sheetData>
    <row r="1" spans="1:38" x14ac:dyDescent="0.3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  <c r="I1" s="34">
        <v>9</v>
      </c>
      <c r="J1" s="34">
        <v>10</v>
      </c>
      <c r="K1" s="34">
        <v>11</v>
      </c>
      <c r="L1" s="34">
        <v>12</v>
      </c>
      <c r="M1" s="34">
        <v>13</v>
      </c>
      <c r="N1" s="34">
        <v>14</v>
      </c>
      <c r="O1" s="34">
        <v>15</v>
      </c>
      <c r="P1" s="34">
        <v>16</v>
      </c>
      <c r="Q1" s="34">
        <v>17</v>
      </c>
    </row>
    <row r="2" spans="1:38" x14ac:dyDescent="0.3">
      <c r="B2" s="34" t="s">
        <v>50</v>
      </c>
      <c r="D2" s="34" t="s">
        <v>87</v>
      </c>
    </row>
    <row r="3" spans="1:38" x14ac:dyDescent="0.3">
      <c r="B3" s="34">
        <v>5</v>
      </c>
      <c r="H3" s="34" t="s">
        <v>52</v>
      </c>
      <c r="J3" s="34" t="s">
        <v>53</v>
      </c>
      <c r="K3" s="34" t="s">
        <v>54</v>
      </c>
    </row>
    <row r="4" spans="1:38" x14ac:dyDescent="0.3">
      <c r="B4" s="34" t="s">
        <v>55</v>
      </c>
      <c r="C4" s="34" t="s">
        <v>56</v>
      </c>
      <c r="D4" s="34" t="s">
        <v>57</v>
      </c>
      <c r="E4" s="34" t="s">
        <v>58</v>
      </c>
      <c r="F4" s="34" t="s">
        <v>59</v>
      </c>
      <c r="G4" s="34" t="s">
        <v>60</v>
      </c>
      <c r="H4" s="34" t="s">
        <v>61</v>
      </c>
      <c r="I4" s="34" t="s">
        <v>62</v>
      </c>
      <c r="J4" s="34" t="s">
        <v>63</v>
      </c>
      <c r="K4" s="34" t="s">
        <v>64</v>
      </c>
      <c r="L4" s="34" t="s">
        <v>65</v>
      </c>
      <c r="N4" s="34" t="s">
        <v>66</v>
      </c>
      <c r="O4" s="34" t="s">
        <v>67</v>
      </c>
      <c r="P4" s="34" t="s">
        <v>68</v>
      </c>
      <c r="Q4" s="34" t="s">
        <v>69</v>
      </c>
      <c r="R4" s="34" t="s">
        <v>70</v>
      </c>
      <c r="S4" s="34" t="s">
        <v>71</v>
      </c>
      <c r="T4" s="34" t="s">
        <v>72</v>
      </c>
      <c r="U4" s="34" t="s">
        <v>73</v>
      </c>
      <c r="V4" s="34" t="s">
        <v>74</v>
      </c>
    </row>
    <row r="5" spans="1:38" x14ac:dyDescent="0.3">
      <c r="B5" s="34">
        <v>1</v>
      </c>
      <c r="C5" s="34">
        <v>6</v>
      </c>
      <c r="D5" s="34">
        <v>1.6</v>
      </c>
      <c r="E5" s="34">
        <v>240</v>
      </c>
      <c r="F5" s="34">
        <v>100</v>
      </c>
      <c r="G5" s="34" t="s">
        <v>75</v>
      </c>
      <c r="H5" s="34">
        <v>16000</v>
      </c>
      <c r="I5" s="34">
        <v>1</v>
      </c>
      <c r="J5" s="34">
        <v>16000</v>
      </c>
      <c r="K5" s="34">
        <v>2667</v>
      </c>
      <c r="L5" s="34">
        <v>4.8000000000000007</v>
      </c>
      <c r="N5" s="34">
        <v>1.76</v>
      </c>
      <c r="O5" s="34">
        <v>80.7</v>
      </c>
      <c r="P5" s="34">
        <v>0.19700000000000001</v>
      </c>
      <c r="Q5" s="34">
        <v>0.182</v>
      </c>
      <c r="R5" s="34">
        <v>2.0680000000000001</v>
      </c>
      <c r="S5" s="34">
        <v>0.94699999999999995</v>
      </c>
      <c r="T5" s="34">
        <v>0.59199999999999997</v>
      </c>
      <c r="U5" s="34">
        <v>1.4859999418258667</v>
      </c>
      <c r="V5" s="34">
        <v>0.49500000476837158</v>
      </c>
    </row>
    <row r="6" spans="1:38" x14ac:dyDescent="0.3">
      <c r="B6" s="34">
        <v>2</v>
      </c>
      <c r="C6" s="34">
        <v>10</v>
      </c>
      <c r="D6" s="34">
        <v>1.8</v>
      </c>
      <c r="E6" s="34">
        <v>340</v>
      </c>
      <c r="F6" s="34">
        <v>130</v>
      </c>
      <c r="G6" s="34" t="s">
        <v>76</v>
      </c>
      <c r="H6" s="34">
        <v>30420</v>
      </c>
      <c r="I6" s="34">
        <v>1</v>
      </c>
      <c r="J6" s="34">
        <v>30420</v>
      </c>
      <c r="K6" s="34">
        <v>3042</v>
      </c>
      <c r="L6" s="34">
        <v>13.8</v>
      </c>
      <c r="O6" s="35" t="s">
        <v>88</v>
      </c>
      <c r="P6" s="36" t="s">
        <v>89</v>
      </c>
      <c r="R6" s="34">
        <v>1.5</v>
      </c>
    </row>
    <row r="7" spans="1:38" x14ac:dyDescent="0.3">
      <c r="B7" s="34">
        <v>3</v>
      </c>
      <c r="C7" s="34">
        <v>6</v>
      </c>
      <c r="D7" s="34">
        <v>1.8</v>
      </c>
      <c r="E7" s="34">
        <v>360</v>
      </c>
      <c r="F7" s="34">
        <v>150</v>
      </c>
      <c r="G7" s="34" t="s">
        <v>77</v>
      </c>
      <c r="H7" s="34">
        <v>40500</v>
      </c>
      <c r="I7" s="34">
        <v>1</v>
      </c>
      <c r="J7" s="34">
        <v>40500</v>
      </c>
      <c r="K7" s="34">
        <v>6750</v>
      </c>
      <c r="L7" s="34">
        <v>14.4</v>
      </c>
      <c r="O7" s="35" t="s">
        <v>90</v>
      </c>
      <c r="P7" s="36" t="s">
        <v>91</v>
      </c>
      <c r="R7" s="34">
        <v>1.5</v>
      </c>
    </row>
    <row r="8" spans="1:38" x14ac:dyDescent="0.3">
      <c r="B8" s="34">
        <v>4</v>
      </c>
      <c r="C8" s="34">
        <v>8</v>
      </c>
      <c r="D8" s="34">
        <v>1.8</v>
      </c>
      <c r="E8" s="34">
        <v>400</v>
      </c>
      <c r="F8" s="34">
        <v>200</v>
      </c>
      <c r="G8" s="34" t="s">
        <v>77</v>
      </c>
      <c r="H8" s="34">
        <v>72000</v>
      </c>
      <c r="I8" s="34">
        <v>1</v>
      </c>
      <c r="J8" s="34">
        <v>72000</v>
      </c>
      <c r="K8" s="34">
        <v>9000</v>
      </c>
      <c r="L8" s="34">
        <v>12.600000000000001</v>
      </c>
      <c r="O8" s="35" t="s">
        <v>92</v>
      </c>
      <c r="P8" s="36">
        <v>2.0680000000000001</v>
      </c>
      <c r="R8" s="34">
        <v>1.5</v>
      </c>
    </row>
    <row r="9" spans="1:38" x14ac:dyDescent="0.3">
      <c r="B9" s="34">
        <v>5</v>
      </c>
      <c r="D9" s="34">
        <v>1.8</v>
      </c>
      <c r="E9" s="34">
        <v>1220</v>
      </c>
      <c r="F9" s="34">
        <v>400</v>
      </c>
      <c r="G9" s="34" t="s">
        <v>77</v>
      </c>
      <c r="H9" s="34">
        <v>288000</v>
      </c>
      <c r="I9" s="34">
        <v>1</v>
      </c>
      <c r="J9" s="34">
        <v>288000</v>
      </c>
      <c r="K9" s="34">
        <v>833146</v>
      </c>
      <c r="L9" s="34">
        <v>7.2</v>
      </c>
      <c r="O9" s="35" t="s">
        <v>93</v>
      </c>
      <c r="P9" s="36" t="s">
        <v>94</v>
      </c>
      <c r="R9" s="34">
        <v>1.35</v>
      </c>
    </row>
    <row r="10" spans="1:38" x14ac:dyDescent="0.3">
      <c r="A10" s="34">
        <v>1</v>
      </c>
      <c r="M10" s="34">
        <v>13</v>
      </c>
      <c r="N10" s="34">
        <v>14</v>
      </c>
      <c r="O10" s="34">
        <v>15</v>
      </c>
      <c r="P10" s="34">
        <v>16</v>
      </c>
      <c r="Q10" s="34">
        <v>17</v>
      </c>
      <c r="R10" s="34">
        <v>18</v>
      </c>
      <c r="S10" s="34">
        <v>19</v>
      </c>
      <c r="T10" s="34">
        <v>20</v>
      </c>
      <c r="U10" s="34">
        <v>21</v>
      </c>
      <c r="V10" s="34">
        <v>22</v>
      </c>
      <c r="W10" s="34">
        <v>23</v>
      </c>
      <c r="X10" s="34">
        <v>24</v>
      </c>
      <c r="Y10" s="34">
        <v>24</v>
      </c>
      <c r="Z10" s="34">
        <v>25</v>
      </c>
      <c r="AA10" s="34">
        <v>26</v>
      </c>
      <c r="AB10" s="34">
        <v>27</v>
      </c>
      <c r="AC10" s="34">
        <v>28</v>
      </c>
      <c r="AD10" s="34">
        <v>29</v>
      </c>
      <c r="AE10" s="34">
        <v>30</v>
      </c>
    </row>
    <row r="11" spans="1:38" x14ac:dyDescent="0.3">
      <c r="B11" s="34" t="s">
        <v>78</v>
      </c>
      <c r="C11" s="34" t="s">
        <v>79</v>
      </c>
      <c r="D11" s="34" t="s">
        <v>80</v>
      </c>
      <c r="E11" s="34" t="s">
        <v>81</v>
      </c>
      <c r="F11" s="34" t="s">
        <v>82</v>
      </c>
      <c r="G11" s="34" t="s">
        <v>83</v>
      </c>
      <c r="H11" s="34" t="s">
        <v>84</v>
      </c>
      <c r="I11" s="34" t="s">
        <v>85</v>
      </c>
      <c r="J11" s="34" t="s">
        <v>86</v>
      </c>
      <c r="K11" s="34" t="s">
        <v>95</v>
      </c>
      <c r="L11" s="34" t="s">
        <v>96</v>
      </c>
      <c r="M11" s="34" t="s">
        <v>97</v>
      </c>
      <c r="N11" s="34" t="s">
        <v>98</v>
      </c>
      <c r="O11" s="34" t="s">
        <v>99</v>
      </c>
      <c r="P11" s="34" t="s">
        <v>100</v>
      </c>
      <c r="Q11" s="34" t="s">
        <v>101</v>
      </c>
    </row>
    <row r="12" spans="1:38" x14ac:dyDescent="0.3">
      <c r="B12" s="34">
        <v>1.7600000000000002</v>
      </c>
      <c r="C12" s="34">
        <v>146.69999999999999</v>
      </c>
      <c r="D12" s="34">
        <v>0.35899999999999999</v>
      </c>
      <c r="E12" s="34">
        <v>0.02</v>
      </c>
      <c r="F12" s="34">
        <v>2.5649999999999999</v>
      </c>
      <c r="G12" s="34">
        <v>2.2090000000000001</v>
      </c>
      <c r="H12" s="34">
        <v>8.1000000000000003E-2</v>
      </c>
      <c r="I12" s="34">
        <v>0.81800001859664917</v>
      </c>
      <c r="J12" s="34">
        <v>0.27300000190734863</v>
      </c>
      <c r="K12" s="34">
        <v>1</v>
      </c>
      <c r="L12" s="34">
        <v>1</v>
      </c>
      <c r="M12" s="34">
        <v>0.18076974026604106</v>
      </c>
      <c r="N12" s="34">
        <v>2.5631733770515716E-3</v>
      </c>
      <c r="O12" s="34">
        <v>0.33983055711459631</v>
      </c>
      <c r="P12" s="34">
        <v>0.17313712078692828</v>
      </c>
      <c r="Q12" s="34">
        <v>0.74639804146661759</v>
      </c>
      <c r="T12" s="34">
        <v>1771.427490234375</v>
      </c>
      <c r="U12" s="34">
        <v>4.8000000000000007</v>
      </c>
      <c r="V12" s="34">
        <v>1.7933328197770104E-2</v>
      </c>
      <c r="W12" s="34">
        <v>1</v>
      </c>
      <c r="X12" s="34">
        <v>4.8000000000000007</v>
      </c>
      <c r="Y12" s="34">
        <v>1.4443064953267037E-2</v>
      </c>
      <c r="Z12" s="34">
        <v>1</v>
      </c>
      <c r="AA12" s="34">
        <v>4.8000000000000007</v>
      </c>
      <c r="AB12" s="34">
        <v>1.3876899550954187E-2</v>
      </c>
      <c r="AC12" s="34">
        <v>1</v>
      </c>
      <c r="AD12" s="34">
        <v>4.8000000000000007</v>
      </c>
      <c r="AE12" s="34">
        <v>1.3774112628133106E-2</v>
      </c>
      <c r="AF12" s="34">
        <v>1</v>
      </c>
      <c r="AG12" s="34">
        <v>4.8000000000000007</v>
      </c>
      <c r="AH12" s="34">
        <v>1.3755738354843575E-2</v>
      </c>
      <c r="AI12" s="34">
        <v>1</v>
      </c>
      <c r="AJ12" s="34">
        <v>4.8000000000000007</v>
      </c>
      <c r="AK12" s="34">
        <v>1.3752522007184194E-2</v>
      </c>
      <c r="AL12" s="34">
        <v>1</v>
      </c>
    </row>
    <row r="13" spans="1:38" x14ac:dyDescent="0.3">
      <c r="K13" s="34">
        <v>2</v>
      </c>
      <c r="L13" s="34">
        <v>0.86911491985775002</v>
      </c>
      <c r="M13" s="34">
        <v>0.15710967832402656</v>
      </c>
      <c r="N13" s="34">
        <v>4.7169043078188547E-3</v>
      </c>
      <c r="O13" s="34">
        <v>0.2482097750732532</v>
      </c>
      <c r="P13" s="34">
        <v>0.197018330154732</v>
      </c>
      <c r="Q13" s="34">
        <v>8.0097070496832217</v>
      </c>
      <c r="T13" s="34">
        <v>1387.1944580078125</v>
      </c>
      <c r="U13" s="34">
        <v>13.8</v>
      </c>
      <c r="V13" s="34">
        <v>1.6133328252701744E-2</v>
      </c>
      <c r="W13" s="34">
        <v>0.89962822710777246</v>
      </c>
      <c r="X13" s="34">
        <v>12.414869534087261</v>
      </c>
      <c r="Y13" s="34">
        <v>1.2643065008198676E-2</v>
      </c>
      <c r="Z13" s="34">
        <v>0.87537271687882301</v>
      </c>
      <c r="AA13" s="34">
        <v>12.080143492927759</v>
      </c>
      <c r="AB13" s="34">
        <v>1.2076899605885826E-2</v>
      </c>
      <c r="AC13" s="34">
        <v>0.87028803239088148</v>
      </c>
      <c r="AD13" s="34">
        <v>12.009974846994165</v>
      </c>
      <c r="AE13" s="34">
        <v>1.1974112683064744E-2</v>
      </c>
      <c r="AF13" s="34">
        <v>0.86932007936453704</v>
      </c>
      <c r="AG13" s="34">
        <v>11.996617095230611</v>
      </c>
      <c r="AH13" s="34">
        <v>1.1955738409775214E-2</v>
      </c>
      <c r="AI13" s="34">
        <v>0.86914552322561756</v>
      </c>
      <c r="AJ13" s="34">
        <v>11.994208220513523</v>
      </c>
      <c r="AK13" s="34">
        <v>1.1952522062115833E-2</v>
      </c>
      <c r="AL13" s="34">
        <v>0.86911491985775002</v>
      </c>
    </row>
    <row r="14" spans="1:38" x14ac:dyDescent="0.3">
      <c r="D14" s="34">
        <v>26.964670181274414</v>
      </c>
      <c r="J14" s="34">
        <v>12</v>
      </c>
      <c r="K14" s="34">
        <v>3</v>
      </c>
      <c r="L14" s="34">
        <v>0.46767738681140242</v>
      </c>
      <c r="M14" s="34">
        <v>8.4541919742198032E-2</v>
      </c>
      <c r="N14" s="34">
        <v>4.9638492984578272E-3</v>
      </c>
      <c r="O14" s="34">
        <v>0.13765071262775913</v>
      </c>
      <c r="P14" s="34">
        <v>0.24381924649228914</v>
      </c>
      <c r="Q14" s="34">
        <v>7.0857649295212584</v>
      </c>
      <c r="T14" s="34">
        <v>762.0712890625</v>
      </c>
      <c r="U14" s="34">
        <v>14.4</v>
      </c>
      <c r="V14" s="34">
        <v>1.0018929830611013E-2</v>
      </c>
      <c r="W14" s="34">
        <v>0.55867654459459481</v>
      </c>
      <c r="X14" s="34">
        <v>8.0449422421621648</v>
      </c>
      <c r="Y14" s="34">
        <v>6.9840020449878724E-3</v>
      </c>
      <c r="Z14" s="34">
        <v>0.48355401485666544</v>
      </c>
      <c r="AA14" s="34">
        <v>6.9631778139359826</v>
      </c>
      <c r="AB14" s="34">
        <v>6.5278715017018166E-3</v>
      </c>
      <c r="AC14" s="34">
        <v>0.47041282368098969</v>
      </c>
      <c r="AD14" s="34">
        <v>6.7739446610062517</v>
      </c>
      <c r="AE14" s="34">
        <v>6.4481511949009817E-3</v>
      </c>
      <c r="AF14" s="34">
        <v>0.46813550672809773</v>
      </c>
      <c r="AG14" s="34">
        <v>6.741151296884607</v>
      </c>
      <c r="AH14" s="34">
        <v>6.4341680300149875E-3</v>
      </c>
      <c r="AI14" s="34">
        <v>0.46774428707779492</v>
      </c>
      <c r="AJ14" s="34">
        <v>6.735517733920247</v>
      </c>
      <c r="AK14" s="34">
        <v>6.4317435543862064E-3</v>
      </c>
      <c r="AL14" s="34">
        <v>0.46767738681140242</v>
      </c>
    </row>
    <row r="15" spans="1:38" x14ac:dyDescent="0.3">
      <c r="D15" s="34">
        <v>0.18662991974606757</v>
      </c>
      <c r="K15" s="34">
        <v>4</v>
      </c>
      <c r="L15" s="34">
        <v>0.21420494555577047</v>
      </c>
      <c r="M15" s="34">
        <v>3.8721772371818092E-2</v>
      </c>
      <c r="N15" s="34">
        <v>3.1125002833754254E-3</v>
      </c>
      <c r="O15" s="34">
        <v>0.1798499920654881</v>
      </c>
      <c r="P15" s="34">
        <v>0.23190000226700341</v>
      </c>
      <c r="Q15" s="34">
        <v>6.6036580071845803</v>
      </c>
      <c r="T15" s="34">
        <v>1992.51416015625</v>
      </c>
      <c r="U15" s="34">
        <v>12.600000000000001</v>
      </c>
      <c r="V15" s="34">
        <v>5.1300409417221237E-3</v>
      </c>
      <c r="W15" s="34">
        <v>0.28606184446900446</v>
      </c>
      <c r="X15" s="34">
        <v>3.6043792403094566</v>
      </c>
      <c r="Y15" s="34">
        <v>3.2418077077657347E-3</v>
      </c>
      <c r="Z15" s="34">
        <v>0.224454277416542</v>
      </c>
      <c r="AA15" s="34">
        <v>2.8281238954484293</v>
      </c>
      <c r="AB15" s="34">
        <v>2.9955276043886706E-3</v>
      </c>
      <c r="AC15" s="34">
        <v>0.2158643285835917</v>
      </c>
      <c r="AD15" s="34">
        <v>2.7198905401532558</v>
      </c>
      <c r="AE15" s="34">
        <v>2.9542371937157342E-3</v>
      </c>
      <c r="AF15" s="34">
        <v>0.21447749655261392</v>
      </c>
      <c r="AG15" s="34">
        <v>2.7024164565629358</v>
      </c>
      <c r="AH15" s="34">
        <v>2.9470912311831028E-3</v>
      </c>
      <c r="AI15" s="34">
        <v>0.21424449601757609</v>
      </c>
      <c r="AJ15" s="34">
        <v>2.6994806498214592</v>
      </c>
      <c r="AK15" s="34">
        <v>2.9458582278034254E-3</v>
      </c>
      <c r="AL15" s="34">
        <v>0.21420494555577047</v>
      </c>
    </row>
    <row r="16" spans="1:38" x14ac:dyDescent="0.3">
      <c r="D16" s="34">
        <v>5.8601794800265221E-3</v>
      </c>
      <c r="K16" s="34">
        <v>5</v>
      </c>
      <c r="L16" s="34">
        <v>2.2906299241169477E-3</v>
      </c>
      <c r="M16" s="34">
        <v>4.1407657642824198E-4</v>
      </c>
      <c r="T16" s="34">
        <v>833145.625</v>
      </c>
      <c r="U16" s="34">
        <v>7.2</v>
      </c>
      <c r="V16" s="34">
        <v>6.3374275055456242E-5</v>
      </c>
      <c r="W16" s="34">
        <v>3.5338825206654295E-3</v>
      </c>
      <c r="X16" s="34">
        <v>2.5443954148791092E-2</v>
      </c>
      <c r="Y16" s="34">
        <v>3.4675372592525676E-5</v>
      </c>
      <c r="Z16" s="34">
        <v>2.4008320051681323E-3</v>
      </c>
      <c r="AA16" s="34">
        <v>1.7285990437210554E-2</v>
      </c>
      <c r="AB16" s="34">
        <v>3.2033693020652153E-5</v>
      </c>
      <c r="AC16" s="34">
        <v>2.308418599055831E-3</v>
      </c>
      <c r="AD16" s="34">
        <v>1.6620613913201982E-2</v>
      </c>
      <c r="AE16" s="34">
        <v>3.1591632809770645E-5</v>
      </c>
      <c r="AF16" s="34">
        <v>2.2935512190633556E-3</v>
      </c>
      <c r="AG16" s="34">
        <v>1.6513568777256162E-2</v>
      </c>
      <c r="AH16" s="34">
        <v>3.1515136885529955E-5</v>
      </c>
      <c r="AI16" s="34">
        <v>2.2910538186002253E-3</v>
      </c>
      <c r="AJ16" s="34">
        <v>1.6495587493921621E-2</v>
      </c>
      <c r="AK16" s="34">
        <v>3.1501938441732982E-5</v>
      </c>
      <c r="AL16" s="34">
        <v>2.2906299241169477E-3</v>
      </c>
    </row>
    <row r="17" spans="2:38" x14ac:dyDescent="0.3">
      <c r="W17" s="34">
        <v>21.494452891633006</v>
      </c>
      <c r="Z17" s="34">
        <v>19.376526623936225</v>
      </c>
      <c r="AC17" s="34">
        <v>19.025853526702576</v>
      </c>
      <c r="AF17" s="34">
        <v>18.96431779459169</v>
      </c>
      <c r="AI17" s="34">
        <v>18.953598983656516</v>
      </c>
      <c r="AL17" s="34">
        <v>18.951750193149394</v>
      </c>
    </row>
    <row r="18" spans="2:38" x14ac:dyDescent="0.3">
      <c r="W18" s="34">
        <v>1610.8342543529525</v>
      </c>
      <c r="Z18" s="34">
        <v>1410.0976791986432</v>
      </c>
      <c r="AC18" s="34">
        <v>1383.4962069733429</v>
      </c>
      <c r="AF18" s="34">
        <v>1378.9910201340317</v>
      </c>
      <c r="AI18" s="34">
        <v>1378.2107815615273</v>
      </c>
      <c r="AL18" s="34">
        <v>1378.0763336655291</v>
      </c>
    </row>
    <row r="19" spans="2:38" x14ac:dyDescent="0.3">
      <c r="W19" s="34">
        <v>0.72580111400689729</v>
      </c>
      <c r="Z19" s="34">
        <v>0.7365347243962479</v>
      </c>
      <c r="AC19" s="34">
        <v>0.73682261839281971</v>
      </c>
      <c r="AF19" s="34">
        <v>0.73683077072295478</v>
      </c>
      <c r="AI19" s="34">
        <v>0.73683098988505835</v>
      </c>
      <c r="AL19" s="34">
        <v>0.73683099339008151</v>
      </c>
    </row>
    <row r="20" spans="2:38" x14ac:dyDescent="0.3">
      <c r="B20" s="34">
        <v>1.7600000000000002</v>
      </c>
      <c r="C20" s="34">
        <v>67</v>
      </c>
      <c r="D20" s="34">
        <v>0.16400000000000001</v>
      </c>
      <c r="E20" s="34">
        <v>0.221</v>
      </c>
      <c r="F20" s="34">
        <v>1.956</v>
      </c>
      <c r="G20" s="34">
        <v>0.82899999999999996</v>
      </c>
      <c r="H20" s="34">
        <v>0.68</v>
      </c>
      <c r="I20" s="34">
        <v>1.7910000085830688</v>
      </c>
      <c r="J20" s="34">
        <v>0.59700000286102295</v>
      </c>
      <c r="K20" s="34">
        <v>1</v>
      </c>
      <c r="L20" s="34">
        <v>1</v>
      </c>
      <c r="M20" s="34">
        <v>0.14296261296459112</v>
      </c>
      <c r="N20" s="34">
        <v>1.0853714392572711E-3</v>
      </c>
      <c r="O20" s="34">
        <v>0.49956022713952569</v>
      </c>
      <c r="P20" s="34">
        <v>0.13098800037400449</v>
      </c>
      <c r="Q20" s="34">
        <v>4.5481390102016885E-2</v>
      </c>
      <c r="U20" s="34">
        <v>4.8000000000000007</v>
      </c>
      <c r="V20" s="34">
        <v>6.9095939662853212E-2</v>
      </c>
      <c r="W20" s="34">
        <v>1</v>
      </c>
      <c r="X20" s="34">
        <v>4.8000000000000007</v>
      </c>
      <c r="Y20" s="34">
        <v>7.4782993947727402E-2</v>
      </c>
      <c r="Z20" s="34">
        <v>1</v>
      </c>
      <c r="AA20" s="34">
        <v>4.8000000000000007</v>
      </c>
      <c r="AB20" s="34">
        <v>7.5492478774802127E-2</v>
      </c>
      <c r="AC20" s="34">
        <v>1</v>
      </c>
      <c r="AD20" s="34">
        <v>4.8000000000000007</v>
      </c>
      <c r="AE20" s="34">
        <v>7.5581631100582539E-2</v>
      </c>
      <c r="AF20" s="34">
        <v>1</v>
      </c>
    </row>
    <row r="21" spans="2:38" x14ac:dyDescent="0.3">
      <c r="K21" s="34">
        <v>2</v>
      </c>
      <c r="L21" s="34">
        <v>0.92992004638350312</v>
      </c>
      <c r="M21" s="34">
        <v>0.13294379967913939</v>
      </c>
      <c r="N21" s="34">
        <v>2.8710252571126096E-3</v>
      </c>
      <c r="O21" s="34">
        <v>0.31951233303056775</v>
      </c>
      <c r="P21" s="34">
        <v>0.17867845462802698</v>
      </c>
      <c r="Q21" s="34">
        <v>0.73653842366398592</v>
      </c>
      <c r="U21" s="34">
        <v>11.99378589403695</v>
      </c>
      <c r="V21" s="34">
        <v>6.379918246106521E-2</v>
      </c>
      <c r="W21" s="34">
        <v>2</v>
      </c>
      <c r="X21" s="34">
        <v>12.742119468360437</v>
      </c>
      <c r="Y21" s="34">
        <v>6.94862367459394E-2</v>
      </c>
      <c r="Z21" s="34">
        <v>0.92917163485737964</v>
      </c>
      <c r="AA21" s="34">
        <v>12.82256856103184</v>
      </c>
      <c r="AB21" s="34">
        <v>7.0195721573014125E-2</v>
      </c>
      <c r="AC21" s="34">
        <v>0.92983728594223936</v>
      </c>
      <c r="AD21" s="34">
        <v>12.831754546002903</v>
      </c>
      <c r="AE21" s="34">
        <v>7.0284873898794537E-2</v>
      </c>
      <c r="AF21" s="34">
        <v>0.92992004638350312</v>
      </c>
    </row>
    <row r="22" spans="2:38" x14ac:dyDescent="0.3">
      <c r="D22" s="34">
        <v>8.6574201583862305</v>
      </c>
      <c r="K22" s="34">
        <v>3</v>
      </c>
      <c r="L22" s="34">
        <v>0.62096081274712656</v>
      </c>
      <c r="M22" s="34">
        <v>8.8774180338945394E-2</v>
      </c>
      <c r="N22" s="34">
        <v>5.859612363848664E-3</v>
      </c>
      <c r="O22" s="34">
        <v>0.1249654269061187</v>
      </c>
      <c r="P22" s="34">
        <v>0.24743844945539464</v>
      </c>
      <c r="Q22" s="34">
        <v>1.3591450324464915</v>
      </c>
      <c r="U22" s="34">
        <v>6.7345543700841946</v>
      </c>
      <c r="V22" s="34">
        <v>4.1557352313048072E-2</v>
      </c>
      <c r="W22" s="34">
        <v>0.60144420230512896</v>
      </c>
      <c r="X22" s="34">
        <v>8.6607965131938567</v>
      </c>
      <c r="Y22" s="34">
        <v>4.625330736876801E-2</v>
      </c>
      <c r="Z22" s="34">
        <v>0.61850034248560082</v>
      </c>
      <c r="AA22" s="34">
        <v>8.9064049317926521</v>
      </c>
      <c r="AB22" s="34">
        <v>4.6856244746324827E-2</v>
      </c>
      <c r="AC22" s="34">
        <v>0.62067434407736655</v>
      </c>
      <c r="AD22" s="34">
        <v>8.9377105547140783</v>
      </c>
      <c r="AE22" s="34">
        <v>4.6933231076971227E-2</v>
      </c>
      <c r="AF22" s="34">
        <v>0.62096081274712656</v>
      </c>
    </row>
    <row r="23" spans="2:38" x14ac:dyDescent="0.3">
      <c r="D23" s="34">
        <v>0.21905948494592858</v>
      </c>
      <c r="K23" s="34">
        <v>4</v>
      </c>
      <c r="L23" s="34">
        <v>0.24261903239756158</v>
      </c>
      <c r="M23" s="34">
        <v>3.4685450826496191E-2</v>
      </c>
      <c r="N23" s="34">
        <v>2.8127276386772067E-3</v>
      </c>
      <c r="O23" s="34">
        <v>0.19180180098217128</v>
      </c>
      <c r="P23" s="34">
        <v>0.2285654593028037</v>
      </c>
      <c r="Q23" s="34">
        <v>0.96991027213589631</v>
      </c>
      <c r="U23" s="34">
        <v>2.6989823140027083</v>
      </c>
      <c r="V23" s="34">
        <v>1.6234708619453534E-2</v>
      </c>
      <c r="W23" s="34">
        <v>0.23495893823384104</v>
      </c>
      <c r="X23" s="34">
        <v>2.9604826217463973</v>
      </c>
      <c r="Y23" s="34">
        <v>1.8052121153099416E-2</v>
      </c>
      <c r="Z23" s="34">
        <v>0.24139339975767318</v>
      </c>
      <c r="AA23" s="34">
        <v>3.0415568369466826</v>
      </c>
      <c r="AB23" s="34">
        <v>1.8304135427333643E-2</v>
      </c>
      <c r="AC23" s="34">
        <v>0.24246303372731742</v>
      </c>
      <c r="AD23" s="34">
        <v>3.0550342249641997</v>
      </c>
      <c r="AE23" s="34">
        <v>1.8337542204652783E-2</v>
      </c>
      <c r="AF23" s="34">
        <v>0.24261903239756158</v>
      </c>
    </row>
    <row r="24" spans="2:38" x14ac:dyDescent="0.3">
      <c r="D24" s="34">
        <v>7.6096871981337452E-2</v>
      </c>
      <c r="K24" s="34">
        <v>5</v>
      </c>
      <c r="L24" s="34">
        <v>4.7050416133513027E-4</v>
      </c>
      <c r="M24" s="34">
        <v>6.7264504315183769E-5</v>
      </c>
      <c r="U24" s="34">
        <v>1.6492535453642022E-2</v>
      </c>
      <c r="V24" s="34">
        <v>3.1499673437734849E-5</v>
      </c>
      <c r="W24" s="34">
        <v>4.5588313280685354E-4</v>
      </c>
      <c r="X24" s="34">
        <v>3.2823585562093455E-3</v>
      </c>
      <c r="Y24" s="34">
        <v>3.5007902684307929E-5</v>
      </c>
      <c r="Z24" s="34">
        <v>4.6812651963062778E-4</v>
      </c>
      <c r="AA24" s="34">
        <v>3.37051094134052E-3</v>
      </c>
      <c r="AB24" s="34">
        <v>3.549667663526711E-5</v>
      </c>
      <c r="AC24" s="34">
        <v>4.7020149836589001E-4</v>
      </c>
      <c r="AD24" s="34">
        <v>3.3854507882344082E-3</v>
      </c>
      <c r="AE24" s="34">
        <v>3.5561471953320785E-5</v>
      </c>
      <c r="AF24" s="34">
        <v>4.7050416133513027E-4</v>
      </c>
    </row>
    <row r="25" spans="2:38" x14ac:dyDescent="0.3">
      <c r="W25" s="34">
        <v>22.469913152648619</v>
      </c>
      <c r="Z25" s="34">
        <v>22.957194816806307</v>
      </c>
      <c r="AC25" s="34">
        <v>23.019585915202487</v>
      </c>
      <c r="AF25" s="34">
        <v>23.027785334123671</v>
      </c>
    </row>
    <row r="26" spans="2:38" x14ac:dyDescent="0.3">
      <c r="W26" s="34">
        <v>297.54221760735027</v>
      </c>
      <c r="Z26" s="34">
        <v>303.69120522712001</v>
      </c>
      <c r="AC26" s="34">
        <v>304.51138217143398</v>
      </c>
      <c r="AF26" s="34">
        <v>304.61975237907245</v>
      </c>
    </row>
    <row r="27" spans="2:38" x14ac:dyDescent="0.3">
      <c r="W27" s="34">
        <v>1.7266577413842636</v>
      </c>
      <c r="Z27" s="34">
        <v>1.7275203151057577</v>
      </c>
      <c r="AC27" s="34">
        <v>1.7275349771719946</v>
      </c>
      <c r="AF27" s="34">
        <v>1.7275352455921269</v>
      </c>
    </row>
    <row r="28" spans="2:38" x14ac:dyDescent="0.3">
      <c r="B28" s="34">
        <v>1.7600000000000002</v>
      </c>
      <c r="C28" s="34">
        <v>72.599999999999994</v>
      </c>
      <c r="D28" s="34">
        <v>0.17699999999999999</v>
      </c>
      <c r="E28" s="34">
        <v>0.224</v>
      </c>
      <c r="F28" s="34">
        <v>1.8919999999999999</v>
      </c>
      <c r="G28" s="34">
        <v>0.81299999999999994</v>
      </c>
      <c r="H28" s="34">
        <v>0.66400000000000003</v>
      </c>
      <c r="I28" s="34">
        <v>1.6529999971389771</v>
      </c>
      <c r="J28" s="34">
        <v>0.55099999904632568</v>
      </c>
      <c r="K28" s="34">
        <v>1</v>
      </c>
      <c r="L28" s="34">
        <v>1</v>
      </c>
      <c r="M28" s="34">
        <v>0.13157457443065601</v>
      </c>
      <c r="N28" s="34">
        <v>7.0121975919614963E-4</v>
      </c>
      <c r="O28" s="34">
        <v>0.58664626983311652</v>
      </c>
      <c r="P28" s="34">
        <v>0.10809758073569196</v>
      </c>
      <c r="Q28" s="34">
        <v>2.7906840426471079E-2</v>
      </c>
      <c r="U28" s="34">
        <v>4.8000000000000007</v>
      </c>
      <c r="V28" s="34">
        <v>7.0450797674681598E-2</v>
      </c>
      <c r="W28" s="34">
        <v>1</v>
      </c>
      <c r="X28" s="34">
        <v>4.8000000000000007</v>
      </c>
      <c r="Y28" s="34">
        <v>7.2982371572254109E-2</v>
      </c>
      <c r="Z28" s="34">
        <v>1</v>
      </c>
      <c r="AA28" s="34">
        <v>4.8000000000000007</v>
      </c>
      <c r="AB28" s="34">
        <v>7.3242738345753899E-2</v>
      </c>
      <c r="AC28" s="34">
        <v>1</v>
      </c>
    </row>
    <row r="29" spans="2:38" x14ac:dyDescent="0.3">
      <c r="K29" s="34">
        <v>2</v>
      </c>
      <c r="L29" s="34">
        <v>0.95080510193398649</v>
      </c>
      <c r="M29" s="34">
        <v>0.12510177665346078</v>
      </c>
      <c r="N29" s="34">
        <v>2.1526832342241651E-3</v>
      </c>
      <c r="O29" s="34">
        <v>0.36692290654120513</v>
      </c>
      <c r="P29" s="34">
        <v>0.16574829821603498</v>
      </c>
      <c r="Q29" s="34">
        <v>0.53302844285195061</v>
      </c>
      <c r="U29" s="34">
        <v>12.832896640092343</v>
      </c>
      <c r="V29" s="34">
        <v>6.6847628627686534E-2</v>
      </c>
      <c r="W29" s="34">
        <v>0.94885552519031369</v>
      </c>
      <c r="X29" s="34">
        <v>13.09420624762633</v>
      </c>
      <c r="Y29" s="34">
        <v>6.9379202525259046E-2</v>
      </c>
      <c r="Z29" s="34">
        <v>0.95062959767718913</v>
      </c>
      <c r="AA29" s="34">
        <v>13.11868844794521</v>
      </c>
      <c r="AB29" s="34">
        <v>6.9639569298758836E-2</v>
      </c>
      <c r="AC29" s="34">
        <v>0.95080510193398649</v>
      </c>
    </row>
    <row r="30" spans="2:38" x14ac:dyDescent="0.3">
      <c r="D30" s="34">
        <v>9.7254667282104492</v>
      </c>
      <c r="K30" s="34">
        <v>3</v>
      </c>
      <c r="L30" s="34">
        <v>0.69909838924457524</v>
      </c>
      <c r="M30" s="34">
        <v>9.1983573050012091E-2</v>
      </c>
      <c r="N30" s="34">
        <v>6.4543028328861484E-3</v>
      </c>
      <c r="O30" s="34">
        <v>0.11800266883825238</v>
      </c>
      <c r="P30" s="34">
        <v>0.24936290849865844</v>
      </c>
      <c r="Q30" s="34">
        <v>1.4970562499170463</v>
      </c>
      <c r="U30" s="34">
        <v>8.9418357035586222</v>
      </c>
      <c r="V30" s="34">
        <v>4.8705977370075454E-2</v>
      </c>
      <c r="W30" s="34">
        <v>0.69134742228162549</v>
      </c>
      <c r="X30" s="34">
        <v>9.9554028808554076</v>
      </c>
      <c r="Y30" s="34">
        <v>5.0968702202919366E-2</v>
      </c>
      <c r="Z30" s="34">
        <v>0.69837004614818887</v>
      </c>
      <c r="AA30" s="34">
        <v>10.05652866453392</v>
      </c>
      <c r="AB30" s="34">
        <v>5.1203880401378438E-2</v>
      </c>
      <c r="AC30" s="34">
        <v>0.69909838924457524</v>
      </c>
    </row>
    <row r="31" spans="2:38" x14ac:dyDescent="0.3">
      <c r="D31" s="34">
        <v>0.2027375426869244</v>
      </c>
      <c r="K31" s="34">
        <v>4</v>
      </c>
      <c r="L31" s="34">
        <v>0.24628917246636148</v>
      </c>
      <c r="M31" s="34">
        <v>3.2405393054139954E-2</v>
      </c>
      <c r="N31" s="34">
        <v>2.6274935714532925E-3</v>
      </c>
      <c r="O31" s="34">
        <v>0.20050780214169525</v>
      </c>
      <c r="P31" s="34">
        <v>0.22615741642889281</v>
      </c>
      <c r="Q31" s="34">
        <v>0.90261340596565653</v>
      </c>
      <c r="U31" s="34">
        <v>3.0569998082092762</v>
      </c>
      <c r="V31" s="34">
        <v>1.7201283456019845E-2</v>
      </c>
      <c r="W31" s="34">
        <v>0.24416023698481973</v>
      </c>
      <c r="X31" s="34">
        <v>3.0764189860087288</v>
      </c>
      <c r="Y31" s="34">
        <v>1.7952625131176951E-2</v>
      </c>
      <c r="Z31" s="34">
        <v>0.24598577361114482</v>
      </c>
      <c r="AA31" s="34">
        <v>3.099420747500425</v>
      </c>
      <c r="AB31" s="34">
        <v>1.8038893416345968E-2</v>
      </c>
      <c r="AC31" s="34">
        <v>0.24628917246636148</v>
      </c>
    </row>
    <row r="32" spans="2:38" x14ac:dyDescent="0.3">
      <c r="D32" s="34">
        <v>7.1162968256268389E-2</v>
      </c>
      <c r="K32" s="34">
        <v>5</v>
      </c>
      <c r="L32" s="34">
        <v>5.0929776169326589E-4</v>
      </c>
      <c r="M32" s="34">
        <v>6.7010636253277126E-5</v>
      </c>
      <c r="U32" s="34">
        <v>3.3876299616129378E-3</v>
      </c>
      <c r="V32" s="34">
        <v>3.557015591580626E-5</v>
      </c>
      <c r="W32" s="34">
        <v>5.0489358658588129E-4</v>
      </c>
      <c r="X32" s="34">
        <v>3.6352338234183455E-3</v>
      </c>
      <c r="Y32" s="34">
        <v>3.7123958189558856E-5</v>
      </c>
      <c r="Z32" s="34">
        <v>5.0867020884358828E-4</v>
      </c>
      <c r="AA32" s="34">
        <v>3.6624255036738357E-3</v>
      </c>
      <c r="AB32" s="34">
        <v>3.7302362699777997E-5</v>
      </c>
      <c r="AC32" s="34">
        <v>5.0929776169326589E-4</v>
      </c>
    </row>
    <row r="33" spans="2:29" x14ac:dyDescent="0.3">
      <c r="W33" s="34">
        <v>24.858293089590962</v>
      </c>
      <c r="Z33" s="34">
        <v>25.056607182150749</v>
      </c>
      <c r="AC33" s="34">
        <v>25.07775110981861</v>
      </c>
    </row>
    <row r="34" spans="2:29" x14ac:dyDescent="0.3">
      <c r="W34" s="34">
        <v>339.31267268706915</v>
      </c>
      <c r="Z34" s="34">
        <v>341.9595609804519</v>
      </c>
      <c r="AC34" s="34">
        <v>342.24746787924414</v>
      </c>
    </row>
    <row r="35" spans="2:29" x14ac:dyDescent="0.3">
      <c r="W35" s="34">
        <v>1.7006520739968414</v>
      </c>
      <c r="Z35" s="34">
        <v>1.7008014513663861</v>
      </c>
      <c r="AC35" s="34">
        <v>1.7008030774987142</v>
      </c>
    </row>
    <row r="36" spans="2:29" x14ac:dyDescent="0.3">
      <c r="B36" s="34">
        <v>1.7600000000000002</v>
      </c>
      <c r="C36" s="34">
        <v>75.8</v>
      </c>
      <c r="D36" s="34">
        <v>0.185</v>
      </c>
      <c r="E36" s="34">
        <v>0.22600000000000001</v>
      </c>
      <c r="F36" s="34">
        <v>1.8520000000000001</v>
      </c>
      <c r="G36" s="34">
        <v>0.80100000000000005</v>
      </c>
      <c r="H36" s="34">
        <v>0.65700000000000003</v>
      </c>
      <c r="I36" s="34">
        <v>1.5839999914169312</v>
      </c>
      <c r="J36" s="34">
        <v>0.52799999713897705</v>
      </c>
      <c r="K36" s="34">
        <v>1</v>
      </c>
      <c r="L36" s="34">
        <v>1</v>
      </c>
      <c r="M36" s="34">
        <v>0.12510593190497005</v>
      </c>
      <c r="N36" s="34">
        <v>5.7196405295086548E-4</v>
      </c>
      <c r="O36" s="34">
        <v>0.63093401934916249</v>
      </c>
      <c r="P36" s="34">
        <v>9.6916045824595204E-2</v>
      </c>
      <c r="Q36" s="34">
        <v>2.1803605093913925E-2</v>
      </c>
      <c r="U36" s="34">
        <v>4.8000000000000007</v>
      </c>
      <c r="V36" s="34">
        <v>7.152870822047952E-2</v>
      </c>
      <c r="W36" s="34">
        <v>1</v>
      </c>
      <c r="X36" s="34">
        <v>4.8000000000000007</v>
      </c>
      <c r="Y36" s="34">
        <v>7.2604308662159514E-2</v>
      </c>
      <c r="Z36" s="34">
        <v>1</v>
      </c>
      <c r="AA36" s="34">
        <v>4.8000000000000007</v>
      </c>
      <c r="AB36" s="34">
        <v>7.2705535207883393E-2</v>
      </c>
      <c r="AC36" s="34">
        <v>1</v>
      </c>
    </row>
    <row r="37" spans="2:29" x14ac:dyDescent="0.3">
      <c r="K37" s="34">
        <v>2</v>
      </c>
      <c r="L37" s="34">
        <v>0.95779841850268677</v>
      </c>
      <c r="M37" s="34">
        <v>0.11982626372388513</v>
      </c>
      <c r="N37" s="34">
        <v>1.8053756077491109E-3</v>
      </c>
      <c r="O37" s="34">
        <v>0.40307966856161914</v>
      </c>
      <c r="P37" s="34">
        <v>0.15618814627121888</v>
      </c>
      <c r="Q37" s="34">
        <v>0.43053896925143298</v>
      </c>
      <c r="U37" s="34">
        <v>13.121110406689015</v>
      </c>
      <c r="V37" s="34">
        <v>6.8460419651098253E-2</v>
      </c>
      <c r="W37" s="34">
        <v>0.95710409644301697</v>
      </c>
      <c r="X37" s="34">
        <v>13.208036530913635</v>
      </c>
      <c r="Y37" s="34">
        <v>6.9536020092778247E-2</v>
      </c>
      <c r="Z37" s="34">
        <v>0.95773958011695215</v>
      </c>
      <c r="AA37" s="34">
        <v>13.21680620561394</v>
      </c>
      <c r="AB37" s="34">
        <v>6.9637246638502126E-2</v>
      </c>
      <c r="AC37" s="34">
        <v>0.95779841850268677</v>
      </c>
    </row>
    <row r="38" spans="2:29" x14ac:dyDescent="0.3">
      <c r="D38" s="34">
        <v>10.345622062683105</v>
      </c>
      <c r="K38" s="34">
        <v>3</v>
      </c>
      <c r="L38" s="34">
        <v>0.73578648887584774</v>
      </c>
      <c r="M38" s="34">
        <v>9.2051254373898814E-2</v>
      </c>
      <c r="N38" s="34">
        <v>6.6953037191949238E-3</v>
      </c>
      <c r="O38" s="34">
        <v>0.11535165908885583</v>
      </c>
      <c r="P38" s="34">
        <v>0.25008591115758477</v>
      </c>
      <c r="Q38" s="34">
        <v>1.5211847390880595</v>
      </c>
      <c r="U38" s="34">
        <v>10.067016805121884</v>
      </c>
      <c r="V38" s="34">
        <v>5.2404658623326869E-2</v>
      </c>
      <c r="W38" s="34">
        <v>0.7326381242870369</v>
      </c>
      <c r="X38" s="34">
        <v>10.549988989733331</v>
      </c>
      <c r="Y38" s="34">
        <v>5.3402380794857936E-2</v>
      </c>
      <c r="Z38" s="34">
        <v>0.7355263314102819</v>
      </c>
      <c r="AA38" s="34">
        <v>10.591579172308059</v>
      </c>
      <c r="AB38" s="34">
        <v>5.3495750472447853E-2</v>
      </c>
      <c r="AC38" s="34">
        <v>0.73578648887584774</v>
      </c>
    </row>
    <row r="39" spans="2:29" x14ac:dyDescent="0.3">
      <c r="D39" s="34">
        <v>0.19386260383777029</v>
      </c>
      <c r="K39" s="34">
        <v>4</v>
      </c>
      <c r="L39" s="34">
        <v>0.24178270647531022</v>
      </c>
      <c r="M39" s="34">
        <v>3.0248450812099523E-2</v>
      </c>
      <c r="N39" s="34">
        <v>2.45237422306272E-3</v>
      </c>
      <c r="O39" s="34">
        <v>0.20873841151605216</v>
      </c>
      <c r="P39" s="34">
        <v>0.22388086489981537</v>
      </c>
      <c r="Q39" s="34">
        <v>0.82199757477008262</v>
      </c>
      <c r="U39" s="34">
        <v>3.1032435730761549</v>
      </c>
      <c r="V39" s="34">
        <v>1.7266561275770528E-2</v>
      </c>
      <c r="W39" s="34">
        <v>0.2413934447487604</v>
      </c>
      <c r="X39" s="34">
        <v>3.0415574038343816</v>
      </c>
      <c r="Y39" s="34">
        <v>1.7548796408724789E-2</v>
      </c>
      <c r="Z39" s="34">
        <v>0.24170461412121411</v>
      </c>
      <c r="AA39" s="34">
        <v>3.0454781379272982</v>
      </c>
      <c r="AB39" s="34">
        <v>1.7578941078298004E-2</v>
      </c>
      <c r="AC39" s="34">
        <v>0.24178270647531022</v>
      </c>
    </row>
    <row r="40" spans="2:29" x14ac:dyDescent="0.3">
      <c r="D40" s="34">
        <v>6.8756671932800245E-2</v>
      </c>
      <c r="K40" s="34">
        <v>5</v>
      </c>
      <c r="L40" s="34">
        <v>5.2262470957212845E-4</v>
      </c>
      <c r="M40" s="34">
        <v>6.5383451327585446E-5</v>
      </c>
      <c r="U40" s="34">
        <v>3.6669438841915145E-3</v>
      </c>
      <c r="V40" s="34">
        <v>3.7322452156873832E-5</v>
      </c>
      <c r="W40" s="34">
        <v>5.217828349679041E-4</v>
      </c>
      <c r="X40" s="34">
        <v>3.7568364117689097E-3</v>
      </c>
      <c r="Y40" s="34">
        <v>3.7932552020414333E-5</v>
      </c>
      <c r="Z40" s="34">
        <v>5.2245593573407747E-4</v>
      </c>
      <c r="AA40" s="34">
        <v>3.7616827372853579E-3</v>
      </c>
      <c r="AB40" s="34">
        <v>3.7997709222306218E-5</v>
      </c>
      <c r="AC40" s="34">
        <v>5.2262470957212845E-4</v>
      </c>
    </row>
    <row r="41" spans="2:29" x14ac:dyDescent="0.3">
      <c r="W41" s="34">
        <v>25.905003993759006</v>
      </c>
      <c r="Z41" s="34">
        <v>25.984751881756903</v>
      </c>
      <c r="AC41" s="34">
        <v>25.992294907246645</v>
      </c>
    </row>
    <row r="42" spans="2:29" x14ac:dyDescent="0.3">
      <c r="W42" s="34">
        <v>356.26000930431564</v>
      </c>
      <c r="Z42" s="34">
        <v>357.34489034698345</v>
      </c>
      <c r="AC42" s="34">
        <v>357.44853448151298</v>
      </c>
    </row>
    <row r="43" spans="2:29" x14ac:dyDescent="0.3">
      <c r="W43" s="34">
        <v>1.694291590611632</v>
      </c>
      <c r="Z43" s="34">
        <v>1.6943196975436414</v>
      </c>
      <c r="AC43" s="34">
        <v>1.6943199068202519</v>
      </c>
    </row>
    <row r="44" spans="2:29" x14ac:dyDescent="0.3">
      <c r="B44" s="34">
        <v>1.7600000000000002</v>
      </c>
      <c r="C44" s="34">
        <v>78</v>
      </c>
      <c r="D44" s="34">
        <v>0.191</v>
      </c>
      <c r="E44" s="34">
        <v>0.22700000000000001</v>
      </c>
      <c r="F44" s="34">
        <v>1.83</v>
      </c>
      <c r="G44" s="34">
        <v>0.79500000000000004</v>
      </c>
      <c r="H44" s="34">
        <v>0.65100000000000002</v>
      </c>
      <c r="I44" s="34">
        <v>1.5390000343322754</v>
      </c>
      <c r="J44" s="34">
        <v>0.5130000114440918</v>
      </c>
      <c r="K44" s="34">
        <v>1</v>
      </c>
      <c r="L44" s="34">
        <v>1</v>
      </c>
      <c r="M44" s="34">
        <v>0.12140635178116985</v>
      </c>
      <c r="N44" s="34">
        <v>5.2300789831805051E-4</v>
      </c>
      <c r="O44" s="34">
        <v>0.65002691965596027</v>
      </c>
      <c r="P44" s="34">
        <v>9.1530868814985553E-2</v>
      </c>
      <c r="Q44" s="34">
        <v>1.9607172237793482E-2</v>
      </c>
      <c r="U44" s="34">
        <v>4.8000000000000007</v>
      </c>
      <c r="V44" s="34">
        <v>7.1185513363006492E-2</v>
      </c>
      <c r="W44" s="34">
        <v>1</v>
      </c>
      <c r="X44" s="34">
        <v>4.8000000000000007</v>
      </c>
      <c r="Y44" s="34">
        <v>7.169609194548851E-2</v>
      </c>
      <c r="Z44" s="34">
        <v>1</v>
      </c>
      <c r="AA44" s="34">
        <v>4.8000000000000007</v>
      </c>
      <c r="AB44" s="34">
        <v>7.1743709299888991E-2</v>
      </c>
      <c r="AC44" s="34">
        <v>1</v>
      </c>
    </row>
    <row r="45" spans="2:29" x14ac:dyDescent="0.3">
      <c r="K45" s="34">
        <v>2</v>
      </c>
      <c r="L45" s="34">
        <v>0.96023465704705957</v>
      </c>
      <c r="M45" s="34">
        <v>0.1165785865659263</v>
      </c>
      <c r="N45" s="34">
        <v>1.6192692629759882E-3</v>
      </c>
      <c r="O45" s="34">
        <v>0.42801791876121759</v>
      </c>
      <c r="P45" s="34">
        <v>0.14967442420415958</v>
      </c>
      <c r="Q45" s="34">
        <v>0.38047974150200531</v>
      </c>
      <c r="U45" s="34">
        <v>13.217618175337078</v>
      </c>
      <c r="V45" s="34">
        <v>6.8332600157980344E-2</v>
      </c>
      <c r="W45" s="34">
        <v>0.95992284005204997</v>
      </c>
      <c r="X45" s="34">
        <v>13.24693519271829</v>
      </c>
      <c r="Y45" s="34">
        <v>6.8843178740462363E-2</v>
      </c>
      <c r="Z45" s="34">
        <v>0.96020824667549165</v>
      </c>
      <c r="AA45" s="34">
        <v>13.250873804121785</v>
      </c>
      <c r="AB45" s="34">
        <v>6.8890796094862844E-2</v>
      </c>
      <c r="AC45" s="34">
        <v>0.96023465704705957</v>
      </c>
    </row>
    <row r="46" spans="2:29" x14ac:dyDescent="0.3">
      <c r="D46" s="34">
        <v>10.783988952636719</v>
      </c>
      <c r="K46" s="34">
        <v>3</v>
      </c>
      <c r="L46" s="34">
        <v>0.75504082287339302</v>
      </c>
      <c r="M46" s="34">
        <v>9.1666751750911102E-2</v>
      </c>
      <c r="N46" s="34">
        <v>6.8095253050220505E-3</v>
      </c>
      <c r="O46" s="34">
        <v>0.11409522164475745</v>
      </c>
      <c r="P46" s="34">
        <v>0.25042857591506618</v>
      </c>
      <c r="Q46" s="34">
        <v>1.538179737843127</v>
      </c>
      <c r="U46" s="34">
        <v>10.595325439812207</v>
      </c>
      <c r="V46" s="34">
        <v>5.3638354953947184E-2</v>
      </c>
      <c r="W46" s="34">
        <v>0.75350099226539857</v>
      </c>
      <c r="X46" s="34">
        <v>10.850414288621741</v>
      </c>
      <c r="Y46" s="34">
        <v>5.4125024080814252E-2</v>
      </c>
      <c r="Z46" s="34">
        <v>0.75492293390225829</v>
      </c>
      <c r="AA46" s="34">
        <v>10.87089024819252</v>
      </c>
      <c r="AB46" s="34">
        <v>5.4169429305777686E-2</v>
      </c>
      <c r="AC46" s="34">
        <v>0.75504082287339302</v>
      </c>
    </row>
    <row r="47" spans="2:29" x14ac:dyDescent="0.3">
      <c r="D47" s="34">
        <v>0.18850683112897273</v>
      </c>
      <c r="K47" s="34">
        <v>4</v>
      </c>
      <c r="L47" s="34">
        <v>0.23729891118956653</v>
      </c>
      <c r="M47" s="34">
        <v>2.8809595089169096E-2</v>
      </c>
      <c r="N47" s="34">
        <v>2.3355126592675534E-3</v>
      </c>
      <c r="O47" s="34">
        <v>0.21423090501442499</v>
      </c>
      <c r="P47" s="34">
        <v>0.22236166457047821</v>
      </c>
      <c r="Q47" s="34">
        <v>0.77612665685258697</v>
      </c>
      <c r="U47" s="34">
        <v>3.0464621015889093</v>
      </c>
      <c r="V47" s="34">
        <v>1.6890253214858344E-2</v>
      </c>
      <c r="W47" s="34">
        <v>0.23727093360593546</v>
      </c>
      <c r="X47" s="34">
        <v>2.9896137634347872</v>
      </c>
      <c r="Y47" s="34">
        <v>1.7011654935248661E-2</v>
      </c>
      <c r="Z47" s="34">
        <v>0.23727450790738841</v>
      </c>
      <c r="AA47" s="34">
        <v>2.9896587996330943</v>
      </c>
      <c r="AB47" s="34">
        <v>1.7024704101564436E-2</v>
      </c>
      <c r="AC47" s="34">
        <v>0.23729891118956653</v>
      </c>
    </row>
    <row r="48" spans="2:29" x14ac:dyDescent="0.3">
      <c r="D48" s="34">
        <v>6.7100479347802888E-2</v>
      </c>
      <c r="K48" s="34">
        <v>5</v>
      </c>
      <c r="L48" s="34">
        <v>5.3394157087156271E-4</v>
      </c>
      <c r="M48" s="34">
        <v>6.4823898183823377E-5</v>
      </c>
      <c r="U48" s="34">
        <v>3.7628979089193251E-3</v>
      </c>
      <c r="V48" s="34">
        <v>3.8004362820301808E-5</v>
      </c>
      <c r="W48" s="34">
        <v>5.3387776564173543E-4</v>
      </c>
      <c r="X48" s="34">
        <v>3.8439199126204951E-3</v>
      </c>
      <c r="Y48" s="34">
        <v>3.827759062491318E-5</v>
      </c>
      <c r="Z48" s="34">
        <v>5.3388670966914259E-4</v>
      </c>
      <c r="AA48" s="34">
        <v>3.8439843096178265E-3</v>
      </c>
      <c r="AB48" s="34">
        <v>3.830694884373547E-5</v>
      </c>
      <c r="AC48" s="34">
        <v>5.3394157087156271E-4</v>
      </c>
    </row>
    <row r="49" spans="2:29" x14ac:dyDescent="0.3">
      <c r="W49" s="34">
        <v>26.401184086101427</v>
      </c>
      <c r="Z49" s="34">
        <v>26.439654535415002</v>
      </c>
      <c r="AC49" s="34">
        <v>26.443063705203908</v>
      </c>
    </row>
    <row r="50" spans="2:29" x14ac:dyDescent="0.3">
      <c r="W50" s="34">
        <v>367.97209672602366</v>
      </c>
      <c r="Z50" s="34">
        <v>368.50496424675293</v>
      </c>
      <c r="AC50" s="34">
        <v>368.55246048055596</v>
      </c>
    </row>
    <row r="51" spans="2:29" x14ac:dyDescent="0.3">
      <c r="W51" s="34">
        <v>1.6830000151450535</v>
      </c>
      <c r="Z51" s="34">
        <v>1.6830076022665283</v>
      </c>
      <c r="AC51" s="34">
        <v>1.6830076464797354</v>
      </c>
    </row>
    <row r="52" spans="2:29" x14ac:dyDescent="0.3">
      <c r="B52" s="34">
        <v>1.7600000000000002</v>
      </c>
      <c r="C52" s="34">
        <v>79.3</v>
      </c>
      <c r="D52" s="34">
        <v>0.19400000000000001</v>
      </c>
      <c r="E52" s="34">
        <v>0.22700000000000001</v>
      </c>
      <c r="F52" s="34">
        <v>1.8169999999999999</v>
      </c>
      <c r="G52" s="34">
        <v>0.79100000000000004</v>
      </c>
      <c r="H52" s="34">
        <v>0.64800000000000002</v>
      </c>
      <c r="I52" s="34">
        <v>1.5130000114440918</v>
      </c>
      <c r="J52" s="34">
        <v>0.50400000810623169</v>
      </c>
      <c r="K52" s="34">
        <v>1</v>
      </c>
      <c r="L52" s="34">
        <v>1</v>
      </c>
      <c r="M52" s="34">
        <v>0.11929945688060999</v>
      </c>
      <c r="N52" s="34">
        <v>5.0374432387914755E-4</v>
      </c>
      <c r="O52" s="34">
        <v>0.65753971368713249</v>
      </c>
      <c r="P52" s="34">
        <v>8.941187562670623E-2</v>
      </c>
      <c r="Q52" s="34">
        <v>1.8739853775179574E-2</v>
      </c>
      <c r="U52" s="34">
        <v>4.8000000000000007</v>
      </c>
      <c r="V52" s="34">
        <v>7.0779912764546149E-2</v>
      </c>
      <c r="W52" s="34">
        <v>1</v>
      </c>
      <c r="X52" s="34">
        <v>4.8000000000000007</v>
      </c>
      <c r="Y52" s="34">
        <v>7.104467987349801E-2</v>
      </c>
      <c r="Z52" s="34">
        <v>1</v>
      </c>
    </row>
    <row r="53" spans="2:29" x14ac:dyDescent="0.3">
      <c r="K53" s="34">
        <v>2</v>
      </c>
      <c r="L53" s="34">
        <v>0.96102289376143801</v>
      </c>
      <c r="M53" s="34">
        <v>0.1146495092755717</v>
      </c>
      <c r="N53" s="34">
        <v>1.513977223460842E-3</v>
      </c>
      <c r="O53" s="34">
        <v>0.44212705205624719</v>
      </c>
      <c r="P53" s="34">
        <v>0.14598920282112948</v>
      </c>
      <c r="Q53" s="34">
        <v>0.35318571921673103</v>
      </c>
      <c r="U53" s="34">
        <v>13.251238267249423</v>
      </c>
      <c r="V53" s="34">
        <v>6.8010796729432194E-2</v>
      </c>
      <c r="W53" s="34">
        <v>0.96087709172056213</v>
      </c>
      <c r="X53" s="34">
        <v>13.260103865743758</v>
      </c>
      <c r="Y53" s="34">
        <v>6.8275563838384054E-2</v>
      </c>
      <c r="Z53" s="34">
        <v>0.96102289376143801</v>
      </c>
    </row>
    <row r="54" spans="2:29" x14ac:dyDescent="0.3">
      <c r="D54" s="34">
        <v>11.053760528564453</v>
      </c>
      <c r="K54" s="34">
        <v>3</v>
      </c>
      <c r="L54" s="34">
        <v>0.76578346943344133</v>
      </c>
      <c r="M54" s="34">
        <v>9.1357551991558747E-2</v>
      </c>
      <c r="N54" s="34">
        <v>6.8680705082008317E-3</v>
      </c>
      <c r="O54" s="34">
        <v>0.11345122440979086</v>
      </c>
      <c r="P54" s="34">
        <v>0.25060421152460249</v>
      </c>
      <c r="Q54" s="34">
        <v>1.5476990322883819</v>
      </c>
      <c r="U54" s="34">
        <v>10.87258784937686</v>
      </c>
      <c r="V54" s="34">
        <v>5.4146883385199615E-2</v>
      </c>
      <c r="W54" s="34">
        <v>0.76500353377550268</v>
      </c>
      <c r="X54" s="34">
        <v>11.016050886367239</v>
      </c>
      <c r="Y54" s="34">
        <v>5.440484143831549E-2</v>
      </c>
      <c r="Z54" s="34">
        <v>0.76578346943344133</v>
      </c>
    </row>
    <row r="55" spans="2:29" x14ac:dyDescent="0.3">
      <c r="D55" s="34">
        <v>0.18541991761452328</v>
      </c>
      <c r="K55" s="34">
        <v>4</v>
      </c>
      <c r="L55" s="34">
        <v>0.23436802480740648</v>
      </c>
      <c r="M55" s="34">
        <v>2.7959978069704922E-2</v>
      </c>
      <c r="N55" s="34">
        <v>2.2665024060591166E-3</v>
      </c>
      <c r="O55" s="34">
        <v>0.21747438691522153</v>
      </c>
      <c r="P55" s="34">
        <v>0.22146453127876853</v>
      </c>
      <c r="Q55" s="34">
        <v>0.75017099059397707</v>
      </c>
      <c r="U55" s="34">
        <v>2.9899662809885386</v>
      </c>
      <c r="V55" s="34">
        <v>1.659043596704269E-2</v>
      </c>
      <c r="W55" s="34">
        <v>0.23439469362207074</v>
      </c>
      <c r="X55" s="34">
        <v>2.9533731396380918</v>
      </c>
      <c r="Y55" s="34">
        <v>1.6650601295026234E-2</v>
      </c>
      <c r="Z55" s="34">
        <v>0.23436802480740648</v>
      </c>
    </row>
    <row r="56" spans="2:29" x14ac:dyDescent="0.3">
      <c r="D56" s="34">
        <v>6.6120460733913297E-2</v>
      </c>
      <c r="K56" s="34">
        <v>5</v>
      </c>
      <c r="L56" s="34">
        <v>5.4119141002997742E-4</v>
      </c>
      <c r="M56" s="34">
        <v>6.4563841285027805E-5</v>
      </c>
      <c r="U56" s="34">
        <v>3.8443793102752514E-3</v>
      </c>
      <c r="V56" s="34">
        <v>3.830979341327646E-5</v>
      </c>
      <c r="W56" s="34">
        <v>5.412523400631533E-4</v>
      </c>
      <c r="X56" s="34">
        <v>3.8970168484547037E-3</v>
      </c>
      <c r="Y56" s="34">
        <v>3.8448770475866743E-5</v>
      </c>
      <c r="Z56" s="34">
        <v>5.4119141002997742E-4</v>
      </c>
    </row>
    <row r="57" spans="2:29" x14ac:dyDescent="0.3">
      <c r="W57" s="34">
        <v>26.660904996236752</v>
      </c>
      <c r="Z57" s="34">
        <v>26.681806853883462</v>
      </c>
    </row>
    <row r="58" spans="2:29" x14ac:dyDescent="0.3">
      <c r="W58" s="34">
        <v>375.1230074873547</v>
      </c>
      <c r="Z58" s="34">
        <v>375.4160244215791</v>
      </c>
    </row>
    <row r="59" spans="2:29" x14ac:dyDescent="0.3">
      <c r="W59" s="34">
        <v>1.6750603312517096</v>
      </c>
      <c r="Z59" s="34">
        <v>1.6750627303948247</v>
      </c>
    </row>
    <row r="60" spans="2:29" x14ac:dyDescent="0.3">
      <c r="B60" s="34">
        <v>1.7600000000000002</v>
      </c>
      <c r="C60" s="34">
        <v>80</v>
      </c>
      <c r="D60" s="34">
        <v>0.19600000000000001</v>
      </c>
      <c r="E60" s="34">
        <v>0.22700000000000001</v>
      </c>
      <c r="F60" s="34">
        <v>1.8089999999999999</v>
      </c>
      <c r="G60" s="34">
        <v>0.78900000000000003</v>
      </c>
      <c r="H60" s="34">
        <v>0.64600000000000002</v>
      </c>
      <c r="I60" s="34">
        <v>1.5</v>
      </c>
      <c r="J60" s="34">
        <v>0.5</v>
      </c>
      <c r="K60" s="34">
        <v>1</v>
      </c>
      <c r="L60" s="34">
        <v>1</v>
      </c>
      <c r="M60" s="34">
        <v>0.11814224861493774</v>
      </c>
      <c r="N60" s="34">
        <v>4.956287216314277E-4</v>
      </c>
      <c r="O60" s="34">
        <v>0.66105450083322903</v>
      </c>
      <c r="P60" s="34">
        <v>8.847544659577132E-2</v>
      </c>
      <c r="Q60" s="34">
        <v>1.8350565144170508E-2</v>
      </c>
      <c r="U60" s="34">
        <v>4.8000000000000007</v>
      </c>
      <c r="V60" s="34">
        <v>7.0562349053460816E-2</v>
      </c>
      <c r="W60" s="34">
        <v>1</v>
      </c>
      <c r="X60" s="34">
        <v>4.8000000000000007</v>
      </c>
      <c r="Y60" s="34">
        <v>7.069055588214411E-2</v>
      </c>
      <c r="Z60" s="34">
        <v>1</v>
      </c>
    </row>
    <row r="61" spans="2:29" x14ac:dyDescent="0.3">
      <c r="K61" s="34">
        <v>2</v>
      </c>
      <c r="L61" s="34">
        <v>0.96127520504174313</v>
      </c>
      <c r="M61" s="34">
        <v>0.11356721426141687</v>
      </c>
      <c r="N61" s="34">
        <v>1.4590826944321626E-3</v>
      </c>
      <c r="O61" s="34">
        <v>0.44948291894609022</v>
      </c>
      <c r="P61" s="34">
        <v>0.1440678943051257</v>
      </c>
      <c r="Q61" s="34">
        <v>0.33885149206304899</v>
      </c>
      <c r="U61" s="34">
        <v>13.262115933907845</v>
      </c>
      <c r="V61" s="34">
        <v>6.7824871771439588E-2</v>
      </c>
      <c r="W61" s="34">
        <v>0.96120484481111579</v>
      </c>
      <c r="X61" s="34">
        <v>13.264626858393399</v>
      </c>
      <c r="Y61" s="34">
        <v>6.7953078600122882E-2</v>
      </c>
      <c r="Z61" s="34">
        <v>0.96127520504174313</v>
      </c>
    </row>
    <row r="62" spans="2:29" x14ac:dyDescent="0.3">
      <c r="D62" s="34">
        <v>11.198359489440918</v>
      </c>
      <c r="K62" s="34">
        <v>3</v>
      </c>
      <c r="L62" s="34">
        <v>0.77127182918464188</v>
      </c>
      <c r="M62" s="34">
        <v>9.1119788193229759E-2</v>
      </c>
      <c r="N62" s="34">
        <v>6.8954082819646257E-3</v>
      </c>
      <c r="O62" s="34">
        <v>0.11315050889838912</v>
      </c>
      <c r="P62" s="34">
        <v>0.25068622484589387</v>
      </c>
      <c r="Q62" s="34">
        <v>1.5512390335366428</v>
      </c>
      <c r="U62" s="34">
        <v>11.027281959841556</v>
      </c>
      <c r="V62" s="34">
        <v>5.4395294439763223E-2</v>
      </c>
      <c r="W62" s="34">
        <v>0.7708827040118974</v>
      </c>
      <c r="X62" s="34">
        <v>11.100710937771323</v>
      </c>
      <c r="Y62" s="34">
        <v>5.4521634341300432E-2</v>
      </c>
      <c r="Z62" s="34">
        <v>0.77127182918464188</v>
      </c>
    </row>
    <row r="63" spans="2:29" x14ac:dyDescent="0.3">
      <c r="D63" s="34">
        <v>0.1837615663298128</v>
      </c>
      <c r="K63" s="34">
        <v>4</v>
      </c>
      <c r="L63" s="34">
        <v>0.23251517482126299</v>
      </c>
      <c r="M63" s="34">
        <v>2.7469865590479366E-2</v>
      </c>
      <c r="N63" s="34">
        <v>2.2266948708164025E-3</v>
      </c>
      <c r="O63" s="34">
        <v>0.21934534107162909</v>
      </c>
      <c r="P63" s="34">
        <v>0.22094703332061325</v>
      </c>
      <c r="Q63" s="34">
        <v>0.73501348522747767</v>
      </c>
      <c r="U63" s="34">
        <v>2.9530371125733219</v>
      </c>
      <c r="V63" s="34">
        <v>1.640945174976453E-2</v>
      </c>
      <c r="W63" s="34">
        <v>0.23255251518528788</v>
      </c>
      <c r="X63" s="34">
        <v>2.9301616913346278</v>
      </c>
      <c r="Y63" s="34">
        <v>1.6436626959148999E-2</v>
      </c>
      <c r="Z63" s="34">
        <v>0.23251517482126299</v>
      </c>
    </row>
    <row r="64" spans="2:29" x14ac:dyDescent="0.3">
      <c r="D64" s="34">
        <v>6.5619317714875058E-2</v>
      </c>
      <c r="K64" s="34">
        <v>5</v>
      </c>
      <c r="L64" s="34">
        <v>5.4502312347447864E-4</v>
      </c>
      <c r="M64" s="34">
        <v>6.4390257354411773E-5</v>
      </c>
      <c r="U64" s="34">
        <v>3.8965781522158375E-3</v>
      </c>
      <c r="V64" s="34">
        <v>3.8464261976380107E-5</v>
      </c>
      <c r="W64" s="34">
        <v>5.4511028179118676E-4</v>
      </c>
      <c r="X64" s="34">
        <v>3.9247940288965446E-3</v>
      </c>
      <c r="Y64" s="34">
        <v>3.8527987567033364E-5</v>
      </c>
      <c r="Z64" s="34">
        <v>5.4502312347447864E-4</v>
      </c>
    </row>
    <row r="65" spans="2:26" x14ac:dyDescent="0.3">
      <c r="W65" s="34">
        <v>26.788788275728017</v>
      </c>
      <c r="Z65" s="34">
        <v>26.799077451278805</v>
      </c>
    </row>
    <row r="66" spans="2:26" x14ac:dyDescent="0.3">
      <c r="W66" s="34">
        <v>378.88546335678984</v>
      </c>
      <c r="Z66" s="34">
        <v>379.03069647680513</v>
      </c>
    </row>
    <row r="67" spans="2:26" x14ac:dyDescent="0.3">
      <c r="W67" s="34">
        <v>1.6707152020164149</v>
      </c>
      <c r="Z67" s="34">
        <v>1.6707158437063205</v>
      </c>
    </row>
    <row r="68" spans="2:26" x14ac:dyDescent="0.3">
      <c r="B68" s="34">
        <v>1.7600000000000002</v>
      </c>
      <c r="C68" s="34">
        <v>80.400000000000006</v>
      </c>
      <c r="D68" s="34">
        <v>0.19600000000000001</v>
      </c>
      <c r="E68" s="34">
        <v>0.22800000000000001</v>
      </c>
      <c r="F68" s="34">
        <v>1.806</v>
      </c>
      <c r="G68" s="34">
        <v>0.78800000000000003</v>
      </c>
      <c r="H68" s="34">
        <v>0.64500000000000002</v>
      </c>
      <c r="I68" s="34">
        <v>1.4930000305175781</v>
      </c>
      <c r="J68" s="34">
        <v>0.49799999594688416</v>
      </c>
      <c r="K68" s="34">
        <v>1</v>
      </c>
      <c r="L68" s="34">
        <v>1</v>
      </c>
      <c r="M68" s="34">
        <v>0.11753224471484219</v>
      </c>
      <c r="N68" s="34">
        <v>4.9184392800743885E-4</v>
      </c>
      <c r="O68" s="34">
        <v>0.66283335383650377</v>
      </c>
      <c r="P68" s="34">
        <v>8.8021271360892661E-2</v>
      </c>
      <c r="Q68" s="34">
        <v>1.8167970626536051E-2</v>
      </c>
      <c r="U68" s="34">
        <v>4.8000000000000007</v>
      </c>
      <c r="V68" s="34">
        <v>7.0429957080285308E-2</v>
      </c>
      <c r="W68" s="34">
        <v>1</v>
      </c>
      <c r="X68" s="34">
        <v>4.8000000000000007</v>
      </c>
      <c r="Y68" s="34">
        <v>7.0489926704472808E-2</v>
      </c>
      <c r="Z68" s="34">
        <v>1</v>
      </c>
    </row>
    <row r="69" spans="2:26" x14ac:dyDescent="0.3">
      <c r="K69" s="34">
        <v>2</v>
      </c>
      <c r="L69" s="34">
        <v>0.96137147037387938</v>
      </c>
      <c r="M69" s="34">
        <v>0.11299214691785045</v>
      </c>
      <c r="N69" s="34">
        <v>1.4320042007351134E-3</v>
      </c>
      <c r="O69" s="34">
        <v>0.45311143710149482</v>
      </c>
      <c r="P69" s="34">
        <v>0.14312014702572898</v>
      </c>
      <c r="Q69" s="34">
        <v>0.3318213127951079</v>
      </c>
      <c r="U69" s="34">
        <v>13.265597829576055</v>
      </c>
      <c r="V69" s="34">
        <v>6.7707034858238507E-2</v>
      </c>
      <c r="W69" s="34">
        <v>0.96133857899497432</v>
      </c>
      <c r="X69" s="34">
        <v>13.266472390130646</v>
      </c>
      <c r="Y69" s="34">
        <v>6.7767004482426008E-2</v>
      </c>
      <c r="Z69" s="34">
        <v>0.96137147037387938</v>
      </c>
    </row>
    <row r="70" spans="2:26" x14ac:dyDescent="0.3">
      <c r="D70" s="34">
        <v>11.274616241455078</v>
      </c>
      <c r="K70" s="34">
        <v>3</v>
      </c>
      <c r="L70" s="34">
        <v>0.77392645125666015</v>
      </c>
      <c r="M70" s="34">
        <v>9.0961313060387169E-2</v>
      </c>
      <c r="N70" s="34">
        <v>6.9077903628135496E-3</v>
      </c>
      <c r="O70" s="34">
        <v>0.11301430600905096</v>
      </c>
      <c r="P70" s="34">
        <v>0.25072337108844067</v>
      </c>
      <c r="Q70" s="34">
        <v>1.5526886361982291</v>
      </c>
      <c r="U70" s="34">
        <v>11.106314340258843</v>
      </c>
      <c r="V70" s="34">
        <v>5.4494688812849475E-2</v>
      </c>
      <c r="W70" s="34">
        <v>0.77374303594604321</v>
      </c>
      <c r="X70" s="34">
        <v>11.141899717623023</v>
      </c>
      <c r="Y70" s="34">
        <v>5.4554018823734722E-2</v>
      </c>
      <c r="Z70" s="34">
        <v>0.77392645125666015</v>
      </c>
    </row>
    <row r="71" spans="2:26" x14ac:dyDescent="0.3">
      <c r="D71" s="34">
        <v>0.18289260193058307</v>
      </c>
      <c r="K71" s="34">
        <v>4</v>
      </c>
      <c r="L71" s="34">
        <v>0.23140113075105029</v>
      </c>
      <c r="M71" s="34">
        <v>2.7197094326723639E-2</v>
      </c>
      <c r="N71" s="34">
        <v>2.2045396974372106E-3</v>
      </c>
      <c r="O71" s="34">
        <v>0.2203866342204511</v>
      </c>
      <c r="P71" s="34">
        <v>0.22065901606668373</v>
      </c>
      <c r="Q71" s="34">
        <v>0.7266579613461821</v>
      </c>
      <c r="U71" s="34">
        <v>2.9296912027479141</v>
      </c>
      <c r="V71" s="34">
        <v>1.6299855792317956E-2</v>
      </c>
      <c r="W71" s="34">
        <v>0.23143356134289905</v>
      </c>
      <c r="X71" s="34">
        <v>2.9160628729205285</v>
      </c>
      <c r="Y71" s="34">
        <v>1.6311448745973664E-2</v>
      </c>
      <c r="Z71" s="34">
        <v>0.23140113075105029</v>
      </c>
    </row>
    <row r="72" spans="2:26" x14ac:dyDescent="0.3">
      <c r="D72" s="34">
        <v>6.5360357215740877E-2</v>
      </c>
      <c r="K72" s="34">
        <v>5</v>
      </c>
      <c r="L72" s="34">
        <v>5.4706732377447222E-4</v>
      </c>
      <c r="M72" s="34">
        <v>6.4298050573355074E-5</v>
      </c>
      <c r="U72" s="34">
        <v>3.9241664890162465E-3</v>
      </c>
      <c r="V72" s="34">
        <v>3.8535313126167854E-5</v>
      </c>
      <c r="W72" s="34">
        <v>5.4714378261284816E-4</v>
      </c>
      <c r="X72" s="34">
        <v>3.9394352348125069E-3</v>
      </c>
      <c r="Y72" s="34">
        <v>3.8562735555274642E-5</v>
      </c>
      <c r="Z72" s="34">
        <v>5.4706732377447222E-4</v>
      </c>
    </row>
    <row r="73" spans="2:26" x14ac:dyDescent="0.3">
      <c r="W73" s="34">
        <v>26.849416000741559</v>
      </c>
      <c r="Z73" s="34">
        <v>26.854187268599222</v>
      </c>
    </row>
    <row r="74" spans="2:26" x14ac:dyDescent="0.3">
      <c r="W74" s="34">
        <v>380.86284370726571</v>
      </c>
      <c r="Z74" s="34">
        <v>380.93045328790231</v>
      </c>
    </row>
    <row r="75" spans="2:26" x14ac:dyDescent="0.3">
      <c r="W75" s="34">
        <v>1.6682570928590554</v>
      </c>
      <c r="Z75" s="34">
        <v>1.6682572495177552</v>
      </c>
    </row>
    <row r="76" spans="2:26" x14ac:dyDescent="0.3">
      <c r="B76" s="34">
        <v>1.7600000000000002</v>
      </c>
      <c r="C76" s="34">
        <v>80.599999999999994</v>
      </c>
      <c r="D76" s="34">
        <v>0.19700000000000001</v>
      </c>
      <c r="E76" s="34">
        <v>0.22800000000000001</v>
      </c>
      <c r="F76" s="34">
        <v>1.804</v>
      </c>
      <c r="G76" s="34">
        <v>0.78800000000000003</v>
      </c>
      <c r="H76" s="34">
        <v>0.64500000000000002</v>
      </c>
      <c r="I76" s="34">
        <v>1.4889999628067017</v>
      </c>
      <c r="J76" s="34">
        <v>0.49599999189376831</v>
      </c>
      <c r="K76" s="34">
        <v>1</v>
      </c>
      <c r="L76" s="34">
        <v>1</v>
      </c>
      <c r="M76" s="34">
        <v>0.11722512783037804</v>
      </c>
      <c r="N76" s="34">
        <v>4.900125128699175E-4</v>
      </c>
      <c r="O76" s="34">
        <v>0.66369411895113883</v>
      </c>
      <c r="P76" s="34">
        <v>8.7801501544390093E-2</v>
      </c>
      <c r="Q76" s="34">
        <v>1.8081448493653032E-2</v>
      </c>
      <c r="U76" s="34">
        <v>4.8000000000000007</v>
      </c>
      <c r="V76" s="34">
        <v>7.0351755572894997E-2</v>
      </c>
      <c r="W76" s="34">
        <v>1</v>
      </c>
      <c r="X76" s="34">
        <v>4.8000000000000007</v>
      </c>
      <c r="Y76" s="34">
        <v>7.0379112970004265E-2</v>
      </c>
      <c r="Z76" s="34">
        <v>1</v>
      </c>
    </row>
    <row r="77" spans="2:26" x14ac:dyDescent="0.3">
      <c r="K77" s="34">
        <v>2</v>
      </c>
      <c r="L77" s="34">
        <v>0.96141448074992508</v>
      </c>
      <c r="M77" s="34">
        <v>0.1127019354038865</v>
      </c>
      <c r="N77" s="34">
        <v>1.4191216051512416E-3</v>
      </c>
      <c r="O77" s="34">
        <v>0.45483770490973363</v>
      </c>
      <c r="P77" s="34">
        <v>0.14266925618029347</v>
      </c>
      <c r="Q77" s="34">
        <v>0.32850860430442336</v>
      </c>
      <c r="U77" s="34">
        <v>13.266926291159535</v>
      </c>
      <c r="V77" s="34">
        <v>6.7636140954587698E-2</v>
      </c>
      <c r="W77" s="34">
        <v>0.96139947615815335</v>
      </c>
      <c r="X77" s="34">
        <v>13.267312770982517</v>
      </c>
      <c r="Y77" s="34">
        <v>6.7663498351696966E-2</v>
      </c>
      <c r="Z77" s="34">
        <v>0.96141448074992508</v>
      </c>
    </row>
    <row r="78" spans="2:26" x14ac:dyDescent="0.3">
      <c r="D78" s="34">
        <v>11.313694000244141</v>
      </c>
      <c r="K78" s="34">
        <v>3</v>
      </c>
      <c r="L78" s="34">
        <v>0.77516908709301924</v>
      </c>
      <c r="M78" s="34">
        <v>9.0869295324636626E-2</v>
      </c>
      <c r="N78" s="34">
        <v>6.9136764876515993E-3</v>
      </c>
      <c r="O78" s="34">
        <v>0.11294955863583241</v>
      </c>
      <c r="P78" s="34">
        <v>0.25074102946295479</v>
      </c>
      <c r="Q78" s="34">
        <v>1.5534636464897444</v>
      </c>
      <c r="U78" s="34">
        <v>11.144540898095906</v>
      </c>
      <c r="V78" s="34">
        <v>5.4528635744311375E-2</v>
      </c>
      <c r="W78" s="34">
        <v>0.77508564356736642</v>
      </c>
      <c r="X78" s="34">
        <v>11.161233267370077</v>
      </c>
      <c r="Y78" s="34">
        <v>5.4555712751374677E-2</v>
      </c>
      <c r="Z78" s="34">
        <v>0.77516908709301924</v>
      </c>
    </row>
    <row r="79" spans="2:26" x14ac:dyDescent="0.3">
      <c r="D79" s="34">
        <v>0.18245329726303131</v>
      </c>
      <c r="K79" s="34">
        <v>4</v>
      </c>
      <c r="L79" s="34">
        <v>0.23075891348202526</v>
      </c>
      <c r="M79" s="34">
        <v>2.7050743130929557E-2</v>
      </c>
      <c r="N79" s="34">
        <v>2.1926521650780613E-3</v>
      </c>
      <c r="O79" s="34">
        <v>0.22094534824133114</v>
      </c>
      <c r="P79" s="34">
        <v>0.22050447814601479</v>
      </c>
      <c r="Q79" s="34">
        <v>0.7222549235586212</v>
      </c>
      <c r="U79" s="34">
        <v>2.9156542474632339</v>
      </c>
      <c r="V79" s="34">
        <v>1.623591894881346E-2</v>
      </c>
      <c r="W79" s="34">
        <v>0.23078200133883806</v>
      </c>
      <c r="X79" s="34">
        <v>2.90785321686936</v>
      </c>
      <c r="Y79" s="34">
        <v>1.6240607640786896E-2</v>
      </c>
      <c r="Z79" s="34">
        <v>0.23075891348202526</v>
      </c>
    </row>
    <row r="80" spans="2:26" x14ac:dyDescent="0.3">
      <c r="D80" s="34">
        <v>6.5228169432653263E-2</v>
      </c>
      <c r="K80" s="34">
        <v>5</v>
      </c>
      <c r="L80" s="34">
        <v>5.4813286658467555E-4</v>
      </c>
      <c r="M80" s="34">
        <v>6.425494535342015E-5</v>
      </c>
      <c r="U80" s="34">
        <v>3.9388847311762005E-3</v>
      </c>
      <c r="V80" s="34">
        <v>3.8565959368087489E-5</v>
      </c>
      <c r="W80" s="34">
        <v>5.4818759040245067E-4</v>
      </c>
      <c r="X80" s="34">
        <v>3.9469506508976451E-3</v>
      </c>
      <c r="Y80" s="34">
        <v>3.8577104939935153E-5</v>
      </c>
      <c r="Z80" s="34">
        <v>5.4813286658467555E-4</v>
      </c>
    </row>
    <row r="81" spans="2:26" x14ac:dyDescent="0.3">
      <c r="W81" s="34">
        <v>26.877181566752061</v>
      </c>
      <c r="Z81" s="34">
        <v>26.879308210743645</v>
      </c>
    </row>
    <row r="82" spans="2:26" x14ac:dyDescent="0.3">
      <c r="W82" s="34">
        <v>381.8757637279723</v>
      </c>
      <c r="Z82" s="34">
        <v>381.90596269277285</v>
      </c>
    </row>
    <row r="83" spans="2:26" x14ac:dyDescent="0.3">
      <c r="W83" s="34">
        <v>1.666904332805931</v>
      </c>
      <c r="Z83" s="34">
        <v>1.6669043694045806</v>
      </c>
    </row>
    <row r="84" spans="2:26" x14ac:dyDescent="0.3">
      <c r="B84" s="34">
        <v>1.7600000000000002</v>
      </c>
      <c r="C84" s="34">
        <v>80.7</v>
      </c>
      <c r="D84" s="34">
        <v>0.19700000000000001</v>
      </c>
      <c r="E84" s="34">
        <v>0.22800000000000001</v>
      </c>
      <c r="F84" s="34">
        <v>1.8029999999999999</v>
      </c>
      <c r="G84" s="34">
        <v>0.78700000000000003</v>
      </c>
      <c r="H84" s="34">
        <v>0.64500000000000002</v>
      </c>
      <c r="I84" s="34">
        <v>1.4880000352859497</v>
      </c>
      <c r="J84" s="34">
        <v>0.49599999189376831</v>
      </c>
      <c r="K84" s="34">
        <v>1</v>
      </c>
      <c r="L84" s="34">
        <v>1</v>
      </c>
      <c r="M84" s="34">
        <v>0.11707555410824651</v>
      </c>
      <c r="N84" s="34">
        <v>4.8915277044689451E-4</v>
      </c>
      <c r="O84" s="34">
        <v>0.66409819788995961</v>
      </c>
      <c r="P84" s="34">
        <v>8.7698332453627334E-2</v>
      </c>
      <c r="Q84" s="34">
        <v>1.804145372160703E-2</v>
      </c>
      <c r="U84" s="34">
        <v>4.8000000000000007</v>
      </c>
      <c r="V84" s="34">
        <v>7.0309394144753179E-2</v>
      </c>
      <c r="W84" s="34">
        <v>1</v>
      </c>
      <c r="X84" s="34">
        <v>4.8000000000000007</v>
      </c>
      <c r="Y84" s="34">
        <v>7.0321536951180347E-2</v>
      </c>
      <c r="Z84" s="34">
        <v>1</v>
      </c>
    </row>
    <row r="85" spans="2:26" x14ac:dyDescent="0.3">
      <c r="K85" s="34">
        <v>2</v>
      </c>
      <c r="L85" s="34">
        <v>0.96143297055496346</v>
      </c>
      <c r="M85" s="34">
        <v>0.11256029776565979</v>
      </c>
      <c r="N85" s="34">
        <v>1.4131166335461126E-3</v>
      </c>
      <c r="O85" s="34">
        <v>0.45564237110482092</v>
      </c>
      <c r="P85" s="34">
        <v>0.14245908217411393</v>
      </c>
      <c r="Q85" s="34">
        <v>0.32697532269372642</v>
      </c>
      <c r="U85" s="34">
        <v>13.267519834348967</v>
      </c>
      <c r="V85" s="34">
        <v>6.7597301358536782E-2</v>
      </c>
      <c r="W85" s="34">
        <v>0.96142630982379496</v>
      </c>
      <c r="X85" s="34">
        <v>13.267683075568371</v>
      </c>
      <c r="Y85" s="34">
        <v>6.760944416496395E-2</v>
      </c>
      <c r="Z85" s="34">
        <v>0.96143297055496346</v>
      </c>
    </row>
    <row r="86" spans="2:26" x14ac:dyDescent="0.3">
      <c r="D86" s="34">
        <v>11.333022117614746</v>
      </c>
      <c r="K86" s="34">
        <v>3</v>
      </c>
      <c r="L86" s="34">
        <v>0.77573873176785779</v>
      </c>
      <c r="M86" s="34">
        <v>9.0820041864950365E-2</v>
      </c>
      <c r="N86" s="34">
        <v>6.9166555819620574E-3</v>
      </c>
      <c r="O86" s="34">
        <v>0.11291678859841738</v>
      </c>
      <c r="P86" s="34">
        <v>0.25074996674588618</v>
      </c>
      <c r="Q86" s="34">
        <v>1.5539119391090799</v>
      </c>
      <c r="U86" s="34">
        <v>11.162434854139477</v>
      </c>
      <c r="V86" s="34">
        <v>5.4539115065612362E-2</v>
      </c>
      <c r="W86" s="34">
        <v>0.77570167868787321</v>
      </c>
      <c r="X86" s="34">
        <v>11.170104173105374</v>
      </c>
      <c r="Y86" s="34">
        <v>5.4551139890475192E-2</v>
      </c>
      <c r="Z86" s="34">
        <v>0.77573873176785779</v>
      </c>
    </row>
    <row r="87" spans="2:26" x14ac:dyDescent="0.3">
      <c r="D87" s="34">
        <v>0.1822383122140479</v>
      </c>
      <c r="K87" s="34">
        <v>4</v>
      </c>
      <c r="L87" s="34">
        <v>0.23039814369964001</v>
      </c>
      <c r="M87" s="34">
        <v>2.6973990339146759E-2</v>
      </c>
      <c r="N87" s="34">
        <v>2.1864176469349504E-3</v>
      </c>
      <c r="O87" s="34">
        <v>0.22123837059405735</v>
      </c>
      <c r="P87" s="34">
        <v>0.22042342941015436</v>
      </c>
      <c r="Q87" s="34">
        <v>0.7199741185495343</v>
      </c>
      <c r="U87" s="34">
        <v>2.9075623098735188</v>
      </c>
      <c r="V87" s="34">
        <v>1.620020017959355E-2</v>
      </c>
      <c r="W87" s="34">
        <v>0.23041302484047199</v>
      </c>
      <c r="X87" s="34">
        <v>2.9032041129899473</v>
      </c>
      <c r="Y87" s="34">
        <v>1.6201951575657594E-2</v>
      </c>
      <c r="Z87" s="34">
        <v>0.23039814369964001</v>
      </c>
    </row>
    <row r="88" spans="2:26" x14ac:dyDescent="0.3">
      <c r="D88" s="34">
        <v>6.5162758105801397E-2</v>
      </c>
      <c r="K88" s="34">
        <v>5</v>
      </c>
      <c r="L88" s="34">
        <v>5.4866009434697703E-4</v>
      </c>
      <c r="M88" s="34">
        <v>6.4234684562755137E-5</v>
      </c>
      <c r="U88" s="34">
        <v>3.9465566394096645E-3</v>
      </c>
      <c r="V88" s="34">
        <v>3.8578446060976881E-5</v>
      </c>
      <c r="W88" s="34">
        <v>5.4869546993324204E-4</v>
      </c>
      <c r="X88" s="34">
        <v>3.9506073835193431E-3</v>
      </c>
      <c r="Y88" s="34">
        <v>3.8582621098259044E-5</v>
      </c>
      <c r="Z88" s="34">
        <v>5.4866009434697703E-4</v>
      </c>
    </row>
    <row r="89" spans="2:26" x14ac:dyDescent="0.3">
      <c r="W89" s="34">
        <v>26.889506346535264</v>
      </c>
      <c r="Z89" s="34">
        <v>26.89042448191703</v>
      </c>
    </row>
    <row r="90" spans="2:26" x14ac:dyDescent="0.3">
      <c r="W90" s="34">
        <v>382.37226641307734</v>
      </c>
      <c r="Z90" s="34">
        <v>382.38531855590827</v>
      </c>
    </row>
    <row r="91" spans="2:26" x14ac:dyDescent="0.3">
      <c r="W91" s="34">
        <v>1.6662036556184565</v>
      </c>
      <c r="Z91" s="34">
        <v>1.66620366403113</v>
      </c>
    </row>
    <row r="92" spans="2:26" x14ac:dyDescent="0.3">
      <c r="B92" s="34">
        <v>1.7600000000000002</v>
      </c>
      <c r="C92" s="34">
        <v>80.7</v>
      </c>
      <c r="D92" s="34">
        <v>0.19700000000000001</v>
      </c>
      <c r="E92" s="34">
        <v>0.22800000000000001</v>
      </c>
      <c r="F92" s="34">
        <v>1.802</v>
      </c>
      <c r="G92" s="34">
        <v>0.78700000000000003</v>
      </c>
      <c r="H92" s="34">
        <v>0.64400000000000002</v>
      </c>
      <c r="I92" s="34">
        <v>1.4869999885559082</v>
      </c>
      <c r="J92" s="34">
        <v>0.49599999189376831</v>
      </c>
      <c r="K92" s="34">
        <v>1</v>
      </c>
      <c r="L92" s="34">
        <v>1</v>
      </c>
      <c r="M92" s="34">
        <v>0.11700393051078728</v>
      </c>
      <c r="N92" s="34">
        <v>4.8875468539700856E-4</v>
      </c>
      <c r="O92" s="34">
        <v>0.66428529786340595</v>
      </c>
      <c r="P92" s="34">
        <v>8.765056224764102E-2</v>
      </c>
      <c r="Q92" s="34">
        <v>1.8023066839385014E-2</v>
      </c>
      <c r="U92" s="34">
        <v>4.8000000000000007</v>
      </c>
      <c r="V92" s="34">
        <v>7.0287657971819101E-2</v>
      </c>
      <c r="W92" s="34">
        <v>1</v>
      </c>
      <c r="X92" s="34">
        <v>4.8000000000000007</v>
      </c>
      <c r="Y92" s="34">
        <v>7.0292961690837277E-2</v>
      </c>
      <c r="Z92" s="34">
        <v>1</v>
      </c>
    </row>
    <row r="93" spans="2:26" x14ac:dyDescent="0.3">
      <c r="K93" s="34">
        <v>2</v>
      </c>
      <c r="L93" s="34">
        <v>0.9614407679155611</v>
      </c>
      <c r="M93" s="34">
        <v>0.11249234879943028</v>
      </c>
      <c r="N93" s="34">
        <v>1.4103436566866687E-3</v>
      </c>
      <c r="O93" s="34">
        <v>0.45601395000398642</v>
      </c>
      <c r="P93" s="34">
        <v>0.14236202798403341</v>
      </c>
      <c r="Q93" s="34">
        <v>0.32626951928241832</v>
      </c>
      <c r="U93" s="34">
        <v>13.267774993658497</v>
      </c>
      <c r="V93" s="34">
        <v>6.7577215348079533E-2</v>
      </c>
      <c r="W93" s="34">
        <v>0.96143785833885254</v>
      </c>
      <c r="X93" s="34">
        <v>13.267842445076166</v>
      </c>
      <c r="Y93" s="34">
        <v>6.758251906709771E-2</v>
      </c>
      <c r="Z93" s="34">
        <v>0.9614407679155611</v>
      </c>
    </row>
    <row r="94" spans="2:26" x14ac:dyDescent="0.3">
      <c r="D94" s="34">
        <v>11.342384338378906</v>
      </c>
      <c r="K94" s="34">
        <v>3</v>
      </c>
      <c r="L94" s="34">
        <v>0.77599747021150656</v>
      </c>
      <c r="M94" s="34">
        <v>9.0794754081173837E-2</v>
      </c>
      <c r="N94" s="34">
        <v>6.9182317639734899E-3</v>
      </c>
      <c r="O94" s="34">
        <v>0.11289945059629161</v>
      </c>
      <c r="P94" s="34">
        <v>0.25075469529192046</v>
      </c>
      <c r="Q94" s="34">
        <v>1.5541691955202646</v>
      </c>
      <c r="U94" s="34">
        <v>11.170637737457152</v>
      </c>
      <c r="V94" s="34">
        <v>5.4541905390742246E-2</v>
      </c>
      <c r="W94" s="34">
        <v>0.77598125993343092</v>
      </c>
      <c r="X94" s="34">
        <v>11.174130143041406</v>
      </c>
      <c r="Y94" s="34">
        <v>5.4547160445764069E-2</v>
      </c>
      <c r="Z94" s="34">
        <v>0.77599747021150656</v>
      </c>
    </row>
    <row r="95" spans="2:26" x14ac:dyDescent="0.3">
      <c r="D95" s="34">
        <v>0.18213495423698212</v>
      </c>
      <c r="K95" s="34">
        <v>4</v>
      </c>
      <c r="L95" s="34">
        <v>0.230198704140745</v>
      </c>
      <c r="M95" s="34">
        <v>2.693415318295701E-2</v>
      </c>
      <c r="N95" s="34">
        <v>2.1831816907009654E-3</v>
      </c>
      <c r="O95" s="34">
        <v>0.22139046053705463</v>
      </c>
      <c r="P95" s="34">
        <v>0.22038136197911254</v>
      </c>
      <c r="Q95" s="34">
        <v>0.71879655444156021</v>
      </c>
      <c r="U95" s="34">
        <v>2.9030166106154645</v>
      </c>
      <c r="V95" s="34">
        <v>1.6180764210654078E-2</v>
      </c>
      <c r="W95" s="34">
        <v>0.23020775876671748</v>
      </c>
      <c r="X95" s="34">
        <v>2.9006177604606407</v>
      </c>
      <c r="Y95" s="34">
        <v>1.6181348691445774E-2</v>
      </c>
      <c r="Z95" s="34">
        <v>0.230198704140745</v>
      </c>
    </row>
    <row r="96" spans="2:26" x14ac:dyDescent="0.3">
      <c r="D96" s="34">
        <v>6.5131023726194837E-2</v>
      </c>
      <c r="K96" s="34">
        <v>5</v>
      </c>
      <c r="L96" s="34">
        <v>5.4891046601318041E-4</v>
      </c>
      <c r="M96" s="34">
        <v>6.4224682022050029E-5</v>
      </c>
      <c r="U96" s="34">
        <v>3.9503526792982347E-3</v>
      </c>
      <c r="V96" s="34">
        <v>3.8583146487038699E-5</v>
      </c>
      <c r="W96" s="34">
        <v>5.4893202591140672E-4</v>
      </c>
      <c r="X96" s="34">
        <v>3.9523105865621284E-3</v>
      </c>
      <c r="Y96" s="34">
        <v>3.8584542359164126E-5</v>
      </c>
      <c r="Z96" s="34">
        <v>5.4891046601318041E-4</v>
      </c>
    </row>
    <row r="97" spans="2:26" x14ac:dyDescent="0.3">
      <c r="W97" s="34">
        <v>26.894868495453196</v>
      </c>
      <c r="Z97" s="34">
        <v>26.895255451323177</v>
      </c>
    </row>
    <row r="98" spans="2:26" x14ac:dyDescent="0.3">
      <c r="W98" s="34">
        <v>382.60776416726549</v>
      </c>
      <c r="Z98" s="34">
        <v>382.61326813669803</v>
      </c>
    </row>
    <row r="99" spans="2:26" x14ac:dyDescent="0.3">
      <c r="W99" s="34">
        <v>1.6658568695939564</v>
      </c>
      <c r="Z99" s="34">
        <v>1.6658568715192741</v>
      </c>
    </row>
    <row r="100" spans="2:26" x14ac:dyDescent="0.3">
      <c r="B100" s="34">
        <v>1.7600000000000002</v>
      </c>
      <c r="C100" s="34">
        <v>80.7</v>
      </c>
      <c r="D100" s="34">
        <v>0.19700000000000001</v>
      </c>
      <c r="E100" s="34">
        <v>0.22800000000000001</v>
      </c>
      <c r="F100" s="34">
        <v>1.802</v>
      </c>
      <c r="G100" s="34">
        <v>0.78700000000000003</v>
      </c>
      <c r="H100" s="34">
        <v>0.64400000000000002</v>
      </c>
      <c r="I100" s="34">
        <v>1.4859999418258667</v>
      </c>
      <c r="J100" s="34">
        <v>0.49500000476837158</v>
      </c>
      <c r="K100" s="34">
        <v>1</v>
      </c>
      <c r="L100" s="34">
        <v>1</v>
      </c>
      <c r="M100" s="34">
        <v>0.1169697932715878</v>
      </c>
      <c r="N100" s="34">
        <v>4.8857051333438663E-4</v>
      </c>
      <c r="O100" s="34">
        <v>0.66437185873283833</v>
      </c>
      <c r="P100" s="34">
        <v>8.7628461600126384E-2</v>
      </c>
      <c r="Q100" s="34">
        <v>1.8014560439627757E-2</v>
      </c>
      <c r="U100" s="34">
        <v>4.8000000000000007</v>
      </c>
      <c r="V100" s="34">
        <v>7.0276845383811168E-2</v>
      </c>
      <c r="W100" s="34">
        <v>1</v>
      </c>
      <c r="X100" s="34">
        <v>4.8000000000000007</v>
      </c>
      <c r="Y100" s="34">
        <v>7.0279139190786405E-2</v>
      </c>
      <c r="Z100" s="34">
        <v>1</v>
      </c>
    </row>
    <row r="101" spans="2:26" x14ac:dyDescent="0.3">
      <c r="K101" s="34">
        <v>2</v>
      </c>
      <c r="L101" s="34">
        <v>0.9614440486264958</v>
      </c>
      <c r="M101" s="34">
        <v>0.11245991161003961</v>
      </c>
      <c r="N101" s="34">
        <v>1.4090656607967575E-3</v>
      </c>
      <c r="O101" s="34">
        <v>0.45618520145323449</v>
      </c>
      <c r="P101" s="34">
        <v>0.14231729812788652</v>
      </c>
      <c r="Q101" s="34">
        <v>0.32594407555471711</v>
      </c>
      <c r="U101" s="34">
        <v>13.267882597234744</v>
      </c>
      <c r="V101" s="34">
        <v>6.7567166310599475E-2</v>
      </c>
      <c r="W101" s="34">
        <v>0.96144279017629486</v>
      </c>
      <c r="X101" s="34">
        <v>13.267910504432869</v>
      </c>
      <c r="Y101" s="34">
        <v>6.7569460117574712E-2</v>
      </c>
      <c r="Z101" s="34">
        <v>0.9614440486264958</v>
      </c>
    </row>
    <row r="102" spans="2:26" x14ac:dyDescent="0.3">
      <c r="D102" s="34">
        <v>11.346880912780762</v>
      </c>
      <c r="K102" s="34">
        <v>3</v>
      </c>
      <c r="L102" s="34">
        <v>0.77611472011606697</v>
      </c>
      <c r="M102" s="34">
        <v>9.0781978367012572E-2</v>
      </c>
      <c r="N102" s="34">
        <v>6.9190825432029071E-3</v>
      </c>
      <c r="O102" s="34">
        <v>0.11289009202476802</v>
      </c>
      <c r="P102" s="34">
        <v>0.25075724762960871</v>
      </c>
      <c r="Q102" s="34">
        <v>1.5543127750122792</v>
      </c>
      <c r="U102" s="34">
        <v>11.174363571045694</v>
      </c>
      <c r="V102" s="34">
        <v>5.4542400753806147E-2</v>
      </c>
      <c r="W102" s="34">
        <v>0.77610769885767272</v>
      </c>
      <c r="X102" s="34">
        <v>11.175950863550488</v>
      </c>
      <c r="Y102" s="34">
        <v>5.4544674443055302E-2</v>
      </c>
      <c r="Z102" s="34">
        <v>0.77611472011606697</v>
      </c>
    </row>
    <row r="103" spans="2:26" x14ac:dyDescent="0.3">
      <c r="D103" s="34">
        <v>0.18208554366142146</v>
      </c>
      <c r="K103" s="34">
        <v>4</v>
      </c>
      <c r="L103" s="34">
        <v>0.23008952456274889</v>
      </c>
      <c r="M103" s="34">
        <v>2.691352412206266E-2</v>
      </c>
      <c r="N103" s="34">
        <v>2.1815060001985982E-3</v>
      </c>
      <c r="O103" s="34">
        <v>0.22146921799066588</v>
      </c>
      <c r="P103" s="34">
        <v>0.22035957800258177</v>
      </c>
      <c r="Q103" s="34">
        <v>0.71818693751700635</v>
      </c>
      <c r="U103" s="34">
        <v>2.9005036721733872</v>
      </c>
      <c r="V103" s="34">
        <v>1.6170339520198668E-2</v>
      </c>
      <c r="W103" s="34">
        <v>0.23009484036862637</v>
      </c>
      <c r="X103" s="34">
        <v>2.8991949886446928</v>
      </c>
      <c r="Y103" s="34">
        <v>1.6170493723087296E-2</v>
      </c>
      <c r="Z103" s="34">
        <v>0.23008952456274889</v>
      </c>
    </row>
    <row r="104" spans="2:26" x14ac:dyDescent="0.3">
      <c r="D104" s="34">
        <v>6.5115750389833665E-2</v>
      </c>
      <c r="K104" s="34">
        <v>5</v>
      </c>
      <c r="L104" s="34">
        <v>5.4902639764993488E-4</v>
      </c>
      <c r="M104" s="34">
        <v>6.4219504233757439E-5</v>
      </c>
      <c r="U104" s="34">
        <v>3.9521553552948991E-3</v>
      </c>
      <c r="V104" s="34">
        <v>3.8584733606215741E-5</v>
      </c>
      <c r="W104" s="34">
        <v>5.4903906678634216E-4</v>
      </c>
      <c r="X104" s="34">
        <v>3.9530812808616636E-3</v>
      </c>
      <c r="Y104" s="34">
        <v>3.858510261985582E-5</v>
      </c>
      <c r="Z104" s="34">
        <v>5.4902639764993488E-4</v>
      </c>
    </row>
    <row r="105" spans="2:26" x14ac:dyDescent="0.3">
      <c r="W105" s="34">
        <v>26.897170380953682</v>
      </c>
      <c r="Z105" s="34">
        <v>26.897329891312697</v>
      </c>
    </row>
    <row r="106" spans="2:26" x14ac:dyDescent="0.3">
      <c r="W106" s="34">
        <v>382.71738583747901</v>
      </c>
      <c r="Z106" s="34">
        <v>382.71965529733643</v>
      </c>
    </row>
    <row r="107" spans="2:26" x14ac:dyDescent="0.3">
      <c r="W107" s="34">
        <v>1.6656895541453816</v>
      </c>
      <c r="Z107" s="34">
        <v>1.6656895545773474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3AD1-5077-4E58-B4AF-47419120A90F}">
  <sheetPr codeName="Sheet11"/>
  <dimension ref="A1:J40"/>
  <sheetViews>
    <sheetView workbookViewId="0">
      <selection activeCell="H11" sqref="H11"/>
    </sheetView>
  </sheetViews>
  <sheetFormatPr defaultRowHeight="12.9" x14ac:dyDescent="0.3"/>
  <cols>
    <col min="1" max="1" width="11.41015625" style="34" bestFit="1" customWidth="1"/>
    <col min="2" max="9" width="15.5859375" style="34" customWidth="1"/>
    <col min="10" max="10" width="17.29296875" style="34" customWidth="1"/>
    <col min="11" max="256" width="9.1171875" style="34"/>
    <col min="257" max="257" width="11.41015625" style="34" bestFit="1" customWidth="1"/>
    <col min="258" max="265" width="15.5859375" style="34" customWidth="1"/>
    <col min="266" max="512" width="9.1171875" style="34"/>
    <col min="513" max="513" width="11.41015625" style="34" bestFit="1" customWidth="1"/>
    <col min="514" max="521" width="15.5859375" style="34" customWidth="1"/>
    <col min="522" max="768" width="9.1171875" style="34"/>
    <col min="769" max="769" width="11.41015625" style="34" bestFit="1" customWidth="1"/>
    <col min="770" max="777" width="15.5859375" style="34" customWidth="1"/>
    <col min="778" max="1024" width="9.1171875" style="34"/>
    <col min="1025" max="1025" width="11.41015625" style="34" bestFit="1" customWidth="1"/>
    <col min="1026" max="1033" width="15.5859375" style="34" customWidth="1"/>
    <col min="1034" max="1280" width="9.1171875" style="34"/>
    <col min="1281" max="1281" width="11.41015625" style="34" bestFit="1" customWidth="1"/>
    <col min="1282" max="1289" width="15.5859375" style="34" customWidth="1"/>
    <col min="1290" max="1536" width="9.1171875" style="34"/>
    <col min="1537" max="1537" width="11.41015625" style="34" bestFit="1" customWidth="1"/>
    <col min="1538" max="1545" width="15.5859375" style="34" customWidth="1"/>
    <col min="1546" max="1792" width="9.1171875" style="34"/>
    <col min="1793" max="1793" width="11.41015625" style="34" bestFit="1" customWidth="1"/>
    <col min="1794" max="1801" width="15.5859375" style="34" customWidth="1"/>
    <col min="1802" max="2048" width="9.1171875" style="34"/>
    <col min="2049" max="2049" width="11.41015625" style="34" bestFit="1" customWidth="1"/>
    <col min="2050" max="2057" width="15.5859375" style="34" customWidth="1"/>
    <col min="2058" max="2304" width="9.1171875" style="34"/>
    <col min="2305" max="2305" width="11.41015625" style="34" bestFit="1" customWidth="1"/>
    <col min="2306" max="2313" width="15.5859375" style="34" customWidth="1"/>
    <col min="2314" max="2560" width="9.1171875" style="34"/>
    <col min="2561" max="2561" width="11.41015625" style="34" bestFit="1" customWidth="1"/>
    <col min="2562" max="2569" width="15.5859375" style="34" customWidth="1"/>
    <col min="2570" max="2816" width="9.1171875" style="34"/>
    <col min="2817" max="2817" width="11.41015625" style="34" bestFit="1" customWidth="1"/>
    <col min="2818" max="2825" width="15.5859375" style="34" customWidth="1"/>
    <col min="2826" max="3072" width="9.1171875" style="34"/>
    <col min="3073" max="3073" width="11.41015625" style="34" bestFit="1" customWidth="1"/>
    <col min="3074" max="3081" width="15.5859375" style="34" customWidth="1"/>
    <col min="3082" max="3328" width="9.1171875" style="34"/>
    <col min="3329" max="3329" width="11.41015625" style="34" bestFit="1" customWidth="1"/>
    <col min="3330" max="3337" width="15.5859375" style="34" customWidth="1"/>
    <col min="3338" max="3584" width="9.1171875" style="34"/>
    <col min="3585" max="3585" width="11.41015625" style="34" bestFit="1" customWidth="1"/>
    <col min="3586" max="3593" width="15.5859375" style="34" customWidth="1"/>
    <col min="3594" max="3840" width="9.1171875" style="34"/>
    <col min="3841" max="3841" width="11.41015625" style="34" bestFit="1" customWidth="1"/>
    <col min="3842" max="3849" width="15.5859375" style="34" customWidth="1"/>
    <col min="3850" max="4096" width="9.1171875" style="34"/>
    <col min="4097" max="4097" width="11.41015625" style="34" bestFit="1" customWidth="1"/>
    <col min="4098" max="4105" width="15.5859375" style="34" customWidth="1"/>
    <col min="4106" max="4352" width="9.1171875" style="34"/>
    <col min="4353" max="4353" width="11.41015625" style="34" bestFit="1" customWidth="1"/>
    <col min="4354" max="4361" width="15.5859375" style="34" customWidth="1"/>
    <col min="4362" max="4608" width="9.1171875" style="34"/>
    <col min="4609" max="4609" width="11.41015625" style="34" bestFit="1" customWidth="1"/>
    <col min="4610" max="4617" width="15.5859375" style="34" customWidth="1"/>
    <col min="4618" max="4864" width="9.1171875" style="34"/>
    <col min="4865" max="4865" width="11.41015625" style="34" bestFit="1" customWidth="1"/>
    <col min="4866" max="4873" width="15.5859375" style="34" customWidth="1"/>
    <col min="4874" max="5120" width="9.1171875" style="34"/>
    <col min="5121" max="5121" width="11.41015625" style="34" bestFit="1" customWidth="1"/>
    <col min="5122" max="5129" width="15.5859375" style="34" customWidth="1"/>
    <col min="5130" max="5376" width="9.1171875" style="34"/>
    <col min="5377" max="5377" width="11.41015625" style="34" bestFit="1" customWidth="1"/>
    <col min="5378" max="5385" width="15.5859375" style="34" customWidth="1"/>
    <col min="5386" max="5632" width="9.1171875" style="34"/>
    <col min="5633" max="5633" width="11.41015625" style="34" bestFit="1" customWidth="1"/>
    <col min="5634" max="5641" width="15.5859375" style="34" customWidth="1"/>
    <col min="5642" max="5888" width="9.1171875" style="34"/>
    <col min="5889" max="5889" width="11.41015625" style="34" bestFit="1" customWidth="1"/>
    <col min="5890" max="5897" width="15.5859375" style="34" customWidth="1"/>
    <col min="5898" max="6144" width="9.1171875" style="34"/>
    <col min="6145" max="6145" width="11.41015625" style="34" bestFit="1" customWidth="1"/>
    <col min="6146" max="6153" width="15.5859375" style="34" customWidth="1"/>
    <col min="6154" max="6400" width="9.1171875" style="34"/>
    <col min="6401" max="6401" width="11.41015625" style="34" bestFit="1" customWidth="1"/>
    <col min="6402" max="6409" width="15.5859375" style="34" customWidth="1"/>
    <col min="6410" max="6656" width="9.1171875" style="34"/>
    <col min="6657" max="6657" width="11.41015625" style="34" bestFit="1" customWidth="1"/>
    <col min="6658" max="6665" width="15.5859375" style="34" customWidth="1"/>
    <col min="6666" max="6912" width="9.1171875" style="34"/>
    <col min="6913" max="6913" width="11.41015625" style="34" bestFit="1" customWidth="1"/>
    <col min="6914" max="6921" width="15.5859375" style="34" customWidth="1"/>
    <col min="6922" max="7168" width="9.1171875" style="34"/>
    <col min="7169" max="7169" width="11.41015625" style="34" bestFit="1" customWidth="1"/>
    <col min="7170" max="7177" width="15.5859375" style="34" customWidth="1"/>
    <col min="7178" max="7424" width="9.1171875" style="34"/>
    <col min="7425" max="7425" width="11.41015625" style="34" bestFit="1" customWidth="1"/>
    <col min="7426" max="7433" width="15.5859375" style="34" customWidth="1"/>
    <col min="7434" max="7680" width="9.1171875" style="34"/>
    <col min="7681" max="7681" width="11.41015625" style="34" bestFit="1" customWidth="1"/>
    <col min="7682" max="7689" width="15.5859375" style="34" customWidth="1"/>
    <col min="7690" max="7936" width="9.1171875" style="34"/>
    <col min="7937" max="7937" width="11.41015625" style="34" bestFit="1" customWidth="1"/>
    <col min="7938" max="7945" width="15.5859375" style="34" customWidth="1"/>
    <col min="7946" max="8192" width="9.1171875" style="34"/>
    <col min="8193" max="8193" width="11.41015625" style="34" bestFit="1" customWidth="1"/>
    <col min="8194" max="8201" width="15.5859375" style="34" customWidth="1"/>
    <col min="8202" max="8448" width="9.1171875" style="34"/>
    <col min="8449" max="8449" width="11.41015625" style="34" bestFit="1" customWidth="1"/>
    <col min="8450" max="8457" width="15.5859375" style="34" customWidth="1"/>
    <col min="8458" max="8704" width="9.1171875" style="34"/>
    <col min="8705" max="8705" width="11.41015625" style="34" bestFit="1" customWidth="1"/>
    <col min="8706" max="8713" width="15.5859375" style="34" customWidth="1"/>
    <col min="8714" max="8960" width="9.1171875" style="34"/>
    <col min="8961" max="8961" width="11.41015625" style="34" bestFit="1" customWidth="1"/>
    <col min="8962" max="8969" width="15.5859375" style="34" customWidth="1"/>
    <col min="8970" max="9216" width="9.1171875" style="34"/>
    <col min="9217" max="9217" width="11.41015625" style="34" bestFit="1" customWidth="1"/>
    <col min="9218" max="9225" width="15.5859375" style="34" customWidth="1"/>
    <col min="9226" max="9472" width="9.1171875" style="34"/>
    <col min="9473" max="9473" width="11.41015625" style="34" bestFit="1" customWidth="1"/>
    <col min="9474" max="9481" width="15.5859375" style="34" customWidth="1"/>
    <col min="9482" max="9728" width="9.1171875" style="34"/>
    <col min="9729" max="9729" width="11.41015625" style="34" bestFit="1" customWidth="1"/>
    <col min="9730" max="9737" width="15.5859375" style="34" customWidth="1"/>
    <col min="9738" max="9984" width="9.1171875" style="34"/>
    <col min="9985" max="9985" width="11.41015625" style="34" bestFit="1" customWidth="1"/>
    <col min="9986" max="9993" width="15.5859375" style="34" customWidth="1"/>
    <col min="9994" max="10240" width="9.1171875" style="34"/>
    <col min="10241" max="10241" width="11.41015625" style="34" bestFit="1" customWidth="1"/>
    <col min="10242" max="10249" width="15.5859375" style="34" customWidth="1"/>
    <col min="10250" max="10496" width="9.1171875" style="34"/>
    <col min="10497" max="10497" width="11.41015625" style="34" bestFit="1" customWidth="1"/>
    <col min="10498" max="10505" width="15.5859375" style="34" customWidth="1"/>
    <col min="10506" max="10752" width="9.1171875" style="34"/>
    <col min="10753" max="10753" width="11.41015625" style="34" bestFit="1" customWidth="1"/>
    <col min="10754" max="10761" width="15.5859375" style="34" customWidth="1"/>
    <col min="10762" max="11008" width="9.1171875" style="34"/>
    <col min="11009" max="11009" width="11.41015625" style="34" bestFit="1" customWidth="1"/>
    <col min="11010" max="11017" width="15.5859375" style="34" customWidth="1"/>
    <col min="11018" max="11264" width="9.1171875" style="34"/>
    <col min="11265" max="11265" width="11.41015625" style="34" bestFit="1" customWidth="1"/>
    <col min="11266" max="11273" width="15.5859375" style="34" customWidth="1"/>
    <col min="11274" max="11520" width="9.1171875" style="34"/>
    <col min="11521" max="11521" width="11.41015625" style="34" bestFit="1" customWidth="1"/>
    <col min="11522" max="11529" width="15.5859375" style="34" customWidth="1"/>
    <col min="11530" max="11776" width="9.1171875" style="34"/>
    <col min="11777" max="11777" width="11.41015625" style="34" bestFit="1" customWidth="1"/>
    <col min="11778" max="11785" width="15.5859375" style="34" customWidth="1"/>
    <col min="11786" max="12032" width="9.1171875" style="34"/>
    <col min="12033" max="12033" width="11.41015625" style="34" bestFit="1" customWidth="1"/>
    <col min="12034" max="12041" width="15.5859375" style="34" customWidth="1"/>
    <col min="12042" max="12288" width="9.1171875" style="34"/>
    <col min="12289" max="12289" width="11.41015625" style="34" bestFit="1" customWidth="1"/>
    <col min="12290" max="12297" width="15.5859375" style="34" customWidth="1"/>
    <col min="12298" max="12544" width="9.1171875" style="34"/>
    <col min="12545" max="12545" width="11.41015625" style="34" bestFit="1" customWidth="1"/>
    <col min="12546" max="12553" width="15.5859375" style="34" customWidth="1"/>
    <col min="12554" max="12800" width="9.1171875" style="34"/>
    <col min="12801" max="12801" width="11.41015625" style="34" bestFit="1" customWidth="1"/>
    <col min="12802" max="12809" width="15.5859375" style="34" customWidth="1"/>
    <col min="12810" max="13056" width="9.1171875" style="34"/>
    <col min="13057" max="13057" width="11.41015625" style="34" bestFit="1" customWidth="1"/>
    <col min="13058" max="13065" width="15.5859375" style="34" customWidth="1"/>
    <col min="13066" max="13312" width="9.1171875" style="34"/>
    <col min="13313" max="13313" width="11.41015625" style="34" bestFit="1" customWidth="1"/>
    <col min="13314" max="13321" width="15.5859375" style="34" customWidth="1"/>
    <col min="13322" max="13568" width="9.1171875" style="34"/>
    <col min="13569" max="13569" width="11.41015625" style="34" bestFit="1" customWidth="1"/>
    <col min="13570" max="13577" width="15.5859375" style="34" customWidth="1"/>
    <col min="13578" max="13824" width="9.1171875" style="34"/>
    <col min="13825" max="13825" width="11.41015625" style="34" bestFit="1" customWidth="1"/>
    <col min="13826" max="13833" width="15.5859375" style="34" customWidth="1"/>
    <col min="13834" max="14080" width="9.1171875" style="34"/>
    <col min="14081" max="14081" width="11.41015625" style="34" bestFit="1" customWidth="1"/>
    <col min="14082" max="14089" width="15.5859375" style="34" customWidth="1"/>
    <col min="14090" max="14336" width="9.1171875" style="34"/>
    <col min="14337" max="14337" width="11.41015625" style="34" bestFit="1" customWidth="1"/>
    <col min="14338" max="14345" width="15.5859375" style="34" customWidth="1"/>
    <col min="14346" max="14592" width="9.1171875" style="34"/>
    <col min="14593" max="14593" width="11.41015625" style="34" bestFit="1" customWidth="1"/>
    <col min="14594" max="14601" width="15.5859375" style="34" customWidth="1"/>
    <col min="14602" max="14848" width="9.1171875" style="34"/>
    <col min="14849" max="14849" width="11.41015625" style="34" bestFit="1" customWidth="1"/>
    <col min="14850" max="14857" width="15.5859375" style="34" customWidth="1"/>
    <col min="14858" max="15104" width="9.1171875" style="34"/>
    <col min="15105" max="15105" width="11.41015625" style="34" bestFit="1" customWidth="1"/>
    <col min="15106" max="15113" width="15.5859375" style="34" customWidth="1"/>
    <col min="15114" max="15360" width="9.1171875" style="34"/>
    <col min="15361" max="15361" width="11.41015625" style="34" bestFit="1" customWidth="1"/>
    <col min="15362" max="15369" width="15.5859375" style="34" customWidth="1"/>
    <col min="15370" max="15616" width="9.1171875" style="34"/>
    <col min="15617" max="15617" width="11.41015625" style="34" bestFit="1" customWidth="1"/>
    <col min="15618" max="15625" width="15.5859375" style="34" customWidth="1"/>
    <col min="15626" max="15872" width="9.1171875" style="34"/>
    <col min="15873" max="15873" width="11.41015625" style="34" bestFit="1" customWidth="1"/>
    <col min="15874" max="15881" width="15.5859375" style="34" customWidth="1"/>
    <col min="15882" max="16128" width="9.1171875" style="34"/>
    <col min="16129" max="16129" width="11.41015625" style="34" bestFit="1" customWidth="1"/>
    <col min="16130" max="16137" width="15.5859375" style="34" customWidth="1"/>
    <col min="16138" max="16384" width="9.1171875" style="34"/>
  </cols>
  <sheetData>
    <row r="1" spans="1:10" x14ac:dyDescent="0.3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</row>
    <row r="2" spans="1:10" x14ac:dyDescent="0.3">
      <c r="A2" s="37"/>
      <c r="C2" s="34" t="s">
        <v>102</v>
      </c>
      <c r="G2" s="34" t="s">
        <v>104</v>
      </c>
    </row>
    <row r="3" spans="1:10" x14ac:dyDescent="0.3">
      <c r="B3" s="34" t="s">
        <v>103</v>
      </c>
      <c r="C3" s="34" t="s">
        <v>75</v>
      </c>
      <c r="D3" s="34" t="s">
        <v>77</v>
      </c>
      <c r="F3" s="34" t="s">
        <v>103</v>
      </c>
      <c r="G3" s="34" t="s">
        <v>75</v>
      </c>
      <c r="H3" s="34" t="s">
        <v>77</v>
      </c>
    </row>
    <row r="4" spans="1:10" x14ac:dyDescent="0.3">
      <c r="A4" s="34">
        <v>1</v>
      </c>
      <c r="B4" s="37">
        <v>1.0000000000000001E-5</v>
      </c>
      <c r="C4" s="38">
        <v>1</v>
      </c>
      <c r="D4" s="38">
        <v>1</v>
      </c>
      <c r="E4" s="61"/>
      <c r="F4" s="37">
        <v>1.0000000000000001E-5</v>
      </c>
      <c r="G4" s="38">
        <v>0.02</v>
      </c>
      <c r="H4" s="38">
        <v>0.02</v>
      </c>
    </row>
    <row r="5" spans="1:10" x14ac:dyDescent="0.3">
      <c r="A5" s="34">
        <v>2</v>
      </c>
      <c r="B5" s="37">
        <v>2.0000000000000002E-5</v>
      </c>
      <c r="C5" s="38">
        <v>0.99</v>
      </c>
      <c r="D5" s="34">
        <v>0.97899999999999998</v>
      </c>
      <c r="E5" s="61"/>
      <c r="F5" s="37">
        <v>2.0000000000000002E-5</v>
      </c>
      <c r="G5" s="38">
        <v>0.02</v>
      </c>
      <c r="H5" s="38">
        <v>0.02</v>
      </c>
    </row>
    <row r="6" spans="1:10" x14ac:dyDescent="0.3">
      <c r="A6" s="34">
        <v>3</v>
      </c>
      <c r="B6" s="37">
        <v>3.0000000000000001E-5</v>
      </c>
      <c r="C6" s="38">
        <v>0.98299999999999998</v>
      </c>
      <c r="D6" s="34">
        <v>0.96199999999999997</v>
      </c>
      <c r="E6" s="61"/>
      <c r="F6" s="37">
        <v>3.0000000000000001E-5</v>
      </c>
      <c r="G6" s="38">
        <v>0.02</v>
      </c>
      <c r="H6" s="38">
        <v>0.02</v>
      </c>
    </row>
    <row r="7" spans="1:10" x14ac:dyDescent="0.3">
      <c r="A7" s="34">
        <v>4</v>
      </c>
      <c r="B7" s="37">
        <v>4.0000000000000003E-5</v>
      </c>
      <c r="C7" s="38">
        <v>0.97499999999999998</v>
      </c>
      <c r="D7" s="34">
        <v>0.94199999999999995</v>
      </c>
      <c r="E7" s="61"/>
      <c r="F7" s="37">
        <v>4.0000000000000003E-5</v>
      </c>
      <c r="G7" s="38">
        <v>0.02</v>
      </c>
      <c r="H7" s="38">
        <v>0.02</v>
      </c>
    </row>
    <row r="8" spans="1:10" x14ac:dyDescent="0.3">
      <c r="A8" s="34">
        <v>5</v>
      </c>
      <c r="B8" s="37">
        <v>5.0000000000000002E-5</v>
      </c>
      <c r="C8" s="38">
        <v>0.96599999999999997</v>
      </c>
      <c r="D8" s="34">
        <v>0.92200000000000004</v>
      </c>
      <c r="E8" s="61"/>
      <c r="F8" s="37">
        <v>5.0000000000000002E-5</v>
      </c>
      <c r="G8" s="38">
        <v>0.02</v>
      </c>
      <c r="H8" s="38">
        <v>2.1999999999999999E-2</v>
      </c>
    </row>
    <row r="9" spans="1:10" x14ac:dyDescent="0.3">
      <c r="A9" s="34">
        <v>6</v>
      </c>
      <c r="B9" s="37">
        <v>6.0000000000000002E-5</v>
      </c>
      <c r="C9" s="38">
        <v>0.95699999999999996</v>
      </c>
      <c r="D9" s="34">
        <v>0.90100000000000002</v>
      </c>
      <c r="E9"/>
      <c r="F9" s="37">
        <v>6.0000000000000002E-5</v>
      </c>
      <c r="G9" s="38">
        <v>0.02</v>
      </c>
      <c r="H9" s="38">
        <v>2.8000000000000001E-2</v>
      </c>
    </row>
    <row r="10" spans="1:10" x14ac:dyDescent="0.3">
      <c r="A10" s="34">
        <v>7</v>
      </c>
      <c r="B10" s="37">
        <v>6.9999999999999994E-5</v>
      </c>
      <c r="C10" s="38">
        <v>0.94799999999999995</v>
      </c>
      <c r="D10" s="34">
        <v>0.88100000000000001</v>
      </c>
      <c r="F10" s="37">
        <v>6.9999999999999994E-5</v>
      </c>
      <c r="G10" s="38">
        <v>0.02</v>
      </c>
      <c r="H10" s="38">
        <v>3.4000000000000002E-2</v>
      </c>
    </row>
    <row r="11" spans="1:10" x14ac:dyDescent="0.3">
      <c r="A11" s="34">
        <v>8</v>
      </c>
      <c r="B11" s="37">
        <v>8.0000000000000007E-5</v>
      </c>
      <c r="C11" s="38">
        <v>0.93899999999999995</v>
      </c>
      <c r="D11" s="34">
        <v>0.86099999999999999</v>
      </c>
      <c r="F11" s="37">
        <v>8.0000000000000007E-5</v>
      </c>
      <c r="G11" s="38">
        <v>0.02</v>
      </c>
      <c r="H11" s="38">
        <v>3.9E-2</v>
      </c>
    </row>
    <row r="12" spans="1:10" x14ac:dyDescent="0.3">
      <c r="A12" s="34">
        <v>9</v>
      </c>
      <c r="B12" s="37">
        <v>9.0000000000000006E-5</v>
      </c>
      <c r="C12" s="38">
        <v>0.93</v>
      </c>
      <c r="D12" s="34">
        <v>0.84199999999999997</v>
      </c>
      <c r="F12" s="37">
        <v>9.0000000000000006E-5</v>
      </c>
      <c r="G12" s="38">
        <v>0.02</v>
      </c>
      <c r="H12" s="38">
        <v>4.4999999999999998E-2</v>
      </c>
    </row>
    <row r="13" spans="1:10" x14ac:dyDescent="0.3">
      <c r="A13" s="34">
        <v>10</v>
      </c>
      <c r="B13" s="37">
        <v>1E-4</v>
      </c>
      <c r="C13" s="38">
        <v>0.92</v>
      </c>
      <c r="D13" s="34">
        <v>0.82299999999999995</v>
      </c>
      <c r="F13" s="37">
        <v>1E-4</v>
      </c>
      <c r="G13" s="38">
        <v>2.1000000000000001E-2</v>
      </c>
      <c r="H13" s="38">
        <v>0.05</v>
      </c>
    </row>
    <row r="14" spans="1:10" x14ac:dyDescent="0.3">
      <c r="A14" s="34">
        <v>11</v>
      </c>
      <c r="B14" s="37">
        <v>2.0000000000000001E-4</v>
      </c>
      <c r="C14" s="38">
        <v>0.83399999999999996</v>
      </c>
      <c r="D14" s="34">
        <v>0.67800000000000005</v>
      </c>
      <c r="F14" s="37">
        <v>2.0000000000000001E-4</v>
      </c>
      <c r="G14" s="38">
        <v>4.3999999999999997E-2</v>
      </c>
      <c r="H14" s="38">
        <v>9.0999999999999998E-2</v>
      </c>
    </row>
    <row r="15" spans="1:10" x14ac:dyDescent="0.3">
      <c r="A15" s="34">
        <v>12</v>
      </c>
      <c r="B15" s="37">
        <v>2.9999999999999997E-4</v>
      </c>
      <c r="C15" s="38">
        <v>0.76300000000000001</v>
      </c>
      <c r="D15" s="34">
        <v>0.58299999999999996</v>
      </c>
      <c r="F15" s="37">
        <v>2.9999999999999997E-4</v>
      </c>
      <c r="G15" s="38">
        <v>6.2E-2</v>
      </c>
      <c r="H15" s="38">
        <v>0.11799999999999999</v>
      </c>
      <c r="J15"/>
    </row>
    <row r="16" spans="1:10" x14ac:dyDescent="0.3">
      <c r="A16" s="34">
        <v>13</v>
      </c>
      <c r="B16" s="37">
        <v>4.0000000000000002E-4</v>
      </c>
      <c r="C16" s="38">
        <v>0.70599999999999996</v>
      </c>
      <c r="D16" s="34">
        <v>0.51700000000000002</v>
      </c>
      <c r="F16" s="37">
        <v>4.0000000000000002E-4</v>
      </c>
      <c r="G16" s="38">
        <v>7.6999999999999999E-2</v>
      </c>
      <c r="H16" s="38">
        <v>0.13700000000000001</v>
      </c>
      <c r="J16"/>
    </row>
    <row r="17" spans="1:10" x14ac:dyDescent="0.3">
      <c r="A17" s="34">
        <v>14</v>
      </c>
      <c r="B17" s="37">
        <v>5.0000000000000001E-4</v>
      </c>
      <c r="C17" s="38">
        <v>0.65900000000000003</v>
      </c>
      <c r="D17" s="34">
        <v>0.46800000000000003</v>
      </c>
      <c r="E17" s="39"/>
      <c r="F17" s="37">
        <v>5.0000000000000001E-4</v>
      </c>
      <c r="G17" s="38">
        <v>8.8999999999999996E-2</v>
      </c>
      <c r="H17" s="38">
        <v>0.151</v>
      </c>
      <c r="J17"/>
    </row>
    <row r="18" spans="1:10" x14ac:dyDescent="0.3">
      <c r="A18" s="34">
        <v>15</v>
      </c>
      <c r="B18" s="37">
        <v>5.9999999999999995E-4</v>
      </c>
      <c r="C18" s="38">
        <v>0.62</v>
      </c>
      <c r="D18" s="34">
        <v>0.42899999999999999</v>
      </c>
      <c r="E18" s="40"/>
      <c r="F18" s="37">
        <v>5.9999999999999995E-4</v>
      </c>
      <c r="G18" s="38">
        <v>0.1</v>
      </c>
      <c r="H18" s="38">
        <v>0.16200000000000001</v>
      </c>
      <c r="J18" s="66"/>
    </row>
    <row r="19" spans="1:10" x14ac:dyDescent="0.3">
      <c r="A19" s="34">
        <v>16</v>
      </c>
      <c r="B19" s="37">
        <v>6.9999999999999999E-4</v>
      </c>
      <c r="C19" s="38">
        <v>0.58699999999999997</v>
      </c>
      <c r="D19" s="34">
        <v>0.39800000000000002</v>
      </c>
      <c r="F19" s="37">
        <v>6.9999999999999999E-4</v>
      </c>
      <c r="G19" s="38">
        <v>0.108</v>
      </c>
      <c r="H19" s="38">
        <v>1.7000000000000001E-2</v>
      </c>
      <c r="J19" s="66"/>
    </row>
    <row r="20" spans="1:10" x14ac:dyDescent="0.3">
      <c r="A20" s="34">
        <v>17</v>
      </c>
      <c r="B20" s="37">
        <v>8.0000000000000004E-4</v>
      </c>
      <c r="C20" s="38">
        <v>0.55800000000000005</v>
      </c>
      <c r="D20" s="34">
        <v>0.373</v>
      </c>
      <c r="F20" s="37">
        <v>8.0000000000000004E-4</v>
      </c>
      <c r="G20" s="38">
        <v>0.11600000000000001</v>
      </c>
      <c r="H20" s="38">
        <v>0.17699999999999999</v>
      </c>
      <c r="J20"/>
    </row>
    <row r="21" spans="1:10" x14ac:dyDescent="0.3">
      <c r="A21" s="34">
        <v>18</v>
      </c>
      <c r="B21" s="37">
        <v>8.9999999999999998E-4</v>
      </c>
      <c r="C21" s="38">
        <v>0.53300000000000003</v>
      </c>
      <c r="D21" s="34">
        <v>0.35099999999999998</v>
      </c>
      <c r="E21" s="39"/>
      <c r="F21" s="37">
        <v>8.9999999999999998E-4</v>
      </c>
      <c r="G21" s="38">
        <v>0.122</v>
      </c>
      <c r="H21" s="38">
        <v>0.184</v>
      </c>
    </row>
    <row r="22" spans="1:10" x14ac:dyDescent="0.3">
      <c r="A22" s="34">
        <v>19</v>
      </c>
      <c r="B22" s="37">
        <v>1E-3</v>
      </c>
      <c r="C22" s="38">
        <v>0.51100000000000001</v>
      </c>
      <c r="D22" s="34">
        <v>0.33300000000000002</v>
      </c>
      <c r="F22" s="37">
        <v>1E-3</v>
      </c>
      <c r="G22" s="38">
        <v>0.128</v>
      </c>
      <c r="H22" s="38">
        <v>0.189</v>
      </c>
    </row>
    <row r="23" spans="1:10" x14ac:dyDescent="0.3">
      <c r="A23" s="34">
        <v>20</v>
      </c>
      <c r="B23" s="37">
        <v>2E-3</v>
      </c>
      <c r="C23" s="38">
        <v>0.377</v>
      </c>
      <c r="D23" s="38">
        <v>0.23</v>
      </c>
      <c r="F23" s="37">
        <v>2E-3</v>
      </c>
      <c r="G23" s="38">
        <v>0.16300000000000001</v>
      </c>
      <c r="H23" s="38">
        <v>0.218</v>
      </c>
    </row>
    <row r="24" spans="1:10" x14ac:dyDescent="0.3">
      <c r="A24" s="34">
        <v>21</v>
      </c>
      <c r="B24" s="37">
        <v>3.0000000000000001E-3</v>
      </c>
      <c r="C24" s="38">
        <v>0.311</v>
      </c>
      <c r="D24" s="34">
        <v>0.183</v>
      </c>
      <c r="F24" s="37">
        <v>3.0000000000000001E-3</v>
      </c>
      <c r="G24" s="38">
        <v>0.18099999999999999</v>
      </c>
      <c r="H24" s="38">
        <v>0.23100000000000001</v>
      </c>
    </row>
    <row r="25" spans="1:10" x14ac:dyDescent="0.3">
      <c r="A25" s="34">
        <v>22</v>
      </c>
      <c r="B25" s="37">
        <v>4.0000000000000001E-3</v>
      </c>
      <c r="C25" s="38">
        <v>0.26900000000000002</v>
      </c>
      <c r="D25" s="34">
        <v>0.155</v>
      </c>
      <c r="F25" s="37">
        <v>4.0000000000000001E-3</v>
      </c>
      <c r="G25" s="38">
        <v>0.192</v>
      </c>
      <c r="H25" s="38">
        <v>0.23899999999999999</v>
      </c>
    </row>
    <row r="26" spans="1:10" x14ac:dyDescent="0.3">
      <c r="A26" s="34">
        <v>23</v>
      </c>
      <c r="B26" s="37">
        <v>5.0000000000000001E-3</v>
      </c>
      <c r="C26" s="38">
        <v>0.24</v>
      </c>
      <c r="D26" s="34">
        <v>0.13700000000000001</v>
      </c>
      <c r="F26" s="37">
        <v>5.0000000000000001E-3</v>
      </c>
      <c r="G26" s="38">
        <v>0.19900000000000001</v>
      </c>
      <c r="H26" s="38">
        <v>0.24399999999999999</v>
      </c>
    </row>
    <row r="27" spans="1:10" x14ac:dyDescent="0.3">
      <c r="A27" s="34">
        <v>24</v>
      </c>
      <c r="B27" s="37">
        <v>6.0000000000000001E-3</v>
      </c>
      <c r="C27" s="38">
        <v>0.219</v>
      </c>
      <c r="D27" s="34">
        <v>0.123</v>
      </c>
      <c r="F27" s="37">
        <v>6.0000000000000001E-3</v>
      </c>
      <c r="G27" s="38">
        <v>0.20499999999999999</v>
      </c>
      <c r="H27" s="38">
        <v>0.248</v>
      </c>
    </row>
    <row r="28" spans="1:10" x14ac:dyDescent="0.3">
      <c r="A28" s="34">
        <v>25</v>
      </c>
      <c r="B28" s="37">
        <v>7.0000000000000001E-3</v>
      </c>
      <c r="C28" s="38">
        <v>0.20200000000000001</v>
      </c>
      <c r="D28" s="34">
        <v>0.112</v>
      </c>
      <c r="F28" s="37">
        <v>7.0000000000000001E-3</v>
      </c>
      <c r="G28" s="38">
        <v>0.20899999999999999</v>
      </c>
      <c r="H28" s="38">
        <v>0.251</v>
      </c>
    </row>
    <row r="29" spans="1:10" x14ac:dyDescent="0.3">
      <c r="A29" s="34">
        <v>26</v>
      </c>
      <c r="B29" s="37">
        <v>8.0000000000000002E-3</v>
      </c>
      <c r="C29" s="38">
        <v>0.188</v>
      </c>
      <c r="D29" s="34">
        <v>0.104</v>
      </c>
      <c r="F29" s="37">
        <v>8.0000000000000002E-3</v>
      </c>
      <c r="G29" s="38">
        <v>0.21299999999999999</v>
      </c>
      <c r="H29" s="38">
        <v>0.254</v>
      </c>
    </row>
    <row r="30" spans="1:10" x14ac:dyDescent="0.3">
      <c r="A30" s="34">
        <v>27</v>
      </c>
      <c r="B30" s="37">
        <v>8.9999999999999993E-3</v>
      </c>
      <c r="C30" s="38">
        <v>0.17599999999999999</v>
      </c>
      <c r="D30" s="34">
        <v>9.7000000000000003E-2</v>
      </c>
      <c r="F30" s="37">
        <v>8.9999999999999993E-3</v>
      </c>
      <c r="G30" s="38">
        <v>0.216</v>
      </c>
      <c r="H30" s="38">
        <v>0.25600000000000001</v>
      </c>
    </row>
    <row r="31" spans="1:10" x14ac:dyDescent="0.3">
      <c r="A31" s="34">
        <v>28</v>
      </c>
      <c r="B31" s="37">
        <v>0.01</v>
      </c>
      <c r="C31" s="38">
        <v>0.16700000000000001</v>
      </c>
      <c r="D31" s="34">
        <v>9.0999999999999998E-2</v>
      </c>
      <c r="F31" s="37">
        <v>0.01</v>
      </c>
      <c r="G31" s="38">
        <v>0.218</v>
      </c>
      <c r="H31" s="38">
        <v>0.25700000000000001</v>
      </c>
    </row>
    <row r="32" spans="1:10" x14ac:dyDescent="0.3">
      <c r="A32" s="34">
        <v>29</v>
      </c>
      <c r="B32" s="37">
        <v>0.02</v>
      </c>
      <c r="C32" s="38">
        <v>0.114</v>
      </c>
      <c r="D32" s="38">
        <v>0.06</v>
      </c>
      <c r="F32" s="37">
        <v>0.02</v>
      </c>
      <c r="G32" s="38">
        <v>0.23200000000000001</v>
      </c>
      <c r="H32" s="38">
        <v>0.26600000000000001</v>
      </c>
    </row>
    <row r="33" spans="1:8" x14ac:dyDescent="0.3">
      <c r="A33" s="34">
        <v>30</v>
      </c>
      <c r="B33" s="37">
        <v>0.03</v>
      </c>
      <c r="C33" s="38">
        <v>9.0999999999999998E-2</v>
      </c>
      <c r="D33" s="34">
        <v>4.7E-2</v>
      </c>
      <c r="F33" s="37">
        <v>0.03</v>
      </c>
      <c r="G33" s="38">
        <v>0.23799999999999999</v>
      </c>
      <c r="H33" s="38">
        <v>0.27</v>
      </c>
    </row>
    <row r="34" spans="1:8" x14ac:dyDescent="0.3">
      <c r="A34" s="34">
        <v>31</v>
      </c>
      <c r="B34" s="37">
        <v>0.04</v>
      </c>
      <c r="C34" s="38">
        <v>7.6999999999999999E-2</v>
      </c>
      <c r="D34" s="38">
        <v>0.04</v>
      </c>
      <c r="F34" s="37">
        <v>0.04</v>
      </c>
      <c r="G34" s="38">
        <v>0.24199999999999999</v>
      </c>
      <c r="H34" s="38">
        <v>0.27200000000000002</v>
      </c>
    </row>
    <row r="35" spans="1:8" x14ac:dyDescent="0.3">
      <c r="A35" s="34">
        <v>32</v>
      </c>
      <c r="B35" s="37">
        <v>0.05</v>
      </c>
      <c r="C35" s="38">
        <v>6.8000000000000005E-2</v>
      </c>
      <c r="D35" s="38">
        <v>3.5000000000000003E-2</v>
      </c>
      <c r="F35" s="37">
        <v>0.05</v>
      </c>
      <c r="G35" s="38">
        <v>0.24399999999999999</v>
      </c>
      <c r="H35" s="38">
        <v>0.27300000000000002</v>
      </c>
    </row>
    <row r="36" spans="1:8" x14ac:dyDescent="0.3">
      <c r="A36" s="34">
        <v>33</v>
      </c>
      <c r="B36" s="37">
        <v>0.06</v>
      </c>
      <c r="C36" s="38">
        <v>6.2E-2</v>
      </c>
      <c r="D36" s="38">
        <v>3.1E-2</v>
      </c>
      <c r="F36" s="37">
        <v>0.06</v>
      </c>
      <c r="G36" s="38">
        <v>0.246</v>
      </c>
      <c r="H36" s="38">
        <v>0.27400000000000002</v>
      </c>
    </row>
    <row r="37" spans="1:8" x14ac:dyDescent="0.3">
      <c r="A37" s="34">
        <v>34</v>
      </c>
      <c r="B37" s="37">
        <v>7.0000000000000007E-2</v>
      </c>
      <c r="C37" s="38">
        <v>5.6000000000000001E-2</v>
      </c>
      <c r="D37" s="38">
        <v>0.28000000000000003</v>
      </c>
      <c r="F37" s="37">
        <v>7.0000000000000007E-2</v>
      </c>
      <c r="G37" s="38">
        <v>0.247</v>
      </c>
      <c r="H37" s="38">
        <v>0.27500000000000002</v>
      </c>
    </row>
    <row r="38" spans="1:8" x14ac:dyDescent="0.3">
      <c r="A38" s="34">
        <v>35</v>
      </c>
      <c r="B38" s="37">
        <v>0.08</v>
      </c>
      <c r="C38" s="38">
        <v>5.1999999999999998E-2</v>
      </c>
      <c r="D38" s="38">
        <v>2.5999999999999999E-2</v>
      </c>
      <c r="F38" s="37">
        <v>0.08</v>
      </c>
      <c r="G38" s="38">
        <v>0.248</v>
      </c>
      <c r="H38" s="38">
        <v>0.27600000000000002</v>
      </c>
    </row>
    <row r="39" spans="1:8" x14ac:dyDescent="0.3">
      <c r="A39" s="34">
        <v>36</v>
      </c>
      <c r="B39" s="37">
        <v>0.09</v>
      </c>
      <c r="C39" s="38">
        <v>4.9000000000000002E-2</v>
      </c>
      <c r="D39" s="38">
        <v>2.4E-2</v>
      </c>
      <c r="F39" s="37">
        <v>0.09</v>
      </c>
      <c r="G39" s="38">
        <v>0.249</v>
      </c>
      <c r="H39" s="38">
        <v>0.27600000000000002</v>
      </c>
    </row>
    <row r="40" spans="1:8" x14ac:dyDescent="0.3">
      <c r="A40" s="34">
        <v>37</v>
      </c>
      <c r="B40" s="37">
        <v>0.1</v>
      </c>
      <c r="C40" s="38">
        <v>4.5999999999999999E-2</v>
      </c>
      <c r="D40" s="38">
        <v>0.23</v>
      </c>
      <c r="F40" s="37">
        <v>0.1</v>
      </c>
      <c r="G40" s="38">
        <v>0.25</v>
      </c>
      <c r="H40" s="38">
        <v>0.27700000000000002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BF3A1-AAC7-40EC-9DED-8ACB0E9AE9EB}">
  <sheetPr codeName="Sheet12"/>
  <dimension ref="A1:AF219"/>
  <sheetViews>
    <sheetView workbookViewId="0">
      <selection activeCell="A15" sqref="A15"/>
    </sheetView>
  </sheetViews>
  <sheetFormatPr defaultRowHeight="12.9" x14ac:dyDescent="0.3"/>
  <cols>
    <col min="1" max="1" width="11.41015625" style="34" bestFit="1" customWidth="1"/>
    <col min="2" max="5" width="15.5859375" style="34" customWidth="1"/>
    <col min="6" max="256" width="9.1171875" style="34"/>
    <col min="257" max="257" width="11.41015625" style="34" bestFit="1" customWidth="1"/>
    <col min="258" max="261" width="15.5859375" style="34" customWidth="1"/>
    <col min="262" max="512" width="9.1171875" style="34"/>
    <col min="513" max="513" width="11.41015625" style="34" bestFit="1" customWidth="1"/>
    <col min="514" max="517" width="15.5859375" style="34" customWidth="1"/>
    <col min="518" max="768" width="9.1171875" style="34"/>
    <col min="769" max="769" width="11.41015625" style="34" bestFit="1" customWidth="1"/>
    <col min="770" max="773" width="15.5859375" style="34" customWidth="1"/>
    <col min="774" max="1024" width="9.1171875" style="34"/>
    <col min="1025" max="1025" width="11.41015625" style="34" bestFit="1" customWidth="1"/>
    <col min="1026" max="1029" width="15.5859375" style="34" customWidth="1"/>
    <col min="1030" max="1280" width="9.1171875" style="34"/>
    <col min="1281" max="1281" width="11.41015625" style="34" bestFit="1" customWidth="1"/>
    <col min="1282" max="1285" width="15.5859375" style="34" customWidth="1"/>
    <col min="1286" max="1536" width="9.1171875" style="34"/>
    <col min="1537" max="1537" width="11.41015625" style="34" bestFit="1" customWidth="1"/>
    <col min="1538" max="1541" width="15.5859375" style="34" customWidth="1"/>
    <col min="1542" max="1792" width="9.1171875" style="34"/>
    <col min="1793" max="1793" width="11.41015625" style="34" bestFit="1" customWidth="1"/>
    <col min="1794" max="1797" width="15.5859375" style="34" customWidth="1"/>
    <col min="1798" max="2048" width="9.1171875" style="34"/>
    <col min="2049" max="2049" width="11.41015625" style="34" bestFit="1" customWidth="1"/>
    <col min="2050" max="2053" width="15.5859375" style="34" customWidth="1"/>
    <col min="2054" max="2304" width="9.1171875" style="34"/>
    <col min="2305" max="2305" width="11.41015625" style="34" bestFit="1" customWidth="1"/>
    <col min="2306" max="2309" width="15.5859375" style="34" customWidth="1"/>
    <col min="2310" max="2560" width="9.1171875" style="34"/>
    <col min="2561" max="2561" width="11.41015625" style="34" bestFit="1" customWidth="1"/>
    <col min="2562" max="2565" width="15.5859375" style="34" customWidth="1"/>
    <col min="2566" max="2816" width="9.1171875" style="34"/>
    <col min="2817" max="2817" width="11.41015625" style="34" bestFit="1" customWidth="1"/>
    <col min="2818" max="2821" width="15.5859375" style="34" customWidth="1"/>
    <col min="2822" max="3072" width="9.1171875" style="34"/>
    <col min="3073" max="3073" width="11.41015625" style="34" bestFit="1" customWidth="1"/>
    <col min="3074" max="3077" width="15.5859375" style="34" customWidth="1"/>
    <col min="3078" max="3328" width="9.1171875" style="34"/>
    <col min="3329" max="3329" width="11.41015625" style="34" bestFit="1" customWidth="1"/>
    <col min="3330" max="3333" width="15.5859375" style="34" customWidth="1"/>
    <col min="3334" max="3584" width="9.1171875" style="34"/>
    <col min="3585" max="3585" width="11.41015625" style="34" bestFit="1" customWidth="1"/>
    <col min="3586" max="3589" width="15.5859375" style="34" customWidth="1"/>
    <col min="3590" max="3840" width="9.1171875" style="34"/>
    <col min="3841" max="3841" width="11.41015625" style="34" bestFit="1" customWidth="1"/>
    <col min="3842" max="3845" width="15.5859375" style="34" customWidth="1"/>
    <col min="3846" max="4096" width="9.1171875" style="34"/>
    <col min="4097" max="4097" width="11.41015625" style="34" bestFit="1" customWidth="1"/>
    <col min="4098" max="4101" width="15.5859375" style="34" customWidth="1"/>
    <col min="4102" max="4352" width="9.1171875" style="34"/>
    <col min="4353" max="4353" width="11.41015625" style="34" bestFit="1" customWidth="1"/>
    <col min="4354" max="4357" width="15.5859375" style="34" customWidth="1"/>
    <col min="4358" max="4608" width="9.1171875" style="34"/>
    <col min="4609" max="4609" width="11.41015625" style="34" bestFit="1" customWidth="1"/>
    <col min="4610" max="4613" width="15.5859375" style="34" customWidth="1"/>
    <col min="4614" max="4864" width="9.1171875" style="34"/>
    <col min="4865" max="4865" width="11.41015625" style="34" bestFit="1" customWidth="1"/>
    <col min="4866" max="4869" width="15.5859375" style="34" customWidth="1"/>
    <col min="4870" max="5120" width="9.1171875" style="34"/>
    <col min="5121" max="5121" width="11.41015625" style="34" bestFit="1" customWidth="1"/>
    <col min="5122" max="5125" width="15.5859375" style="34" customWidth="1"/>
    <col min="5126" max="5376" width="9.1171875" style="34"/>
    <col min="5377" max="5377" width="11.41015625" style="34" bestFit="1" customWidth="1"/>
    <col min="5378" max="5381" width="15.5859375" style="34" customWidth="1"/>
    <col min="5382" max="5632" width="9.1171875" style="34"/>
    <col min="5633" max="5633" width="11.41015625" style="34" bestFit="1" customWidth="1"/>
    <col min="5634" max="5637" width="15.5859375" style="34" customWidth="1"/>
    <col min="5638" max="5888" width="9.1171875" style="34"/>
    <col min="5889" max="5889" width="11.41015625" style="34" bestFit="1" customWidth="1"/>
    <col min="5890" max="5893" width="15.5859375" style="34" customWidth="1"/>
    <col min="5894" max="6144" width="9.1171875" style="34"/>
    <col min="6145" max="6145" width="11.41015625" style="34" bestFit="1" customWidth="1"/>
    <col min="6146" max="6149" width="15.5859375" style="34" customWidth="1"/>
    <col min="6150" max="6400" width="9.1171875" style="34"/>
    <col min="6401" max="6401" width="11.41015625" style="34" bestFit="1" customWidth="1"/>
    <col min="6402" max="6405" width="15.5859375" style="34" customWidth="1"/>
    <col min="6406" max="6656" width="9.1171875" style="34"/>
    <col min="6657" max="6657" width="11.41015625" style="34" bestFit="1" customWidth="1"/>
    <col min="6658" max="6661" width="15.5859375" style="34" customWidth="1"/>
    <col min="6662" max="6912" width="9.1171875" style="34"/>
    <col min="6913" max="6913" width="11.41015625" style="34" bestFit="1" customWidth="1"/>
    <col min="6914" max="6917" width="15.5859375" style="34" customWidth="1"/>
    <col min="6918" max="7168" width="9.1171875" style="34"/>
    <col min="7169" max="7169" width="11.41015625" style="34" bestFit="1" customWidth="1"/>
    <col min="7170" max="7173" width="15.5859375" style="34" customWidth="1"/>
    <col min="7174" max="7424" width="9.1171875" style="34"/>
    <col min="7425" max="7425" width="11.41015625" style="34" bestFit="1" customWidth="1"/>
    <col min="7426" max="7429" width="15.5859375" style="34" customWidth="1"/>
    <col min="7430" max="7680" width="9.1171875" style="34"/>
    <col min="7681" max="7681" width="11.41015625" style="34" bestFit="1" customWidth="1"/>
    <col min="7682" max="7685" width="15.5859375" style="34" customWidth="1"/>
    <col min="7686" max="7936" width="9.1171875" style="34"/>
    <col min="7937" max="7937" width="11.41015625" style="34" bestFit="1" customWidth="1"/>
    <col min="7938" max="7941" width="15.5859375" style="34" customWidth="1"/>
    <col min="7942" max="8192" width="9.1171875" style="34"/>
    <col min="8193" max="8193" width="11.41015625" style="34" bestFit="1" customWidth="1"/>
    <col min="8194" max="8197" width="15.5859375" style="34" customWidth="1"/>
    <col min="8198" max="8448" width="9.1171875" style="34"/>
    <col min="8449" max="8449" width="11.41015625" style="34" bestFit="1" customWidth="1"/>
    <col min="8450" max="8453" width="15.5859375" style="34" customWidth="1"/>
    <col min="8454" max="8704" width="9.1171875" style="34"/>
    <col min="8705" max="8705" width="11.41015625" style="34" bestFit="1" customWidth="1"/>
    <col min="8706" max="8709" width="15.5859375" style="34" customWidth="1"/>
    <col min="8710" max="8960" width="9.1171875" style="34"/>
    <col min="8961" max="8961" width="11.41015625" style="34" bestFit="1" customWidth="1"/>
    <col min="8962" max="8965" width="15.5859375" style="34" customWidth="1"/>
    <col min="8966" max="9216" width="9.1171875" style="34"/>
    <col min="9217" max="9217" width="11.41015625" style="34" bestFit="1" customWidth="1"/>
    <col min="9218" max="9221" width="15.5859375" style="34" customWidth="1"/>
    <col min="9222" max="9472" width="9.1171875" style="34"/>
    <col min="9473" max="9473" width="11.41015625" style="34" bestFit="1" customWidth="1"/>
    <col min="9474" max="9477" width="15.5859375" style="34" customWidth="1"/>
    <col min="9478" max="9728" width="9.1171875" style="34"/>
    <col min="9729" max="9729" width="11.41015625" style="34" bestFit="1" customWidth="1"/>
    <col min="9730" max="9733" width="15.5859375" style="34" customWidth="1"/>
    <col min="9734" max="9984" width="9.1171875" style="34"/>
    <col min="9985" max="9985" width="11.41015625" style="34" bestFit="1" customWidth="1"/>
    <col min="9986" max="9989" width="15.5859375" style="34" customWidth="1"/>
    <col min="9990" max="10240" width="9.1171875" style="34"/>
    <col min="10241" max="10241" width="11.41015625" style="34" bestFit="1" customWidth="1"/>
    <col min="10242" max="10245" width="15.5859375" style="34" customWidth="1"/>
    <col min="10246" max="10496" width="9.1171875" style="34"/>
    <col min="10497" max="10497" width="11.41015625" style="34" bestFit="1" customWidth="1"/>
    <col min="10498" max="10501" width="15.5859375" style="34" customWidth="1"/>
    <col min="10502" max="10752" width="9.1171875" style="34"/>
    <col min="10753" max="10753" width="11.41015625" style="34" bestFit="1" customWidth="1"/>
    <col min="10754" max="10757" width="15.5859375" style="34" customWidth="1"/>
    <col min="10758" max="11008" width="9.1171875" style="34"/>
    <col min="11009" max="11009" width="11.41015625" style="34" bestFit="1" customWidth="1"/>
    <col min="11010" max="11013" width="15.5859375" style="34" customWidth="1"/>
    <col min="11014" max="11264" width="9.1171875" style="34"/>
    <col min="11265" max="11265" width="11.41015625" style="34" bestFit="1" customWidth="1"/>
    <col min="11266" max="11269" width="15.5859375" style="34" customWidth="1"/>
    <col min="11270" max="11520" width="9.1171875" style="34"/>
    <col min="11521" max="11521" width="11.41015625" style="34" bestFit="1" customWidth="1"/>
    <col min="11522" max="11525" width="15.5859375" style="34" customWidth="1"/>
    <col min="11526" max="11776" width="9.1171875" style="34"/>
    <col min="11777" max="11777" width="11.41015625" style="34" bestFit="1" customWidth="1"/>
    <col min="11778" max="11781" width="15.5859375" style="34" customWidth="1"/>
    <col min="11782" max="12032" width="9.1171875" style="34"/>
    <col min="12033" max="12033" width="11.41015625" style="34" bestFit="1" customWidth="1"/>
    <col min="12034" max="12037" width="15.5859375" style="34" customWidth="1"/>
    <col min="12038" max="12288" width="9.1171875" style="34"/>
    <col min="12289" max="12289" width="11.41015625" style="34" bestFit="1" customWidth="1"/>
    <col min="12290" max="12293" width="15.5859375" style="34" customWidth="1"/>
    <col min="12294" max="12544" width="9.1171875" style="34"/>
    <col min="12545" max="12545" width="11.41015625" style="34" bestFit="1" customWidth="1"/>
    <col min="12546" max="12549" width="15.5859375" style="34" customWidth="1"/>
    <col min="12550" max="12800" width="9.1171875" style="34"/>
    <col min="12801" max="12801" width="11.41015625" style="34" bestFit="1" customWidth="1"/>
    <col min="12802" max="12805" width="15.5859375" style="34" customWidth="1"/>
    <col min="12806" max="13056" width="9.1171875" style="34"/>
    <col min="13057" max="13057" width="11.41015625" style="34" bestFit="1" customWidth="1"/>
    <col min="13058" max="13061" width="15.5859375" style="34" customWidth="1"/>
    <col min="13062" max="13312" width="9.1171875" style="34"/>
    <col min="13313" max="13313" width="11.41015625" style="34" bestFit="1" customWidth="1"/>
    <col min="13314" max="13317" width="15.5859375" style="34" customWidth="1"/>
    <col min="13318" max="13568" width="9.1171875" style="34"/>
    <col min="13569" max="13569" width="11.41015625" style="34" bestFit="1" customWidth="1"/>
    <col min="13570" max="13573" width="15.5859375" style="34" customWidth="1"/>
    <col min="13574" max="13824" width="9.1171875" style="34"/>
    <col min="13825" max="13825" width="11.41015625" style="34" bestFit="1" customWidth="1"/>
    <col min="13826" max="13829" width="15.5859375" style="34" customWidth="1"/>
    <col min="13830" max="14080" width="9.1171875" style="34"/>
    <col min="14081" max="14081" width="11.41015625" style="34" bestFit="1" customWidth="1"/>
    <col min="14082" max="14085" width="15.5859375" style="34" customWidth="1"/>
    <col min="14086" max="14336" width="9.1171875" style="34"/>
    <col min="14337" max="14337" width="11.41015625" style="34" bestFit="1" customWidth="1"/>
    <col min="14338" max="14341" width="15.5859375" style="34" customWidth="1"/>
    <col min="14342" max="14592" width="9.1171875" style="34"/>
    <col min="14593" max="14593" width="11.41015625" style="34" bestFit="1" customWidth="1"/>
    <col min="14594" max="14597" width="15.5859375" style="34" customWidth="1"/>
    <col min="14598" max="14848" width="9.1171875" style="34"/>
    <col min="14849" max="14849" width="11.41015625" style="34" bestFit="1" customWidth="1"/>
    <col min="14850" max="14853" width="15.5859375" style="34" customWidth="1"/>
    <col min="14854" max="15104" width="9.1171875" style="34"/>
    <col min="15105" max="15105" width="11.41015625" style="34" bestFit="1" customWidth="1"/>
    <col min="15106" max="15109" width="15.5859375" style="34" customWidth="1"/>
    <col min="15110" max="15360" width="9.1171875" style="34"/>
    <col min="15361" max="15361" width="11.41015625" style="34" bestFit="1" customWidth="1"/>
    <col min="15362" max="15365" width="15.5859375" style="34" customWidth="1"/>
    <col min="15366" max="15616" width="9.1171875" style="34"/>
    <col min="15617" max="15617" width="11.41015625" style="34" bestFit="1" customWidth="1"/>
    <col min="15618" max="15621" width="15.5859375" style="34" customWidth="1"/>
    <col min="15622" max="15872" width="9.1171875" style="34"/>
    <col min="15873" max="15873" width="11.41015625" style="34" bestFit="1" customWidth="1"/>
    <col min="15874" max="15877" width="15.5859375" style="34" customWidth="1"/>
    <col min="15878" max="16128" width="9.1171875" style="34"/>
    <col min="16129" max="16129" width="11.41015625" style="34" bestFit="1" customWidth="1"/>
    <col min="16130" max="16133" width="15.5859375" style="34" customWidth="1"/>
    <col min="16134" max="16384" width="9.1171875" style="34"/>
  </cols>
  <sheetData>
    <row r="1" spans="1:4" x14ac:dyDescent="0.3">
      <c r="A1" s="34">
        <v>1.3999999999999985E-2</v>
      </c>
      <c r="B1" s="34">
        <v>4.0000000000000002E-4</v>
      </c>
      <c r="C1" s="34">
        <v>0.02</v>
      </c>
    </row>
    <row r="2" spans="1:4" x14ac:dyDescent="0.3">
      <c r="A2" s="37"/>
      <c r="C2" s="34" t="s">
        <v>104</v>
      </c>
    </row>
    <row r="3" spans="1:4" x14ac:dyDescent="0.3">
      <c r="B3" s="34" t="s">
        <v>103</v>
      </c>
      <c r="C3" s="34" t="s">
        <v>75</v>
      </c>
      <c r="D3" s="34" t="s">
        <v>77</v>
      </c>
    </row>
    <row r="4" spans="1:4" x14ac:dyDescent="0.3">
      <c r="A4" s="34">
        <v>1</v>
      </c>
      <c r="B4" s="37">
        <v>1.0000000000000001E-5</v>
      </c>
      <c r="C4" s="38">
        <v>0.02</v>
      </c>
      <c r="D4" s="38">
        <v>0.02</v>
      </c>
    </row>
    <row r="5" spans="1:4" x14ac:dyDescent="0.3">
      <c r="A5" s="34">
        <v>2</v>
      </c>
      <c r="B5" s="37">
        <v>2.0000000000000002E-5</v>
      </c>
      <c r="C5" s="38">
        <v>0.02</v>
      </c>
      <c r="D5" s="38">
        <v>0.02</v>
      </c>
    </row>
    <row r="6" spans="1:4" x14ac:dyDescent="0.3">
      <c r="A6" s="34">
        <v>3</v>
      </c>
      <c r="B6" s="37">
        <v>3.0000000000000001E-5</v>
      </c>
      <c r="C6" s="38">
        <v>0.02</v>
      </c>
      <c r="D6" s="38">
        <v>0.02</v>
      </c>
    </row>
    <row r="7" spans="1:4" x14ac:dyDescent="0.3">
      <c r="A7" s="34">
        <v>4</v>
      </c>
      <c r="B7" s="37">
        <v>4.0000000000000003E-5</v>
      </c>
      <c r="C7" s="38">
        <v>0.02</v>
      </c>
      <c r="D7" s="38">
        <v>0.02</v>
      </c>
    </row>
    <row r="8" spans="1:4" x14ac:dyDescent="0.3">
      <c r="A8" s="34">
        <v>5</v>
      </c>
      <c r="B8" s="37">
        <v>5.0000000000000002E-5</v>
      </c>
      <c r="C8" s="38">
        <v>0.02</v>
      </c>
      <c r="D8" s="38">
        <v>2.1999999999999999E-2</v>
      </c>
    </row>
    <row r="9" spans="1:4" x14ac:dyDescent="0.3">
      <c r="A9" s="34">
        <v>6</v>
      </c>
      <c r="B9" s="37">
        <v>6.0000000000000002E-5</v>
      </c>
      <c r="C9" s="38">
        <v>0.02</v>
      </c>
      <c r="D9" s="38">
        <v>2.8000000000000001E-2</v>
      </c>
    </row>
    <row r="10" spans="1:4" x14ac:dyDescent="0.3">
      <c r="A10" s="34">
        <v>7</v>
      </c>
      <c r="B10" s="37">
        <v>6.9999999999999994E-5</v>
      </c>
      <c r="C10" s="38">
        <v>0.02</v>
      </c>
      <c r="D10" s="38">
        <v>3.4000000000000002E-2</v>
      </c>
    </row>
    <row r="11" spans="1:4" x14ac:dyDescent="0.3">
      <c r="A11" s="34">
        <v>8</v>
      </c>
      <c r="B11" s="37">
        <v>8.0000000000000007E-5</v>
      </c>
      <c r="C11" s="38">
        <v>0.02</v>
      </c>
      <c r="D11" s="38">
        <v>3.9E-2</v>
      </c>
    </row>
    <row r="12" spans="1:4" x14ac:dyDescent="0.3">
      <c r="A12" s="34">
        <v>9</v>
      </c>
      <c r="B12" s="37">
        <v>9.0000000000000006E-5</v>
      </c>
      <c r="C12" s="38">
        <v>0.02</v>
      </c>
      <c r="D12" s="38">
        <v>4.4999999999999998E-2</v>
      </c>
    </row>
    <row r="13" spans="1:4" x14ac:dyDescent="0.3">
      <c r="A13" s="34">
        <v>10</v>
      </c>
      <c r="B13" s="37">
        <v>1E-4</v>
      </c>
      <c r="C13" s="38">
        <v>2.1000000000000001E-2</v>
      </c>
      <c r="D13" s="38">
        <v>0.05</v>
      </c>
    </row>
    <row r="14" spans="1:4" x14ac:dyDescent="0.3">
      <c r="A14" s="34">
        <v>11</v>
      </c>
      <c r="B14" s="37">
        <v>2.0000000000000001E-4</v>
      </c>
      <c r="C14" s="38">
        <v>4.3999999999999997E-2</v>
      </c>
      <c r="D14" s="38">
        <v>9.0999999999999998E-2</v>
      </c>
    </row>
    <row r="15" spans="1:4" x14ac:dyDescent="0.3">
      <c r="A15" s="34">
        <v>12</v>
      </c>
      <c r="B15" s="37">
        <v>2.9999999999999997E-4</v>
      </c>
      <c r="C15" s="38">
        <v>6.2E-2</v>
      </c>
      <c r="D15" s="38">
        <v>0.11799999999999999</v>
      </c>
    </row>
    <row r="16" spans="1:4" x14ac:dyDescent="0.3">
      <c r="A16" s="34">
        <v>13</v>
      </c>
      <c r="B16" s="37">
        <v>4.0000000000000002E-4</v>
      </c>
      <c r="C16" s="38">
        <v>7.6999999999999999E-2</v>
      </c>
      <c r="D16" s="38">
        <v>0.13700000000000001</v>
      </c>
    </row>
    <row r="17" spans="1:23" x14ac:dyDescent="0.3">
      <c r="A17" s="34">
        <v>14</v>
      </c>
      <c r="B17" s="37">
        <v>5.0000000000000001E-4</v>
      </c>
      <c r="C17" s="38">
        <v>8.8999999999999996E-2</v>
      </c>
      <c r="D17" s="38">
        <v>0.151</v>
      </c>
    </row>
    <row r="18" spans="1:23" x14ac:dyDescent="0.3">
      <c r="A18" s="34">
        <v>15</v>
      </c>
      <c r="B18" s="37">
        <v>5.9999999999999995E-4</v>
      </c>
      <c r="C18" s="38">
        <v>0.1</v>
      </c>
      <c r="D18" s="38">
        <v>0.16200000000000001</v>
      </c>
    </row>
    <row r="19" spans="1:23" x14ac:dyDescent="0.3">
      <c r="A19" s="34">
        <v>16</v>
      </c>
      <c r="B19" s="37">
        <v>6.9999999999999999E-4</v>
      </c>
      <c r="C19" s="38">
        <v>0.108</v>
      </c>
      <c r="D19" s="38">
        <v>1.7000000000000001E-2</v>
      </c>
      <c r="E19" s="40"/>
    </row>
    <row r="20" spans="1:23" x14ac:dyDescent="0.3">
      <c r="A20" s="34">
        <v>17</v>
      </c>
      <c r="B20" s="37">
        <v>8.0000000000000004E-4</v>
      </c>
      <c r="C20" s="38">
        <v>0.11600000000000001</v>
      </c>
      <c r="D20" s="38">
        <v>0.17699999999999999</v>
      </c>
    </row>
    <row r="21" spans="1:23" x14ac:dyDescent="0.3">
      <c r="A21" s="34">
        <v>18</v>
      </c>
      <c r="B21" s="37">
        <v>8.9999999999999998E-4</v>
      </c>
      <c r="C21" s="38">
        <v>0.122</v>
      </c>
      <c r="D21" s="38">
        <v>0.184</v>
      </c>
      <c r="W21" s="34">
        <v>2</v>
      </c>
    </row>
    <row r="22" spans="1:23" x14ac:dyDescent="0.3">
      <c r="A22" s="34">
        <v>19</v>
      </c>
      <c r="B22" s="37">
        <v>1E-3</v>
      </c>
      <c r="C22" s="38">
        <v>0.128</v>
      </c>
      <c r="D22" s="38">
        <v>0.189</v>
      </c>
    </row>
    <row r="23" spans="1:23" x14ac:dyDescent="0.3">
      <c r="A23" s="34">
        <v>20</v>
      </c>
      <c r="B23" s="37">
        <v>2E-3</v>
      </c>
      <c r="C23" s="38">
        <v>0.16300000000000001</v>
      </c>
      <c r="D23" s="38">
        <v>0.218</v>
      </c>
    </row>
    <row r="24" spans="1:23" x14ac:dyDescent="0.3">
      <c r="A24" s="34">
        <v>21</v>
      </c>
      <c r="B24" s="37">
        <v>3.0000000000000001E-3</v>
      </c>
      <c r="C24" s="38">
        <v>0.18099999999999999</v>
      </c>
      <c r="D24" s="38">
        <v>0.23100000000000001</v>
      </c>
    </row>
    <row r="25" spans="1:23" x14ac:dyDescent="0.3">
      <c r="A25" s="34">
        <v>22</v>
      </c>
      <c r="B25" s="37">
        <v>4.0000000000000001E-3</v>
      </c>
      <c r="C25" s="38">
        <v>0.192</v>
      </c>
      <c r="D25" s="38">
        <v>0.23899999999999999</v>
      </c>
    </row>
    <row r="26" spans="1:23" x14ac:dyDescent="0.3">
      <c r="A26" s="34">
        <v>23</v>
      </c>
      <c r="B26" s="37">
        <v>5.0000000000000001E-3</v>
      </c>
      <c r="C26" s="38">
        <v>0.19900000000000001</v>
      </c>
      <c r="D26" s="38">
        <v>0.24399999999999999</v>
      </c>
    </row>
    <row r="27" spans="1:23" x14ac:dyDescent="0.3">
      <c r="A27" s="34">
        <v>24</v>
      </c>
      <c r="B27" s="37">
        <v>6.0000000000000001E-3</v>
      </c>
      <c r="C27" s="38">
        <v>0.20499999999999999</v>
      </c>
      <c r="D27" s="38">
        <v>0.248</v>
      </c>
    </row>
    <row r="28" spans="1:23" x14ac:dyDescent="0.3">
      <c r="A28" s="34">
        <v>25</v>
      </c>
      <c r="B28" s="37">
        <v>7.0000000000000001E-3</v>
      </c>
      <c r="C28" s="38">
        <v>0.20899999999999999</v>
      </c>
      <c r="D28" s="38">
        <v>0.251</v>
      </c>
    </row>
    <row r="29" spans="1:23" x14ac:dyDescent="0.3">
      <c r="A29" s="34">
        <v>26</v>
      </c>
      <c r="B29" s="37">
        <v>8.0000000000000002E-3</v>
      </c>
      <c r="C29" s="38">
        <v>0.21299999999999999</v>
      </c>
      <c r="D29" s="38">
        <v>0.254</v>
      </c>
    </row>
    <row r="30" spans="1:23" x14ac:dyDescent="0.3">
      <c r="A30" s="34">
        <v>27</v>
      </c>
      <c r="B30" s="37">
        <v>8.9999999999999993E-3</v>
      </c>
      <c r="C30" s="38">
        <v>0.216</v>
      </c>
      <c r="D30" s="38">
        <v>0.25600000000000001</v>
      </c>
    </row>
    <row r="31" spans="1:23" x14ac:dyDescent="0.3">
      <c r="A31" s="34">
        <v>28</v>
      </c>
      <c r="B31" s="37">
        <v>0.01</v>
      </c>
      <c r="C31" s="38">
        <v>0.218</v>
      </c>
      <c r="D31" s="38">
        <v>0.25700000000000001</v>
      </c>
    </row>
    <row r="32" spans="1:23" x14ac:dyDescent="0.3">
      <c r="A32" s="34">
        <v>29</v>
      </c>
      <c r="B32" s="37">
        <v>0.02</v>
      </c>
      <c r="C32" s="38">
        <v>0.23200000000000001</v>
      </c>
      <c r="D32" s="38">
        <v>0.26600000000000001</v>
      </c>
    </row>
    <row r="33" spans="1:4" x14ac:dyDescent="0.3">
      <c r="A33" s="34">
        <v>30</v>
      </c>
      <c r="B33" s="37">
        <v>0.03</v>
      </c>
      <c r="C33" s="38">
        <v>0.23799999999999999</v>
      </c>
      <c r="D33" s="38">
        <v>0.27</v>
      </c>
    </row>
    <row r="34" spans="1:4" x14ac:dyDescent="0.3">
      <c r="A34" s="34">
        <v>31</v>
      </c>
      <c r="B34" s="37">
        <v>0.04</v>
      </c>
      <c r="C34" s="38">
        <v>0.24199999999999999</v>
      </c>
      <c r="D34" s="38">
        <v>0.27200000000000002</v>
      </c>
    </row>
    <row r="35" spans="1:4" x14ac:dyDescent="0.3">
      <c r="A35" s="34">
        <v>32</v>
      </c>
      <c r="B35" s="37">
        <v>0.05</v>
      </c>
      <c r="C35" s="38">
        <v>0.24399999999999999</v>
      </c>
      <c r="D35" s="38">
        <v>0.27300000000000002</v>
      </c>
    </row>
    <row r="36" spans="1:4" x14ac:dyDescent="0.3">
      <c r="A36" s="34">
        <v>33</v>
      </c>
      <c r="B36" s="37">
        <v>0.06</v>
      </c>
      <c r="C36" s="38">
        <v>0.246</v>
      </c>
      <c r="D36" s="38">
        <v>0.27400000000000002</v>
      </c>
    </row>
    <row r="37" spans="1:4" x14ac:dyDescent="0.3">
      <c r="A37" s="34">
        <v>34</v>
      </c>
      <c r="B37" s="37">
        <v>7.0000000000000007E-2</v>
      </c>
      <c r="C37" s="38">
        <v>0.247</v>
      </c>
      <c r="D37" s="38">
        <v>0.27500000000000002</v>
      </c>
    </row>
    <row r="38" spans="1:4" x14ac:dyDescent="0.3">
      <c r="A38" s="34">
        <v>35</v>
      </c>
      <c r="B38" s="37">
        <v>0.08</v>
      </c>
      <c r="C38" s="38">
        <v>0.248</v>
      </c>
      <c r="D38" s="38">
        <v>0.27600000000000002</v>
      </c>
    </row>
    <row r="39" spans="1:4" x14ac:dyDescent="0.3">
      <c r="A39" s="34">
        <v>36</v>
      </c>
      <c r="B39" s="37">
        <v>0.09</v>
      </c>
      <c r="C39" s="38">
        <v>0.249</v>
      </c>
      <c r="D39" s="38">
        <v>0.27600000000000002</v>
      </c>
    </row>
    <row r="40" spans="1:4" x14ac:dyDescent="0.3">
      <c r="A40" s="34">
        <v>37</v>
      </c>
      <c r="B40" s="37">
        <v>0.1</v>
      </c>
      <c r="C40" s="38">
        <v>0.25</v>
      </c>
      <c r="D40" s="38">
        <v>0.27700000000000002</v>
      </c>
    </row>
    <row r="156" spans="2:32" x14ac:dyDescent="0.3">
      <c r="B156" s="34">
        <v>1.7600000000000002</v>
      </c>
      <c r="C156" s="34">
        <v>99.51954851375919</v>
      </c>
      <c r="D156" s="34">
        <v>0.24327000747807803</v>
      </c>
      <c r="E156" s="34">
        <v>0.1450843381635373</v>
      </c>
      <c r="W156" s="34">
        <v>1</v>
      </c>
      <c r="X156" s="34">
        <v>4.8000000000000007</v>
      </c>
      <c r="Y156" s="34">
        <v>3.2464944277766646E-2</v>
      </c>
      <c r="Z156" s="34">
        <v>1</v>
      </c>
      <c r="AA156" s="34">
        <v>4.8000000000000007</v>
      </c>
      <c r="AB156" s="34">
        <v>3.270658662034201E-2</v>
      </c>
      <c r="AC156" s="34">
        <v>1</v>
      </c>
      <c r="AD156" s="34">
        <v>4.8000000000000007</v>
      </c>
      <c r="AE156" s="34">
        <v>3.2739237942076109E-2</v>
      </c>
      <c r="AF156" s="34">
        <v>1</v>
      </c>
    </row>
    <row r="157" spans="2:32" x14ac:dyDescent="0.3">
      <c r="W157" s="34">
        <v>0.91024733472041108</v>
      </c>
      <c r="X157" s="34">
        <v>12.561413219141674</v>
      </c>
      <c r="Y157" s="34">
        <v>2.9712955623449035E-2</v>
      </c>
      <c r="Z157" s="34">
        <v>0.91523199205974648</v>
      </c>
      <c r="AA157" s="34">
        <v>12.630201490424502</v>
      </c>
      <c r="AB157" s="34">
        <v>2.9954597966024402E-2</v>
      </c>
      <c r="AC157" s="34">
        <v>0.91585827386199958</v>
      </c>
      <c r="AD157" s="34">
        <v>12.638844179295594</v>
      </c>
      <c r="AE157" s="34">
        <v>2.9987249287758498E-2</v>
      </c>
      <c r="AF157" s="34">
        <v>0.91594218963842211</v>
      </c>
    </row>
    <row r="158" spans="2:32" x14ac:dyDescent="0.3">
      <c r="D158" s="34">
        <v>3.073347806930542</v>
      </c>
      <c r="W158" s="34">
        <v>0.56628588602171126</v>
      </c>
      <c r="X158" s="34">
        <v>8.1545167587126421</v>
      </c>
      <c r="Y158" s="34">
        <v>1.880996807268201E-2</v>
      </c>
      <c r="Z158" s="34">
        <v>0.57939320368905933</v>
      </c>
      <c r="AA158" s="34">
        <v>8.3432621331224546</v>
      </c>
      <c r="AB158" s="34">
        <v>1.900841130145433E-2</v>
      </c>
      <c r="AC158" s="34">
        <v>0.58117991712507111</v>
      </c>
      <c r="AD158" s="34">
        <v>8.3689908066010243</v>
      </c>
      <c r="AE158" s="34">
        <v>1.9035635004596711E-2</v>
      </c>
      <c r="AF158" s="34">
        <v>0.58143182924035997</v>
      </c>
    </row>
    <row r="159" spans="2:32" x14ac:dyDescent="0.3">
      <c r="D159" s="34">
        <v>3.8242700694181987E-2</v>
      </c>
      <c r="W159" s="34">
        <v>0.22623023430062861</v>
      </c>
      <c r="X159" s="34">
        <v>2.8505009521879208</v>
      </c>
      <c r="Y159" s="34">
        <v>7.5023952974660989E-3</v>
      </c>
      <c r="Z159" s="34">
        <v>0.23109219696409747</v>
      </c>
      <c r="AA159" s="34">
        <v>2.9117616817476284</v>
      </c>
      <c r="AB159" s="34">
        <v>7.5867105895626374E-3</v>
      </c>
      <c r="AC159" s="34">
        <v>0.23196277488779732</v>
      </c>
      <c r="AD159" s="34">
        <v>2.9227309635862464</v>
      </c>
      <c r="AE159" s="34">
        <v>7.5987023696871452E-3</v>
      </c>
      <c r="AF159" s="34">
        <v>0.23209771660327427</v>
      </c>
    </row>
    <row r="160" spans="2:32" x14ac:dyDescent="0.3">
      <c r="D160" s="34">
        <v>8.7110145640885775E-3</v>
      </c>
      <c r="W160" s="34">
        <v>1.0273224208383999E-3</v>
      </c>
      <c r="X160" s="34">
        <v>7.3967214300364797E-3</v>
      </c>
      <c r="Y160" s="34">
        <v>3.4056264355312767E-5</v>
      </c>
      <c r="Z160" s="34">
        <v>1.0490165658049789E-3</v>
      </c>
      <c r="AA160" s="34">
        <v>7.5529192737958479E-3</v>
      </c>
      <c r="AB160" s="34">
        <v>3.44390912747917E-5</v>
      </c>
      <c r="AC160" s="34">
        <v>1.0529711239684104E-3</v>
      </c>
      <c r="AD160" s="34">
        <v>7.5813920925725548E-3</v>
      </c>
      <c r="AE160" s="34">
        <v>3.4493546481235423E-5</v>
      </c>
      <c r="AF160" s="34">
        <v>1.0535842814137313E-3</v>
      </c>
    </row>
    <row r="161" spans="2:32" x14ac:dyDescent="0.3">
      <c r="W161" s="34">
        <v>21.496657747937331</v>
      </c>
      <c r="Z161" s="34">
        <v>21.866487173933006</v>
      </c>
      <c r="AC161" s="34">
        <v>21.917252164612215</v>
      </c>
      <c r="AF161" s="34">
        <v>21.9243799082052</v>
      </c>
    </row>
    <row r="162" spans="2:32" x14ac:dyDescent="0.3">
      <c r="W162" s="34">
        <v>656.88916434594466</v>
      </c>
      <c r="Z162" s="34">
        <v>667.79352031171038</v>
      </c>
      <c r="AC162" s="34">
        <v>669.33617136013163</v>
      </c>
      <c r="AF162" s="34">
        <v>669.55368418848502</v>
      </c>
    </row>
    <row r="163" spans="2:32" x14ac:dyDescent="0.3">
      <c r="W163" s="34">
        <v>1.1366304407027641</v>
      </c>
      <c r="Z163" s="34">
        <v>1.1369680754662592</v>
      </c>
      <c r="AC163" s="34">
        <v>1.1369746075029485</v>
      </c>
      <c r="AF163" s="34">
        <v>1.1369747459214914</v>
      </c>
    </row>
    <row r="164" spans="2:32" x14ac:dyDescent="0.3">
      <c r="B164" s="34">
        <v>1.7600000000000002</v>
      </c>
      <c r="C164" s="34">
        <v>104.10028570220317</v>
      </c>
      <c r="D164" s="34">
        <v>0.25446736504983003</v>
      </c>
      <c r="E164" s="34">
        <v>0.15543236876311894</v>
      </c>
      <c r="W164" s="34">
        <v>1</v>
      </c>
      <c r="X164" s="34">
        <v>4.8000000000000007</v>
      </c>
      <c r="Y164" s="34">
        <v>3.1406291318233297E-2</v>
      </c>
      <c r="Z164" s="34">
        <v>1</v>
      </c>
      <c r="AA164" s="34">
        <v>4.8000000000000007</v>
      </c>
      <c r="AB164" s="34">
        <v>3.147860392382261E-2</v>
      </c>
      <c r="AC164" s="34">
        <v>1</v>
      </c>
    </row>
    <row r="165" spans="2:32" x14ac:dyDescent="0.3">
      <c r="W165" s="34">
        <v>0.92567896469905864</v>
      </c>
      <c r="X165" s="34">
        <v>12.77436971284701</v>
      </c>
      <c r="Y165" s="34">
        <v>2.9113485851362579E-2</v>
      </c>
      <c r="Z165" s="34">
        <v>0.92699534486137802</v>
      </c>
      <c r="AA165" s="34">
        <v>12.792535759087018</v>
      </c>
      <c r="AB165" s="34">
        <v>2.9185798456951892E-2</v>
      </c>
      <c r="AC165" s="34">
        <v>0.9271630510546387</v>
      </c>
    </row>
    <row r="166" spans="2:32" x14ac:dyDescent="0.3">
      <c r="D166" s="34">
        <v>3.280573844909668</v>
      </c>
      <c r="W166" s="34">
        <v>0.61906951421221135</v>
      </c>
      <c r="X166" s="34">
        <v>8.914601004655843</v>
      </c>
      <c r="Y166" s="34">
        <v>1.9581701303565451E-2</v>
      </c>
      <c r="Z166" s="34">
        <v>0.62349613665453907</v>
      </c>
      <c r="AA166" s="34">
        <v>8.9783443678253629</v>
      </c>
      <c r="AB166" s="34">
        <v>1.9644161217896167E-2</v>
      </c>
      <c r="AC166" s="34">
        <v>0.62404804436164063</v>
      </c>
    </row>
    <row r="167" spans="2:32" x14ac:dyDescent="0.3">
      <c r="D167" s="34">
        <v>3.5253889717487497E-2</v>
      </c>
      <c r="W167" s="34">
        <v>0.23277170041467674</v>
      </c>
      <c r="X167" s="34">
        <v>2.932923425224927</v>
      </c>
      <c r="Y167" s="34">
        <v>7.3521451940478915E-3</v>
      </c>
      <c r="Z167" s="34">
        <v>0.23409784745196946</v>
      </c>
      <c r="AA167" s="34">
        <v>2.9496328778948153</v>
      </c>
      <c r="AB167" s="34">
        <v>7.3767887761037754E-3</v>
      </c>
      <c r="AC167" s="34">
        <v>0.23434294589288043</v>
      </c>
    </row>
    <row r="168" spans="2:32" x14ac:dyDescent="0.3">
      <c r="D168" s="34">
        <v>8.6029650714374642E-3</v>
      </c>
      <c r="W168" s="34">
        <v>1.1183570031967878E-3</v>
      </c>
      <c r="X168" s="34">
        <v>8.0521704230168724E-3</v>
      </c>
      <c r="Y168" s="34">
        <v>3.5323892282517594E-5</v>
      </c>
      <c r="Z168" s="34">
        <v>1.1247393690833494E-3</v>
      </c>
      <c r="AA168" s="34">
        <v>8.0981234574001165E-3</v>
      </c>
      <c r="AB168" s="34">
        <v>3.5442316735762249E-5</v>
      </c>
      <c r="AC168" s="34">
        <v>1.1259176811504003E-3</v>
      </c>
    </row>
    <row r="169" spans="2:32" x14ac:dyDescent="0.3">
      <c r="W169" s="34">
        <v>22.826433621896044</v>
      </c>
      <c r="Z169" s="34">
        <v>22.947095940306536</v>
      </c>
      <c r="AC169" s="34">
        <v>22.962748601419328</v>
      </c>
    </row>
    <row r="170" spans="2:32" x14ac:dyDescent="0.3">
      <c r="W170" s="34">
        <v>724.93939032077742</v>
      </c>
      <c r="Z170" s="34">
        <v>728.72153762540438</v>
      </c>
      <c r="AC170" s="34">
        <v>729.21782354140669</v>
      </c>
    </row>
    <row r="171" spans="2:32" x14ac:dyDescent="0.3">
      <c r="W171" s="34">
        <v>1.1149311346355593</v>
      </c>
      <c r="Z171" s="34">
        <v>1.1149693370068059</v>
      </c>
      <c r="AC171" s="34">
        <v>1.1149699403773952</v>
      </c>
    </row>
    <row r="172" spans="2:32" x14ac:dyDescent="0.3">
      <c r="B172" s="34">
        <v>1.7600000000000002</v>
      </c>
      <c r="C172" s="34">
        <v>106.48277837918658</v>
      </c>
      <c r="D172" s="34">
        <v>0.26029123603801169</v>
      </c>
      <c r="E172" s="34">
        <v>0.15458574556589574</v>
      </c>
      <c r="W172" s="34">
        <v>1</v>
      </c>
      <c r="X172" s="34">
        <v>4.8000000000000007</v>
      </c>
      <c r="Y172" s="34">
        <v>3.0603467475202279E-2</v>
      </c>
      <c r="Z172" s="34">
        <v>1</v>
      </c>
      <c r="AA172" s="34">
        <v>4.8000000000000007</v>
      </c>
      <c r="AB172" s="34">
        <v>3.0623110074404693E-2</v>
      </c>
      <c r="AC172" s="34">
        <v>1</v>
      </c>
    </row>
    <row r="173" spans="2:32" x14ac:dyDescent="0.3">
      <c r="W173" s="34">
        <v>0.92852950214486119</v>
      </c>
      <c r="X173" s="34">
        <v>12.813707129599084</v>
      </c>
      <c r="Y173" s="34">
        <v>2.8426113603369003E-2</v>
      </c>
      <c r="Z173" s="34">
        <v>0.92885270685102705</v>
      </c>
      <c r="AA173" s="34">
        <v>12.818167354544174</v>
      </c>
      <c r="AB173" s="34">
        <v>2.8445756202571417E-2</v>
      </c>
      <c r="AC173" s="34">
        <v>0.92889834290041151</v>
      </c>
    </row>
    <row r="174" spans="2:32" x14ac:dyDescent="0.3">
      <c r="D174" s="34">
        <v>3.3899998664855957</v>
      </c>
      <c r="W174" s="34">
        <v>0.63609039199545581</v>
      </c>
      <c r="X174" s="34">
        <v>9.1597016447345645</v>
      </c>
      <c r="Y174" s="34">
        <v>1.9507386738296304E-2</v>
      </c>
      <c r="Z174" s="34">
        <v>0.63742406817472463</v>
      </c>
      <c r="AA174" s="34">
        <v>9.1789065817160349</v>
      </c>
      <c r="AB174" s="34">
        <v>1.952477089594809E-2</v>
      </c>
      <c r="AC174" s="34">
        <v>0.63758288588288159</v>
      </c>
    </row>
    <row r="175" spans="2:32" x14ac:dyDescent="0.3">
      <c r="D175" s="34">
        <v>3.450671978248062E-2</v>
      </c>
      <c r="W175" s="34">
        <v>0.23228783806020767</v>
      </c>
      <c r="X175" s="34">
        <v>2.926826759558617</v>
      </c>
      <c r="Y175" s="34">
        <v>7.1165308413943112E-3</v>
      </c>
      <c r="Z175" s="34">
        <v>0.23254001681870767</v>
      </c>
      <c r="AA175" s="34">
        <v>2.9300042119157168</v>
      </c>
      <c r="AB175" s="34">
        <v>7.1229626539905831E-3</v>
      </c>
      <c r="AC175" s="34">
        <v>0.23260088987317046</v>
      </c>
    </row>
    <row r="176" spans="2:32" x14ac:dyDescent="0.3">
      <c r="D176" s="34">
        <v>8.3747677972348909E-3</v>
      </c>
      <c r="W176" s="34">
        <v>1.1639017446882281E-3</v>
      </c>
      <c r="X176" s="34">
        <v>8.3800925617552435E-3</v>
      </c>
      <c r="Y176" s="34">
        <v>3.5658370799767474E-5</v>
      </c>
      <c r="Z176" s="34">
        <v>1.1651742021933018E-3</v>
      </c>
      <c r="AA176" s="34">
        <v>8.3892542557917737E-3</v>
      </c>
      <c r="AB176" s="34">
        <v>3.5690600190610996E-5</v>
      </c>
      <c r="AC176" s="34">
        <v>1.1654792770523265E-3</v>
      </c>
    </row>
    <row r="177" spans="2:29" x14ac:dyDescent="0.3">
      <c r="W177" s="34">
        <v>23.204179325396311</v>
      </c>
      <c r="Z177" s="34">
        <v>23.238398422511416</v>
      </c>
      <c r="AC177" s="34">
        <v>23.242841069735277</v>
      </c>
    </row>
    <row r="178" spans="2:29" x14ac:dyDescent="0.3">
      <c r="W178" s="34">
        <v>757.66133553003874</v>
      </c>
      <c r="Z178" s="34">
        <v>758.77351785748397</v>
      </c>
      <c r="AC178" s="34">
        <v>758.91850945280294</v>
      </c>
    </row>
    <row r="179" spans="2:29" x14ac:dyDescent="0.3">
      <c r="W179" s="34">
        <v>1.099576386874225</v>
      </c>
      <c r="Z179" s="34">
        <v>1.0995801092830919</v>
      </c>
      <c r="AC179" s="34">
        <v>1.0995801588688836</v>
      </c>
    </row>
    <row r="180" spans="2:29" x14ac:dyDescent="0.3">
      <c r="B180" s="34">
        <v>1.7600000000000002</v>
      </c>
      <c r="C180" s="34">
        <v>107.06192775934066</v>
      </c>
      <c r="D180" s="34">
        <v>0.26170693452283272</v>
      </c>
      <c r="E180" s="34">
        <v>0.15497988564924883</v>
      </c>
      <c r="W180" s="34">
        <v>1</v>
      </c>
      <c r="X180" s="34">
        <v>4.8000000000000007</v>
      </c>
      <c r="Y180" s="34">
        <v>3.0472242365027484E-2</v>
      </c>
      <c r="Z180" s="34">
        <v>1</v>
      </c>
    </row>
    <row r="181" spans="2:29" x14ac:dyDescent="0.3">
      <c r="W181" s="34">
        <v>0.92901334497129273</v>
      </c>
      <c r="X181" s="34">
        <v>12.82038416060384</v>
      </c>
      <c r="Y181" s="34">
        <v>2.831160353649885E-2</v>
      </c>
      <c r="Z181" s="34">
        <v>0.92909485286162052</v>
      </c>
    </row>
    <row r="182" spans="2:29" x14ac:dyDescent="0.3">
      <c r="D182" s="34">
        <v>3.4167671203613281</v>
      </c>
      <c r="W182" s="34">
        <v>0.64132306614950452</v>
      </c>
      <c r="X182" s="34">
        <v>9.2350521525528659</v>
      </c>
      <c r="Y182" s="34">
        <v>1.9554312782963872E-2</v>
      </c>
      <c r="Z182" s="34">
        <v>0.64170901992450846</v>
      </c>
    </row>
    <row r="183" spans="2:29" x14ac:dyDescent="0.3">
      <c r="D183" s="34">
        <v>3.4265332655437755E-2</v>
      </c>
      <c r="W183" s="34">
        <v>0.23100661643064219</v>
      </c>
      <c r="X183" s="34">
        <v>2.9106833670260919</v>
      </c>
      <c r="Y183" s="34">
        <v>7.0395690159748177E-3</v>
      </c>
      <c r="Z183" s="34">
        <v>0.23101578583051771</v>
      </c>
    </row>
    <row r="184" spans="2:29" x14ac:dyDescent="0.3">
      <c r="D184" s="34">
        <v>8.3373866185769488E-3</v>
      </c>
      <c r="W184" s="34">
        <v>1.1727412951454896E-3</v>
      </c>
      <c r="X184" s="34">
        <v>8.4437373250475251E-3</v>
      </c>
      <c r="Y184" s="34">
        <v>3.5737525978736131E-5</v>
      </c>
      <c r="Z184" s="34">
        <v>1.1727895030052508E-3</v>
      </c>
    </row>
    <row r="185" spans="2:29" x14ac:dyDescent="0.3">
      <c r="W185" s="34">
        <v>23.305356953822432</v>
      </c>
      <c r="Z185" s="34">
        <v>23.314631102258222</v>
      </c>
    </row>
    <row r="186" spans="2:29" x14ac:dyDescent="0.3">
      <c r="W186" s="34">
        <v>764.64862786279082</v>
      </c>
      <c r="Z186" s="34">
        <v>764.95239511354248</v>
      </c>
    </row>
    <row r="187" spans="2:29" x14ac:dyDescent="0.3">
      <c r="W187" s="34">
        <v>1.0969246190072233</v>
      </c>
      <c r="Z187" s="34">
        <v>1.0969249900533058</v>
      </c>
    </row>
    <row r="188" spans="2:29" x14ac:dyDescent="0.3">
      <c r="B188" s="34">
        <v>1.7600000000000002</v>
      </c>
      <c r="C188" s="34">
        <v>107.32789575304969</v>
      </c>
      <c r="D188" s="34">
        <v>0.26235707850745482</v>
      </c>
      <c r="E188" s="34">
        <v>0.15500183012626126</v>
      </c>
      <c r="W188" s="34">
        <v>1</v>
      </c>
      <c r="X188" s="34">
        <v>4.8000000000000007</v>
      </c>
      <c r="Y188" s="34">
        <v>3.0393902570598777E-2</v>
      </c>
      <c r="Z188" s="34">
        <v>1</v>
      </c>
    </row>
    <row r="189" spans="2:29" x14ac:dyDescent="0.3">
      <c r="W189" s="34">
        <v>0.92903148442046768</v>
      </c>
      <c r="X189" s="34">
        <v>12.820634485002454</v>
      </c>
      <c r="Y189" s="34">
        <v>2.8237491000550445E-2</v>
      </c>
      <c r="Z189" s="34">
        <v>0.92905117843819396</v>
      </c>
    </row>
    <row r="190" spans="2:29" x14ac:dyDescent="0.3">
      <c r="D190" s="34">
        <v>3.429081916809082</v>
      </c>
      <c r="W190" s="34">
        <v>0.64293817846375534</v>
      </c>
      <c r="X190" s="34">
        <v>9.2583097698780765</v>
      </c>
      <c r="Y190" s="34">
        <v>1.9544843365937561E-2</v>
      </c>
      <c r="Z190" s="34">
        <v>0.64305145811857867</v>
      </c>
    </row>
    <row r="191" spans="2:29" x14ac:dyDescent="0.3">
      <c r="D191" s="34">
        <v>3.4172282576440359E-2</v>
      </c>
      <c r="W191" s="34">
        <v>0.23002089151760419</v>
      </c>
      <c r="X191" s="34">
        <v>2.898263233121813</v>
      </c>
      <c r="Y191" s="34">
        <v>6.9902995322309045E-3</v>
      </c>
      <c r="Z191" s="34">
        <v>0.22999019346047708</v>
      </c>
    </row>
    <row r="192" spans="2:29" x14ac:dyDescent="0.3">
      <c r="D192" s="34">
        <v>8.3159231521358103E-3</v>
      </c>
      <c r="W192" s="34">
        <v>1.1764072794875548E-3</v>
      </c>
      <c r="X192" s="34">
        <v>8.4701324123103942E-3</v>
      </c>
      <c r="Y192" s="34">
        <v>3.5750866027070181E-5</v>
      </c>
      <c r="Z192" s="34">
        <v>1.1762512544754094E-3</v>
      </c>
    </row>
    <row r="193" spans="2:26" x14ac:dyDescent="0.3">
      <c r="W193" s="34">
        <v>23.32996496297347</v>
      </c>
      <c r="Z193" s="34">
        <v>23.332389756116612</v>
      </c>
    </row>
    <row r="194" spans="2:26" x14ac:dyDescent="0.3">
      <c r="W194" s="34">
        <v>767.54127077569228</v>
      </c>
      <c r="Z194" s="34">
        <v>767.6209776220303</v>
      </c>
    </row>
    <row r="195" spans="2:26" x14ac:dyDescent="0.3">
      <c r="W195" s="34">
        <v>1.0954335445013967</v>
      </c>
      <c r="Z195" s="34">
        <v>1.0954335925452232</v>
      </c>
    </row>
    <row r="196" spans="2:26" x14ac:dyDescent="0.3">
      <c r="B196" s="34">
        <v>1.7600000000000002</v>
      </c>
      <c r="C196" s="34">
        <v>107.43439294787771</v>
      </c>
      <c r="D196" s="34">
        <v>0.26261740498370106</v>
      </c>
      <c r="E196" s="34">
        <v>0.15500804964280965</v>
      </c>
      <c r="W196" s="34">
        <v>1</v>
      </c>
      <c r="X196" s="34">
        <v>4.8000000000000007</v>
      </c>
      <c r="Y196" s="34">
        <v>3.0362429279864791E-2</v>
      </c>
      <c r="Z196" s="34">
        <v>1</v>
      </c>
    </row>
    <row r="197" spans="2:26" x14ac:dyDescent="0.3">
      <c r="W197" s="34">
        <v>0.92900558476832362</v>
      </c>
      <c r="X197" s="34">
        <v>12.820277069802867</v>
      </c>
      <c r="Y197" s="34">
        <v>2.820696714335811E-2</v>
      </c>
      <c r="Z197" s="34">
        <v>0.92900890384498647</v>
      </c>
    </row>
    <row r="198" spans="2:26" x14ac:dyDescent="0.3">
      <c r="D198" s="34">
        <v>3.4340164661407471</v>
      </c>
      <c r="W198" s="34">
        <v>0.64343017399461344</v>
      </c>
      <c r="X198" s="34">
        <v>9.2653945055224334</v>
      </c>
      <c r="Y198" s="34">
        <v>1.9536918892486807E-2</v>
      </c>
      <c r="Z198" s="34">
        <v>0.64345704068689091</v>
      </c>
    </row>
    <row r="199" spans="2:26" x14ac:dyDescent="0.3">
      <c r="D199" s="34">
        <v>3.4135415758398568E-2</v>
      </c>
      <c r="W199" s="34">
        <v>0.22942857585810875</v>
      </c>
      <c r="X199" s="34">
        <v>2.8908000558121705</v>
      </c>
      <c r="Y199" s="34">
        <v>6.9651564605911738E-3</v>
      </c>
      <c r="Z199" s="34">
        <v>0.2294005000848269</v>
      </c>
    </row>
    <row r="200" spans="2:26" x14ac:dyDescent="0.3">
      <c r="D200" s="34">
        <v>8.3072848261155924E-3</v>
      </c>
      <c r="W200" s="34">
        <v>1.1775854879777659E-3</v>
      </c>
      <c r="X200" s="34">
        <v>8.4786155134399157E-3</v>
      </c>
      <c r="Y200" s="34">
        <v>3.5749992981900264E-5</v>
      </c>
      <c r="Z200" s="34">
        <v>1.1774417867679745E-3</v>
      </c>
    </row>
    <row r="201" spans="2:26" x14ac:dyDescent="0.3">
      <c r="W201" s="34">
        <v>23.334985519131287</v>
      </c>
      <c r="Z201" s="34">
        <v>23.335406178249773</v>
      </c>
    </row>
    <row r="202" spans="2:26" x14ac:dyDescent="0.3">
      <c r="W202" s="34">
        <v>768.53516538488111</v>
      </c>
      <c r="Z202" s="34">
        <v>768.54900978133992</v>
      </c>
    </row>
    <row r="203" spans="2:26" x14ac:dyDescent="0.3">
      <c r="W203" s="34">
        <v>1.0948427750921224</v>
      </c>
      <c r="Z203" s="34">
        <v>1.0948427821900193</v>
      </c>
    </row>
    <row r="204" spans="2:26" x14ac:dyDescent="0.3">
      <c r="B204" s="34">
        <v>1.7600000000000002</v>
      </c>
      <c r="C204" s="34">
        <v>107.48040371895814</v>
      </c>
      <c r="D204" s="34">
        <v>0.26272987575745327</v>
      </c>
      <c r="E204" s="34">
        <v>0.15500010934010242</v>
      </c>
      <c r="W204" s="34">
        <v>1</v>
      </c>
      <c r="X204" s="34">
        <v>4.8000000000000007</v>
      </c>
      <c r="Y204" s="34">
        <v>3.0348031318457393E-2</v>
      </c>
      <c r="Z204" s="34">
        <v>1</v>
      </c>
    </row>
    <row r="205" spans="2:26" x14ac:dyDescent="0.3">
      <c r="W205" s="34">
        <v>0.92898322881176765</v>
      </c>
      <c r="X205" s="34">
        <v>12.819968557602394</v>
      </c>
      <c r="Y205" s="34">
        <v>2.819278821780484E-2</v>
      </c>
      <c r="Z205" s="34">
        <v>0.92898244113311712</v>
      </c>
    </row>
    <row r="206" spans="2:26" x14ac:dyDescent="0.3">
      <c r="D206" s="34">
        <v>3.4361491203308105</v>
      </c>
      <c r="W206" s="34">
        <v>0.64355467447721826</v>
      </c>
      <c r="X206" s="34">
        <v>9.2671873124719433</v>
      </c>
      <c r="Y206" s="34">
        <v>1.9530671619712711E-2</v>
      </c>
      <c r="Z206" s="34">
        <v>0.64355646054162119</v>
      </c>
    </row>
    <row r="207" spans="2:26" x14ac:dyDescent="0.3">
      <c r="D207" s="34">
        <v>3.4120634103823586E-2</v>
      </c>
      <c r="W207" s="34">
        <v>0.22909460619649141</v>
      </c>
      <c r="X207" s="34">
        <v>2.8865920380757921</v>
      </c>
      <c r="Y207" s="34">
        <v>6.9519930009572196E-3</v>
      </c>
      <c r="Z207" s="34">
        <v>0.22907558411306506</v>
      </c>
    </row>
    <row r="208" spans="2:26" x14ac:dyDescent="0.3">
      <c r="D208" s="34">
        <v>8.3032621664486661E-3</v>
      </c>
      <c r="W208" s="34">
        <v>1.1779904134525951E-3</v>
      </c>
      <c r="X208" s="34">
        <v>8.4815309768586852E-3</v>
      </c>
      <c r="Y208" s="34">
        <v>3.5746727277271595E-5</v>
      </c>
      <c r="Z208" s="34">
        <v>1.1778927898868604E-3</v>
      </c>
    </row>
    <row r="209" spans="2:26" x14ac:dyDescent="0.3">
      <c r="W209" s="34">
        <v>23.334790155479183</v>
      </c>
      <c r="Z209" s="34">
        <v>23.334693248003489</v>
      </c>
    </row>
    <row r="210" spans="2:26" x14ac:dyDescent="0.3">
      <c r="W210" s="34">
        <v>768.90184904828402</v>
      </c>
      <c r="Z210" s="34">
        <v>768.89865419162288</v>
      </c>
    </row>
    <row r="211" spans="2:26" x14ac:dyDescent="0.3">
      <c r="W211" s="34">
        <v>1.0945771007051142</v>
      </c>
      <c r="Z211" s="34">
        <v>1.094577101893895</v>
      </c>
    </row>
    <row r="212" spans="2:26" x14ac:dyDescent="0.3">
      <c r="B212" s="34">
        <v>1.7600000000000002</v>
      </c>
      <c r="C212" s="34">
        <v>107.50032980180747</v>
      </c>
      <c r="D212" s="34">
        <v>0.26277858395997383</v>
      </c>
      <c r="E212" s="34">
        <v>0.15499240632467781</v>
      </c>
      <c r="W212" s="34">
        <v>1</v>
      </c>
      <c r="X212" s="34">
        <v>4.8000000000000007</v>
      </c>
      <c r="Y212" s="34">
        <v>3.0341539766882891E-2</v>
      </c>
      <c r="Z212" s="34">
        <v>1</v>
      </c>
    </row>
    <row r="213" spans="2:26" x14ac:dyDescent="0.3">
      <c r="W213" s="34">
        <v>0.92896919500189012</v>
      </c>
      <c r="X213" s="34">
        <v>12.819774891026084</v>
      </c>
      <c r="Y213" s="34">
        <v>2.8186316039427138E-2</v>
      </c>
      <c r="Z213" s="34">
        <v>0.92896788547929487</v>
      </c>
    </row>
    <row r="214" spans="2:26" x14ac:dyDescent="0.3">
      <c r="D214" s="34">
        <v>3.4370729923248291</v>
      </c>
      <c r="W214" s="34">
        <v>0.64357001929307667</v>
      </c>
      <c r="X214" s="34">
        <v>9.2674082778203051</v>
      </c>
      <c r="Y214" s="34">
        <v>1.9526795793074668E-2</v>
      </c>
      <c r="Z214" s="34">
        <v>0.6435664090583737</v>
      </c>
    </row>
    <row r="215" spans="2:26" x14ac:dyDescent="0.3">
      <c r="D215" s="34">
        <v>3.4114688703728628E-2</v>
      </c>
      <c r="W215" s="34">
        <v>0.22891287302778265</v>
      </c>
      <c r="X215" s="34">
        <v>2.8843022001500618</v>
      </c>
      <c r="Y215" s="34">
        <v>6.9452217251927389E-3</v>
      </c>
      <c r="Z215" s="34">
        <v>0.22890142618184764</v>
      </c>
    </row>
    <row r="216" spans="2:26" x14ac:dyDescent="0.3">
      <c r="D216" s="34">
        <v>8.3014027783368787E-3</v>
      </c>
      <c r="W216" s="34">
        <v>1.1781141578161081E-3</v>
      </c>
      <c r="X216" s="34">
        <v>8.482421936275979E-3</v>
      </c>
      <c r="Y216" s="34">
        <v>3.5744012687977237E-5</v>
      </c>
      <c r="Z216" s="34">
        <v>1.1780553314895055E-3</v>
      </c>
    </row>
    <row r="217" spans="2:26" x14ac:dyDescent="0.3">
      <c r="W217" s="34">
        <v>23.333665981353661</v>
      </c>
      <c r="Z217" s="34">
        <v>23.333499459284493</v>
      </c>
    </row>
    <row r="218" spans="2:26" x14ac:dyDescent="0.3">
      <c r="W218" s="34">
        <v>769.03044438744564</v>
      </c>
      <c r="Z218" s="34">
        <v>769.02495596203698</v>
      </c>
    </row>
    <row r="219" spans="2:26" x14ac:dyDescent="0.3">
      <c r="W219" s="34">
        <v>1.094459216440081</v>
      </c>
      <c r="Z219" s="34">
        <v>1.094459216578668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9D06E-C7C5-4841-B5F1-3341FC8BEBD1}">
  <sheetPr codeName="Sheet21"/>
  <dimension ref="C4:J27"/>
  <sheetViews>
    <sheetView topLeftCell="A4" workbookViewId="0">
      <selection activeCell="C12" sqref="C12:H12"/>
    </sheetView>
  </sheetViews>
  <sheetFormatPr defaultRowHeight="11.7" x14ac:dyDescent="0.3"/>
  <sheetData>
    <row r="4" spans="3:10" ht="12.9" x14ac:dyDescent="0.3">
      <c r="C4" s="60" t="s">
        <v>161</v>
      </c>
      <c r="D4" s="34" t="s">
        <v>51</v>
      </c>
      <c r="E4" s="60" t="s">
        <v>162</v>
      </c>
      <c r="F4" s="60" t="s">
        <v>86</v>
      </c>
      <c r="G4" s="60" t="s">
        <v>128</v>
      </c>
      <c r="H4" s="34"/>
    </row>
    <row r="5" spans="3:10" ht="12.9" x14ac:dyDescent="0.3">
      <c r="C5" s="60">
        <v>6</v>
      </c>
      <c r="D5" s="34"/>
      <c r="E5" s="34">
        <v>0.30877470970153809</v>
      </c>
      <c r="F5" s="34">
        <v>0.10292490571737289</v>
      </c>
      <c r="G5" s="34">
        <v>0.31978106498718262</v>
      </c>
      <c r="H5" s="34"/>
    </row>
    <row r="6" spans="3:10" ht="12.9" x14ac:dyDescent="0.3">
      <c r="C6" s="34" t="s">
        <v>55</v>
      </c>
      <c r="D6" s="34" t="s">
        <v>56</v>
      </c>
      <c r="E6" s="34" t="s">
        <v>57</v>
      </c>
      <c r="F6" s="34" t="s">
        <v>58</v>
      </c>
      <c r="G6" s="34" t="s">
        <v>59</v>
      </c>
      <c r="H6" s="34" t="s">
        <v>60</v>
      </c>
      <c r="J6" s="59" t="s">
        <v>202</v>
      </c>
    </row>
    <row r="7" spans="3:10" ht="12.9" x14ac:dyDescent="0.3">
      <c r="C7" s="34">
        <v>1</v>
      </c>
      <c r="D7" s="34">
        <v>5.5</v>
      </c>
      <c r="E7" s="34">
        <v>1.4</v>
      </c>
      <c r="F7" s="59">
        <v>360</v>
      </c>
      <c r="G7" s="59">
        <v>120</v>
      </c>
      <c r="H7" t="s">
        <v>189</v>
      </c>
    </row>
    <row r="8" spans="3:10" ht="12.9" x14ac:dyDescent="0.3">
      <c r="C8" s="34">
        <v>2</v>
      </c>
      <c r="D8" s="34">
        <v>3.9</v>
      </c>
      <c r="E8" s="34">
        <v>1.5</v>
      </c>
      <c r="F8" s="59">
        <v>680</v>
      </c>
      <c r="G8" s="59">
        <v>210</v>
      </c>
      <c r="H8" t="s">
        <v>189</v>
      </c>
    </row>
    <row r="9" spans="3:10" ht="12.9" x14ac:dyDescent="0.3">
      <c r="C9" s="34">
        <v>3</v>
      </c>
      <c r="D9" s="34">
        <v>4.7</v>
      </c>
      <c r="E9" s="34">
        <v>1.5</v>
      </c>
      <c r="F9" s="59">
        <v>680</v>
      </c>
      <c r="G9" s="59">
        <v>230</v>
      </c>
      <c r="H9" t="s">
        <v>189</v>
      </c>
    </row>
    <row r="10" spans="3:10" ht="12.9" x14ac:dyDescent="0.3">
      <c r="C10" s="34">
        <v>4</v>
      </c>
      <c r="D10" s="34">
        <v>3.1</v>
      </c>
      <c r="E10" s="34">
        <v>2</v>
      </c>
      <c r="F10" s="59">
        <v>1220</v>
      </c>
      <c r="G10" s="59">
        <v>470</v>
      </c>
      <c r="H10" t="s">
        <v>190</v>
      </c>
    </row>
    <row r="11" spans="3:10" ht="12.9" x14ac:dyDescent="0.3">
      <c r="C11" s="34">
        <v>5</v>
      </c>
      <c r="D11" s="34">
        <v>2.4</v>
      </c>
      <c r="E11" s="34">
        <v>1.7</v>
      </c>
      <c r="F11" s="59">
        <v>1220</v>
      </c>
      <c r="G11" s="59">
        <v>380</v>
      </c>
      <c r="H11" t="s">
        <v>189</v>
      </c>
    </row>
    <row r="12" spans="3:10" ht="12.9" x14ac:dyDescent="0.3">
      <c r="C12" s="34">
        <v>6</v>
      </c>
      <c r="D12" s="34">
        <v>5.7</v>
      </c>
      <c r="E12" s="34">
        <v>2.1</v>
      </c>
      <c r="F12" s="59">
        <v>2000</v>
      </c>
      <c r="G12" s="59">
        <v>590</v>
      </c>
      <c r="H12" t="s">
        <v>189</v>
      </c>
    </row>
    <row r="14" spans="3:10" ht="12.9" x14ac:dyDescent="0.3">
      <c r="C14" s="34" t="s">
        <v>55</v>
      </c>
      <c r="D14" s="34" t="s">
        <v>56</v>
      </c>
      <c r="E14" s="34" t="s">
        <v>57</v>
      </c>
      <c r="F14" s="34" t="s">
        <v>58</v>
      </c>
      <c r="G14" s="34" t="s">
        <v>59</v>
      </c>
      <c r="H14" s="34" t="s">
        <v>60</v>
      </c>
    </row>
    <row r="15" spans="3:10" ht="12.9" x14ac:dyDescent="0.3">
      <c r="C15" s="34">
        <v>1</v>
      </c>
      <c r="D15" s="34">
        <v>3</v>
      </c>
      <c r="E15" s="34">
        <v>0.4</v>
      </c>
      <c r="F15" s="59">
        <v>320</v>
      </c>
      <c r="G15" s="59">
        <v>180</v>
      </c>
      <c r="H15" t="s">
        <v>189</v>
      </c>
    </row>
    <row r="16" spans="3:10" ht="12.9" x14ac:dyDescent="0.3">
      <c r="C16" s="34">
        <v>2</v>
      </c>
      <c r="D16" s="34">
        <v>1.2</v>
      </c>
      <c r="E16" s="34">
        <v>2</v>
      </c>
      <c r="F16" s="59">
        <v>1500</v>
      </c>
      <c r="G16" s="59">
        <v>180</v>
      </c>
      <c r="H16" t="s">
        <v>192</v>
      </c>
    </row>
    <row r="17" spans="3:8" ht="12.9" x14ac:dyDescent="0.3">
      <c r="C17" s="34">
        <v>3</v>
      </c>
      <c r="D17" s="34">
        <v>2.2999999999999998</v>
      </c>
      <c r="E17" s="34">
        <v>1.7</v>
      </c>
      <c r="F17" s="59">
        <v>1500</v>
      </c>
      <c r="G17" s="59">
        <v>180</v>
      </c>
      <c r="H17" t="s">
        <v>189</v>
      </c>
    </row>
    <row r="18" spans="3:8" ht="12.9" x14ac:dyDescent="0.3">
      <c r="C18" s="34">
        <v>4</v>
      </c>
      <c r="D18" s="34">
        <v>6.3</v>
      </c>
      <c r="E18" s="34">
        <v>2.1</v>
      </c>
      <c r="F18" s="59">
        <v>1500</v>
      </c>
      <c r="G18" s="59">
        <v>370</v>
      </c>
      <c r="H18" t="s">
        <v>189</v>
      </c>
    </row>
    <row r="19" spans="3:8" ht="12.9" x14ac:dyDescent="0.3">
      <c r="C19" s="34">
        <v>5</v>
      </c>
      <c r="D19" s="34">
        <v>22.8</v>
      </c>
      <c r="E19" s="34">
        <v>1.85</v>
      </c>
      <c r="F19" s="59">
        <v>1780</v>
      </c>
      <c r="G19" s="59">
        <v>500</v>
      </c>
      <c r="H19" t="s">
        <v>189</v>
      </c>
    </row>
    <row r="20" spans="3:8" ht="12.9" x14ac:dyDescent="0.3">
      <c r="C20" s="34"/>
      <c r="D20" s="34"/>
      <c r="E20" s="34"/>
      <c r="F20" s="59"/>
      <c r="G20" s="59"/>
    </row>
    <row r="21" spans="3:8" ht="12.9" x14ac:dyDescent="0.3">
      <c r="C21" s="34" t="s">
        <v>55</v>
      </c>
      <c r="D21" s="34" t="s">
        <v>56</v>
      </c>
      <c r="E21" s="34" t="s">
        <v>57</v>
      </c>
      <c r="F21" s="34" t="s">
        <v>58</v>
      </c>
      <c r="G21" s="34" t="s">
        <v>59</v>
      </c>
      <c r="H21" s="34" t="s">
        <v>60</v>
      </c>
    </row>
    <row r="22" spans="3:8" ht="12.9" x14ac:dyDescent="0.3">
      <c r="C22" s="34">
        <v>1</v>
      </c>
      <c r="D22" s="34">
        <v>6</v>
      </c>
      <c r="E22" s="34">
        <v>1.8</v>
      </c>
      <c r="F22" s="59">
        <v>760</v>
      </c>
      <c r="G22" s="59">
        <v>110</v>
      </c>
      <c r="H22" t="s">
        <v>189</v>
      </c>
    </row>
    <row r="23" spans="3:8" ht="12.9" x14ac:dyDescent="0.3">
      <c r="C23" s="34">
        <v>2</v>
      </c>
      <c r="D23" s="34">
        <v>7</v>
      </c>
      <c r="E23" s="34">
        <v>1.7</v>
      </c>
      <c r="F23" s="59">
        <v>760</v>
      </c>
      <c r="G23" s="59">
        <v>110</v>
      </c>
      <c r="H23" t="s">
        <v>189</v>
      </c>
    </row>
    <row r="24" spans="3:8" ht="12.9" x14ac:dyDescent="0.3">
      <c r="C24" s="34">
        <v>3</v>
      </c>
      <c r="D24" s="34">
        <v>7</v>
      </c>
      <c r="E24" s="34">
        <v>1.6</v>
      </c>
      <c r="F24" s="59">
        <v>1500</v>
      </c>
      <c r="G24" s="59">
        <v>140</v>
      </c>
      <c r="H24" t="s">
        <v>189</v>
      </c>
    </row>
    <row r="25" spans="3:8" ht="12.9" x14ac:dyDescent="0.3">
      <c r="C25" s="34">
        <v>4</v>
      </c>
      <c r="D25" s="34">
        <v>4</v>
      </c>
      <c r="E25" s="34">
        <v>1.9</v>
      </c>
      <c r="F25" s="59">
        <v>1540</v>
      </c>
      <c r="G25" s="59">
        <v>200</v>
      </c>
      <c r="H25" t="s">
        <v>189</v>
      </c>
    </row>
    <row r="26" spans="3:8" ht="12.9" x14ac:dyDescent="0.3">
      <c r="C26" s="34">
        <v>5</v>
      </c>
      <c r="D26" s="34">
        <v>9</v>
      </c>
      <c r="E26" s="34">
        <v>1.8</v>
      </c>
      <c r="F26" s="59">
        <v>1540</v>
      </c>
      <c r="G26" s="59">
        <v>200</v>
      </c>
      <c r="H26" t="s">
        <v>189</v>
      </c>
    </row>
    <row r="27" spans="3:8" ht="12.9" x14ac:dyDescent="0.3">
      <c r="C27" s="34">
        <v>6</v>
      </c>
      <c r="D27" s="59">
        <v>5</v>
      </c>
      <c r="E27" s="59">
        <v>1.8</v>
      </c>
      <c r="F27" s="59">
        <v>1760</v>
      </c>
      <c r="G27" s="59">
        <v>500</v>
      </c>
      <c r="H27" t="s">
        <v>189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T120"/>
  <sheetViews>
    <sheetView zoomScale="90" zoomScaleNormal="90" workbookViewId="0">
      <selection activeCell="L10" sqref="L10"/>
    </sheetView>
  </sheetViews>
  <sheetFormatPr defaultRowHeight="11.7" x14ac:dyDescent="0.3"/>
  <cols>
    <col min="1" max="1" width="10.703125" customWidth="1"/>
    <col min="2" max="2" width="17.87890625" customWidth="1"/>
    <col min="3" max="12" width="13.703125" customWidth="1"/>
    <col min="13" max="20" width="12" customWidth="1"/>
    <col min="22" max="22" width="10.703125" customWidth="1"/>
  </cols>
  <sheetData>
    <row r="1" spans="1:10" x14ac:dyDescent="0.3">
      <c r="A1" s="2" t="s">
        <v>0</v>
      </c>
      <c r="B1" s="3" t="s">
        <v>19</v>
      </c>
      <c r="C1" t="s">
        <v>20</v>
      </c>
      <c r="D1" t="s">
        <v>21</v>
      </c>
    </row>
    <row r="2" spans="1:10" x14ac:dyDescent="0.3">
      <c r="A2">
        <f>ready!D3</f>
        <v>11</v>
      </c>
      <c r="B2">
        <v>8</v>
      </c>
      <c r="C2">
        <v>80.119102853675827</v>
      </c>
      <c r="D2">
        <v>11.110444117617632</v>
      </c>
      <c r="F2" s="1"/>
      <c r="G2">
        <v>251</v>
      </c>
      <c r="H2" s="1">
        <v>11.110444117617632</v>
      </c>
    </row>
    <row r="3" spans="1:10" x14ac:dyDescent="0.3">
      <c r="B3">
        <v>7</v>
      </c>
      <c r="C3">
        <v>63.671080338341838</v>
      </c>
      <c r="D3">
        <v>17.845372786351231</v>
      </c>
      <c r="G3">
        <v>640</v>
      </c>
      <c r="H3">
        <v>17.845372786351231</v>
      </c>
    </row>
    <row r="4" spans="1:10" x14ac:dyDescent="0.3">
      <c r="B4">
        <v>6</v>
      </c>
      <c r="C4">
        <v>65.129274522900289</v>
      </c>
      <c r="D4">
        <v>23.97779044920199</v>
      </c>
      <c r="G4">
        <v>453.99999999999994</v>
      </c>
      <c r="H4">
        <v>23.97779044920199</v>
      </c>
    </row>
    <row r="5" spans="1:10" x14ac:dyDescent="0.3">
      <c r="B5">
        <v>5</v>
      </c>
      <c r="C5">
        <v>65.843075871984837</v>
      </c>
      <c r="D5">
        <v>29.697878982201836</v>
      </c>
      <c r="G5">
        <v>455</v>
      </c>
      <c r="H5">
        <v>29.697878982201836</v>
      </c>
    </row>
    <row r="6" spans="1:10" x14ac:dyDescent="0.3">
      <c r="B6">
        <v>4</v>
      </c>
      <c r="C6">
        <v>66.51608857255026</v>
      </c>
      <c r="D6">
        <v>37.070330319049027</v>
      </c>
      <c r="G6">
        <v>459.99999999999994</v>
      </c>
      <c r="H6">
        <v>37.070330319049027</v>
      </c>
    </row>
    <row r="7" spans="1:10" x14ac:dyDescent="0.3">
      <c r="B7">
        <v>3</v>
      </c>
      <c r="C7">
        <v>69.146956402033325</v>
      </c>
      <c r="D7">
        <v>44.590929581211803</v>
      </c>
      <c r="G7">
        <v>467</v>
      </c>
      <c r="H7">
        <v>44.590929581211803</v>
      </c>
    </row>
    <row r="8" spans="1:10" x14ac:dyDescent="0.3">
      <c r="B8">
        <v>2</v>
      </c>
      <c r="C8">
        <v>70.085095317973014</v>
      </c>
      <c r="D8">
        <v>44.30362270819527</v>
      </c>
      <c r="G8">
        <v>469</v>
      </c>
      <c r="H8">
        <v>44.30362270819527</v>
      </c>
    </row>
    <row r="9" spans="1:10" x14ac:dyDescent="0.3">
      <c r="B9">
        <v>1</v>
      </c>
      <c r="C9">
        <v>79.813187989782449</v>
      </c>
      <c r="D9">
        <v>27.045139828096424</v>
      </c>
      <c r="G9">
        <v>471</v>
      </c>
      <c r="H9">
        <v>46.243373094764742</v>
      </c>
    </row>
    <row r="10" spans="1:10" x14ac:dyDescent="0.3">
      <c r="G10">
        <v>475</v>
      </c>
      <c r="H10">
        <v>46.243373094764742</v>
      </c>
    </row>
    <row r="11" spans="1:10" x14ac:dyDescent="0.3">
      <c r="G11">
        <v>477</v>
      </c>
      <c r="H11">
        <v>46.243373094764742</v>
      </c>
    </row>
    <row r="12" spans="1:10" x14ac:dyDescent="0.3">
      <c r="G12">
        <v>481</v>
      </c>
      <c r="H12">
        <v>46.243373094764742</v>
      </c>
    </row>
    <row r="13" spans="1:10" x14ac:dyDescent="0.3">
      <c r="B13" t="s">
        <v>40</v>
      </c>
      <c r="C13">
        <v>15.838446617126465</v>
      </c>
      <c r="D13">
        <v>94.01885986328125</v>
      </c>
      <c r="E13">
        <v>248.28547668457031</v>
      </c>
      <c r="F13">
        <v>481.29583740234375</v>
      </c>
      <c r="G13">
        <v>764.60443115234375</v>
      </c>
      <c r="H13">
        <v>1104.74267578125</v>
      </c>
      <c r="I13">
        <v>1533.294189453125</v>
      </c>
      <c r="J13">
        <v>2155.8271484375</v>
      </c>
    </row>
    <row r="14" spans="1:10" x14ac:dyDescent="0.3">
      <c r="B14" t="s">
        <v>41</v>
      </c>
      <c r="C14">
        <v>3.9797545925755857</v>
      </c>
      <c r="D14">
        <v>9.6963322892360306</v>
      </c>
      <c r="E14">
        <v>15.757077034925301</v>
      </c>
      <c r="F14">
        <v>21.938455674963627</v>
      </c>
      <c r="G14">
        <v>27.651481536300071</v>
      </c>
      <c r="H14">
        <v>33.237669529936213</v>
      </c>
      <c r="I14">
        <v>39.157300589457456</v>
      </c>
      <c r="J14">
        <v>46.430885716702626</v>
      </c>
    </row>
    <row r="15" spans="1:10" x14ac:dyDescent="0.3">
      <c r="B15" t="s">
        <v>42</v>
      </c>
      <c r="C15">
        <v>1.5787872980212325</v>
      </c>
      <c r="D15">
        <v>0.64799615076878192</v>
      </c>
      <c r="E15">
        <v>0.39875327042404007</v>
      </c>
      <c r="F15">
        <v>0.28640056041731465</v>
      </c>
      <c r="G15">
        <v>0.22722782472800285</v>
      </c>
      <c r="H15">
        <v>0.18903810311793717</v>
      </c>
      <c r="I15">
        <v>0.16046014167002251</v>
      </c>
      <c r="J15">
        <v>0.13532341464121034</v>
      </c>
    </row>
    <row r="17" spans="2:10" x14ac:dyDescent="0.3">
      <c r="B17" t="s">
        <v>38</v>
      </c>
      <c r="C17">
        <v>0.26897688966861649</v>
      </c>
      <c r="D17">
        <v>0.24298612240839526</v>
      </c>
      <c r="E17">
        <v>0.17398376089926171</v>
      </c>
      <c r="F17">
        <v>0.12354130530655796</v>
      </c>
      <c r="G17">
        <v>8.8656199695021462E-2</v>
      </c>
      <c r="H17">
        <v>5.5328891509888241E-2</v>
      </c>
      <c r="I17">
        <v>3.2323426603992456E-2</v>
      </c>
      <c r="J17">
        <v>1.4203403908266613E-2</v>
      </c>
    </row>
    <row r="19" spans="2:10" x14ac:dyDescent="0.3">
      <c r="B19" t="s">
        <v>37</v>
      </c>
    </row>
    <row r="20" spans="2:10" x14ac:dyDescent="0.3">
      <c r="B20">
        <v>8</v>
      </c>
      <c r="C20">
        <v>5.2075758607676708</v>
      </c>
      <c r="D20">
        <v>-2.3150557442269371</v>
      </c>
      <c r="E20">
        <v>1.2699695904685508</v>
      </c>
      <c r="F20">
        <v>-0.63938097723152909</v>
      </c>
      <c r="G20">
        <v>0.2743475243791012</v>
      </c>
      <c r="H20">
        <v>-9.0280073278495576E-2</v>
      </c>
      <c r="I20">
        <v>1.6557236269420742E-2</v>
      </c>
      <c r="J20">
        <v>-1.2647316384693005E-3</v>
      </c>
    </row>
    <row r="21" spans="2:10" x14ac:dyDescent="0.3">
      <c r="B21">
        <v>7</v>
      </c>
      <c r="C21">
        <v>4.6128006599484168</v>
      </c>
      <c r="D21">
        <v>-0.74548427453433652</v>
      </c>
      <c r="E21">
        <v>-1.0038148417443629</v>
      </c>
      <c r="F21">
        <v>1.5797169262990944</v>
      </c>
      <c r="G21">
        <v>-1.2383166578141258</v>
      </c>
      <c r="H21">
        <v>0.62893317862544795</v>
      </c>
      <c r="I21">
        <v>-0.16651311065602181</v>
      </c>
      <c r="J21">
        <v>1.8396782973939922E-2</v>
      </c>
    </row>
    <row r="22" spans="2:10" x14ac:dyDescent="0.3">
      <c r="B22">
        <v>6</v>
      </c>
      <c r="C22">
        <v>3.9818247606923856</v>
      </c>
      <c r="D22">
        <v>0.48179832625953756</v>
      </c>
      <c r="E22">
        <v>-1.5302170308714798</v>
      </c>
      <c r="F22">
        <v>0.24857803637987982</v>
      </c>
      <c r="G22">
        <v>1.1981040463980503</v>
      </c>
      <c r="H22">
        <v>-1.4023205727965826</v>
      </c>
      <c r="I22">
        <v>0.63044974802041431</v>
      </c>
      <c r="J22">
        <v>-0.11086725444944491</v>
      </c>
    </row>
    <row r="23" spans="2:10" x14ac:dyDescent="0.3">
      <c r="B23">
        <v>5</v>
      </c>
      <c r="C23">
        <v>3.3409217652797745</v>
      </c>
      <c r="D23">
        <v>1.2721581067190622</v>
      </c>
      <c r="E23">
        <v>-0.89000938291721432</v>
      </c>
      <c r="F23">
        <v>-1.0670856502829424</v>
      </c>
      <c r="G23">
        <v>0.5231248867488707</v>
      </c>
      <c r="H23">
        <v>1.2939249161376893</v>
      </c>
      <c r="I23">
        <v>-1.4021015094196556</v>
      </c>
      <c r="J23">
        <v>0.44213716879961218</v>
      </c>
    </row>
    <row r="24" spans="2:10" x14ac:dyDescent="0.3">
      <c r="B24">
        <v>4</v>
      </c>
      <c r="C24">
        <v>2.7061449568319551</v>
      </c>
      <c r="D24">
        <v>1.6451072290589874</v>
      </c>
      <c r="E24">
        <v>0.11681439421531187</v>
      </c>
      <c r="F24">
        <v>-0.99067502884731984</v>
      </c>
      <c r="G24">
        <v>-0.90864942856906905</v>
      </c>
      <c r="H24">
        <v>0.30161023547218724</v>
      </c>
      <c r="I24">
        <v>1.7232262241122311</v>
      </c>
      <c r="J24">
        <v>-1.2246453557687702</v>
      </c>
    </row>
    <row r="25" spans="2:10" x14ac:dyDescent="0.3">
      <c r="B25">
        <v>3</v>
      </c>
      <c r="C25">
        <v>2.1207042672838639</v>
      </c>
      <c r="D25">
        <v>1.6663555103996606</v>
      </c>
      <c r="E25">
        <v>0.87136239108617508</v>
      </c>
      <c r="F25">
        <v>-7.3914375826475726E-2</v>
      </c>
      <c r="G25">
        <v>-0.80905808484314823</v>
      </c>
      <c r="H25">
        <v>-1.0912264071556008</v>
      </c>
      <c r="I25">
        <v>-0.51398224900250655</v>
      </c>
      <c r="J25">
        <v>2.1772880040872424</v>
      </c>
    </row>
    <row r="26" spans="2:10" x14ac:dyDescent="0.3">
      <c r="B26">
        <v>2</v>
      </c>
      <c r="C26">
        <v>1.58191681230839</v>
      </c>
      <c r="D26">
        <v>1.4410744228052521</v>
      </c>
      <c r="E26">
        <v>1.1631623853851216</v>
      </c>
      <c r="F26">
        <v>0.74339312260555057</v>
      </c>
      <c r="G26">
        <v>0.23301128500686763</v>
      </c>
      <c r="H26">
        <v>-0.37974930774329113</v>
      </c>
      <c r="I26">
        <v>-1.1517870238833936</v>
      </c>
      <c r="J26">
        <v>-2.273282989157031</v>
      </c>
    </row>
    <row r="27" spans="2:10" x14ac:dyDescent="0.3"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2:10" x14ac:dyDescent="0.3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31" spans="2:10" x14ac:dyDescent="0.3">
      <c r="B31" t="s">
        <v>39</v>
      </c>
    </row>
    <row r="32" spans="2:10" x14ac:dyDescent="0.3">
      <c r="B32">
        <v>8</v>
      </c>
      <c r="C32">
        <v>1.4007175577426563</v>
      </c>
      <c r="D32">
        <v>-0.5625264184489851</v>
      </c>
      <c r="E32">
        <v>0.22095408557741367</v>
      </c>
      <c r="F32">
        <v>-7.898996051536572E-2</v>
      </c>
      <c r="G32">
        <v>2.4322608907188365E-2</v>
      </c>
      <c r="H32">
        <v>-4.9950963799306417E-3</v>
      </c>
      <c r="I32">
        <v>5.3518661131958317E-4</v>
      </c>
      <c r="J32">
        <v>-1.7963494296743301E-5</v>
      </c>
    </row>
    <row r="33" spans="2:10" x14ac:dyDescent="0.3">
      <c r="B33">
        <v>7</v>
      </c>
      <c r="C33">
        <v>1.2407367741742668</v>
      </c>
      <c r="D33">
        <v>-0.18114233318553402</v>
      </c>
      <c r="E33">
        <v>-0.17464748141318145</v>
      </c>
      <c r="F33">
        <v>0.19516029108985375</v>
      </c>
      <c r="G33">
        <v>-0.1097844489008407</v>
      </c>
      <c r="H33">
        <v>3.4798175607136571E-2</v>
      </c>
      <c r="I33">
        <v>-5.3822743108923954E-3</v>
      </c>
      <c r="J33">
        <v>2.6129693919159098E-4</v>
      </c>
    </row>
    <row r="34" spans="2:10" x14ac:dyDescent="0.3">
      <c r="B34">
        <v>6</v>
      </c>
      <c r="C34">
        <v>1.071018839336521</v>
      </c>
      <c r="D34">
        <v>0.11707030708065995</v>
      </c>
      <c r="E34">
        <v>-0.26623291402312171</v>
      </c>
      <c r="F34">
        <v>3.0709655084911407E-2</v>
      </c>
      <c r="G34">
        <v>0.10621935159287881</v>
      </c>
      <c r="H34">
        <v>-7.7588842834346458E-2</v>
      </c>
      <c r="I34">
        <v>2.0378296157643399E-2</v>
      </c>
      <c r="J34">
        <v>-1.574692395146035E-3</v>
      </c>
    </row>
    <row r="35" spans="2:10" x14ac:dyDescent="0.3">
      <c r="B35">
        <v>5</v>
      </c>
      <c r="C35">
        <v>0.89863074505113738</v>
      </c>
      <c r="D35">
        <v>0.3091167654420704</v>
      </c>
      <c r="E35">
        <v>-0.15484717967556808</v>
      </c>
      <c r="F35">
        <v>-0.13182915410985194</v>
      </c>
      <c r="G35">
        <v>4.6378264425043364E-2</v>
      </c>
      <c r="H35">
        <v>7.1591431306923456E-2</v>
      </c>
      <c r="I35">
        <v>-4.5320725231073278E-2</v>
      </c>
      <c r="J35">
        <v>6.2798527913183466E-3</v>
      </c>
    </row>
    <row r="36" spans="2:10" x14ac:dyDescent="0.3">
      <c r="B36">
        <v>4</v>
      </c>
      <c r="C36">
        <v>0.72789045348107173</v>
      </c>
      <c r="D36">
        <v>0.39973822653506308</v>
      </c>
      <c r="E36">
        <v>2.0323807632748919E-2</v>
      </c>
      <c r="F36">
        <v>-0.12238928619840986</v>
      </c>
      <c r="G36">
        <v>-8.0557405191986522E-2</v>
      </c>
      <c r="H36">
        <v>1.6687759996712494E-2</v>
      </c>
      <c r="I36">
        <v>5.5700576377166758E-2</v>
      </c>
      <c r="J36">
        <v>-1.7394132632366707E-2</v>
      </c>
    </row>
    <row r="37" spans="2:10" x14ac:dyDescent="0.3">
      <c r="B37">
        <v>3</v>
      </c>
      <c r="C37">
        <v>0.57042043772097606</v>
      </c>
      <c r="D37">
        <v>0.4049012640258759</v>
      </c>
      <c r="E37">
        <v>0.15160290590734607</v>
      </c>
      <c r="F37">
        <v>-9.1314784705223053E-3</v>
      </c>
      <c r="G37">
        <v>-7.1728015134725764E-2</v>
      </c>
      <c r="H37">
        <v>-6.037634749423737E-2</v>
      </c>
      <c r="I37">
        <v>-1.6613667501387496E-2</v>
      </c>
      <c r="J37">
        <v>3.0924900946674751E-2</v>
      </c>
    </row>
    <row r="38" spans="2:10" x14ac:dyDescent="0.3">
      <c r="B38">
        <v>2</v>
      </c>
      <c r="C38">
        <v>0.42549906388920333</v>
      </c>
      <c r="D38">
        <v>0.35016108609936453</v>
      </c>
      <c r="E38">
        <v>0.20237136634585989</v>
      </c>
      <c r="F38">
        <v>9.1839756722607802E-2</v>
      </c>
      <c r="G38">
        <v>2.0657895014762416E-2</v>
      </c>
      <c r="H38">
        <v>-2.1011108249083716E-2</v>
      </c>
      <c r="I38">
        <v>-3.7229703329925777E-2</v>
      </c>
      <c r="J38">
        <v>-3.228835649278898E-2</v>
      </c>
    </row>
    <row r="39" spans="2:10" x14ac:dyDescent="0.3">
      <c r="B39">
        <v>1</v>
      </c>
      <c r="C39">
        <v>0.26897688966861649</v>
      </c>
      <c r="D39">
        <v>0.24298612240839526</v>
      </c>
      <c r="E39">
        <v>0.17398376089926171</v>
      </c>
      <c r="F39">
        <v>0.12354130530655796</v>
      </c>
      <c r="G39">
        <v>8.8656199695021462E-2</v>
      </c>
      <c r="H39">
        <v>5.5328891509888241E-2</v>
      </c>
      <c r="I39">
        <v>3.2323426603992456E-2</v>
      </c>
      <c r="J39">
        <v>1.4203403908266613E-2</v>
      </c>
    </row>
    <row r="40" spans="2:10" x14ac:dyDescent="0.3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3" spans="2:10" x14ac:dyDescent="0.3">
      <c r="C43">
        <v>0.11193416680224606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2:10" x14ac:dyDescent="0.3">
      <c r="C44">
        <v>0</v>
      </c>
      <c r="D44">
        <v>0.11945027827538506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2:10" x14ac:dyDescent="0.3">
      <c r="C45">
        <v>0</v>
      </c>
      <c r="D45">
        <v>0</v>
      </c>
      <c r="E45">
        <v>0.12025785843086682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 x14ac:dyDescent="0.3">
      <c r="C46">
        <v>0</v>
      </c>
      <c r="D46">
        <v>0</v>
      </c>
      <c r="E46">
        <v>0</v>
      </c>
      <c r="F46">
        <v>0.12261303669821622</v>
      </c>
      <c r="G46">
        <v>0</v>
      </c>
      <c r="H46">
        <v>0</v>
      </c>
      <c r="I46">
        <v>0</v>
      </c>
      <c r="J46">
        <v>0</v>
      </c>
    </row>
    <row r="47" spans="2:10" x14ac:dyDescent="0.3">
      <c r="C47">
        <v>0</v>
      </c>
      <c r="D47">
        <v>0</v>
      </c>
      <c r="E47">
        <v>0</v>
      </c>
      <c r="F47">
        <v>0</v>
      </c>
      <c r="G47">
        <v>0.12323808596545922</v>
      </c>
      <c r="H47">
        <v>0</v>
      </c>
      <c r="I47">
        <v>0</v>
      </c>
      <c r="J47">
        <v>0</v>
      </c>
    </row>
    <row r="48" spans="2:10" x14ac:dyDescent="0.3">
      <c r="C48">
        <v>0</v>
      </c>
      <c r="D48">
        <v>0</v>
      </c>
      <c r="E48">
        <v>0</v>
      </c>
      <c r="F48">
        <v>0</v>
      </c>
      <c r="G48">
        <v>0</v>
      </c>
      <c r="H48">
        <v>0.12391157571893943</v>
      </c>
      <c r="I48">
        <v>0</v>
      </c>
      <c r="J48">
        <v>0</v>
      </c>
    </row>
    <row r="49" spans="3:10" x14ac:dyDescent="0.3"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0.12532245404870285</v>
      </c>
      <c r="J49">
        <v>0</v>
      </c>
    </row>
    <row r="50" spans="3:10" x14ac:dyDescent="0.3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0.11172026603960804</v>
      </c>
    </row>
    <row r="53" spans="3:10" x14ac:dyDescent="0.3">
      <c r="C53">
        <v>71348.762536291688</v>
      </c>
      <c r="D53">
        <v>-44303.622708195267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3:10" x14ac:dyDescent="0.3">
      <c r="C54">
        <v>-44303.622708195267</v>
      </c>
      <c r="D54">
        <v>88894.55228940706</v>
      </c>
      <c r="E54">
        <v>-44590.9295812118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3:10" x14ac:dyDescent="0.3">
      <c r="C55">
        <v>0</v>
      </c>
      <c r="D55">
        <v>-44590.9295812118</v>
      </c>
      <c r="E55">
        <v>81661.259900260833</v>
      </c>
      <c r="F55">
        <v>-37070.330319049026</v>
      </c>
      <c r="G55">
        <v>0</v>
      </c>
      <c r="H55">
        <v>0</v>
      </c>
      <c r="I55">
        <v>0</v>
      </c>
      <c r="J55">
        <v>0</v>
      </c>
    </row>
    <row r="56" spans="3:10" x14ac:dyDescent="0.3">
      <c r="C56">
        <v>0</v>
      </c>
      <c r="D56">
        <v>0</v>
      </c>
      <c r="E56">
        <v>-37070.330319049026</v>
      </c>
      <c r="F56">
        <v>66768.20930125087</v>
      </c>
      <c r="G56">
        <v>-29697.878982201837</v>
      </c>
      <c r="H56">
        <v>0</v>
      </c>
      <c r="I56">
        <v>0</v>
      </c>
      <c r="J56">
        <v>0</v>
      </c>
    </row>
    <row r="57" spans="3:10" x14ac:dyDescent="0.3">
      <c r="C57">
        <v>0</v>
      </c>
      <c r="D57">
        <v>0</v>
      </c>
      <c r="E57">
        <v>0</v>
      </c>
      <c r="F57">
        <v>-29697.878982201837</v>
      </c>
      <c r="G57">
        <v>53675.669431403832</v>
      </c>
      <c r="H57">
        <v>-23977.790449201992</v>
      </c>
      <c r="I57">
        <v>0</v>
      </c>
      <c r="J57">
        <v>0</v>
      </c>
    </row>
    <row r="58" spans="3:10" x14ac:dyDescent="0.3">
      <c r="C58">
        <v>0</v>
      </c>
      <c r="D58">
        <v>0</v>
      </c>
      <c r="E58">
        <v>0</v>
      </c>
      <c r="F58">
        <v>0</v>
      </c>
      <c r="G58">
        <v>-23977.790449201992</v>
      </c>
      <c r="H58">
        <v>41823.16323555322</v>
      </c>
      <c r="I58">
        <v>-17845.372786351232</v>
      </c>
      <c r="J58">
        <v>0</v>
      </c>
    </row>
    <row r="59" spans="3:10" x14ac:dyDescent="0.3">
      <c r="C59">
        <v>0</v>
      </c>
      <c r="D59">
        <v>0</v>
      </c>
      <c r="E59">
        <v>0</v>
      </c>
      <c r="F59">
        <v>0</v>
      </c>
      <c r="G59">
        <v>0</v>
      </c>
      <c r="H59">
        <v>-17845.372786351232</v>
      </c>
      <c r="I59">
        <v>28955.816903968866</v>
      </c>
      <c r="J59">
        <v>-11110.444117617631</v>
      </c>
    </row>
    <row r="60" spans="3:10" x14ac:dyDescent="0.3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-11110.444117617631</v>
      </c>
      <c r="J60">
        <v>11110.444117617631</v>
      </c>
    </row>
    <row r="63" spans="3:10" x14ac:dyDescent="0.3">
      <c r="C63">
        <v>893.94703223013266</v>
      </c>
      <c r="D63">
        <v>-592.36457229018629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3:10" x14ac:dyDescent="0.3">
      <c r="C64">
        <v>-592.36457229018629</v>
      </c>
      <c r="D64">
        <v>1268.3802723831132</v>
      </c>
      <c r="E64">
        <v>-640.54133051871463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20" x14ac:dyDescent="0.3">
      <c r="C65">
        <v>0</v>
      </c>
      <c r="D65">
        <v>-640.54133051871474</v>
      </c>
      <c r="E65">
        <v>1180.9812629418857</v>
      </c>
      <c r="F65">
        <v>-546.60873803307925</v>
      </c>
      <c r="G65">
        <v>0</v>
      </c>
      <c r="H65">
        <v>0</v>
      </c>
      <c r="I65">
        <v>0</v>
      </c>
      <c r="J65">
        <v>0</v>
      </c>
    </row>
    <row r="66" spans="1:20" x14ac:dyDescent="0.3">
      <c r="C66">
        <v>0</v>
      </c>
      <c r="D66">
        <v>0</v>
      </c>
      <c r="E66">
        <v>-546.60873803307925</v>
      </c>
      <c r="F66">
        <v>1003.7903721356919</v>
      </c>
      <c r="G66">
        <v>-448.75265008292723</v>
      </c>
      <c r="H66">
        <v>0</v>
      </c>
      <c r="I66">
        <v>0</v>
      </c>
      <c r="J66">
        <v>0</v>
      </c>
    </row>
    <row r="67" spans="1:20" x14ac:dyDescent="0.3">
      <c r="C67">
        <v>0</v>
      </c>
      <c r="D67">
        <v>0</v>
      </c>
      <c r="E67">
        <v>0</v>
      </c>
      <c r="F67">
        <v>-448.75265008292723</v>
      </c>
      <c r="G67">
        <v>815.20598362935777</v>
      </c>
      <c r="H67">
        <v>-366.15585636259254</v>
      </c>
      <c r="I67">
        <v>0</v>
      </c>
      <c r="J67">
        <v>0</v>
      </c>
    </row>
    <row r="68" spans="1:20" x14ac:dyDescent="0.3">
      <c r="C68">
        <v>0</v>
      </c>
      <c r="D68">
        <v>0</v>
      </c>
      <c r="E68">
        <v>0</v>
      </c>
      <c r="F68">
        <v>0</v>
      </c>
      <c r="G68">
        <v>-366.1558563625926</v>
      </c>
      <c r="H68">
        <v>642.15613550013768</v>
      </c>
      <c r="I68">
        <v>-277.1190586106095</v>
      </c>
      <c r="J68">
        <v>0</v>
      </c>
    </row>
    <row r="69" spans="1:20" x14ac:dyDescent="0.3">
      <c r="C69">
        <v>0</v>
      </c>
      <c r="D69">
        <v>0</v>
      </c>
      <c r="E69">
        <v>0</v>
      </c>
      <c r="F69">
        <v>0</v>
      </c>
      <c r="G69">
        <v>0</v>
      </c>
      <c r="H69">
        <v>-277.1190586106095</v>
      </c>
      <c r="I69">
        <v>454.77187995084279</v>
      </c>
      <c r="J69">
        <v>-155.55797146389233</v>
      </c>
    </row>
    <row r="70" spans="1:20" x14ac:dyDescent="0.3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-155.55797146389233</v>
      </c>
      <c r="J70">
        <v>138.67409546396198</v>
      </c>
    </row>
    <row r="72" spans="1:20" x14ac:dyDescent="0.3">
      <c r="C72" t="s">
        <v>31</v>
      </c>
      <c r="M72" t="s">
        <v>32</v>
      </c>
    </row>
    <row r="73" spans="1:20" x14ac:dyDescent="0.3">
      <c r="A73">
        <v>1533.2942257397124</v>
      </c>
      <c r="B73">
        <v>-2.7902744964255353E-9</v>
      </c>
      <c r="C73">
        <v>2155.8271099114409</v>
      </c>
      <c r="D73">
        <v>-1.4416326857132824E-10</v>
      </c>
      <c r="E73">
        <v>5.4665257744184392E-15</v>
      </c>
      <c r="F73">
        <v>1.4381280993279171E-24</v>
      </c>
      <c r="G73">
        <v>1.0111222813149038E-16</v>
      </c>
      <c r="H73">
        <v>1.2493772371469836E-16</v>
      </c>
      <c r="I73">
        <v>6.7483668531354099E-10</v>
      </c>
      <c r="J73">
        <v>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3">
      <c r="A74">
        <v>-2.7902007358153373E-9</v>
      </c>
      <c r="B74">
        <v>15.838446752033366</v>
      </c>
      <c r="C74">
        <v>-1.4420838940920703E-10</v>
      </c>
      <c r="D74">
        <v>1533.2942257397124</v>
      </c>
      <c r="E74">
        <v>1.8468163541938594E-13</v>
      </c>
      <c r="F74">
        <v>1.5081660101343964E-10</v>
      </c>
      <c r="G74">
        <v>3.7997332130866505E-17</v>
      </c>
      <c r="H74">
        <v>1.485184903871462E-18</v>
      </c>
      <c r="I74">
        <v>0</v>
      </c>
      <c r="J74">
        <v>-2.7902744964255353E-9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1.8387847178564742E-12</v>
      </c>
    </row>
    <row r="75" spans="1:20" x14ac:dyDescent="0.3">
      <c r="C75">
        <v>-5.7575237343132783E-14</v>
      </c>
      <c r="D75">
        <v>3.710737631095738E-14</v>
      </c>
      <c r="E75">
        <v>1104.742647312127</v>
      </c>
      <c r="F75">
        <v>2.1618682601784511E-13</v>
      </c>
      <c r="G75">
        <v>1.0771844267057883E-18</v>
      </c>
      <c r="H75">
        <v>0</v>
      </c>
      <c r="I75">
        <v>4.2280790629402878E-14</v>
      </c>
      <c r="J75">
        <v>-1.8626620381393278E-10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3">
      <c r="C76">
        <v>-2.5541980674251783E-14</v>
      </c>
      <c r="D76">
        <v>1.5068597336981647E-10</v>
      </c>
      <c r="E76">
        <v>9.0301856714229474E-14</v>
      </c>
      <c r="F76">
        <v>764.6044471548314</v>
      </c>
      <c r="G76">
        <v>-4.4886725745549439E-17</v>
      </c>
      <c r="H76">
        <v>4.5718124485360451E-23</v>
      </c>
      <c r="I76">
        <v>-1.4770517812118214E-10</v>
      </c>
      <c r="J76">
        <v>-1.9955793889644683E-13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</row>
    <row r="77" spans="1:20" x14ac:dyDescent="0.3">
      <c r="A77">
        <v>-1.8387847178564742E-12</v>
      </c>
      <c r="C77">
        <v>1.1200294677974257E-14</v>
      </c>
      <c r="D77">
        <v>-8.1815491070367437E-14</v>
      </c>
      <c r="E77">
        <v>-4.9627128504077384E-14</v>
      </c>
      <c r="F77">
        <v>6.3116936713244482E-14</v>
      </c>
      <c r="G77">
        <v>481.2958243620829</v>
      </c>
      <c r="H77">
        <v>-4.4094241675789455E-13</v>
      </c>
      <c r="I77">
        <v>-3.3786792563330348E-24</v>
      </c>
      <c r="J77">
        <v>-1.0799336815161249E-22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</row>
    <row r="78" spans="1:20" x14ac:dyDescent="0.3">
      <c r="C78">
        <v>8.1454529281789314E-14</v>
      </c>
      <c r="D78">
        <v>-5.9281720951136487E-15</v>
      </c>
      <c r="E78">
        <v>5.8702412764614918E-14</v>
      </c>
      <c r="F78">
        <v>-9.3438838494529494E-16</v>
      </c>
      <c r="G78">
        <v>-4.6758871151471429E-13</v>
      </c>
      <c r="H78">
        <v>248.28547217485749</v>
      </c>
      <c r="I78">
        <v>1.8295612452888146E-11</v>
      </c>
      <c r="J78">
        <v>7.2299582707479698E-21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</row>
    <row r="79" spans="1:20" x14ac:dyDescent="0.3">
      <c r="C79">
        <v>6.7494609148527794E-10</v>
      </c>
      <c r="D79">
        <v>8.6516331023143315E-14</v>
      </c>
      <c r="E79">
        <v>3.3922686048161648E-14</v>
      </c>
      <c r="F79">
        <v>-1.4771216916533376E-10</v>
      </c>
      <c r="G79">
        <v>3.1975343102077994E-14</v>
      </c>
      <c r="H79">
        <v>1.8256121550480749E-11</v>
      </c>
      <c r="I79">
        <v>94.018860828038683</v>
      </c>
      <c r="J79">
        <v>-1.2352973380461766E-15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</row>
    <row r="80" spans="1:20" x14ac:dyDescent="0.3">
      <c r="C80">
        <v>5.2220248384180963E-14</v>
      </c>
      <c r="D80">
        <v>-2.7902007358153373E-9</v>
      </c>
      <c r="E80">
        <v>-1.8630516650913317E-10</v>
      </c>
      <c r="F80">
        <v>-1.7524399138181051E-13</v>
      </c>
      <c r="G80">
        <v>5.5604504365229415E-15</v>
      </c>
      <c r="H80">
        <v>-7.3315383529695433E-15</v>
      </c>
      <c r="I80">
        <v>-1.0737661530217426E-14</v>
      </c>
      <c r="J80">
        <v>15.838446752033366</v>
      </c>
      <c r="M80">
        <v>0</v>
      </c>
      <c r="N80">
        <v>-1.8387847178564742E-12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</row>
    <row r="82" spans="1:20" x14ac:dyDescent="0.3">
      <c r="C82" t="s">
        <v>34</v>
      </c>
      <c r="M82" t="s">
        <v>33</v>
      </c>
    </row>
    <row r="83" spans="1:20" x14ac:dyDescent="0.3">
      <c r="A83">
        <v>1</v>
      </c>
      <c r="B83">
        <v>1.8387847178564742E-12</v>
      </c>
      <c r="C83">
        <v>2155.8271099114409</v>
      </c>
      <c r="D83">
        <v>-1.4416326857132824E-10</v>
      </c>
      <c r="E83">
        <v>5.4665257744184392E-15</v>
      </c>
      <c r="F83">
        <v>1.4381280993279171E-24</v>
      </c>
      <c r="G83">
        <v>1.0111222813149038E-16</v>
      </c>
      <c r="H83">
        <v>1.2493772371469836E-16</v>
      </c>
      <c r="I83">
        <v>6.7483668531354099E-10</v>
      </c>
      <c r="J83">
        <v>-2.6508521512519691E-22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3">
      <c r="A84">
        <v>-1.8387847178564742E-12</v>
      </c>
      <c r="B84">
        <v>1</v>
      </c>
      <c r="C84">
        <v>-1.4420838940920713E-10</v>
      </c>
      <c r="D84">
        <v>1533.2942257397124</v>
      </c>
      <c r="E84">
        <v>1.8468163576196104E-13</v>
      </c>
      <c r="F84">
        <v>1.5081660101343995E-10</v>
      </c>
      <c r="G84">
        <v>3.7997332120642036E-17</v>
      </c>
      <c r="H84">
        <v>1.4851849173525827E-18</v>
      </c>
      <c r="I84">
        <v>1.9744247927279165E-26</v>
      </c>
      <c r="J84">
        <v>0</v>
      </c>
      <c r="M84">
        <v>0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-1.8387847178564742E-12</v>
      </c>
    </row>
    <row r="85" spans="1:20" x14ac:dyDescent="0.3">
      <c r="C85">
        <v>-5.7575237343132783E-14</v>
      </c>
      <c r="D85">
        <v>3.710737665346083E-14</v>
      </c>
      <c r="E85">
        <v>1104.742647312127</v>
      </c>
      <c r="F85">
        <v>2.1618682601784511E-13</v>
      </c>
      <c r="G85">
        <v>1.0771844267057883E-18</v>
      </c>
      <c r="H85">
        <v>0</v>
      </c>
      <c r="I85">
        <v>4.2280790629402878E-14</v>
      </c>
      <c r="J85">
        <v>-1.862662038139327E-10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3">
      <c r="C86">
        <v>-2.5541980674251783E-14</v>
      </c>
      <c r="D86">
        <v>1.5068597336981683E-10</v>
      </c>
      <c r="E86">
        <v>9.0301856714229474E-14</v>
      </c>
      <c r="F86">
        <v>764.6044471548314</v>
      </c>
      <c r="G86">
        <v>-4.4886725745549439E-17</v>
      </c>
      <c r="H86">
        <v>4.5718124485360451E-23</v>
      </c>
      <c r="I86">
        <v>-1.4770517812118214E-10</v>
      </c>
      <c r="J86">
        <v>-1.9955793861936776E-13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</row>
    <row r="87" spans="1:20" x14ac:dyDescent="0.3">
      <c r="A87">
        <v>1</v>
      </c>
      <c r="C87">
        <v>1.1200294677974257E-14</v>
      </c>
      <c r="D87">
        <v>-8.1815491070367437E-14</v>
      </c>
      <c r="E87">
        <v>-4.9627128504077384E-14</v>
      </c>
      <c r="F87">
        <v>6.3116936713244482E-14</v>
      </c>
      <c r="G87">
        <v>481.2958243620829</v>
      </c>
      <c r="H87">
        <v>-4.4094241675789455E-13</v>
      </c>
      <c r="I87">
        <v>-3.3786792563330348E-24</v>
      </c>
      <c r="J87">
        <v>-1.081438092262766E-22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</row>
    <row r="88" spans="1:20" x14ac:dyDescent="0.3">
      <c r="A88">
        <v>7</v>
      </c>
      <c r="C88">
        <v>8.1454529281789314E-14</v>
      </c>
      <c r="D88">
        <v>-5.9281720951136487E-15</v>
      </c>
      <c r="E88">
        <v>5.8702412764614918E-14</v>
      </c>
      <c r="F88">
        <v>-9.3438838494529494E-16</v>
      </c>
      <c r="G88">
        <v>-4.6758871151471429E-13</v>
      </c>
      <c r="H88">
        <v>248.28547217485749</v>
      </c>
      <c r="I88">
        <v>1.8295612452888146E-11</v>
      </c>
      <c r="J88">
        <v>7.2299473701157171E-21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</row>
    <row r="89" spans="1:20" x14ac:dyDescent="0.3">
      <c r="C89">
        <v>6.7494609148527794E-10</v>
      </c>
      <c r="D89">
        <v>8.6516331023145587E-14</v>
      </c>
      <c r="E89">
        <v>3.3922686048161648E-14</v>
      </c>
      <c r="F89">
        <v>-1.4771216916533376E-10</v>
      </c>
      <c r="G89">
        <v>3.1975343102077994E-14</v>
      </c>
      <c r="H89">
        <v>1.8256121550480749E-11</v>
      </c>
      <c r="I89">
        <v>94.018860828038683</v>
      </c>
      <c r="J89">
        <v>-1.2352973378870917E-15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</row>
    <row r="90" spans="1:20" x14ac:dyDescent="0.3">
      <c r="C90">
        <v>5.2220248119012778E-14</v>
      </c>
      <c r="D90">
        <v>7.3760610198174112E-14</v>
      </c>
      <c r="E90">
        <v>-1.8630516650913284E-10</v>
      </c>
      <c r="F90">
        <v>-1.7524399110449124E-13</v>
      </c>
      <c r="G90">
        <v>5.5604504365230117E-15</v>
      </c>
      <c r="H90">
        <v>-7.3315383529695402E-15</v>
      </c>
      <c r="I90">
        <v>-1.0737661530217426E-14</v>
      </c>
      <c r="J90">
        <v>15.838446752033366</v>
      </c>
      <c r="M90">
        <v>0</v>
      </c>
      <c r="N90">
        <v>1.8387847178564742E-12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</row>
    <row r="92" spans="1:20" x14ac:dyDescent="0.3">
      <c r="C92" t="s">
        <v>16</v>
      </c>
      <c r="M92" t="s">
        <v>35</v>
      </c>
    </row>
    <row r="93" spans="1:20" x14ac:dyDescent="0.3">
      <c r="C93">
        <v>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M93">
        <v>0.30060479010280583</v>
      </c>
      <c r="N93">
        <v>0.38244074950915136</v>
      </c>
      <c r="O93">
        <v>0.42471662195645421</v>
      </c>
      <c r="P93">
        <v>0.4472657872409449</v>
      </c>
      <c r="Q93">
        <v>0.41889468817433395</v>
      </c>
      <c r="R93">
        <v>0.35704481043436603</v>
      </c>
      <c r="S93">
        <v>0.25965156300272252</v>
      </c>
      <c r="T93">
        <v>0.11212604189581009</v>
      </c>
    </row>
    <row r="94" spans="1:20" x14ac:dyDescent="0.3">
      <c r="C94">
        <v>0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M94">
        <v>-0.64036104390894977</v>
      </c>
      <c r="N94">
        <v>-0.4127735373117809</v>
      </c>
      <c r="O94">
        <v>-0.15113733290075754</v>
      </c>
      <c r="P94">
        <v>9.7660319073107238E-2</v>
      </c>
      <c r="Q94">
        <v>0.2918091444536457</v>
      </c>
      <c r="R94">
        <v>0.38916930569196251</v>
      </c>
      <c r="S94">
        <v>0.3506330555713435</v>
      </c>
      <c r="T94">
        <v>0.16621324881703811</v>
      </c>
    </row>
    <row r="95" spans="1:20" x14ac:dyDescent="0.3"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M95">
        <v>0.60920152499669034</v>
      </c>
      <c r="N95">
        <v>-0.18296224742324863</v>
      </c>
      <c r="O95">
        <v>-0.43138330215384391</v>
      </c>
      <c r="P95">
        <v>-0.33681745212456093</v>
      </c>
      <c r="Q95">
        <v>-2.8819269773403048E-2</v>
      </c>
      <c r="R95">
        <v>0.28958145224669229</v>
      </c>
      <c r="S95">
        <v>0.4027242751183383</v>
      </c>
      <c r="T95">
        <v>0.22132771846639268</v>
      </c>
    </row>
    <row r="96" spans="1:20" x14ac:dyDescent="0.3"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M96">
        <v>-0.33607194461266116</v>
      </c>
      <c r="N96">
        <v>0.60163414775611457</v>
      </c>
      <c r="O96">
        <v>0.11694222594273816</v>
      </c>
      <c r="P96">
        <v>-0.37101208748467457</v>
      </c>
      <c r="Q96">
        <v>-0.37884546412846953</v>
      </c>
      <c r="R96">
        <v>3.807545558931788E-2</v>
      </c>
      <c r="S96">
        <v>0.38995201997541129</v>
      </c>
      <c r="T96">
        <v>0.27700242442604378</v>
      </c>
    </row>
    <row r="97" spans="3:20" x14ac:dyDescent="0.3"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M97">
        <v>0.12071761566882511</v>
      </c>
      <c r="N97">
        <v>-0.48703631384576573</v>
      </c>
      <c r="O97">
        <v>0.49914423588227935</v>
      </c>
      <c r="P97">
        <v>0.21251460712614156</v>
      </c>
      <c r="Q97">
        <v>-0.40599609771740597</v>
      </c>
      <c r="R97">
        <v>-0.28862572484073895</v>
      </c>
      <c r="S97">
        <v>0.30001968952845681</v>
      </c>
      <c r="T97">
        <v>0.34024403786095098</v>
      </c>
    </row>
    <row r="98" spans="3:20" x14ac:dyDescent="0.3"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M98">
        <v>-3.0105786717036547E-2</v>
      </c>
      <c r="N98">
        <v>0.21780378732624889</v>
      </c>
      <c r="O98">
        <v>-0.53801868010297593</v>
      </c>
      <c r="P98">
        <v>0.48407316183960292</v>
      </c>
      <c r="Q98">
        <v>9.4062907230219442E-2</v>
      </c>
      <c r="R98">
        <v>-0.49354476243992917</v>
      </c>
      <c r="S98">
        <v>0.11300743545829252</v>
      </c>
      <c r="T98">
        <v>0.40331040423227943</v>
      </c>
    </row>
    <row r="99" spans="3:20" x14ac:dyDescent="0.3"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M99">
        <v>4.9393700272525798E-3</v>
      </c>
      <c r="N99">
        <v>-5.6878269535435552E-2</v>
      </c>
      <c r="O99">
        <v>0.2385819283312979</v>
      </c>
      <c r="P99">
        <v>-0.49468777078621473</v>
      </c>
      <c r="Q99">
        <v>0.59104140359157442</v>
      </c>
      <c r="R99">
        <v>-0.32011801700095543</v>
      </c>
      <c r="S99">
        <v>-0.17288734630972993</v>
      </c>
      <c r="T99">
        <v>0.46196062375978603</v>
      </c>
    </row>
    <row r="100" spans="3:20" x14ac:dyDescent="0.3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M100">
        <v>-3.8091229363285638E-4</v>
      </c>
      <c r="N100">
        <v>6.3442854704390617E-3</v>
      </c>
      <c r="O100">
        <v>-3.8416860509588903E-2</v>
      </c>
      <c r="P100">
        <v>0.12294119613073765</v>
      </c>
      <c r="Q100">
        <v>-0.2683460914448178</v>
      </c>
      <c r="R100">
        <v>0.45430420498288848</v>
      </c>
      <c r="S100">
        <v>-0.60225872964268412</v>
      </c>
      <c r="T100">
        <v>0.58502281936738187</v>
      </c>
    </row>
    <row r="102" spans="3:20" x14ac:dyDescent="0.3">
      <c r="C102" t="s">
        <v>36</v>
      </c>
      <c r="M102" t="s">
        <v>17</v>
      </c>
    </row>
    <row r="103" spans="3:20" x14ac:dyDescent="0.3">
      <c r="C103">
        <v>0.30060479010280583</v>
      </c>
      <c r="D103">
        <v>0.38244074950915136</v>
      </c>
      <c r="E103">
        <v>0.42471662195645421</v>
      </c>
      <c r="F103">
        <v>0.4472657872409449</v>
      </c>
      <c r="G103">
        <v>0.41889468817433395</v>
      </c>
      <c r="H103">
        <v>0.35704481043436603</v>
      </c>
      <c r="I103">
        <v>0.25965156300272252</v>
      </c>
      <c r="J103">
        <v>0.11212604189581009</v>
      </c>
      <c r="M103">
        <v>1.0640415021345724E-3</v>
      </c>
      <c r="N103">
        <v>1.3537137230781302E-3</v>
      </c>
      <c r="O103">
        <v>1.5033563246065144E-3</v>
      </c>
      <c r="P103">
        <v>1.5831729093421887E-3</v>
      </c>
      <c r="Q103">
        <v>1.4827486051994594E-3</v>
      </c>
      <c r="R103">
        <v>1.2638205009774075E-3</v>
      </c>
      <c r="S103">
        <v>9.1908062753930033E-4</v>
      </c>
      <c r="T103">
        <v>3.96889091509218E-4</v>
      </c>
    </row>
    <row r="104" spans="3:20" x14ac:dyDescent="0.3">
      <c r="C104">
        <v>-0.64036104390894977</v>
      </c>
      <c r="D104">
        <v>-0.4127735373117809</v>
      </c>
      <c r="E104">
        <v>-0.15113733290075754</v>
      </c>
      <c r="F104">
        <v>9.7660319073107238E-2</v>
      </c>
      <c r="G104">
        <v>0.2918091444536457</v>
      </c>
      <c r="H104">
        <v>0.38916930569196251</v>
      </c>
      <c r="I104">
        <v>0.3506330555713435</v>
      </c>
      <c r="J104">
        <v>0.16621324881703811</v>
      </c>
      <c r="M104">
        <v>-2.4188674465596182E-3</v>
      </c>
      <c r="N104">
        <v>-1.5591899002942681E-3</v>
      </c>
      <c r="O104">
        <v>-5.7089852356082232E-4</v>
      </c>
      <c r="P104">
        <v>3.6889715399388451E-4</v>
      </c>
      <c r="Q104">
        <v>1.1022651156582508E-3</v>
      </c>
      <c r="R104">
        <v>1.4700284686155007E-3</v>
      </c>
      <c r="S104">
        <v>1.3244635848426861E-3</v>
      </c>
      <c r="T104">
        <v>6.2784552648023498E-4</v>
      </c>
    </row>
    <row r="105" spans="3:20" x14ac:dyDescent="0.3">
      <c r="C105">
        <v>0.60920152499669034</v>
      </c>
      <c r="D105">
        <v>-0.18296224742324863</v>
      </c>
      <c r="E105">
        <v>-0.43138330215384391</v>
      </c>
      <c r="F105">
        <v>-0.33681745212456093</v>
      </c>
      <c r="G105">
        <v>-2.8819269773403048E-2</v>
      </c>
      <c r="H105">
        <v>0.28958145224669229</v>
      </c>
      <c r="I105">
        <v>0.4027242751183383</v>
      </c>
      <c r="J105">
        <v>0.22132771846639268</v>
      </c>
      <c r="M105">
        <v>2.3167247984485742E-3</v>
      </c>
      <c r="N105">
        <v>-6.9578482389325372E-4</v>
      </c>
      <c r="O105">
        <v>-1.6405021207750159E-3</v>
      </c>
      <c r="P105">
        <v>-1.2808788420079463E-3</v>
      </c>
      <c r="Q105">
        <v>-1.0959643766089552E-4</v>
      </c>
      <c r="R105">
        <v>1.1012456536354015E-3</v>
      </c>
      <c r="S105">
        <v>1.531515068201691E-3</v>
      </c>
      <c r="T105">
        <v>8.416843900020145E-4</v>
      </c>
    </row>
    <row r="106" spans="3:20" x14ac:dyDescent="0.3">
      <c r="C106">
        <v>-0.33607194461266116</v>
      </c>
      <c r="D106">
        <v>0.60163414775611457</v>
      </c>
      <c r="E106">
        <v>0.11694222594273816</v>
      </c>
      <c r="F106">
        <v>-0.37101208748467457</v>
      </c>
      <c r="G106">
        <v>-0.37884546412846953</v>
      </c>
      <c r="H106">
        <v>3.807545558931788E-2</v>
      </c>
      <c r="I106">
        <v>0.38995201997541129</v>
      </c>
      <c r="J106">
        <v>0.27700242442604378</v>
      </c>
      <c r="M106">
        <v>-1.30307348393433E-3</v>
      </c>
      <c r="N106">
        <v>2.3327549875488368E-3</v>
      </c>
      <c r="O106">
        <v>4.5342765506317271E-4</v>
      </c>
      <c r="P106">
        <v>-1.4385491593998103E-3</v>
      </c>
      <c r="Q106">
        <v>-1.4689220172292977E-3</v>
      </c>
      <c r="R106">
        <v>1.4763242621856782E-4</v>
      </c>
      <c r="S106">
        <v>1.5119861844529736E-3</v>
      </c>
      <c r="T106">
        <v>1.0740394134092866E-3</v>
      </c>
    </row>
    <row r="107" spans="3:20" x14ac:dyDescent="0.3">
      <c r="C107">
        <v>0.12071761566882511</v>
      </c>
      <c r="D107">
        <v>-0.48703631384576573</v>
      </c>
      <c r="E107">
        <v>0.49914423588227935</v>
      </c>
      <c r="F107">
        <v>0.21251460712614156</v>
      </c>
      <c r="G107">
        <v>-0.40599609771740597</v>
      </c>
      <c r="H107">
        <v>-0.28862572484073895</v>
      </c>
      <c r="I107">
        <v>0.30001968952845681</v>
      </c>
      <c r="J107">
        <v>0.34024403786095098</v>
      </c>
      <c r="M107">
        <v>4.7045229723906632E-4</v>
      </c>
      <c r="N107">
        <v>-1.898044054449948E-3</v>
      </c>
      <c r="O107">
        <v>1.9452302062415491E-3</v>
      </c>
      <c r="P107">
        <v>8.2819714890351259E-4</v>
      </c>
      <c r="Q107">
        <v>-1.5822197595853911E-3</v>
      </c>
      <c r="R107">
        <v>-1.124812104193027E-3</v>
      </c>
      <c r="S107">
        <v>1.1692158710525638E-3</v>
      </c>
      <c r="T107">
        <v>1.3259754042252625E-3</v>
      </c>
    </row>
    <row r="108" spans="3:20" x14ac:dyDescent="0.3">
      <c r="C108">
        <v>-3.0105786717036547E-2</v>
      </c>
      <c r="D108">
        <v>0.21780378732624889</v>
      </c>
      <c r="E108">
        <v>-0.53801868010297593</v>
      </c>
      <c r="F108">
        <v>0.48407316183960292</v>
      </c>
      <c r="G108">
        <v>9.4062907230219442E-2</v>
      </c>
      <c r="H108">
        <v>-0.49354476243992917</v>
      </c>
      <c r="I108">
        <v>0.11300743545829252</v>
      </c>
      <c r="J108">
        <v>0.40331040423227943</v>
      </c>
      <c r="M108">
        <v>-1.1796735996192321E-4</v>
      </c>
      <c r="N108">
        <v>8.5344847560638417E-4</v>
      </c>
      <c r="O108">
        <v>-2.1081875022395725E-3</v>
      </c>
      <c r="P108">
        <v>1.8968058688306499E-3</v>
      </c>
      <c r="Q108">
        <v>3.685787367254873E-4</v>
      </c>
      <c r="R108">
        <v>-1.9339196545601544E-3</v>
      </c>
      <c r="S108">
        <v>4.4281150804600033E-4</v>
      </c>
      <c r="T108">
        <v>1.5803428118201103E-3</v>
      </c>
    </row>
    <row r="109" spans="3:20" x14ac:dyDescent="0.3">
      <c r="C109">
        <v>4.9393700272525798E-3</v>
      </c>
      <c r="D109">
        <v>-5.6878269535435552E-2</v>
      </c>
      <c r="E109">
        <v>0.2385819283312979</v>
      </c>
      <c r="F109">
        <v>-0.49468777078621473</v>
      </c>
      <c r="G109">
        <v>0.59104140359157442</v>
      </c>
      <c r="H109">
        <v>-0.32011801700095543</v>
      </c>
      <c r="I109">
        <v>-0.17288734630972993</v>
      </c>
      <c r="J109">
        <v>0.46196062375978603</v>
      </c>
      <c r="M109">
        <v>1.9574940590034759E-5</v>
      </c>
      <c r="N109">
        <v>-2.2541108296748397E-4</v>
      </c>
      <c r="O109">
        <v>9.4551067184144575E-4</v>
      </c>
      <c r="P109">
        <v>-1.9604693858384851E-3</v>
      </c>
      <c r="Q109">
        <v>2.3423230690799595E-3</v>
      </c>
      <c r="R109">
        <v>-1.2686417761819176E-3</v>
      </c>
      <c r="S109">
        <v>-6.8516015485969807E-4</v>
      </c>
      <c r="T109">
        <v>1.8307702632400485E-3</v>
      </c>
    </row>
    <row r="110" spans="3:20" x14ac:dyDescent="0.3">
      <c r="C110">
        <v>-3.8091229363285638E-4</v>
      </c>
      <c r="D110">
        <v>6.3442854704390617E-3</v>
      </c>
      <c r="E110">
        <v>-3.8416860509588903E-2</v>
      </c>
      <c r="F110">
        <v>0.12294119613073765</v>
      </c>
      <c r="G110">
        <v>-0.2683460914448178</v>
      </c>
      <c r="H110">
        <v>0.45430420498288848</v>
      </c>
      <c r="I110">
        <v>-0.60225872964268412</v>
      </c>
      <c r="J110">
        <v>0.58502281936738187</v>
      </c>
      <c r="M110">
        <v>-1.3457269523939934E-6</v>
      </c>
      <c r="N110">
        <v>2.2413757954161803E-5</v>
      </c>
      <c r="O110">
        <v>-1.357231191491659E-4</v>
      </c>
      <c r="P110">
        <v>4.3433956834208873E-4</v>
      </c>
      <c r="Q110">
        <v>-9.4804125218111708E-4</v>
      </c>
      <c r="R110">
        <v>1.6050136040520369E-3</v>
      </c>
      <c r="S110">
        <v>-2.1277228861925554E-3</v>
      </c>
      <c r="T110">
        <v>2.0668300523454149E-3</v>
      </c>
    </row>
    <row r="112" spans="3:20" x14ac:dyDescent="0.3">
      <c r="M112" t="s">
        <v>18</v>
      </c>
    </row>
    <row r="113" spans="13:20" x14ac:dyDescent="0.3"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</row>
    <row r="114" spans="13:20" x14ac:dyDescent="0.3">
      <c r="M114">
        <v>-2.273282989157031</v>
      </c>
      <c r="N114">
        <v>-1.1517870238833936</v>
      </c>
      <c r="O114">
        <v>-0.37974930774329113</v>
      </c>
      <c r="P114">
        <v>0.23301128500686763</v>
      </c>
      <c r="Q114">
        <v>0.74339312260555057</v>
      </c>
      <c r="R114">
        <v>1.1631623853851216</v>
      </c>
      <c r="S114">
        <v>1.4410744228052521</v>
      </c>
      <c r="T114">
        <v>1.58191681230839</v>
      </c>
    </row>
    <row r="115" spans="13:20" x14ac:dyDescent="0.3">
      <c r="M115">
        <v>2.1772880040872424</v>
      </c>
      <c r="N115">
        <v>-0.51398224900250655</v>
      </c>
      <c r="O115">
        <v>-1.0912264071556008</v>
      </c>
      <c r="P115">
        <v>-0.80905808484314823</v>
      </c>
      <c r="Q115">
        <v>-7.3914375826475726E-2</v>
      </c>
      <c r="R115">
        <v>0.87136239108617508</v>
      </c>
      <c r="S115">
        <v>1.6663555103996606</v>
      </c>
      <c r="T115">
        <v>2.1207042672838639</v>
      </c>
    </row>
    <row r="116" spans="13:20" x14ac:dyDescent="0.3">
      <c r="M116">
        <v>-1.2246453557687702</v>
      </c>
      <c r="N116">
        <v>1.7232262241122311</v>
      </c>
      <c r="O116">
        <v>0.30161023547218724</v>
      </c>
      <c r="P116">
        <v>-0.90864942856906905</v>
      </c>
      <c r="Q116">
        <v>-0.99067502884731984</v>
      </c>
      <c r="R116">
        <v>0.11681439421531187</v>
      </c>
      <c r="S116">
        <v>1.6451072290589874</v>
      </c>
      <c r="T116">
        <v>2.7061449568319551</v>
      </c>
    </row>
    <row r="117" spans="13:20" x14ac:dyDescent="0.3">
      <c r="M117">
        <v>0.44213716879961218</v>
      </c>
      <c r="N117">
        <v>-1.4021015094196556</v>
      </c>
      <c r="O117">
        <v>1.2939249161376893</v>
      </c>
      <c r="P117">
        <v>0.5231248867488707</v>
      </c>
      <c r="Q117">
        <v>-1.0670856502829424</v>
      </c>
      <c r="R117">
        <v>-0.89000938291721432</v>
      </c>
      <c r="S117">
        <v>1.2721581067190622</v>
      </c>
      <c r="T117">
        <v>3.3409217652797745</v>
      </c>
    </row>
    <row r="118" spans="13:20" x14ac:dyDescent="0.3">
      <c r="M118">
        <v>-0.11086725444944491</v>
      </c>
      <c r="N118">
        <v>0.63044974802041431</v>
      </c>
      <c r="O118">
        <v>-1.4023205727965826</v>
      </c>
      <c r="P118">
        <v>1.1981040463980503</v>
      </c>
      <c r="Q118">
        <v>0.24857803637987982</v>
      </c>
      <c r="R118">
        <v>-1.5302170308714798</v>
      </c>
      <c r="S118">
        <v>0.48179832625953756</v>
      </c>
      <c r="T118">
        <v>3.9818247606923856</v>
      </c>
    </row>
    <row r="119" spans="13:20" x14ac:dyDescent="0.3">
      <c r="M119">
        <v>1.8396782973939922E-2</v>
      </c>
      <c r="N119">
        <v>-0.16651311065602181</v>
      </c>
      <c r="O119">
        <v>0.62893317862544795</v>
      </c>
      <c r="P119">
        <v>-1.2383166578141258</v>
      </c>
      <c r="Q119">
        <v>1.5797169262990944</v>
      </c>
      <c r="R119">
        <v>-1.0038148417443629</v>
      </c>
      <c r="S119">
        <v>-0.74548427453433652</v>
      </c>
      <c r="T119">
        <v>4.6128006599484168</v>
      </c>
    </row>
    <row r="120" spans="13:20" x14ac:dyDescent="0.3">
      <c r="M120">
        <v>-1.2647316384693005E-3</v>
      </c>
      <c r="N120">
        <v>1.6557236269420742E-2</v>
      </c>
      <c r="O120">
        <v>-9.0280073278495576E-2</v>
      </c>
      <c r="P120">
        <v>0.2743475243791012</v>
      </c>
      <c r="Q120">
        <v>-0.63938097723152909</v>
      </c>
      <c r="R120">
        <v>1.2699695904685508</v>
      </c>
      <c r="S120">
        <v>-2.3150557442269371</v>
      </c>
      <c r="T120">
        <v>5.2075758607676708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">
                <anchor moveWithCells="1" sizeWithCells="1">
                  <from>
                    <xdr:col>0</xdr:col>
                    <xdr:colOff>125730</xdr:colOff>
                    <xdr:row>16</xdr:row>
                    <xdr:rowOff>68580</xdr:rowOff>
                  </from>
                  <to>
                    <xdr:col>0</xdr:col>
                    <xdr:colOff>601980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trix1">
                <anchor moveWithCells="1" sizeWithCells="1">
                  <from>
                    <xdr:col>0</xdr:col>
                    <xdr:colOff>152400</xdr:colOff>
                    <xdr:row>6</xdr:row>
                    <xdr:rowOff>11430</xdr:rowOff>
                  </from>
                  <to>
                    <xdr:col>0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j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jacobi1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ready (2)</vt:lpstr>
      <vt:lpstr>earthquake</vt:lpstr>
      <vt:lpstr>ready</vt:lpstr>
      <vt:lpstr>損傷限界固有周期</vt:lpstr>
      <vt:lpstr>pqGs72D</vt:lpstr>
      <vt:lpstr>必要損傷限界耐力</vt:lpstr>
      <vt:lpstr>安全限界固有周期</vt:lpstr>
      <vt:lpstr>pqGs72S</vt:lpstr>
      <vt:lpstr>必要安全限界耐力</vt:lpstr>
      <vt:lpstr>地盤の固有周期</vt:lpstr>
      <vt:lpstr>GS</vt:lpstr>
      <vt:lpstr>stodora</vt:lpstr>
      <vt:lpstr>jacobi2</vt:lpstr>
      <vt:lpstr>ji_zofuku</vt:lpstr>
      <vt:lpstr>安全限界GS</vt:lpstr>
      <vt:lpstr>teigen</vt:lpstr>
      <vt:lpstr>gensui</vt:lpstr>
      <vt:lpstr>地盤データ</vt:lpstr>
      <vt:lpstr>jacobi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Makoto Matsushita</dc:creator>
  <cp:keywords/>
  <dc:description/>
  <cp:lastModifiedBy>Administrator</cp:lastModifiedBy>
  <cp:revision/>
  <cp:lastPrinted>2021-05-28T08:25:11Z</cp:lastPrinted>
  <dcterms:created xsi:type="dcterms:W3CDTF">2009-09-11T02:32:46Z</dcterms:created>
  <dcterms:modified xsi:type="dcterms:W3CDTF">2022-03-09T02:49:17Z</dcterms:modified>
  <cp:category/>
  <cp:contentStatus/>
</cp:coreProperties>
</file>