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eriod\"/>
    </mc:Choice>
  </mc:AlternateContent>
  <xr:revisionPtr revIDLastSave="0" documentId="13_ncr:1_{E64BABC0-31BE-41EE-92B5-D7CC25F5F9AD}" xr6:coauthVersionLast="47" xr6:coauthVersionMax="47" xr10:uidLastSave="{00000000-0000-0000-0000-000000000000}"/>
  <bookViews>
    <workbookView xWindow="-120" yWindow="-120" windowWidth="20730" windowHeight="11040" firstSheet="4" activeTab="4" xr2:uid="{00000000-000D-0000-FFFF-FFFF00000000}"/>
  </bookViews>
  <sheets>
    <sheet name="ready (2)" sheetId="19" r:id="rId1"/>
    <sheet name="earthquake" sheetId="28" r:id="rId2"/>
    <sheet name="ready" sheetId="7" r:id="rId3"/>
    <sheet name="損傷限界固有周期" sheetId="13" r:id="rId4"/>
    <sheet name="pqGs72D" sheetId="29" r:id="rId5"/>
    <sheet name="必要損傷限界耐力" sheetId="18" r:id="rId6"/>
    <sheet name="安全限界固有周期" sheetId="21" r:id="rId7"/>
    <sheet name="pqGs72S" sheetId="30" r:id="rId8"/>
    <sheet name="必要安全限界耐力" sheetId="20" r:id="rId9"/>
    <sheet name="地盤の固有周期" sheetId="22" r:id="rId10"/>
    <sheet name="GS" sheetId="14" r:id="rId11"/>
    <sheet name="stodora" sheetId="25" r:id="rId12"/>
    <sheet name="jacobi2" sheetId="24" r:id="rId13"/>
    <sheet name="ji_zofuku" sheetId="26" r:id="rId14"/>
    <sheet name="安全限界GS" sheetId="15" r:id="rId15"/>
    <sheet name="teigen" sheetId="16" r:id="rId16"/>
    <sheet name="gensui" sheetId="17" r:id="rId17"/>
    <sheet name="地盤データ" sheetId="27" r:id="rId18"/>
    <sheet name="jacobi" sheetId="10" r:id="rId1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9" i="29" l="1"/>
  <c r="C38" i="29" a="1"/>
  <c r="C38" i="29"/>
  <c r="C25" i="29"/>
  <c r="C17" i="29" a="1"/>
  <c r="C17" i="29"/>
  <c r="H6" i="18" a="1"/>
  <c r="H6" i="18"/>
  <c r="H3" i="18" a="1"/>
  <c r="H3" i="18"/>
  <c r="G2" i="7"/>
  <c r="D22" i="7"/>
  <c r="L16" i="30"/>
  <c r="L15" i="30"/>
  <c r="L14" i="30"/>
  <c r="N10" i="30"/>
  <c r="N19" i="30" s="1"/>
  <c r="N10" i="29"/>
  <c r="N19" i="29" s="1"/>
  <c r="L16" i="29"/>
  <c r="L15" i="29"/>
  <c r="L14" i="29"/>
  <c r="D49" i="30"/>
  <c r="D52" i="30" s="1"/>
  <c r="O19" i="30" s="1"/>
  <c r="C49" i="30"/>
  <c r="C52" i="30" s="1"/>
  <c r="O10" i="30" s="1"/>
  <c r="D51" i="30"/>
  <c r="C51" i="30"/>
  <c r="D51" i="29"/>
  <c r="C51" i="29"/>
  <c r="D49" i="29"/>
  <c r="F5" i="30"/>
  <c r="E5" i="30"/>
  <c r="D5" i="30"/>
  <c r="M13" i="30" s="1"/>
  <c r="C5" i="30"/>
  <c r="L7" i="30" s="1"/>
  <c r="G5" i="30"/>
  <c r="B5" i="30"/>
  <c r="G5" i="29"/>
  <c r="F5" i="29"/>
  <c r="E5" i="29"/>
  <c r="B5" i="29"/>
  <c r="D5" i="29"/>
  <c r="M13" i="29" s="1"/>
  <c r="C5" i="29"/>
  <c r="C26" i="29" a="1"/>
  <c r="D17" i="29" a="1"/>
  <c r="D17" i="30" a="1"/>
  <c r="C26" i="30" a="1"/>
  <c r="M19" i="29" a="1"/>
  <c r="C38" i="30" a="1"/>
  <c r="D26" i="29" a="1"/>
  <c r="M19" i="30" a="1"/>
  <c r="D38" i="30" a="1"/>
  <c r="C17" i="30" a="1"/>
  <c r="D38" i="29" a="1"/>
  <c r="D26" i="30" a="1"/>
  <c r="L5" i="29" l="1"/>
  <c r="L6" i="30"/>
  <c r="M4" i="30"/>
  <c r="L5" i="30"/>
  <c r="M19" i="30"/>
  <c r="P19" i="30" s="1"/>
  <c r="C25" i="30"/>
  <c r="D25" i="30"/>
  <c r="M19" i="29"/>
  <c r="M4" i="29"/>
  <c r="D25" i="29"/>
  <c r="L7" i="29"/>
  <c r="L6" i="29"/>
  <c r="C26" i="30"/>
  <c r="D26" i="30"/>
  <c r="D17" i="30"/>
  <c r="C17" i="30"/>
  <c r="C38" i="30"/>
  <c r="D38" i="30"/>
  <c r="C52" i="29"/>
  <c r="D26" i="29"/>
  <c r="C26" i="29"/>
  <c r="D17" i="29"/>
  <c r="D38" i="29"/>
  <c r="D52" i="29" s="1"/>
  <c r="C23" i="14"/>
  <c r="B23" i="14"/>
  <c r="B25" i="14"/>
  <c r="C25" i="14"/>
  <c r="D25" i="14"/>
  <c r="E25" i="14"/>
  <c r="C24" i="14"/>
  <c r="D24" i="14"/>
  <c r="E24" i="14"/>
  <c r="B24" i="14"/>
  <c r="C4" i="14"/>
  <c r="B4" i="14"/>
  <c r="C6" i="14"/>
  <c r="D6" i="14"/>
  <c r="E6" i="14"/>
  <c r="B6" i="14"/>
  <c r="C5" i="14"/>
  <c r="D5" i="14"/>
  <c r="E5" i="14"/>
  <c r="B5" i="14"/>
  <c r="D12" i="7"/>
  <c r="D13" i="7"/>
  <c r="D14" i="7"/>
  <c r="D15" i="7"/>
  <c r="D16" i="7"/>
  <c r="D17" i="7"/>
  <c r="D18" i="7"/>
  <c r="D19" i="7"/>
  <c r="D20" i="7"/>
  <c r="D21" i="7"/>
  <c r="D11" i="7"/>
  <c r="M10" i="29" a="1"/>
  <c r="M10" i="30" a="1"/>
  <c r="O19" i="29" l="1"/>
  <c r="P19" i="29" s="1"/>
  <c r="O10" i="29"/>
  <c r="M10" i="30"/>
  <c r="P10" i="30" s="1"/>
  <c r="M10" i="29"/>
  <c r="X11" i="7"/>
  <c r="P10" i="29" l="1"/>
  <c r="S35" i="19"/>
  <c r="Q35" i="19"/>
  <c r="V35" i="19" s="1"/>
  <c r="O35" i="19"/>
  <c r="V34" i="19"/>
  <c r="S34" i="19"/>
  <c r="Q34" i="19"/>
  <c r="O34" i="19"/>
  <c r="S33" i="19"/>
  <c r="Q33" i="19"/>
  <c r="V33" i="19" s="1"/>
  <c r="O33" i="19"/>
  <c r="V32" i="19"/>
  <c r="S32" i="19"/>
  <c r="Q32" i="19"/>
  <c r="O32" i="19"/>
  <c r="S31" i="19"/>
  <c r="Q31" i="19"/>
  <c r="V31" i="19" s="1"/>
  <c r="O31" i="19"/>
  <c r="V30" i="19"/>
  <c r="S30" i="19"/>
  <c r="Q30" i="19"/>
  <c r="O30" i="19"/>
  <c r="S29" i="19"/>
  <c r="Q29" i="19"/>
  <c r="V29" i="19" s="1"/>
  <c r="O29" i="19"/>
  <c r="V28" i="19"/>
  <c r="S28" i="19"/>
  <c r="Q28" i="19"/>
  <c r="O28" i="19"/>
  <c r="S27" i="19"/>
  <c r="Q27" i="19"/>
  <c r="V27" i="19" s="1"/>
  <c r="O27" i="19"/>
  <c r="V26" i="19"/>
  <c r="Q26" i="19"/>
  <c r="S26" i="19" s="1"/>
  <c r="T26" i="19" s="1"/>
  <c r="O26" i="19"/>
  <c r="S25" i="19"/>
  <c r="T25" i="19" s="1"/>
  <c r="Q25" i="19"/>
  <c r="V25" i="19" s="1"/>
  <c r="W25" i="19" s="1"/>
  <c r="O25" i="19"/>
  <c r="Z21" i="19"/>
  <c r="X21" i="19"/>
  <c r="Z20" i="19"/>
  <c r="X20" i="19"/>
  <c r="Z19" i="19"/>
  <c r="X19" i="19"/>
  <c r="Z18" i="19"/>
  <c r="X18" i="19"/>
  <c r="Z17" i="19"/>
  <c r="X17" i="19"/>
  <c r="Z16" i="19"/>
  <c r="X16" i="19"/>
  <c r="Z15" i="19"/>
  <c r="X15" i="19"/>
  <c r="Z14" i="19"/>
  <c r="X14" i="19"/>
  <c r="Z13" i="19"/>
  <c r="X13" i="19"/>
  <c r="Z12" i="19"/>
  <c r="X12" i="19"/>
  <c r="Z11" i="19"/>
  <c r="X11" i="19"/>
  <c r="R5" i="19"/>
  <c r="W26" i="19" l="1"/>
  <c r="W27" i="19"/>
  <c r="W28" i="19" s="1"/>
  <c r="W29" i="19" s="1"/>
  <c r="W30" i="19" s="1"/>
  <c r="W31" i="19" s="1"/>
  <c r="W32" i="19" s="1"/>
  <c r="W33" i="19" s="1"/>
  <c r="W34" i="19" s="1"/>
  <c r="W35" i="19" s="1"/>
  <c r="T27" i="19"/>
  <c r="T28" i="19" s="1"/>
  <c r="T29" i="19" s="1"/>
  <c r="T30" i="19" s="1"/>
  <c r="T31" i="19" s="1"/>
  <c r="T32" i="19" s="1"/>
  <c r="T33" i="19" s="1"/>
  <c r="T34" i="19" s="1"/>
  <c r="T35" i="19" s="1"/>
  <c r="A2" i="10"/>
  <c r="Z14" i="7"/>
  <c r="X14" i="7"/>
  <c r="Z13" i="7"/>
  <c r="X13" i="7"/>
  <c r="Z12" i="7"/>
  <c r="X12" i="7"/>
  <c r="Z11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<sst xmlns="http://schemas.openxmlformats.org/spreadsheetml/2006/main" count="689" uniqueCount="361">
  <si>
    <t>階数</t>
    <rPh sb="0" eb="2">
      <t>カイスウ</t>
    </rPh>
    <phoneticPr fontId="2"/>
  </si>
  <si>
    <t>Ｙ方向</t>
    <rPh sb="1" eb="3">
      <t>ホウコウ</t>
    </rPh>
    <phoneticPr fontId="2"/>
  </si>
  <si>
    <t>(m)</t>
    <phoneticPr fontId="2"/>
  </si>
  <si>
    <t>hi</t>
    <phoneticPr fontId="2"/>
  </si>
  <si>
    <t>wi</t>
    <phoneticPr fontId="2"/>
  </si>
  <si>
    <t>mi</t>
    <phoneticPr fontId="2"/>
  </si>
  <si>
    <t>(mm)</t>
    <phoneticPr fontId="2"/>
  </si>
  <si>
    <t>(t)</t>
    <phoneticPr fontId="2"/>
  </si>
  <si>
    <t>用途係数 I =</t>
  </si>
  <si>
    <t>hi</t>
  </si>
  <si>
    <t>wi</t>
  </si>
  <si>
    <t>qi</t>
    <phoneticPr fontId="2"/>
  </si>
  <si>
    <t>基準せん断力係数　Co =</t>
    <rPh sb="0" eb="2">
      <t>キジュン</t>
    </rPh>
    <rPh sb="4" eb="6">
      <t>ダンリョク</t>
    </rPh>
    <rPh sb="6" eb="8">
      <t>ケイスウ</t>
    </rPh>
    <phoneticPr fontId="2"/>
  </si>
  <si>
    <t>地盤種別係数 Tc =</t>
    <phoneticPr fontId="2"/>
  </si>
  <si>
    <t>一次固有周期 T =</t>
    <rPh sb="0" eb="2">
      <t>イチジ</t>
    </rPh>
    <rPh sb="2" eb="4">
      <t>コユウ</t>
    </rPh>
    <rPh sb="4" eb="6">
      <t>シュウキ</t>
    </rPh>
    <phoneticPr fontId="2"/>
  </si>
  <si>
    <t>振動特性係数 Rt =</t>
    <rPh sb="0" eb="2">
      <t>シンドウ</t>
    </rPh>
    <rPh sb="2" eb="4">
      <t>トクセイ</t>
    </rPh>
    <rPh sb="4" eb="6">
      <t>ケイスウ</t>
    </rPh>
    <phoneticPr fontId="2"/>
  </si>
  <si>
    <t>③</t>
  </si>
  <si>
    <t>⑦　固有ベクトル * m^-0.5</t>
  </si>
  <si>
    <t>⑧ 固有ベクトル</t>
  </si>
  <si>
    <t>F</t>
    <phoneticPr fontId="2"/>
  </si>
  <si>
    <t>Wi</t>
    <phoneticPr fontId="2"/>
  </si>
  <si>
    <t>Ki</t>
    <phoneticPr fontId="2"/>
  </si>
  <si>
    <t>δx</t>
    <phoneticPr fontId="2"/>
  </si>
  <si>
    <t>δy</t>
    <phoneticPr fontId="2"/>
  </si>
  <si>
    <t>X方向</t>
    <rPh sb="1" eb="3">
      <t>ホウコウ</t>
    </rPh>
    <phoneticPr fontId="2"/>
  </si>
  <si>
    <t>Y方向</t>
    <rPh sb="1" eb="3">
      <t>ホウコウ</t>
    </rPh>
    <phoneticPr fontId="2"/>
  </si>
  <si>
    <t>ki=qi/δy</t>
    <phoneticPr fontId="2"/>
  </si>
  <si>
    <t>地域係数 Z =</t>
    <phoneticPr fontId="2"/>
  </si>
  <si>
    <t>階数 S =</t>
    <rPh sb="0" eb="1">
      <t>カイ</t>
    </rPh>
    <rPh sb="1" eb="2">
      <t>スウ</t>
    </rPh>
    <phoneticPr fontId="2"/>
  </si>
  <si>
    <t>建物の高さ h =</t>
    <rPh sb="0" eb="2">
      <t>タテモノ</t>
    </rPh>
    <rPh sb="3" eb="4">
      <t>タカ</t>
    </rPh>
    <phoneticPr fontId="2"/>
  </si>
  <si>
    <t>kN</t>
    <phoneticPr fontId="2"/>
  </si>
  <si>
    <t>①</t>
    <phoneticPr fontId="2"/>
  </si>
  <si>
    <t>④</t>
    <phoneticPr fontId="2"/>
  </si>
  <si>
    <t>⑤</t>
    <phoneticPr fontId="2"/>
  </si>
  <si>
    <t>②</t>
    <phoneticPr fontId="2"/>
  </si>
  <si>
    <t>⑥</t>
    <phoneticPr fontId="2"/>
  </si>
  <si>
    <t>befor ⑥</t>
    <phoneticPr fontId="2"/>
  </si>
  <si>
    <t>固有ベクトル</t>
    <phoneticPr fontId="2"/>
  </si>
  <si>
    <t>刺激係数</t>
    <phoneticPr fontId="2"/>
  </si>
  <si>
    <t>刺激係数*固有ベクトル</t>
    <phoneticPr fontId="2"/>
  </si>
  <si>
    <t>ω^2</t>
    <phoneticPr fontId="2"/>
  </si>
  <si>
    <t>ω:固有円振動数</t>
    <phoneticPr fontId="2"/>
  </si>
  <si>
    <t>Ts:固有周期</t>
    <phoneticPr fontId="2"/>
  </si>
  <si>
    <t>Rt</t>
    <phoneticPr fontId="2"/>
  </si>
  <si>
    <t>T</t>
    <phoneticPr fontId="2"/>
  </si>
  <si>
    <t>0.75Rt</t>
    <phoneticPr fontId="2"/>
  </si>
  <si>
    <t>ｍi</t>
    <phoneticPr fontId="2"/>
  </si>
  <si>
    <t>mi*δdi</t>
    <phoneticPr fontId="2"/>
  </si>
  <si>
    <t>mi*δdi^2</t>
    <phoneticPr fontId="2"/>
  </si>
  <si>
    <t>設計用Rt</t>
    <rPh sb="0" eb="2">
      <t>セッケイ</t>
    </rPh>
    <rPh sb="2" eb="3">
      <t>ヨウ</t>
    </rPh>
    <phoneticPr fontId="2"/>
  </si>
  <si>
    <t>L</t>
    <phoneticPr fontId="11"/>
  </si>
  <si>
    <t>損傷限界</t>
    <rPh sb="0" eb="2">
      <t>ソンショウ</t>
    </rPh>
    <rPh sb="2" eb="4">
      <t>ゲンカイ</t>
    </rPh>
    <phoneticPr fontId="11"/>
  </si>
  <si>
    <t>弾性せん断剛性</t>
    <rPh sb="0" eb="2">
      <t>ダンセイ</t>
    </rPh>
    <rPh sb="4" eb="5">
      <t>ダン</t>
    </rPh>
    <rPh sb="5" eb="7">
      <t>ゴウセイ</t>
    </rPh>
    <phoneticPr fontId="11"/>
  </si>
  <si>
    <t>せん断剛性</t>
    <rPh sb="2" eb="3">
      <t>ダン</t>
    </rPh>
    <rPh sb="3" eb="5">
      <t>ゴウセイ</t>
    </rPh>
    <phoneticPr fontId="11"/>
  </si>
  <si>
    <t>せん断ばね剛性</t>
    <rPh sb="2" eb="3">
      <t>ダン</t>
    </rPh>
    <rPh sb="5" eb="7">
      <t>ゴウセイ</t>
    </rPh>
    <phoneticPr fontId="11"/>
  </si>
  <si>
    <t>層番号i</t>
    <rPh sb="0" eb="1">
      <t>ソウ</t>
    </rPh>
    <rPh sb="1" eb="3">
      <t>バンゴウ</t>
    </rPh>
    <phoneticPr fontId="11"/>
  </si>
  <si>
    <t>層厚　Hi</t>
    <rPh sb="0" eb="2">
      <t>ソウアツ</t>
    </rPh>
    <phoneticPr fontId="11"/>
  </si>
  <si>
    <t>湿潤密度pi</t>
    <rPh sb="0" eb="2">
      <t>シツジュン</t>
    </rPh>
    <rPh sb="2" eb="4">
      <t>ミツド</t>
    </rPh>
    <phoneticPr fontId="11"/>
  </si>
  <si>
    <t>P波速度Vp</t>
    <rPh sb="1" eb="2">
      <t>ナミ</t>
    </rPh>
    <rPh sb="2" eb="4">
      <t>ソクド</t>
    </rPh>
    <phoneticPr fontId="11"/>
  </si>
  <si>
    <t>S波速度Vs</t>
    <rPh sb="1" eb="2">
      <t>ナミ</t>
    </rPh>
    <rPh sb="2" eb="4">
      <t>ソクド</t>
    </rPh>
    <phoneticPr fontId="11"/>
  </si>
  <si>
    <t>土質</t>
    <rPh sb="0" eb="2">
      <t>ドシツ</t>
    </rPh>
    <phoneticPr fontId="11"/>
  </si>
  <si>
    <t>G01</t>
    <phoneticPr fontId="11"/>
  </si>
  <si>
    <t>低減係数 R</t>
    <rPh sb="0" eb="2">
      <t>テイゲン</t>
    </rPh>
    <rPh sb="2" eb="4">
      <t>ケイスウ</t>
    </rPh>
    <phoneticPr fontId="11"/>
  </si>
  <si>
    <t>Gi</t>
    <phoneticPr fontId="11"/>
  </si>
  <si>
    <t>Ki</t>
    <phoneticPr fontId="11"/>
  </si>
  <si>
    <t>mi</t>
    <phoneticPr fontId="11"/>
  </si>
  <si>
    <t>pe</t>
    <phoneticPr fontId="11"/>
  </si>
  <si>
    <t>Vse</t>
    <phoneticPr fontId="11"/>
  </si>
  <si>
    <t>α</t>
    <phoneticPr fontId="11"/>
  </si>
  <si>
    <t>h(0.8h)</t>
    <phoneticPr fontId="11"/>
  </si>
  <si>
    <t>Gs1</t>
    <phoneticPr fontId="11"/>
  </si>
  <si>
    <t>Gs2</t>
    <phoneticPr fontId="11"/>
  </si>
  <si>
    <t>Gb</t>
    <phoneticPr fontId="11"/>
  </si>
  <si>
    <t>T1</t>
    <phoneticPr fontId="11"/>
  </si>
  <si>
    <t>T2</t>
    <phoneticPr fontId="11"/>
  </si>
  <si>
    <t>粘性土</t>
    <rPh sb="0" eb="3">
      <t>ネンセイド</t>
    </rPh>
    <phoneticPr fontId="11"/>
  </si>
  <si>
    <t>粘性土</t>
    <rPh sb="0" eb="2">
      <t>ネンセイ</t>
    </rPh>
    <rPh sb="2" eb="3">
      <t>ツチ</t>
    </rPh>
    <phoneticPr fontId="11"/>
  </si>
  <si>
    <t>砂質土</t>
    <rPh sb="0" eb="3">
      <t>サシツド</t>
    </rPh>
    <phoneticPr fontId="11"/>
  </si>
  <si>
    <t>pe</t>
  </si>
  <si>
    <t>Vse</t>
  </si>
  <si>
    <t>α</t>
  </si>
  <si>
    <t>h</t>
  </si>
  <si>
    <t>Gs1</t>
  </si>
  <si>
    <t>Gs2</t>
  </si>
  <si>
    <t>Gb</t>
  </si>
  <si>
    <t>T1</t>
  </si>
  <si>
    <t>T2</t>
  </si>
  <si>
    <t>安全限界</t>
    <rPh sb="0" eb="2">
      <t>アンゼン</t>
    </rPh>
    <rPh sb="2" eb="4">
      <t>ゲンカイ</t>
    </rPh>
    <phoneticPr fontId="11"/>
  </si>
  <si>
    <t xml:space="preserve">     ≦ 0.396</t>
    <phoneticPr fontId="11"/>
  </si>
  <si>
    <t>2.39T</t>
    <phoneticPr fontId="11"/>
  </si>
  <si>
    <t>0.396 &lt; T ≦ 1.189</t>
    <phoneticPr fontId="11"/>
  </si>
  <si>
    <t>1.414T + 0.387</t>
    <phoneticPr fontId="11"/>
  </si>
  <si>
    <t>1.189 &lt; T ≦ 1.784</t>
    <phoneticPr fontId="11"/>
  </si>
  <si>
    <t>1.486 &lt; T    1.189</t>
    <phoneticPr fontId="11"/>
  </si>
  <si>
    <t>2.319T + 0.768</t>
    <phoneticPr fontId="11"/>
  </si>
  <si>
    <t>i</t>
    <phoneticPr fontId="11"/>
  </si>
  <si>
    <t>Ui</t>
    <phoneticPr fontId="11"/>
  </si>
  <si>
    <t>ui</t>
    <phoneticPr fontId="11"/>
  </si>
  <si>
    <t>γi</t>
    <phoneticPr fontId="11"/>
  </si>
  <si>
    <t>低減係数</t>
    <phoneticPr fontId="11"/>
  </si>
  <si>
    <t>hi</t>
    <phoneticPr fontId="11"/>
  </si>
  <si>
    <t>wi</t>
    <phoneticPr fontId="11"/>
  </si>
  <si>
    <t>低減係数</t>
    <rPh sb="0" eb="2">
      <t>テイゲン</t>
    </rPh>
    <rPh sb="2" eb="4">
      <t>ケイスウ</t>
    </rPh>
    <phoneticPr fontId="11"/>
  </si>
  <si>
    <t>せん断ひずみ</t>
    <rPh sb="2" eb="3">
      <t>ダン</t>
    </rPh>
    <phoneticPr fontId="11"/>
  </si>
  <si>
    <t>減衰定数</t>
    <rPh sb="0" eb="2">
      <t>ゲンスイ</t>
    </rPh>
    <rPh sb="2" eb="4">
      <t>テイスウ</t>
    </rPh>
    <phoneticPr fontId="11"/>
  </si>
  <si>
    <t>5以上</t>
    <rPh sb="1" eb="3">
      <t>イジョウ</t>
    </rPh>
    <phoneticPr fontId="2"/>
  </si>
  <si>
    <t>1-0.2/0.16td</t>
    <phoneticPr fontId="2"/>
  </si>
  <si>
    <t>1-0.15/0.16td</t>
    <phoneticPr fontId="2"/>
  </si>
  <si>
    <t>1-0.1/0.16td</t>
    <phoneticPr fontId="2"/>
  </si>
  <si>
    <t>1-0.05/0.16td</t>
    <phoneticPr fontId="2"/>
  </si>
  <si>
    <t>有効質量比</t>
    <rPh sb="0" eb="2">
      <t>ユウコウ</t>
    </rPh>
    <rPh sb="2" eb="4">
      <t>シツリョウ</t>
    </rPh>
    <rPh sb="4" eb="5">
      <t>ヒ</t>
    </rPh>
    <phoneticPr fontId="2"/>
  </si>
  <si>
    <t>0.75未満</t>
    <rPh sb="4" eb="6">
      <t>ミマン</t>
    </rPh>
    <phoneticPr fontId="2"/>
  </si>
  <si>
    <t>0.75以上</t>
    <rPh sb="4" eb="6">
      <t>イジョウ</t>
    </rPh>
    <phoneticPr fontId="2"/>
  </si>
  <si>
    <t>階数=</t>
    <phoneticPr fontId="2"/>
  </si>
  <si>
    <t>地域係数 Z =</t>
  </si>
  <si>
    <t>F</t>
    <phoneticPr fontId="2"/>
  </si>
  <si>
    <t>変位δ</t>
    <rPh sb="0" eb="2">
      <t>ヘンイ</t>
    </rPh>
    <phoneticPr fontId="2"/>
  </si>
  <si>
    <t>δ(i+i-1)</t>
    <phoneticPr fontId="2"/>
  </si>
  <si>
    <t>hi/di</t>
    <phoneticPr fontId="2"/>
  </si>
  <si>
    <t>δd(m)</t>
    <phoneticPr fontId="2"/>
  </si>
  <si>
    <t>X方向</t>
    <rPh sb="1" eb="3">
      <t>ホウコウ</t>
    </rPh>
    <phoneticPr fontId="2"/>
  </si>
  <si>
    <t>Y方向</t>
    <rPh sb="1" eb="3">
      <t>ホウコウ</t>
    </rPh>
    <phoneticPr fontId="2"/>
  </si>
  <si>
    <t>略算</t>
    <rPh sb="0" eb="2">
      <t>リャクサン</t>
    </rPh>
    <phoneticPr fontId="2"/>
  </si>
  <si>
    <t>Z</t>
    <phoneticPr fontId="2"/>
  </si>
  <si>
    <t>p</t>
    <phoneticPr fontId="2"/>
  </si>
  <si>
    <t>q</t>
    <phoneticPr fontId="2"/>
  </si>
  <si>
    <t>mi</t>
    <phoneticPr fontId="2"/>
  </si>
  <si>
    <t>Qun</t>
    <phoneticPr fontId="2"/>
  </si>
  <si>
    <t>α</t>
    <phoneticPr fontId="2"/>
  </si>
  <si>
    <t>bdi</t>
    <phoneticPr fontId="2"/>
  </si>
  <si>
    <t>ki=qi/δx</t>
    <phoneticPr fontId="2"/>
  </si>
  <si>
    <t>qix</t>
    <phoneticPr fontId="2"/>
  </si>
  <si>
    <t>qiy</t>
    <phoneticPr fontId="2"/>
  </si>
  <si>
    <t>Qux</t>
    <phoneticPr fontId="2"/>
  </si>
  <si>
    <t>Quy</t>
    <phoneticPr fontId="2"/>
  </si>
  <si>
    <t>地震力　Qux=</t>
    <rPh sb="0" eb="2">
      <t>ジシン</t>
    </rPh>
    <rPh sb="2" eb="3">
      <t>リョク</t>
    </rPh>
    <phoneticPr fontId="2"/>
  </si>
  <si>
    <t>地震力　Quy=</t>
    <rPh sb="0" eb="2">
      <t>ジシン</t>
    </rPh>
    <rPh sb="2" eb="3">
      <t>リョク</t>
    </rPh>
    <phoneticPr fontId="2"/>
  </si>
  <si>
    <t>S</t>
    <phoneticPr fontId="2"/>
  </si>
  <si>
    <t>造</t>
    <rPh sb="0" eb="1">
      <t>ゾウ</t>
    </rPh>
    <phoneticPr fontId="2"/>
  </si>
  <si>
    <t>X</t>
    <phoneticPr fontId="2"/>
  </si>
  <si>
    <t>ΣM</t>
    <phoneticPr fontId="2"/>
  </si>
  <si>
    <t>ΣM*δx</t>
    <phoneticPr fontId="2"/>
  </si>
  <si>
    <t>ΣM*δx^2</t>
    <phoneticPr fontId="2"/>
  </si>
  <si>
    <t>Δｘ</t>
    <phoneticPr fontId="2"/>
  </si>
  <si>
    <t>Tdx</t>
    <phoneticPr fontId="2"/>
  </si>
  <si>
    <t>Mux</t>
    <phoneticPr fontId="2"/>
  </si>
  <si>
    <t>Y</t>
    <phoneticPr fontId="2"/>
  </si>
  <si>
    <t>ΣM*δy</t>
    <phoneticPr fontId="2"/>
  </si>
  <si>
    <t>ΣM*δy^2</t>
    <phoneticPr fontId="2"/>
  </si>
  <si>
    <t>Muy</t>
    <phoneticPr fontId="2"/>
  </si>
  <si>
    <t>Δy</t>
    <phoneticPr fontId="2"/>
  </si>
  <si>
    <t>Tdy</t>
    <phoneticPr fontId="2"/>
  </si>
  <si>
    <t>Bdi</t>
    <phoneticPr fontId="2"/>
  </si>
  <si>
    <t>Pdi</t>
    <phoneticPr fontId="2"/>
  </si>
  <si>
    <t>損傷限界固有周期：Td</t>
    <rPh sb="0" eb="2">
      <t>ソンショウ</t>
    </rPh>
    <rPh sb="2" eb="4">
      <t>ゲンカイ</t>
    </rPh>
    <rPh sb="4" eb="6">
      <t>コユウ</t>
    </rPh>
    <rPh sb="6" eb="8">
      <t>シュウキ</t>
    </rPh>
    <phoneticPr fontId="2"/>
  </si>
  <si>
    <t>余裕度：Qd/Qdn</t>
    <rPh sb="0" eb="2">
      <t>ヨユウ</t>
    </rPh>
    <rPh sb="2" eb="3">
      <t>ド</t>
    </rPh>
    <phoneticPr fontId="2"/>
  </si>
  <si>
    <t>損傷限界耐力：Qd</t>
    <rPh sb="0" eb="2">
      <t>ソンショウ</t>
    </rPh>
    <rPh sb="2" eb="4">
      <t>ゲンカイ</t>
    </rPh>
    <rPh sb="4" eb="6">
      <t>タイリョク</t>
    </rPh>
    <phoneticPr fontId="2"/>
  </si>
  <si>
    <t>必要損傷限界耐力時の最大層間変形角</t>
    <rPh sb="0" eb="2">
      <t>ヒツヨウ</t>
    </rPh>
    <rPh sb="2" eb="4">
      <t>ソンショウ</t>
    </rPh>
    <rPh sb="4" eb="6">
      <t>ゲンカイ</t>
    </rPh>
    <rPh sb="6" eb="8">
      <t>タイリョク</t>
    </rPh>
    <rPh sb="8" eb="9">
      <t>ジ</t>
    </rPh>
    <rPh sb="10" eb="12">
      <t>サイダイ</t>
    </rPh>
    <rPh sb="12" eb="13">
      <t>ソウ</t>
    </rPh>
    <rPh sb="13" eb="14">
      <t>カン</t>
    </rPh>
    <rPh sb="14" eb="16">
      <t>ヘンケイ</t>
    </rPh>
    <rPh sb="16" eb="17">
      <t>カク</t>
    </rPh>
    <phoneticPr fontId="2"/>
  </si>
  <si>
    <t>Psi</t>
    <phoneticPr fontId="2"/>
  </si>
  <si>
    <t>ラーメン0.25,ブレース0.2</t>
    <phoneticPr fontId="2"/>
  </si>
  <si>
    <t>減衰定数ｈ算定時構造形式r1=</t>
    <rPh sb="0" eb="2">
      <t>ゲンスイ</t>
    </rPh>
    <rPh sb="2" eb="4">
      <t>テイスウ</t>
    </rPh>
    <rPh sb="5" eb="7">
      <t>サンテイ</t>
    </rPh>
    <rPh sb="7" eb="8">
      <t>ジ</t>
    </rPh>
    <rPh sb="8" eb="12">
      <t>コウゾウケイシキ</t>
    </rPh>
    <phoneticPr fontId="2"/>
  </si>
  <si>
    <t>f</t>
    <phoneticPr fontId="11"/>
  </si>
  <si>
    <t>T1</t>
    <phoneticPr fontId="2"/>
  </si>
  <si>
    <t>α</t>
    <phoneticPr fontId="2"/>
  </si>
  <si>
    <t>建物高さH=</t>
    <rPh sb="0" eb="2">
      <t>タテモノ</t>
    </rPh>
    <rPh sb="2" eb="3">
      <t>タカ</t>
    </rPh>
    <phoneticPr fontId="2"/>
  </si>
  <si>
    <t>総質量ΣM=</t>
    <rPh sb="0" eb="1">
      <t>ソウ</t>
    </rPh>
    <rPh sb="1" eb="3">
      <t>シツリョウ</t>
    </rPh>
    <phoneticPr fontId="2"/>
  </si>
  <si>
    <t>安全限界固有周期</t>
    <rPh sb="0" eb="2">
      <t>アンゼン</t>
    </rPh>
    <rPh sb="2" eb="4">
      <t>ゲンカイ</t>
    </rPh>
    <rPh sb="4" eb="8">
      <t>コユウシュウキ</t>
    </rPh>
    <phoneticPr fontId="2"/>
  </si>
  <si>
    <t>損傷限界固有周期</t>
    <rPh sb="0" eb="2">
      <t>ソンショウ</t>
    </rPh>
    <rPh sb="2" eb="4">
      <t>ゲンカイ</t>
    </rPh>
    <rPh sb="4" eb="8">
      <t>コユウシュウキ</t>
    </rPh>
    <phoneticPr fontId="2"/>
  </si>
  <si>
    <t>必要損傷限界耐力：Qdn</t>
    <rPh sb="0" eb="2">
      <t>ヒツヨウ</t>
    </rPh>
    <rPh sb="2" eb="4">
      <t>ソンショウ</t>
    </rPh>
    <rPh sb="4" eb="6">
      <t>ゲンカイ</t>
    </rPh>
    <rPh sb="6" eb="8">
      <t>タイリョク</t>
    </rPh>
    <phoneticPr fontId="2"/>
  </si>
  <si>
    <t>地震力　Qdx=</t>
    <rPh sb="0" eb="2">
      <t>ジシン</t>
    </rPh>
    <rPh sb="2" eb="3">
      <t>リョク</t>
    </rPh>
    <phoneticPr fontId="2"/>
  </si>
  <si>
    <t>地震力　Qdy=</t>
    <rPh sb="0" eb="2">
      <t>ジシン</t>
    </rPh>
    <rPh sb="2" eb="3">
      <t>リョク</t>
    </rPh>
    <phoneticPr fontId="2"/>
  </si>
  <si>
    <t>有効質量:Mud</t>
    <rPh sb="0" eb="2">
      <t>ユウコウ</t>
    </rPh>
    <rPh sb="2" eb="4">
      <t>シツリョウ</t>
    </rPh>
    <phoneticPr fontId="2"/>
  </si>
  <si>
    <t>有効質量比：Mud/Σm</t>
    <rPh sb="0" eb="2">
      <t>ユウコウ</t>
    </rPh>
    <rPh sb="2" eb="4">
      <t>シツリョウ</t>
    </rPh>
    <rPh sb="4" eb="5">
      <t>ヒ</t>
    </rPh>
    <phoneticPr fontId="2"/>
  </si>
  <si>
    <t>地盤種別 =</t>
    <phoneticPr fontId="2"/>
  </si>
  <si>
    <t>Qdn</t>
    <phoneticPr fontId="2"/>
  </si>
  <si>
    <t>Δdx</t>
    <phoneticPr fontId="2"/>
  </si>
  <si>
    <t>Δdy</t>
    <phoneticPr fontId="2"/>
  </si>
  <si>
    <t>Δsx</t>
    <phoneticPr fontId="2"/>
  </si>
  <si>
    <t>Δsy</t>
    <phoneticPr fontId="2"/>
  </si>
  <si>
    <t>必要安全限界耐力：Qdn</t>
    <rPh sb="0" eb="2">
      <t>ヒツヨウ</t>
    </rPh>
    <rPh sb="2" eb="4">
      <t>アンゼン</t>
    </rPh>
    <rPh sb="4" eb="6">
      <t>ゲンカイ</t>
    </rPh>
    <rPh sb="6" eb="8">
      <t>タイリョク</t>
    </rPh>
    <phoneticPr fontId="2"/>
  </si>
  <si>
    <t>余裕度：Qs/Qsn</t>
    <rPh sb="0" eb="2">
      <t>ヨユウ</t>
    </rPh>
    <rPh sb="2" eb="3">
      <t>ド</t>
    </rPh>
    <phoneticPr fontId="2"/>
  </si>
  <si>
    <t>安全限界耐力：Qs</t>
    <rPh sb="0" eb="2">
      <t>アンゼン</t>
    </rPh>
    <rPh sb="2" eb="4">
      <t>ゲンカイ</t>
    </rPh>
    <rPh sb="4" eb="6">
      <t>タイリョク</t>
    </rPh>
    <phoneticPr fontId="2"/>
  </si>
  <si>
    <t>有効質量比：Mus/Σm</t>
    <rPh sb="0" eb="2">
      <t>ユウコウ</t>
    </rPh>
    <rPh sb="2" eb="4">
      <t>シツリョウ</t>
    </rPh>
    <rPh sb="4" eb="5">
      <t>ヒ</t>
    </rPh>
    <phoneticPr fontId="2"/>
  </si>
  <si>
    <t>安全限界固有周期：Ts</t>
    <rPh sb="0" eb="2">
      <t>アンゼン</t>
    </rPh>
    <rPh sb="2" eb="4">
      <t>ゲンカイ</t>
    </rPh>
    <rPh sb="4" eb="6">
      <t>コユウ</t>
    </rPh>
    <rPh sb="6" eb="8">
      <t>シュウキ</t>
    </rPh>
    <phoneticPr fontId="2"/>
  </si>
  <si>
    <t>Mdx</t>
    <phoneticPr fontId="2"/>
  </si>
  <si>
    <t>Mdy</t>
    <phoneticPr fontId="2"/>
  </si>
  <si>
    <t>Mus X</t>
    <phoneticPr fontId="2"/>
  </si>
  <si>
    <t>Mus Y</t>
    <phoneticPr fontId="2"/>
  </si>
  <si>
    <t>T2</t>
    <phoneticPr fontId="2"/>
  </si>
  <si>
    <t>粘性土</t>
    <rPh sb="0" eb="3">
      <t>ネンセイド</t>
    </rPh>
    <phoneticPr fontId="2"/>
  </si>
  <si>
    <t>砂質度</t>
    <rPh sb="0" eb="3">
      <t>サシツド</t>
    </rPh>
    <phoneticPr fontId="2"/>
  </si>
  <si>
    <t>ui</t>
    <phoneticPr fontId="2"/>
  </si>
  <si>
    <t>砂質土</t>
    <rPh sb="0" eb="2">
      <t>サシツ</t>
    </rPh>
    <rPh sb="2" eb="3">
      <t>ツチ</t>
    </rPh>
    <phoneticPr fontId="2"/>
  </si>
  <si>
    <t>pe</t>
    <phoneticPr fontId="2"/>
  </si>
  <si>
    <t>vse</t>
    <phoneticPr fontId="2"/>
  </si>
  <si>
    <t>alf</t>
    <phoneticPr fontId="2"/>
  </si>
  <si>
    <t>h</t>
    <phoneticPr fontId="2"/>
  </si>
  <si>
    <t>Gs1</t>
    <phoneticPr fontId="2"/>
  </si>
  <si>
    <t>Gs2</t>
    <phoneticPr fontId="2"/>
  </si>
  <si>
    <t>Gb</t>
    <phoneticPr fontId="2"/>
  </si>
  <si>
    <t>ri</t>
    <phoneticPr fontId="2"/>
  </si>
  <si>
    <t>低減係数</t>
    <rPh sb="0" eb="2">
      <t>テイゲン</t>
    </rPh>
    <rPh sb="2" eb="4">
      <t>ケイスウ</t>
    </rPh>
    <phoneticPr fontId="2"/>
  </si>
  <si>
    <t>P114</t>
    <phoneticPr fontId="2"/>
  </si>
  <si>
    <t>GS1</t>
    <phoneticPr fontId="2"/>
  </si>
  <si>
    <t>GS2</t>
  </si>
  <si>
    <t xml:space="preserve">     T≦ 0.09</t>
    <phoneticPr fontId="2"/>
  </si>
  <si>
    <t>0.09 &lt; T ≦ 0.27</t>
    <phoneticPr fontId="2"/>
  </si>
  <si>
    <t>0.27 &lt; T ≦ 0.41</t>
    <phoneticPr fontId="2"/>
  </si>
  <si>
    <t xml:space="preserve">0.41 &lt; T        </t>
    <phoneticPr fontId="2"/>
  </si>
  <si>
    <t>21.5T</t>
    <phoneticPr fontId="2"/>
  </si>
  <si>
    <t>4.29T + 1.51</t>
    <phoneticPr fontId="2"/>
  </si>
  <si>
    <t>0.71T + 0.93</t>
    <phoneticPr fontId="2"/>
  </si>
  <si>
    <t>損傷限界</t>
    <rPh sb="0" eb="2">
      <t>ソンショウ</t>
    </rPh>
    <rPh sb="2" eb="4">
      <t>ゲンカイ</t>
    </rPh>
    <phoneticPr fontId="2"/>
  </si>
  <si>
    <t>GsY</t>
    <phoneticPr fontId="2"/>
  </si>
  <si>
    <t>GsX</t>
    <phoneticPr fontId="2"/>
  </si>
  <si>
    <t>安全限界</t>
    <rPh sb="0" eb="4">
      <t>アンゼンゲンカイ</t>
    </rPh>
    <phoneticPr fontId="2"/>
  </si>
  <si>
    <t>Tsx</t>
    <phoneticPr fontId="2"/>
  </si>
  <si>
    <t>Tsy</t>
    <phoneticPr fontId="2"/>
  </si>
  <si>
    <t>ΣWi</t>
    <phoneticPr fontId="2"/>
  </si>
  <si>
    <t>αi</t>
    <phoneticPr fontId="2"/>
  </si>
  <si>
    <t>Ai</t>
    <phoneticPr fontId="2"/>
  </si>
  <si>
    <t>Ci</t>
    <phoneticPr fontId="2"/>
  </si>
  <si>
    <t>地盤種別</t>
    <rPh sb="0" eb="2">
      <t>ジバン</t>
    </rPh>
    <rPh sb="2" eb="4">
      <t>シュベツ</t>
    </rPh>
    <phoneticPr fontId="2"/>
  </si>
  <si>
    <t>0.75*Mud/Σmi</t>
    <phoneticPr fontId="2"/>
  </si>
  <si>
    <t>Td &lt;= 0.16以下</t>
    <rPh sb="10" eb="12">
      <t>イカ</t>
    </rPh>
    <phoneticPr fontId="2"/>
  </si>
  <si>
    <t>Td &lt; 0.16を超える</t>
    <rPh sb="10" eb="11">
      <t>コ</t>
    </rPh>
    <phoneticPr fontId="2"/>
  </si>
  <si>
    <t>pの算定</t>
    <rPh sb="2" eb="4">
      <t>サンテイ</t>
    </rPh>
    <phoneticPr fontId="2"/>
  </si>
  <si>
    <t>qの算定</t>
    <rPh sb="2" eb="4">
      <t>サンテイ</t>
    </rPh>
    <phoneticPr fontId="2"/>
  </si>
  <si>
    <t>ΣM =</t>
    <phoneticPr fontId="2"/>
  </si>
  <si>
    <t>Mud X=</t>
    <phoneticPr fontId="2"/>
  </si>
  <si>
    <t>Mud Y=</t>
    <phoneticPr fontId="2"/>
  </si>
  <si>
    <t>Mu/ΣM</t>
    <phoneticPr fontId="2"/>
  </si>
  <si>
    <t>Gsの算定</t>
    <rPh sb="3" eb="5">
      <t>サンテイ</t>
    </rPh>
    <phoneticPr fontId="2"/>
  </si>
  <si>
    <t>平１２建告第１４５７号第７第二号</t>
    <rPh sb="0" eb="1">
      <t>ヘイ</t>
    </rPh>
    <rPh sb="3" eb="4">
      <t>ケン</t>
    </rPh>
    <rPh sb="4" eb="5">
      <t>コク</t>
    </rPh>
    <rPh sb="5" eb="6">
      <t>ダイ</t>
    </rPh>
    <rPh sb="10" eb="11">
      <t>ゴウ</t>
    </rPh>
    <rPh sb="11" eb="12">
      <t>ダイ</t>
    </rPh>
    <rPh sb="13" eb="14">
      <t>ダイ</t>
    </rPh>
    <rPh sb="14" eb="16">
      <t>ニゴウ</t>
    </rPh>
    <phoneticPr fontId="2"/>
  </si>
  <si>
    <t>T&lt;0.64</t>
    <phoneticPr fontId="2"/>
  </si>
  <si>
    <t>0.64&lt;=T&lt;Tu</t>
    <phoneticPr fontId="2"/>
  </si>
  <si>
    <t>Tu&lt;T</t>
    <phoneticPr fontId="2"/>
  </si>
  <si>
    <t>Tu=0.64*(gv/1.5)</t>
    <phoneticPr fontId="2"/>
  </si>
  <si>
    <t>第2種地盤</t>
    <rPh sb="0" eb="1">
      <t>ダイ</t>
    </rPh>
    <rPh sb="2" eb="3">
      <t>シュ</t>
    </rPh>
    <rPh sb="3" eb="5">
      <t>ジバン</t>
    </rPh>
    <phoneticPr fontId="2"/>
  </si>
  <si>
    <t>第3種地盤</t>
    <rPh sb="0" eb="1">
      <t>ダイ</t>
    </rPh>
    <rPh sb="2" eb="3">
      <t>シュ</t>
    </rPh>
    <rPh sb="3" eb="5">
      <t>ジバン</t>
    </rPh>
    <phoneticPr fontId="2"/>
  </si>
  <si>
    <t>gv=2.025</t>
    <phoneticPr fontId="2"/>
  </si>
  <si>
    <t>gv=2.7</t>
    <phoneticPr fontId="2"/>
  </si>
  <si>
    <t>第1種地盤</t>
    <rPh sb="0" eb="1">
      <t>ダイ</t>
    </rPh>
    <rPh sb="2" eb="3">
      <t>シュ</t>
    </rPh>
    <rPh sb="3" eb="5">
      <t>ジバン</t>
    </rPh>
    <phoneticPr fontId="2"/>
  </si>
  <si>
    <t>T&lt;0.576</t>
    <phoneticPr fontId="2"/>
  </si>
  <si>
    <t>0.576&lt;=T&lt;0.64</t>
    <phoneticPr fontId="2"/>
  </si>
  <si>
    <t>0.64&lt;=T</t>
    <phoneticPr fontId="2"/>
  </si>
  <si>
    <t>Gs=0.864/T</t>
    <phoneticPr fontId="2"/>
  </si>
  <si>
    <t>Gs=1.5</t>
    <phoneticPr fontId="2"/>
  </si>
  <si>
    <t>Gs=1.35</t>
    <phoneticPr fontId="2"/>
  </si>
  <si>
    <t>Gs=1.5*(T/0.64)</t>
    <phoneticPr fontId="2"/>
  </si>
  <si>
    <t>Gs=gv</t>
    <phoneticPr fontId="2"/>
  </si>
  <si>
    <t>平１２建告第１４５７号第７第一号</t>
    <rPh sb="0" eb="1">
      <t>ヘイ</t>
    </rPh>
    <rPh sb="3" eb="4">
      <t>ケン</t>
    </rPh>
    <rPh sb="4" eb="5">
      <t>コク</t>
    </rPh>
    <rPh sb="5" eb="6">
      <t>ダイ</t>
    </rPh>
    <rPh sb="10" eb="11">
      <t>ゴウ</t>
    </rPh>
    <rPh sb="11" eb="12">
      <t>ダイ</t>
    </rPh>
    <rPh sb="13" eb="14">
      <t>ダイ</t>
    </rPh>
    <rPh sb="15" eb="16">
      <t>ゴウ</t>
    </rPh>
    <phoneticPr fontId="2"/>
  </si>
  <si>
    <t>安全限界</t>
    <rPh sb="0" eb="2">
      <t>アンゼン</t>
    </rPh>
    <rPh sb="2" eb="4">
      <t>ゲンカイ</t>
    </rPh>
    <phoneticPr fontId="2"/>
  </si>
  <si>
    <t>Musx</t>
    <phoneticPr fontId="2"/>
  </si>
  <si>
    <t>Musy</t>
    <phoneticPr fontId="2"/>
  </si>
  <si>
    <t>Mudx</t>
    <phoneticPr fontId="2"/>
  </si>
  <si>
    <t>Mudy</t>
    <phoneticPr fontId="2"/>
  </si>
  <si>
    <t>採用</t>
    <rPh sb="0" eb="2">
      <t>サイヨウ</t>
    </rPh>
    <phoneticPr fontId="2"/>
  </si>
  <si>
    <t>Gs</t>
    <phoneticPr fontId="2"/>
  </si>
  <si>
    <t>pdiの算定</t>
    <rPh sb="4" eb="6">
      <t>サンテイ</t>
    </rPh>
    <phoneticPr fontId="2"/>
  </si>
  <si>
    <t>(0.64+6*Td)*m*Bdi*Z*Gs</t>
    <phoneticPr fontId="2"/>
  </si>
  <si>
    <t>1.6*mi*Bdi*Z*Gs</t>
    <phoneticPr fontId="2"/>
  </si>
  <si>
    <t>1.024*mi*Bdi*Z*Gs</t>
    <phoneticPr fontId="2"/>
  </si>
  <si>
    <t>Td&lt;=0.16</t>
    <phoneticPr fontId="2"/>
  </si>
  <si>
    <t>&lt;Td</t>
    <phoneticPr fontId="2"/>
  </si>
  <si>
    <t>Td&lt;=0.64</t>
    <phoneticPr fontId="2"/>
  </si>
  <si>
    <t>Tdx=</t>
    <phoneticPr fontId="2"/>
  </si>
  <si>
    <t>1.024*mi*Bdi*Z*Gs/Td</t>
    <phoneticPr fontId="2"/>
  </si>
  <si>
    <t>alf*Z*Gs</t>
    <phoneticPr fontId="2"/>
  </si>
  <si>
    <t>Tdy=</t>
    <phoneticPr fontId="2"/>
  </si>
  <si>
    <t>0.68T + 0.93</t>
    <phoneticPr fontId="2"/>
  </si>
  <si>
    <t xml:space="preserve">     T≦ 0.12</t>
    <phoneticPr fontId="2"/>
  </si>
  <si>
    <t>0.12 &lt; T ≦ 0.37</t>
    <phoneticPr fontId="2"/>
  </si>
  <si>
    <t>0.37 &lt; T ≦ 0.55</t>
    <phoneticPr fontId="2"/>
  </si>
  <si>
    <t xml:space="preserve">0.55 &lt; T        </t>
    <phoneticPr fontId="2"/>
  </si>
  <si>
    <t>8.6T</t>
    <phoneticPr fontId="2"/>
  </si>
  <si>
    <t>4.59T + 0.49</t>
    <phoneticPr fontId="2"/>
  </si>
  <si>
    <t>ω^2</t>
    <phoneticPr fontId="2"/>
  </si>
  <si>
    <t>ω:固有円振動数</t>
    <phoneticPr fontId="2"/>
  </si>
  <si>
    <t>Ts:固有周期</t>
    <phoneticPr fontId="2"/>
  </si>
  <si>
    <t>刺激係数</t>
    <phoneticPr fontId="2"/>
  </si>
  <si>
    <t>固有ベクトル</t>
    <phoneticPr fontId="2"/>
  </si>
  <si>
    <t>刺激係数*固有ベクトル</t>
    <phoneticPr fontId="2"/>
  </si>
  <si>
    <t>i</t>
  </si>
  <si>
    <t>G0</t>
  </si>
  <si>
    <t>低減係数</t>
  </si>
  <si>
    <t>Gi</t>
  </si>
  <si>
    <t>Ki</t>
  </si>
  <si>
    <t>mi</t>
  </si>
  <si>
    <t>ui</t>
  </si>
  <si>
    <t>G0</t>
    <phoneticPr fontId="2"/>
  </si>
  <si>
    <t>砂質土</t>
    <rPh sb="0" eb="3">
      <t>サシツド</t>
    </rPh>
    <phoneticPr fontId="2"/>
  </si>
  <si>
    <t>Ui</t>
    <phoneticPr fontId="2"/>
  </si>
  <si>
    <t>1/338</t>
  </si>
  <si>
    <t>1/422</t>
  </si>
  <si>
    <t>1/380</t>
  </si>
  <si>
    <t>1/345</t>
  </si>
  <si>
    <t>1/475</t>
  </si>
  <si>
    <t>1/591</t>
  </si>
  <si>
    <t>1/390</t>
  </si>
  <si>
    <t>1/317</t>
  </si>
  <si>
    <t>1/394</t>
  </si>
  <si>
    <t>有効質量　Mud=(Σmi*δdi)^2/(Σ(mi*δdi^2)=74537.2/19.48=3826.5t</t>
  </si>
  <si>
    <t>代表変位　Δd=(Σmi*δdi^2)/(Σmi*δdi)=19.48/273.02=0.071m</t>
  </si>
  <si>
    <t>Td=2π(Mud・Δd/Qd)^0.5=1.236sec</t>
  </si>
  <si>
    <t>有効質量　Mud=(Σmi*δdi)^2/(Σ(mi*δdi^2)=100645.6/25.15=3826.5t</t>
  </si>
  <si>
    <t>代表変位　Δd=(Σmi*δdi^2)/(Σmi*δdi)=25.15/317.25=0.079m</t>
  </si>
  <si>
    <t>Td=2π(Mud・Δd/Qd)^0.5=1.394sec</t>
  </si>
  <si>
    <t>階数</t>
  </si>
  <si>
    <t>変位δ</t>
  </si>
  <si>
    <t>δ(i+i-1)</t>
  </si>
  <si>
    <t>hi/di</t>
  </si>
  <si>
    <t>ｍi</t>
  </si>
  <si>
    <t>mi*δdi</t>
  </si>
  <si>
    <t>mi*δdi^2</t>
  </si>
  <si>
    <t>(mm)</t>
  </si>
  <si>
    <t>δd(m)</t>
  </si>
  <si>
    <t>(m)</t>
  </si>
  <si>
    <t>(t)</t>
  </si>
  <si>
    <t>F</t>
  </si>
  <si>
    <t>p</t>
  </si>
  <si>
    <t>q</t>
  </si>
  <si>
    <t>bdi</t>
  </si>
  <si>
    <t>Bdi</t>
  </si>
  <si>
    <t>Pdi</t>
  </si>
  <si>
    <t>Qdn</t>
  </si>
  <si>
    <t>1/82</t>
  </si>
  <si>
    <t>1/106</t>
  </si>
  <si>
    <t>1/76</t>
  </si>
  <si>
    <t>1/61</t>
  </si>
  <si>
    <t>1/60</t>
  </si>
  <si>
    <t>1/66</t>
  </si>
  <si>
    <t>1/64</t>
  </si>
  <si>
    <t>1/68</t>
  </si>
  <si>
    <t>1/81</t>
  </si>
  <si>
    <t>1/88</t>
  </si>
  <si>
    <t>1/115</t>
  </si>
  <si>
    <t>1/133</t>
  </si>
  <si>
    <t>1/58</t>
  </si>
  <si>
    <t>1/50</t>
  </si>
  <si>
    <t>1/54</t>
  </si>
  <si>
    <t>1/59</t>
  </si>
  <si>
    <t>1/91</t>
  </si>
  <si>
    <t>有効質量　Mud=(Σmi*δdi)^2/(Σ(mi*δdi^2)=2320568.0/603.51=3845.1t</t>
  </si>
  <si>
    <t>代表変位　Δd=(Σmi*δdi^2)/(Σmi*δdi)=603.51/1523.34=0.396m</t>
  </si>
  <si>
    <t>Td=2π(Mud・Δd/Qd)^0.5=1.580sec</t>
  </si>
  <si>
    <t>有効質量　Mud=(Σmi*δdi)^2/(Σ(mi*δdi^2)=3383557.3/863.79=3845.1t</t>
  </si>
  <si>
    <t>代表変位　Δd=(Σmi*δdi^2)/(Σmi*δdi)=863.79/1839.45=0.470m</t>
  </si>
  <si>
    <t>Td=2π(Mud・Δd/Qd)^0.5=2.035sec</t>
  </si>
  <si>
    <t>bsi</t>
    <phoneticPr fontId="2"/>
  </si>
  <si>
    <t>Bsi</t>
    <phoneticPr fontId="2"/>
  </si>
  <si>
    <t>λ=</t>
    <phoneticPr fontId="2"/>
  </si>
  <si>
    <t>X:</t>
    <phoneticPr fontId="2"/>
  </si>
  <si>
    <t>Y:</t>
    <phoneticPr fontId="2"/>
  </si>
  <si>
    <t xml:space="preserve">     T≦ 0.09</t>
    <phoneticPr fontId="2"/>
  </si>
  <si>
    <t>0.09 &lt; T ≦ 0.28</t>
    <phoneticPr fontId="2"/>
  </si>
  <si>
    <t>0.28 &lt; T ≦ 0.41</t>
    <phoneticPr fontId="2"/>
  </si>
  <si>
    <t xml:space="preserve">0.41 &lt; T        </t>
    <phoneticPr fontId="2"/>
  </si>
  <si>
    <t>18.7T</t>
    <phoneticPr fontId="2"/>
  </si>
  <si>
    <t>4.69T + 1.29</t>
    <phoneticPr fontId="2"/>
  </si>
  <si>
    <t>0.68T + 0.93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</si>
</sst>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.000_ "/>
    <numFmt numFmtId="177" formatCode="0.0_ "/>
    <numFmt numFmtId="178" formatCode="0.0000_ "/>
    <numFmt numFmtId="179" formatCode="0.000"/>
    <numFmt numFmtId="180" formatCode="&quot;1/&quot;#"/>
    <numFmt numFmtId="181" formatCode="0.0000"/>
    <numFmt numFmtId="182" formatCode="0.00000"/>
    <numFmt numFmtId="183" formatCode="0.000000000000000000_ "/>
    <numFmt numFmtId="184" formatCode="#,###"/>
    <numFmt numFmtId="185" formatCode="0.000000_);[Red]\(0.000000\)"/>
    <numFmt numFmtId="186" formatCode="0.00000_ "/>
    <numFmt numFmtId="187" formatCode="0.000000_ "/>
    <numFmt numFmtId="188" formatCode="#,##0_ "/>
    <numFmt numFmtId="189" formatCode="0.0000000_ "/>
    <numFmt numFmtId="190" formatCode="0.0000000"/>
    <numFmt numFmtId="191" formatCode="#,##0.00000;[Red]\-#,##0.00000"/>
  </numFmts>
  <fonts count="18" x14ac:knownFonts="1">
    <font>
      <sz val="10"/>
      <name val="ＭＳ ゴシック"/>
      <family val="3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0"/>
      <color theme="8"/>
      <name val="ＭＳ ゴシック"/>
      <family val="3"/>
      <charset val="128"/>
    </font>
    <font>
      <sz val="10"/>
      <color rgb="FF000000"/>
      <name val="ＭＳ ゴシック"/>
      <family val="3"/>
      <charset val="128"/>
    </font>
    <font>
      <sz val="10"/>
      <color rgb="FF00B0F0"/>
      <name val="ＭＳ ゴシック"/>
      <family val="3"/>
      <charset val="128"/>
    </font>
    <font>
      <sz val="10"/>
      <color theme="8" tint="-0.249977111117893"/>
      <name val="ＭＳ ゴシック"/>
      <family val="3"/>
      <charset val="128"/>
    </font>
    <font>
      <sz val="10"/>
      <name val="Meiryo UI"/>
      <family val="3"/>
      <charset val="128"/>
    </font>
    <font>
      <sz val="10"/>
      <color rgb="FF0070C0"/>
      <name val="Meiryo UI"/>
      <family val="3"/>
      <charset val="128"/>
    </font>
    <font>
      <sz val="10"/>
      <color theme="8" tint="-0.249977111117893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游ゴシック"/>
      <family val="3"/>
      <charset val="128"/>
    </font>
    <font>
      <sz val="11"/>
      <color theme="1"/>
      <name val="Meiryo UI"/>
      <family val="3"/>
      <charset val="128"/>
    </font>
    <font>
      <sz val="10"/>
      <color rgb="FF00B0F0"/>
      <name val="Meiryo UI"/>
      <family val="3"/>
      <charset val="128"/>
    </font>
    <font>
      <sz val="10"/>
      <color theme="8"/>
      <name val="Meiryo UI"/>
      <family val="3"/>
      <charset val="128"/>
    </font>
    <font>
      <sz val="10"/>
      <color theme="4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0">
      <alignment vertical="center"/>
    </xf>
  </cellStyleXfs>
  <cellXfs count="94">
    <xf numFmtId="0" fontId="0" fillId="0" borderId="0" xfId="0">
      <alignment vertical="center"/>
    </xf>
    <xf numFmtId="0" fontId="1" fillId="0" borderId="0" xfId="2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179" fontId="6" fillId="0" borderId="0" xfId="0" applyNumberFormat="1" applyFont="1">
      <alignment vertical="center"/>
    </xf>
    <xf numFmtId="0" fontId="7" fillId="0" borderId="0" xfId="0" applyFont="1">
      <alignment vertical="center"/>
    </xf>
    <xf numFmtId="0" fontId="8" fillId="0" borderId="0" xfId="0" applyFont="1" applyFill="1" applyAlignment="1">
      <alignment horizontal="center" vertical="center"/>
    </xf>
    <xf numFmtId="176" fontId="8" fillId="0" borderId="0" xfId="0" applyNumberFormat="1" applyFont="1" applyFill="1" applyBorder="1" applyAlignment="1">
      <alignment horizontal="right" vertical="center"/>
    </xf>
    <xf numFmtId="177" fontId="9" fillId="0" borderId="0" xfId="0" applyNumberFormat="1" applyFont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0" fontId="8" fillId="0" borderId="0" xfId="0" applyFont="1" applyAlignment="1">
      <alignment horizontal="right" vertical="center"/>
    </xf>
    <xf numFmtId="179" fontId="7" fillId="0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2" fontId="7" fillId="0" borderId="0" xfId="0" applyNumberFormat="1" applyFont="1">
      <alignment vertical="center"/>
    </xf>
    <xf numFmtId="179" fontId="9" fillId="0" borderId="0" xfId="0" applyNumberFormat="1" applyFont="1" applyFill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9" fontId="9" fillId="0" borderId="0" xfId="0" applyNumberFormat="1" applyFont="1" applyAlignment="1">
      <alignment horizontal="center" vertical="center"/>
    </xf>
    <xf numFmtId="180" fontId="9" fillId="0" borderId="0" xfId="0" applyNumberFormat="1" applyFont="1">
      <alignment vertical="center"/>
    </xf>
    <xf numFmtId="2" fontId="9" fillId="0" borderId="0" xfId="0" applyNumberFormat="1" applyFont="1">
      <alignment vertical="center"/>
    </xf>
    <xf numFmtId="0" fontId="9" fillId="0" borderId="0" xfId="0" applyFont="1" applyFill="1" applyAlignment="1">
      <alignment horizontal="center" vertical="center"/>
    </xf>
    <xf numFmtId="0" fontId="6" fillId="0" borderId="0" xfId="2" applyFont="1" applyFill="1">
      <alignment vertical="center"/>
    </xf>
    <xf numFmtId="0" fontId="10" fillId="0" borderId="0" xfId="3">
      <alignment vertical="center"/>
    </xf>
    <xf numFmtId="0" fontId="10" fillId="0" borderId="0" xfId="3" applyAlignment="1">
      <alignment horizontal="right" vertical="center"/>
    </xf>
    <xf numFmtId="0" fontId="10" fillId="0" borderId="0" xfId="3" applyAlignment="1">
      <alignment horizontal="left" vertical="center"/>
    </xf>
    <xf numFmtId="182" fontId="10" fillId="0" borderId="0" xfId="3" applyNumberFormat="1">
      <alignment vertical="center"/>
    </xf>
    <xf numFmtId="179" fontId="10" fillId="0" borderId="0" xfId="3" applyNumberFormat="1">
      <alignment vertical="center"/>
    </xf>
    <xf numFmtId="183" fontId="10" fillId="0" borderId="0" xfId="3" applyNumberFormat="1">
      <alignment vertical="center"/>
    </xf>
    <xf numFmtId="176" fontId="10" fillId="0" borderId="0" xfId="3" applyNumberFormat="1">
      <alignment vertical="center"/>
    </xf>
    <xf numFmtId="0" fontId="0" fillId="0" borderId="0" xfId="0" applyNumberForma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184" fontId="7" fillId="0" borderId="0" xfId="0" applyNumberFormat="1" applyFont="1">
      <alignment vertical="center"/>
    </xf>
    <xf numFmtId="0" fontId="12" fillId="0" borderId="0" xfId="3" applyFont="1">
      <alignment vertical="center"/>
    </xf>
    <xf numFmtId="0" fontId="7" fillId="0" borderId="0" xfId="0" applyNumberFormat="1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9" fillId="0" borderId="0" xfId="2" applyFont="1" applyFill="1">
      <alignment vertical="center"/>
    </xf>
    <xf numFmtId="0" fontId="15" fillId="0" borderId="0" xfId="0" applyFont="1" applyAlignment="1">
      <alignment horizontal="right" vertical="center"/>
    </xf>
    <xf numFmtId="0" fontId="15" fillId="0" borderId="0" xfId="0" applyFont="1" applyFill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3" fillId="0" borderId="0" xfId="0" applyFont="1" applyAlignment="1">
      <alignment horizontal="right" vertical="center"/>
    </xf>
    <xf numFmtId="38" fontId="7" fillId="0" borderId="0" xfId="1" applyFont="1">
      <alignment vertical="center"/>
    </xf>
    <xf numFmtId="1" fontId="7" fillId="0" borderId="0" xfId="0" applyNumberFormat="1" applyFont="1">
      <alignment vertical="center"/>
    </xf>
    <xf numFmtId="5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10" fillId="0" borderId="0" xfId="3" applyFill="1">
      <alignment vertical="center"/>
    </xf>
    <xf numFmtId="0" fontId="10" fillId="0" borderId="0" xfId="3" applyAlignment="1">
      <alignment horizontal="center" vertical="center"/>
    </xf>
    <xf numFmtId="185" fontId="0" fillId="0" borderId="0" xfId="0" applyNumberFormat="1">
      <alignment vertical="center"/>
    </xf>
    <xf numFmtId="0" fontId="8" fillId="0" borderId="0" xfId="0" applyFont="1" applyFill="1" applyAlignment="1">
      <alignment horizontal="left" vertical="center"/>
    </xf>
    <xf numFmtId="188" fontId="7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16" fillId="0" borderId="0" xfId="3" applyFont="1">
      <alignment vertical="center"/>
    </xf>
    <xf numFmtId="189" fontId="0" fillId="0" borderId="0" xfId="0" applyNumberFormat="1">
      <alignment vertical="center"/>
    </xf>
    <xf numFmtId="190" fontId="0" fillId="0" borderId="0" xfId="0" applyNumberFormat="1">
      <alignment vertical="center"/>
    </xf>
    <xf numFmtId="182" fontId="7" fillId="0" borderId="0" xfId="0" applyNumberFormat="1" applyFont="1">
      <alignment vertical="center"/>
    </xf>
    <xf numFmtId="182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81" fontId="7" fillId="0" borderId="0" xfId="0" applyNumberFormat="1" applyFont="1" applyAlignment="1">
      <alignment horizontal="center" vertical="center"/>
    </xf>
    <xf numFmtId="186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87" fontId="7" fillId="0" borderId="0" xfId="0" applyNumberFormat="1" applyFont="1">
      <alignment vertical="center"/>
    </xf>
    <xf numFmtId="0" fontId="16" fillId="0" borderId="0" xfId="3" applyFont="1" applyAlignment="1">
      <alignment horizontal="center" vertical="center"/>
    </xf>
    <xf numFmtId="179" fontId="16" fillId="0" borderId="0" xfId="3" applyNumberFormat="1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79" fontId="16" fillId="0" borderId="0" xfId="3" applyNumberFormat="1" applyFont="1">
      <alignment vertical="center"/>
    </xf>
    <xf numFmtId="2" fontId="7" fillId="0" borderId="0" xfId="0" applyNumberFormat="1" applyFont="1" applyAlignment="1">
      <alignment horizontal="center" vertical="center"/>
    </xf>
    <xf numFmtId="0" fontId="16" fillId="0" borderId="0" xfId="3" applyFont="1" applyAlignment="1">
      <alignment horizontal="right" vertical="center"/>
    </xf>
    <xf numFmtId="179" fontId="16" fillId="0" borderId="0" xfId="3" applyNumberFormat="1" applyFont="1" applyAlignment="1">
      <alignment horizontal="left" vertical="center"/>
    </xf>
    <xf numFmtId="0" fontId="16" fillId="0" borderId="1" xfId="3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179" fontId="16" fillId="0" borderId="1" xfId="3" applyNumberFormat="1" applyFont="1" applyBorder="1" applyAlignment="1">
      <alignment horizontal="center" vertical="center"/>
    </xf>
    <xf numFmtId="2" fontId="16" fillId="0" borderId="1" xfId="3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7" fillId="0" borderId="1" xfId="0" applyFont="1" applyBorder="1" applyAlignment="1">
      <alignment horizontal="right" vertical="center"/>
    </xf>
    <xf numFmtId="0" fontId="16" fillId="0" borderId="0" xfId="3" applyFont="1" applyFill="1" applyAlignment="1">
      <alignment horizontal="center" vertical="center"/>
    </xf>
    <xf numFmtId="0" fontId="16" fillId="0" borderId="0" xfId="3" applyFont="1" applyFill="1">
      <alignment vertical="center"/>
    </xf>
    <xf numFmtId="49" fontId="0" fillId="0" borderId="0" xfId="0" applyNumberFormat="1">
      <alignment vertical="center"/>
    </xf>
    <xf numFmtId="191" fontId="7" fillId="0" borderId="0" xfId="1" applyNumberFormat="1" applyFont="1">
      <alignment vertical="center"/>
    </xf>
    <xf numFmtId="179" fontId="7" fillId="0" borderId="0" xfId="0" applyNumberFormat="1" applyFont="1">
      <alignment vertical="center"/>
    </xf>
  </cellXfs>
  <cellStyles count="4">
    <cellStyle name="桁区切り" xfId="1" builtinId="6"/>
    <cellStyle name="標準" xfId="0" builtinId="0"/>
    <cellStyle name="標準 2" xfId="2" xr:uid="{50D55138-5732-443B-AEA4-896256C8F0C4}"/>
    <cellStyle name="標準 3" xfId="3" xr:uid="{D22697D1-F917-4655-9988-851CAAC1CF7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2</xdr:row>
          <xdr:rowOff>85725</xdr:rowOff>
        </xdr:from>
        <xdr:to>
          <xdr:col>8</xdr:col>
          <xdr:colOff>400050</xdr:colOff>
          <xdr:row>4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</xdr:row>
          <xdr:rowOff>38100</xdr:rowOff>
        </xdr:from>
        <xdr:to>
          <xdr:col>11</xdr:col>
          <xdr:colOff>295275</xdr:colOff>
          <xdr:row>4</xdr:row>
          <xdr:rowOff>95250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95250</xdr:rowOff>
        </xdr:from>
        <xdr:to>
          <xdr:col>1</xdr:col>
          <xdr:colOff>142875</xdr:colOff>
          <xdr:row>2</xdr:row>
          <xdr:rowOff>152400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2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38100</xdr:rowOff>
        </xdr:from>
        <xdr:to>
          <xdr:col>4</xdr:col>
          <xdr:colOff>333375</xdr:colOff>
          <xdr:row>2</xdr:row>
          <xdr:rowOff>57150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3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Period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85725</xdr:rowOff>
        </xdr:from>
        <xdr:to>
          <xdr:col>1</xdr:col>
          <xdr:colOff>228600</xdr:colOff>
          <xdr:row>2</xdr:row>
          <xdr:rowOff>142875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1</xdr:row>
          <xdr:rowOff>66675</xdr:rowOff>
        </xdr:from>
        <xdr:to>
          <xdr:col>4</xdr:col>
          <xdr:colOff>419100</xdr:colOff>
          <xdr:row>2</xdr:row>
          <xdr:rowOff>66675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6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Period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</xdr:row>
          <xdr:rowOff>123825</xdr:rowOff>
        </xdr:from>
        <xdr:to>
          <xdr:col>1</xdr:col>
          <xdr:colOff>285750</xdr:colOff>
          <xdr:row>3</xdr:row>
          <xdr:rowOff>19050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8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152400</xdr:rowOff>
        </xdr:from>
        <xdr:to>
          <xdr:col>7</xdr:col>
          <xdr:colOff>714375</xdr:colOff>
          <xdr:row>1</xdr:row>
          <xdr:rowOff>152400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Gs_ready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723900</xdr:colOff>
          <xdr:row>0</xdr:row>
          <xdr:rowOff>171450</xdr:rowOff>
        </xdr:from>
        <xdr:to>
          <xdr:col>6</xdr:col>
          <xdr:colOff>714375</xdr:colOff>
          <xdr:row>1</xdr:row>
          <xdr:rowOff>161925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171450</xdr:rowOff>
        </xdr:from>
        <xdr:to>
          <xdr:col>8</xdr:col>
          <xdr:colOff>704850</xdr:colOff>
          <xdr:row>1</xdr:row>
          <xdr:rowOff>152400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9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stodola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161925</xdr:rowOff>
        </xdr:from>
        <xdr:to>
          <xdr:col>5</xdr:col>
          <xdr:colOff>390525</xdr:colOff>
          <xdr:row>3</xdr:row>
          <xdr:rowOff>76200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A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sprctrum &amp; 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1</xdr:row>
          <xdr:rowOff>19050</xdr:rowOff>
        </xdr:from>
        <xdr:to>
          <xdr:col>3</xdr:col>
          <xdr:colOff>47625</xdr:colOff>
          <xdr:row>2</xdr:row>
          <xdr:rowOff>114300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B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</xdr:row>
          <xdr:rowOff>47625</xdr:rowOff>
        </xdr:from>
        <xdr:to>
          <xdr:col>5</xdr:col>
          <xdr:colOff>95250</xdr:colOff>
          <xdr:row>2</xdr:row>
          <xdr:rowOff>114300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B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Stoodra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</xdr:row>
          <xdr:rowOff>38100</xdr:rowOff>
        </xdr:from>
        <xdr:to>
          <xdr:col>0</xdr:col>
          <xdr:colOff>609600</xdr:colOff>
          <xdr:row>5</xdr:row>
          <xdr:rowOff>28575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0</xdr:rowOff>
        </xdr:from>
        <xdr:to>
          <xdr:col>0</xdr:col>
          <xdr:colOff>628650</xdr:colOff>
          <xdr:row>10</xdr:row>
          <xdr:rowOff>142875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C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jocobi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38100</xdr:rowOff>
        </xdr:from>
        <xdr:to>
          <xdr:col>0</xdr:col>
          <xdr:colOff>457200</xdr:colOff>
          <xdr:row>2</xdr:row>
          <xdr:rowOff>76200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D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RUNボタン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5</xdr:row>
          <xdr:rowOff>76200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D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clearRUNボタン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16</xdr:row>
          <xdr:rowOff>66675</xdr:rowOff>
        </xdr:from>
        <xdr:to>
          <xdr:col>0</xdr:col>
          <xdr:colOff>600075</xdr:colOff>
          <xdr:row>18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6</xdr:row>
          <xdr:rowOff>9525</xdr:rowOff>
        </xdr:from>
        <xdr:to>
          <xdr:col>0</xdr:col>
          <xdr:colOff>628650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matrix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</xdr:row>
          <xdr:rowOff>38100</xdr:rowOff>
        </xdr:from>
        <xdr:to>
          <xdr:col>0</xdr:col>
          <xdr:colOff>609600</xdr:colOff>
          <xdr:row>5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1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0</xdr:rowOff>
        </xdr:from>
        <xdr:to>
          <xdr:col>0</xdr:col>
          <xdr:colOff>628650</xdr:colOff>
          <xdr:row>10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jocobi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903E9-A602-4034-968E-B175578917C3}">
  <sheetPr codeName="Sheet13"/>
  <dimension ref="A1:Z35"/>
  <sheetViews>
    <sheetView workbookViewId="0">
      <selection activeCell="C14" sqref="C14"/>
    </sheetView>
  </sheetViews>
  <sheetFormatPr defaultRowHeight="12" x14ac:dyDescent="0.15"/>
  <cols>
    <col min="15" max="15" width="14.140625" bestFit="1" customWidth="1"/>
  </cols>
  <sheetData>
    <row r="1" spans="1:26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43.699996948242188</v>
      </c>
      <c r="W1">
        <v>23</v>
      </c>
      <c r="X1">
        <v>24</v>
      </c>
      <c r="Y1">
        <v>25</v>
      </c>
      <c r="Z1">
        <v>26</v>
      </c>
    </row>
    <row r="2" spans="1:26" x14ac:dyDescent="0.15">
      <c r="B2" s="4"/>
      <c r="C2" s="6" t="s">
        <v>113</v>
      </c>
      <c r="D2" s="5">
        <v>11</v>
      </c>
      <c r="E2" s="5"/>
      <c r="F2" s="5"/>
    </row>
    <row r="3" spans="1:26" x14ac:dyDescent="0.15">
      <c r="B3" s="4"/>
      <c r="C3" s="6" t="s">
        <v>114</v>
      </c>
      <c r="D3" s="5">
        <v>1</v>
      </c>
      <c r="E3" s="5"/>
      <c r="F3" s="6" t="s">
        <v>8</v>
      </c>
      <c r="G3" s="4"/>
    </row>
    <row r="4" spans="1:26" x14ac:dyDescent="0.15">
      <c r="B4" s="4"/>
      <c r="C4" s="6" t="s">
        <v>12</v>
      </c>
      <c r="D4" s="5">
        <v>0.2</v>
      </c>
      <c r="E4" s="5"/>
      <c r="F4" s="7"/>
    </row>
    <row r="5" spans="1:26" x14ac:dyDescent="0.15">
      <c r="B5" s="4"/>
      <c r="C5" s="6" t="s">
        <v>13</v>
      </c>
      <c r="D5" s="5">
        <v>0.6</v>
      </c>
      <c r="E5" s="5"/>
      <c r="F5" s="7"/>
      <c r="P5">
        <v>251</v>
      </c>
      <c r="Q5">
        <v>3.37</v>
      </c>
      <c r="R5">
        <f>P5*Q5</f>
        <v>845.87</v>
      </c>
    </row>
    <row r="6" spans="1:26" x14ac:dyDescent="0.15">
      <c r="B6" s="4"/>
      <c r="C6" s="6" t="s">
        <v>14</v>
      </c>
      <c r="D6">
        <v>1.3200000524520874</v>
      </c>
      <c r="F6" s="6"/>
      <c r="G6">
        <v>44</v>
      </c>
    </row>
    <row r="7" spans="1:26" x14ac:dyDescent="0.15">
      <c r="B7" s="4"/>
      <c r="C7" s="6" t="s">
        <v>15</v>
      </c>
      <c r="D7">
        <v>0.72727272727272729</v>
      </c>
      <c r="F7" s="6"/>
      <c r="G7">
        <v>7274.7517045454551</v>
      </c>
      <c r="M7" t="s">
        <v>5</v>
      </c>
      <c r="N7" s="8" t="s">
        <v>128</v>
      </c>
      <c r="O7" s="8" t="s">
        <v>129</v>
      </c>
    </row>
    <row r="8" spans="1:26" x14ac:dyDescent="0.15">
      <c r="F8" s="6"/>
    </row>
    <row r="9" spans="1:26" x14ac:dyDescent="0.15">
      <c r="A9" s="7">
        <v>1</v>
      </c>
      <c r="B9" s="7">
        <v>2</v>
      </c>
      <c r="C9" s="7">
        <v>3</v>
      </c>
      <c r="D9" s="7">
        <v>4</v>
      </c>
      <c r="E9" s="7">
        <v>5</v>
      </c>
      <c r="F9" s="7">
        <v>6</v>
      </c>
      <c r="G9" s="7">
        <v>7</v>
      </c>
      <c r="H9" s="7">
        <v>8</v>
      </c>
      <c r="I9" s="7">
        <v>9</v>
      </c>
      <c r="J9" s="7">
        <v>10</v>
      </c>
      <c r="K9" s="7">
        <v>11</v>
      </c>
      <c r="L9" s="7">
        <v>12</v>
      </c>
      <c r="M9" s="7">
        <v>13</v>
      </c>
      <c r="N9" s="7">
        <v>14</v>
      </c>
      <c r="O9" s="7">
        <v>15</v>
      </c>
      <c r="P9" s="7">
        <v>16</v>
      </c>
      <c r="Q9" s="7">
        <v>17</v>
      </c>
      <c r="R9" s="7">
        <v>18</v>
      </c>
      <c r="S9" s="7">
        <v>19</v>
      </c>
      <c r="T9" s="7">
        <v>20</v>
      </c>
    </row>
    <row r="10" spans="1:26" x14ac:dyDescent="0.15">
      <c r="A10" s="7"/>
      <c r="B10" s="7"/>
      <c r="C10" s="8" t="s">
        <v>9</v>
      </c>
      <c r="D10" s="8" t="s">
        <v>10</v>
      </c>
      <c r="F10" s="8" t="s">
        <v>22</v>
      </c>
      <c r="G10" s="8" t="s">
        <v>131</v>
      </c>
      <c r="H10" s="8" t="s">
        <v>23</v>
      </c>
      <c r="I10" s="8" t="s">
        <v>132</v>
      </c>
      <c r="J10" s="9" t="s">
        <v>130</v>
      </c>
      <c r="K10" s="9" t="s">
        <v>26</v>
      </c>
      <c r="L10" s="8" t="s">
        <v>23</v>
      </c>
      <c r="N10" s="7"/>
      <c r="Q10" s="8" t="s">
        <v>11</v>
      </c>
      <c r="R10" s="7"/>
    </row>
    <row r="11" spans="1:26" ht="14.25" x14ac:dyDescent="0.15">
      <c r="B11">
        <v>11</v>
      </c>
      <c r="C11">
        <v>5.07</v>
      </c>
      <c r="D11">
        <v>2510</v>
      </c>
      <c r="F11">
        <v>0.109</v>
      </c>
      <c r="G11">
        <v>1171</v>
      </c>
      <c r="H11">
        <v>0.11700000000000001</v>
      </c>
      <c r="I11">
        <v>1070</v>
      </c>
      <c r="Q11" s="44">
        <v>1175</v>
      </c>
      <c r="R11" s="7"/>
      <c r="T11">
        <v>1.4999999999999999E-2</v>
      </c>
      <c r="U11">
        <v>1.2999999999999999E-2</v>
      </c>
      <c r="V11" s="33">
        <v>251</v>
      </c>
      <c r="W11" s="33">
        <v>0.109</v>
      </c>
      <c r="X11">
        <f>+W11-W12</f>
        <v>1.4999999999999999E-2</v>
      </c>
      <c r="Y11" s="33">
        <v>0.11700000000000001</v>
      </c>
      <c r="Z11">
        <f>+Y11-Y12</f>
        <v>1.3000000000000012E-2</v>
      </c>
    </row>
    <row r="12" spans="1:26" ht="14.25" x14ac:dyDescent="0.15">
      <c r="B12">
        <v>10</v>
      </c>
      <c r="C12">
        <v>3.8</v>
      </c>
      <c r="D12">
        <v>6400</v>
      </c>
      <c r="F12">
        <v>9.4E-2</v>
      </c>
      <c r="G12">
        <v>2688</v>
      </c>
      <c r="H12">
        <v>0.104</v>
      </c>
      <c r="I12">
        <v>2453</v>
      </c>
      <c r="Q12" s="11">
        <v>2696</v>
      </c>
      <c r="R12" s="7"/>
      <c r="T12">
        <v>8.9999999999999993E-3</v>
      </c>
      <c r="U12">
        <v>8.9999999999999993E-3</v>
      </c>
      <c r="V12" s="33">
        <v>640</v>
      </c>
      <c r="W12" s="33">
        <v>9.4E-2</v>
      </c>
      <c r="X12">
        <f t="shared" ref="X12:X21" si="0">+W12-W13</f>
        <v>8.9999999999999941E-3</v>
      </c>
      <c r="Y12" s="33">
        <v>0.104</v>
      </c>
      <c r="Z12">
        <f t="shared" ref="Z12:Z21" si="1">+Y12-Y13</f>
        <v>8.9999999999999941E-3</v>
      </c>
    </row>
    <row r="13" spans="1:26" ht="14.25" x14ac:dyDescent="0.15">
      <c r="B13">
        <v>9</v>
      </c>
      <c r="C13">
        <v>3.8</v>
      </c>
      <c r="D13">
        <v>4540</v>
      </c>
      <c r="F13">
        <v>8.5000000000000006E-2</v>
      </c>
      <c r="G13">
        <v>3528</v>
      </c>
      <c r="H13">
        <v>9.5000000000000001E-2</v>
      </c>
      <c r="I13">
        <v>3222</v>
      </c>
      <c r="Q13" s="11">
        <v>3539</v>
      </c>
      <c r="R13" s="7"/>
      <c r="T13">
        <v>0.01</v>
      </c>
      <c r="U13">
        <v>1.0999999999999999E-2</v>
      </c>
      <c r="V13" s="33">
        <v>454</v>
      </c>
      <c r="W13" s="33">
        <v>8.5000000000000006E-2</v>
      </c>
      <c r="X13">
        <f t="shared" si="0"/>
        <v>1.0000000000000009E-2</v>
      </c>
      <c r="Y13" s="33">
        <v>9.5000000000000001E-2</v>
      </c>
      <c r="Z13">
        <f t="shared" si="1"/>
        <v>1.0999999999999996E-2</v>
      </c>
    </row>
    <row r="14" spans="1:26" ht="14.25" x14ac:dyDescent="0.15">
      <c r="B14">
        <v>8</v>
      </c>
      <c r="C14">
        <v>3.8</v>
      </c>
      <c r="D14">
        <v>4550</v>
      </c>
      <c r="F14">
        <v>7.4999999999999997E-2</v>
      </c>
      <c r="G14">
        <v>4254</v>
      </c>
      <c r="H14">
        <v>8.4000000000000005E-2</v>
      </c>
      <c r="I14">
        <v>3884</v>
      </c>
      <c r="Q14" s="11">
        <v>4267</v>
      </c>
      <c r="R14" s="7"/>
      <c r="T14">
        <v>1.0999999999999999E-2</v>
      </c>
      <c r="U14">
        <v>1.2E-2</v>
      </c>
      <c r="V14" s="33">
        <v>455</v>
      </c>
      <c r="W14" s="33">
        <v>7.4999999999999997E-2</v>
      </c>
      <c r="X14">
        <f t="shared" si="0"/>
        <v>1.0999999999999996E-2</v>
      </c>
      <c r="Y14" s="33">
        <v>8.4000000000000005E-2</v>
      </c>
      <c r="Z14">
        <f t="shared" si="1"/>
        <v>1.2000000000000011E-2</v>
      </c>
    </row>
    <row r="15" spans="1:26" ht="14.25" x14ac:dyDescent="0.15">
      <c r="B15">
        <v>7</v>
      </c>
      <c r="C15">
        <v>3.8</v>
      </c>
      <c r="D15">
        <v>4600</v>
      </c>
      <c r="F15">
        <v>6.4000000000000001E-2</v>
      </c>
      <c r="G15">
        <v>4890</v>
      </c>
      <c r="H15">
        <v>7.1999999999999995E-2</v>
      </c>
      <c r="I15">
        <v>4465</v>
      </c>
      <c r="Q15" s="11">
        <v>4905</v>
      </c>
      <c r="R15" s="7"/>
      <c r="T15">
        <v>1.0999999999999999E-2</v>
      </c>
      <c r="U15">
        <v>1.0999999999999999E-2</v>
      </c>
      <c r="V15" s="33">
        <v>460</v>
      </c>
      <c r="W15" s="33">
        <v>6.4000000000000001E-2</v>
      </c>
      <c r="X15">
        <f t="shared" si="0"/>
        <v>1.1000000000000003E-2</v>
      </c>
      <c r="Y15" s="33">
        <v>7.1999999999999995E-2</v>
      </c>
      <c r="Z15">
        <f t="shared" si="1"/>
        <v>1.0999999999999996E-2</v>
      </c>
    </row>
    <row r="16" spans="1:26" ht="14.25" x14ac:dyDescent="0.15">
      <c r="B16">
        <v>6</v>
      </c>
      <c r="C16">
        <v>3.8</v>
      </c>
      <c r="D16">
        <v>4670</v>
      </c>
      <c r="F16">
        <v>5.2999999999999999E-2</v>
      </c>
      <c r="G16">
        <v>5445</v>
      </c>
      <c r="H16">
        <v>6.0999999999999999E-2</v>
      </c>
      <c r="I16">
        <v>4972</v>
      </c>
      <c r="Q16" s="11">
        <v>5463</v>
      </c>
      <c r="R16" s="7"/>
      <c r="T16">
        <v>8.9999999999999993E-3</v>
      </c>
      <c r="U16">
        <v>0.01</v>
      </c>
      <c r="V16" s="33">
        <v>467</v>
      </c>
      <c r="W16" s="33">
        <v>5.2999999999999999E-2</v>
      </c>
      <c r="X16">
        <f t="shared" si="0"/>
        <v>9.0000000000000011E-3</v>
      </c>
      <c r="Y16" s="33">
        <v>6.0999999999999999E-2</v>
      </c>
      <c r="Z16">
        <f t="shared" si="1"/>
        <v>1.0000000000000002E-2</v>
      </c>
    </row>
    <row r="17" spans="2:26" ht="14.25" x14ac:dyDescent="0.15">
      <c r="B17">
        <v>5</v>
      </c>
      <c r="C17">
        <v>3.8</v>
      </c>
      <c r="D17">
        <v>4690</v>
      </c>
      <c r="F17">
        <v>4.3999999999999997E-2</v>
      </c>
      <c r="G17">
        <v>5920</v>
      </c>
      <c r="H17">
        <v>5.0999999999999997E-2</v>
      </c>
      <c r="I17">
        <v>5405</v>
      </c>
      <c r="Q17" s="46">
        <v>5940</v>
      </c>
      <c r="R17" s="7"/>
      <c r="T17">
        <v>0.01</v>
      </c>
      <c r="U17">
        <v>8.9999999999999993E-3</v>
      </c>
      <c r="V17" s="33">
        <v>469</v>
      </c>
      <c r="W17" s="33">
        <v>4.3999999999999997E-2</v>
      </c>
      <c r="X17">
        <f t="shared" si="0"/>
        <v>9.999999999999995E-3</v>
      </c>
      <c r="Y17" s="33">
        <v>5.0999999999999997E-2</v>
      </c>
      <c r="Z17">
        <f t="shared" si="1"/>
        <v>8.9999999999999941E-3</v>
      </c>
    </row>
    <row r="18" spans="2:26" ht="14.25" x14ac:dyDescent="0.15">
      <c r="B18">
        <v>4</v>
      </c>
      <c r="C18">
        <v>3.8</v>
      </c>
      <c r="D18">
        <v>4710</v>
      </c>
      <c r="F18">
        <v>3.4000000000000002E-2</v>
      </c>
      <c r="G18">
        <v>6316</v>
      </c>
      <c r="H18">
        <v>4.2000000000000003E-2</v>
      </c>
      <c r="I18">
        <v>5767</v>
      </c>
      <c r="Q18" s="11">
        <v>6338</v>
      </c>
      <c r="R18" s="10"/>
      <c r="T18">
        <v>8.9999999999999993E-3</v>
      </c>
      <c r="U18">
        <v>0.01</v>
      </c>
      <c r="V18" s="33">
        <v>471</v>
      </c>
      <c r="W18" s="33">
        <v>3.4000000000000002E-2</v>
      </c>
      <c r="X18">
        <f t="shared" si="0"/>
        <v>9.0000000000000011E-3</v>
      </c>
      <c r="Y18" s="33">
        <v>4.2000000000000003E-2</v>
      </c>
      <c r="Z18">
        <f>+Y18-Y19</f>
        <v>1.0000000000000002E-2</v>
      </c>
    </row>
    <row r="19" spans="2:26" ht="14.25" x14ac:dyDescent="0.15">
      <c r="B19">
        <v>3</v>
      </c>
      <c r="C19">
        <v>3.8</v>
      </c>
      <c r="D19">
        <v>4750</v>
      </c>
      <c r="F19">
        <v>2.5000000000000001E-2</v>
      </c>
      <c r="G19">
        <v>6638</v>
      </c>
      <c r="H19">
        <v>3.2000000000000001E-2</v>
      </c>
      <c r="I19">
        <v>6061</v>
      </c>
      <c r="Q19" s="11">
        <v>6662</v>
      </c>
      <c r="T19">
        <v>8.9999999999999993E-3</v>
      </c>
      <c r="U19">
        <v>0.01</v>
      </c>
      <c r="V19" s="33">
        <v>475</v>
      </c>
      <c r="W19" s="33">
        <v>2.5000000000000001E-2</v>
      </c>
      <c r="X19">
        <f t="shared" si="0"/>
        <v>9.0000000000000011E-3</v>
      </c>
      <c r="Y19" s="33">
        <v>3.2000000000000001E-2</v>
      </c>
      <c r="Z19">
        <f>+Y19-Y20</f>
        <v>1.0000000000000002E-2</v>
      </c>
    </row>
    <row r="20" spans="2:26" ht="14.25" x14ac:dyDescent="0.15">
      <c r="B20">
        <v>2</v>
      </c>
      <c r="C20">
        <v>3.8</v>
      </c>
      <c r="D20">
        <v>4770</v>
      </c>
      <c r="F20">
        <v>1.6E-2</v>
      </c>
      <c r="G20">
        <v>6885</v>
      </c>
      <c r="H20">
        <v>2.1999999999999999E-2</v>
      </c>
      <c r="I20">
        <v>6287</v>
      </c>
      <c r="Q20" s="11">
        <v>6909</v>
      </c>
      <c r="T20">
        <v>8.0000000000000002E-3</v>
      </c>
      <c r="U20">
        <v>0.01</v>
      </c>
      <c r="V20" s="33">
        <v>477</v>
      </c>
      <c r="W20" s="33">
        <v>1.6E-2</v>
      </c>
      <c r="X20">
        <f t="shared" si="0"/>
        <v>8.0000000000000002E-3</v>
      </c>
      <c r="Y20" s="33">
        <v>2.1999999999999999E-2</v>
      </c>
      <c r="Z20">
        <f t="shared" si="1"/>
        <v>9.9999999999999985E-3</v>
      </c>
    </row>
    <row r="21" spans="2:26" ht="14.25" x14ac:dyDescent="0.15">
      <c r="B21">
        <v>1</v>
      </c>
      <c r="C21">
        <v>4.7300000000000004</v>
      </c>
      <c r="D21">
        <v>4810</v>
      </c>
      <c r="F21">
        <v>8.0000000000000002E-3</v>
      </c>
      <c r="G21">
        <v>7057</v>
      </c>
      <c r="H21">
        <v>1.2E-2</v>
      </c>
      <c r="I21">
        <v>6444</v>
      </c>
      <c r="Q21" s="11">
        <v>7082</v>
      </c>
      <c r="T21">
        <v>8.0000000000000002E-3</v>
      </c>
      <c r="U21">
        <v>1.2E-2</v>
      </c>
      <c r="V21" s="33">
        <v>481</v>
      </c>
      <c r="W21" s="33">
        <v>8.0000000000000002E-3</v>
      </c>
      <c r="X21">
        <f t="shared" si="0"/>
        <v>8.0000000000000002E-3</v>
      </c>
      <c r="Y21" s="33">
        <v>1.2E-2</v>
      </c>
      <c r="Z21">
        <f t="shared" si="1"/>
        <v>1.2E-2</v>
      </c>
    </row>
    <row r="22" spans="2:26" x14ac:dyDescent="0.15">
      <c r="O22" s="41"/>
    </row>
    <row r="24" spans="2:26" x14ac:dyDescent="0.15">
      <c r="O24" s="7"/>
    </row>
    <row r="25" spans="2:26" x14ac:dyDescent="0.15">
      <c r="O25">
        <f>H25-M25</f>
        <v>0</v>
      </c>
      <c r="Q25">
        <f>M25*E25</f>
        <v>0</v>
      </c>
      <c r="R25">
        <v>0.14099999999999999</v>
      </c>
      <c r="S25">
        <f>+Q25*R25</f>
        <v>0</v>
      </c>
      <c r="T25">
        <f>+S25</f>
        <v>0</v>
      </c>
      <c r="U25">
        <v>0.129</v>
      </c>
      <c r="V25">
        <f>Q25*U25</f>
        <v>0</v>
      </c>
      <c r="W25">
        <f>+V25</f>
        <v>0</v>
      </c>
    </row>
    <row r="26" spans="2:26" x14ac:dyDescent="0.15">
      <c r="O26">
        <f t="shared" ref="O26:O35" si="2">H26-M26</f>
        <v>0</v>
      </c>
      <c r="Q26">
        <f t="shared" ref="Q26:Q35" si="3">M26*E26</f>
        <v>0</v>
      </c>
      <c r="R26">
        <v>0.14099999999999999</v>
      </c>
      <c r="S26">
        <f t="shared" ref="S26:S35" si="4">+Q26*R26</f>
        <v>0</v>
      </c>
      <c r="T26">
        <f>+S26+T25</f>
        <v>0</v>
      </c>
      <c r="U26">
        <v>0.129</v>
      </c>
      <c r="V26">
        <f t="shared" ref="V26:V35" si="5">Q26*U26</f>
        <v>0</v>
      </c>
      <c r="W26">
        <f>+V26+W25</f>
        <v>0</v>
      </c>
    </row>
    <row r="27" spans="2:26" x14ac:dyDescent="0.15">
      <c r="O27">
        <f t="shared" si="2"/>
        <v>0</v>
      </c>
      <c r="Q27">
        <f t="shared" si="3"/>
        <v>0</v>
      </c>
      <c r="R27">
        <v>0.14099999999999999</v>
      </c>
      <c r="S27">
        <f t="shared" si="4"/>
        <v>0</v>
      </c>
      <c r="T27">
        <f t="shared" ref="T27:T35" si="6">+S27+T26</f>
        <v>0</v>
      </c>
      <c r="U27">
        <v>0.129</v>
      </c>
      <c r="V27">
        <f t="shared" si="5"/>
        <v>0</v>
      </c>
      <c r="W27">
        <f t="shared" ref="W27:W35" si="7">+V27+W26</f>
        <v>0</v>
      </c>
    </row>
    <row r="28" spans="2:26" x14ac:dyDescent="0.15">
      <c r="O28">
        <f t="shared" si="2"/>
        <v>0</v>
      </c>
      <c r="Q28">
        <f t="shared" si="3"/>
        <v>0</v>
      </c>
      <c r="R28">
        <v>0.14099999999999999</v>
      </c>
      <c r="S28">
        <f t="shared" si="4"/>
        <v>0</v>
      </c>
      <c r="T28">
        <f t="shared" si="6"/>
        <v>0</v>
      </c>
      <c r="U28">
        <v>0.129</v>
      </c>
      <c r="V28">
        <f t="shared" si="5"/>
        <v>0</v>
      </c>
      <c r="W28">
        <f t="shared" si="7"/>
        <v>0</v>
      </c>
    </row>
    <row r="29" spans="2:26" x14ac:dyDescent="0.15">
      <c r="O29">
        <f t="shared" si="2"/>
        <v>0</v>
      </c>
      <c r="Q29">
        <f t="shared" si="3"/>
        <v>0</v>
      </c>
      <c r="R29">
        <v>0.14099999999999999</v>
      </c>
      <c r="S29">
        <f t="shared" si="4"/>
        <v>0</v>
      </c>
      <c r="T29">
        <f t="shared" si="6"/>
        <v>0</v>
      </c>
      <c r="U29">
        <v>0.129</v>
      </c>
      <c r="V29">
        <f t="shared" si="5"/>
        <v>0</v>
      </c>
      <c r="W29">
        <f t="shared" si="7"/>
        <v>0</v>
      </c>
    </row>
    <row r="30" spans="2:26" x14ac:dyDescent="0.15">
      <c r="O30">
        <f t="shared" si="2"/>
        <v>0</v>
      </c>
      <c r="Q30">
        <f t="shared" si="3"/>
        <v>0</v>
      </c>
      <c r="R30">
        <v>0.14099999999999999</v>
      </c>
      <c r="S30">
        <f t="shared" si="4"/>
        <v>0</v>
      </c>
      <c r="T30">
        <f t="shared" si="6"/>
        <v>0</v>
      </c>
      <c r="U30">
        <v>0.129</v>
      </c>
      <c r="V30">
        <f t="shared" si="5"/>
        <v>0</v>
      </c>
      <c r="W30">
        <f t="shared" si="7"/>
        <v>0</v>
      </c>
    </row>
    <row r="31" spans="2:26" x14ac:dyDescent="0.15">
      <c r="O31">
        <f t="shared" si="2"/>
        <v>0</v>
      </c>
      <c r="Q31">
        <f t="shared" si="3"/>
        <v>0</v>
      </c>
      <c r="R31">
        <v>0.14099999999999999</v>
      </c>
      <c r="S31">
        <f t="shared" si="4"/>
        <v>0</v>
      </c>
      <c r="T31">
        <f t="shared" si="6"/>
        <v>0</v>
      </c>
      <c r="U31">
        <v>0.129</v>
      </c>
      <c r="V31">
        <f t="shared" si="5"/>
        <v>0</v>
      </c>
      <c r="W31">
        <f t="shared" si="7"/>
        <v>0</v>
      </c>
    </row>
    <row r="32" spans="2:26" x14ac:dyDescent="0.15">
      <c r="O32">
        <f t="shared" si="2"/>
        <v>0</v>
      </c>
      <c r="Q32">
        <f t="shared" si="3"/>
        <v>0</v>
      </c>
      <c r="R32">
        <v>0.14099999999999999</v>
      </c>
      <c r="S32">
        <f t="shared" si="4"/>
        <v>0</v>
      </c>
      <c r="T32">
        <f t="shared" si="6"/>
        <v>0</v>
      </c>
      <c r="U32">
        <v>0.129</v>
      </c>
      <c r="V32">
        <f t="shared" si="5"/>
        <v>0</v>
      </c>
      <c r="W32">
        <f t="shared" si="7"/>
        <v>0</v>
      </c>
    </row>
    <row r="33" spans="15:23" x14ac:dyDescent="0.15">
      <c r="O33">
        <f t="shared" si="2"/>
        <v>0</v>
      </c>
      <c r="Q33">
        <f t="shared" si="3"/>
        <v>0</v>
      </c>
      <c r="R33">
        <v>0.14099999999999999</v>
      </c>
      <c r="S33">
        <f t="shared" si="4"/>
        <v>0</v>
      </c>
      <c r="T33">
        <f t="shared" si="6"/>
        <v>0</v>
      </c>
      <c r="U33">
        <v>0.129</v>
      </c>
      <c r="V33">
        <f t="shared" si="5"/>
        <v>0</v>
      </c>
      <c r="W33">
        <f t="shared" si="7"/>
        <v>0</v>
      </c>
    </row>
    <row r="34" spans="15:23" x14ac:dyDescent="0.15">
      <c r="O34">
        <f t="shared" si="2"/>
        <v>0</v>
      </c>
      <c r="Q34">
        <f t="shared" si="3"/>
        <v>0</v>
      </c>
      <c r="R34">
        <v>0.14099999999999999</v>
      </c>
      <c r="S34">
        <f t="shared" si="4"/>
        <v>0</v>
      </c>
      <c r="T34">
        <f t="shared" si="6"/>
        <v>0</v>
      </c>
      <c r="U34">
        <v>0.129</v>
      </c>
      <c r="V34">
        <f t="shared" si="5"/>
        <v>0</v>
      </c>
      <c r="W34">
        <f t="shared" si="7"/>
        <v>0</v>
      </c>
    </row>
    <row r="35" spans="15:23" x14ac:dyDescent="0.15">
      <c r="O35">
        <f t="shared" si="2"/>
        <v>0</v>
      </c>
      <c r="Q35">
        <f t="shared" si="3"/>
        <v>0</v>
      </c>
      <c r="R35">
        <v>0.14099999999999999</v>
      </c>
      <c r="S35">
        <f t="shared" si="4"/>
        <v>0</v>
      </c>
      <c r="T35">
        <f t="shared" si="6"/>
        <v>0</v>
      </c>
      <c r="U35">
        <v>0.129</v>
      </c>
      <c r="V35">
        <f t="shared" si="5"/>
        <v>0</v>
      </c>
      <c r="W35">
        <f t="shared" si="7"/>
        <v>0</v>
      </c>
    </row>
  </sheetData>
  <phoneticPr fontId="2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learEQ">
                <anchor moveWithCells="1" sizeWithCells="1">
                  <from>
                    <xdr:col>7</xdr:col>
                    <xdr:colOff>438150</xdr:colOff>
                    <xdr:row>2</xdr:row>
                    <xdr:rowOff>85725</xdr:rowOff>
                  </from>
                  <to>
                    <xdr:col>8</xdr:col>
                    <xdr:colOff>400050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eq_ready">
                <anchor moveWithCells="1" sizeWithCells="1">
                  <from>
                    <xdr:col>10</xdr:col>
                    <xdr:colOff>333375</xdr:colOff>
                    <xdr:row>2</xdr:row>
                    <xdr:rowOff>38100</xdr:rowOff>
                  </from>
                  <to>
                    <xdr:col>11</xdr:col>
                    <xdr:colOff>295275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85B10-0CF5-4084-9AFD-54BCA72287F8}">
  <sheetPr codeName="Sheet22"/>
  <dimension ref="A1:L21"/>
  <sheetViews>
    <sheetView workbookViewId="0">
      <selection activeCell="D32" sqref="D32"/>
    </sheetView>
  </sheetViews>
  <sheetFormatPr defaultRowHeight="12" x14ac:dyDescent="0.15"/>
  <sheetData>
    <row r="1" spans="1:12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ht="14.25" x14ac:dyDescent="0.15">
      <c r="B2" s="11"/>
      <c r="C2" s="11"/>
      <c r="D2" s="52" t="s">
        <v>137</v>
      </c>
      <c r="E2" s="11" t="s">
        <v>138</v>
      </c>
      <c r="F2" s="11"/>
      <c r="G2" s="11"/>
    </row>
    <row r="3" spans="1:12" ht="14.25" x14ac:dyDescent="0.15">
      <c r="B3" s="47"/>
      <c r="C3" s="54" t="s">
        <v>113</v>
      </c>
      <c r="D3" s="48">
        <v>11</v>
      </c>
      <c r="E3" s="48"/>
      <c r="F3" s="54" t="s">
        <v>164</v>
      </c>
      <c r="G3" s="43">
        <v>44</v>
      </c>
    </row>
    <row r="4" spans="1:12" ht="14.25" x14ac:dyDescent="0.15">
      <c r="B4" s="47"/>
      <c r="C4" s="54" t="s">
        <v>114</v>
      </c>
      <c r="D4" s="48">
        <v>1</v>
      </c>
      <c r="E4" s="48"/>
      <c r="F4" s="54" t="s">
        <v>165</v>
      </c>
      <c r="G4" s="43"/>
    </row>
    <row r="5" spans="1:12" ht="14.25" x14ac:dyDescent="0.15">
      <c r="B5" s="47"/>
      <c r="C5" s="54" t="s">
        <v>12</v>
      </c>
      <c r="D5" s="48">
        <v>0.2</v>
      </c>
      <c r="E5" s="48"/>
      <c r="F5" s="54" t="s">
        <v>14</v>
      </c>
      <c r="G5" s="43">
        <v>1.3200000524520874</v>
      </c>
    </row>
    <row r="6" spans="1:12" ht="14.25" x14ac:dyDescent="0.15">
      <c r="B6" s="47"/>
      <c r="C6" s="54" t="s">
        <v>13</v>
      </c>
      <c r="D6" s="48">
        <v>0.6</v>
      </c>
      <c r="E6" s="11"/>
      <c r="F6" s="54" t="s">
        <v>15</v>
      </c>
      <c r="G6" s="43">
        <v>0.72727274894714355</v>
      </c>
    </row>
    <row r="7" spans="1:12" ht="14.25" x14ac:dyDescent="0.15">
      <c r="B7" s="47"/>
      <c r="C7" s="54" t="s">
        <v>173</v>
      </c>
      <c r="D7" s="63">
        <v>2</v>
      </c>
      <c r="E7" s="11"/>
      <c r="F7" s="54" t="s">
        <v>8</v>
      </c>
      <c r="G7" s="11">
        <v>7274.7522194561316</v>
      </c>
    </row>
    <row r="10" spans="1:12" x14ac:dyDescent="0.15">
      <c r="C10" t="s">
        <v>19</v>
      </c>
      <c r="E10" t="s">
        <v>4</v>
      </c>
      <c r="F10" t="s">
        <v>218</v>
      </c>
      <c r="G10" t="s">
        <v>219</v>
      </c>
      <c r="H10" t="s">
        <v>220</v>
      </c>
      <c r="I10" t="s">
        <v>221</v>
      </c>
      <c r="J10" t="s">
        <v>11</v>
      </c>
    </row>
    <row r="11" spans="1:12" x14ac:dyDescent="0.15">
      <c r="C11">
        <v>11</v>
      </c>
      <c r="E11">
        <v>2461.46923828125</v>
      </c>
      <c r="F11">
        <v>2461.46923828125</v>
      </c>
      <c r="G11">
        <v>4.9215685576200485E-2</v>
      </c>
      <c r="H11">
        <v>3.3730269353678248</v>
      </c>
      <c r="I11">
        <v>0.49062213441635066</v>
      </c>
      <c r="J11">
        <v>1208</v>
      </c>
      <c r="K11">
        <v>2415</v>
      </c>
    </row>
    <row r="12" spans="1:12" x14ac:dyDescent="0.15">
      <c r="C12">
        <v>10</v>
      </c>
      <c r="E12">
        <v>6276.255859375</v>
      </c>
      <c r="F12">
        <v>8737.724609375</v>
      </c>
      <c r="G12">
        <v>0.1747058629989624</v>
      </c>
      <c r="H12">
        <v>2.1804222055164342</v>
      </c>
      <c r="I12">
        <v>0.31715234325059521</v>
      </c>
      <c r="J12">
        <v>2771</v>
      </c>
      <c r="K12">
        <v>5542</v>
      </c>
    </row>
    <row r="13" spans="1:12" x14ac:dyDescent="0.15">
      <c r="C13">
        <v>9</v>
      </c>
      <c r="E13">
        <v>4452.21923828125</v>
      </c>
      <c r="F13">
        <v>13189.943359375</v>
      </c>
      <c r="G13">
        <v>0.26372545957565308</v>
      </c>
      <c r="H13">
        <v>1.8960749521007485</v>
      </c>
      <c r="I13">
        <v>0.27579273982631436</v>
      </c>
      <c r="J13">
        <v>3638</v>
      </c>
      <c r="K13">
        <v>7275</v>
      </c>
    </row>
    <row r="14" spans="1:12" x14ac:dyDescent="0.15">
      <c r="C14">
        <v>8</v>
      </c>
      <c r="E14">
        <v>4462.02587890625</v>
      </c>
      <c r="F14">
        <v>17651.96875</v>
      </c>
      <c r="G14">
        <v>0.3529411256313324</v>
      </c>
      <c r="H14">
        <v>1.7080681676544955</v>
      </c>
      <c r="I14">
        <v>0.24844629651671873</v>
      </c>
      <c r="J14">
        <v>4386</v>
      </c>
      <c r="K14">
        <v>8771</v>
      </c>
    </row>
    <row r="15" spans="1:12" x14ac:dyDescent="0.15">
      <c r="C15">
        <v>7</v>
      </c>
      <c r="E15">
        <v>4511.05908203125</v>
      </c>
      <c r="F15">
        <v>22163.02734375</v>
      </c>
      <c r="G15">
        <v>0.44313719868659973</v>
      </c>
      <c r="H15">
        <v>1.5637005253057674</v>
      </c>
      <c r="I15">
        <v>0.22744736523422501</v>
      </c>
      <c r="J15">
        <v>5041</v>
      </c>
      <c r="K15">
        <v>10082</v>
      </c>
    </row>
    <row r="16" spans="1:12" x14ac:dyDescent="0.15">
      <c r="C16">
        <v>6</v>
      </c>
      <c r="E16">
        <v>4579.70556640625</v>
      </c>
      <c r="F16">
        <v>26742.732421875</v>
      </c>
      <c r="G16">
        <v>0.53470581769943237</v>
      </c>
      <c r="H16">
        <v>1.443286936076102</v>
      </c>
      <c r="I16">
        <v>0.20993266010657391</v>
      </c>
      <c r="J16">
        <v>5614</v>
      </c>
      <c r="K16">
        <v>11228</v>
      </c>
    </row>
    <row r="17" spans="3:11" x14ac:dyDescent="0.15">
      <c r="C17">
        <v>5</v>
      </c>
      <c r="E17">
        <v>4599.31884765625</v>
      </c>
      <c r="F17">
        <v>31342.05078125</v>
      </c>
      <c r="G17">
        <v>0.6266666054725647</v>
      </c>
      <c r="H17">
        <v>1.3388149239646179</v>
      </c>
      <c r="I17">
        <v>0.19473672999660052</v>
      </c>
      <c r="J17">
        <v>6103</v>
      </c>
      <c r="K17">
        <v>12207</v>
      </c>
    </row>
    <row r="18" spans="3:11" x14ac:dyDescent="0.15">
      <c r="C18">
        <v>4</v>
      </c>
      <c r="E18">
        <v>4618.93212890625</v>
      </c>
      <c r="F18">
        <v>35960.984375</v>
      </c>
      <c r="G18">
        <v>0.71901953220367432</v>
      </c>
      <c r="H18">
        <v>1.2449957473327689</v>
      </c>
      <c r="I18">
        <v>0.18109030333879417</v>
      </c>
      <c r="J18">
        <v>6512</v>
      </c>
      <c r="K18">
        <v>13024</v>
      </c>
    </row>
    <row r="19" spans="3:11" x14ac:dyDescent="0.15">
      <c r="C19">
        <v>3</v>
      </c>
      <c r="E19">
        <v>4658.15869140625</v>
      </c>
      <c r="F19">
        <v>40619.14453125</v>
      </c>
      <c r="G19">
        <v>0.8121567964553833</v>
      </c>
      <c r="H19">
        <v>1.1583350614038368</v>
      </c>
      <c r="I19">
        <v>0.16848511176602032</v>
      </c>
      <c r="J19">
        <v>6844</v>
      </c>
      <c r="K19">
        <v>13687</v>
      </c>
    </row>
    <row r="20" spans="3:11" x14ac:dyDescent="0.15">
      <c r="C20">
        <v>2</v>
      </c>
      <c r="E20">
        <v>4677.77197265625</v>
      </c>
      <c r="F20">
        <v>45296.91796875</v>
      </c>
      <c r="G20">
        <v>0.90568625926971436</v>
      </c>
      <c r="H20">
        <v>1.0772264324632679</v>
      </c>
      <c r="I20">
        <v>0.15668749217598696</v>
      </c>
      <c r="J20">
        <v>7097</v>
      </c>
      <c r="K20">
        <v>14195</v>
      </c>
    </row>
    <row r="21" spans="3:11" x14ac:dyDescent="0.15">
      <c r="C21">
        <v>1</v>
      </c>
      <c r="E21">
        <v>4716.99853515625</v>
      </c>
      <c r="F21">
        <v>50013.91796875</v>
      </c>
      <c r="G21">
        <v>1</v>
      </c>
      <c r="H21">
        <v>1</v>
      </c>
      <c r="I21">
        <v>0.14545455574989319</v>
      </c>
      <c r="J21">
        <v>7275</v>
      </c>
      <c r="K21">
        <v>14550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X100"/>
  <sheetViews>
    <sheetView workbookViewId="0">
      <selection activeCell="G18" sqref="G18"/>
    </sheetView>
  </sheetViews>
  <sheetFormatPr defaultRowHeight="14.25" x14ac:dyDescent="0.15"/>
  <cols>
    <col min="1" max="5" width="9.140625" style="11"/>
    <col min="6" max="6" width="9.5703125" style="11" customWidth="1"/>
    <col min="7" max="14" width="9.140625" style="11"/>
    <col min="15" max="15" width="9.140625" style="11" customWidth="1"/>
    <col min="16" max="21" width="9.140625" style="11"/>
    <col min="22" max="22" width="10.7109375" style="11" bestFit="1" customWidth="1"/>
    <col min="23" max="23" width="9.7109375" style="11" bestFit="1" customWidth="1"/>
    <col min="24" max="24" width="9.28515625" style="11" bestFit="1" customWidth="1"/>
    <col min="25" max="16384" width="9.140625" style="11"/>
  </cols>
  <sheetData>
    <row r="1" spans="1:26" x14ac:dyDescent="0.15">
      <c r="A1" s="11">
        <v>1</v>
      </c>
      <c r="B1" s="11">
        <v>2</v>
      </c>
      <c r="C1" s="11">
        <v>3</v>
      </c>
      <c r="D1" s="11">
        <v>4</v>
      </c>
      <c r="E1" s="11">
        <v>5</v>
      </c>
      <c r="F1" s="11">
        <v>6</v>
      </c>
      <c r="G1" s="11">
        <v>7</v>
      </c>
      <c r="H1" s="11">
        <v>8</v>
      </c>
      <c r="I1" s="11">
        <v>9</v>
      </c>
      <c r="J1" s="11">
        <v>10</v>
      </c>
      <c r="K1" s="11">
        <v>11</v>
      </c>
      <c r="L1" s="11">
        <v>12</v>
      </c>
      <c r="M1" s="11">
        <v>13</v>
      </c>
      <c r="N1" s="11">
        <v>14</v>
      </c>
      <c r="O1" s="11">
        <v>15</v>
      </c>
      <c r="P1" s="11">
        <v>16</v>
      </c>
      <c r="Q1" s="11">
        <v>17</v>
      </c>
      <c r="R1" s="11">
        <v>18</v>
      </c>
      <c r="S1" s="11">
        <v>19</v>
      </c>
      <c r="T1" s="11">
        <v>20</v>
      </c>
      <c r="U1" s="11">
        <v>21</v>
      </c>
      <c r="V1" s="11">
        <v>43.699996948242188</v>
      </c>
      <c r="W1" s="11">
        <v>23</v>
      </c>
      <c r="X1" s="11">
        <v>24</v>
      </c>
      <c r="Y1" s="11">
        <v>25</v>
      </c>
      <c r="Z1" s="11">
        <v>26</v>
      </c>
    </row>
    <row r="2" spans="1:26" x14ac:dyDescent="0.15">
      <c r="D2" s="52" t="s">
        <v>137</v>
      </c>
      <c r="E2" s="11" t="s">
        <v>138</v>
      </c>
      <c r="F2" s="42" t="s">
        <v>351</v>
      </c>
      <c r="G2" s="43">
        <f>IF(D2="s",1,0)</f>
        <v>1</v>
      </c>
      <c r="I2" s="50" t="s">
        <v>139</v>
      </c>
      <c r="J2" s="50" t="s">
        <v>140</v>
      </c>
      <c r="L2" s="50" t="s">
        <v>146</v>
      </c>
      <c r="M2" s="50" t="s">
        <v>140</v>
      </c>
      <c r="N2" s="11">
        <v>5200.552734375</v>
      </c>
      <c r="P2" s="50" t="s">
        <v>139</v>
      </c>
      <c r="Q2" s="50" t="s">
        <v>140</v>
      </c>
      <c r="R2" s="11">
        <v>5200.552734375</v>
      </c>
      <c r="S2" s="50" t="s">
        <v>146</v>
      </c>
      <c r="T2" s="50" t="s">
        <v>140</v>
      </c>
      <c r="U2" s="11">
        <v>5200.552734375</v>
      </c>
    </row>
    <row r="3" spans="1:26" x14ac:dyDescent="0.15">
      <c r="B3" s="47"/>
      <c r="C3" s="54" t="s">
        <v>113</v>
      </c>
      <c r="D3" s="48">
        <v>11</v>
      </c>
      <c r="E3" s="48"/>
      <c r="F3" s="54" t="s">
        <v>164</v>
      </c>
      <c r="G3" s="43">
        <v>43.999996185302734</v>
      </c>
      <c r="I3" s="53"/>
      <c r="J3" s="50" t="s">
        <v>141</v>
      </c>
      <c r="L3" s="53"/>
      <c r="M3" s="50" t="s">
        <v>147</v>
      </c>
      <c r="P3" s="53"/>
      <c r="Q3" s="50" t="s">
        <v>141</v>
      </c>
      <c r="S3" s="53"/>
      <c r="T3" s="50" t="s">
        <v>147</v>
      </c>
    </row>
    <row r="4" spans="1:26" x14ac:dyDescent="0.15">
      <c r="B4" s="47"/>
      <c r="C4" s="54" t="s">
        <v>114</v>
      </c>
      <c r="D4" s="48">
        <v>1</v>
      </c>
      <c r="E4" s="48"/>
      <c r="F4" s="54" t="s">
        <v>165</v>
      </c>
      <c r="G4" s="43">
        <v>5100</v>
      </c>
      <c r="I4" s="53"/>
      <c r="J4" s="50" t="s">
        <v>142</v>
      </c>
      <c r="L4" s="53"/>
      <c r="M4" s="50" t="s">
        <v>148</v>
      </c>
      <c r="P4" s="53"/>
      <c r="Q4" s="50" t="s">
        <v>142</v>
      </c>
      <c r="S4" s="53"/>
      <c r="T4" s="50" t="s">
        <v>148</v>
      </c>
    </row>
    <row r="5" spans="1:26" x14ac:dyDescent="0.15">
      <c r="B5" s="47"/>
      <c r="C5" s="54" t="s">
        <v>12</v>
      </c>
      <c r="D5" s="48">
        <v>0.2</v>
      </c>
      <c r="E5" s="48"/>
      <c r="F5" s="54" t="s">
        <v>14</v>
      </c>
      <c r="G5" s="43">
        <v>1.3199999332427979</v>
      </c>
      <c r="I5" s="53"/>
      <c r="J5" s="50" t="s">
        <v>184</v>
      </c>
      <c r="K5" s="11">
        <v>3826.48974609375</v>
      </c>
      <c r="L5" s="53"/>
      <c r="M5" s="50" t="s">
        <v>185</v>
      </c>
      <c r="N5" s="11">
        <v>4001.11474609375</v>
      </c>
      <c r="P5" s="53"/>
      <c r="Q5" s="50" t="s">
        <v>145</v>
      </c>
      <c r="R5" s="11">
        <v>3845.13525390625</v>
      </c>
      <c r="S5" s="53"/>
      <c r="T5" s="50" t="s">
        <v>149</v>
      </c>
      <c r="U5" s="11">
        <v>3917.09130859375</v>
      </c>
    </row>
    <row r="6" spans="1:26" x14ac:dyDescent="0.15">
      <c r="B6" s="47"/>
      <c r="C6" s="54" t="s">
        <v>13</v>
      </c>
      <c r="D6" s="48">
        <v>0.6</v>
      </c>
      <c r="F6" s="54" t="s">
        <v>15</v>
      </c>
      <c r="G6" s="43">
        <v>0.72727279295277991</v>
      </c>
      <c r="I6" s="53"/>
      <c r="J6" s="50" t="s">
        <v>143</v>
      </c>
      <c r="K6" s="11">
        <v>7.1348667144775391E-2</v>
      </c>
      <c r="L6" s="53"/>
      <c r="M6" s="50" t="s">
        <v>150</v>
      </c>
      <c r="N6" s="11">
        <v>7.9289637506008148E-2</v>
      </c>
      <c r="P6" s="53"/>
      <c r="Q6" s="50" t="s">
        <v>143</v>
      </c>
      <c r="R6" s="11">
        <v>0.39617359638214111</v>
      </c>
      <c r="S6" s="53"/>
      <c r="T6" s="50" t="s">
        <v>150</v>
      </c>
      <c r="U6" s="11">
        <v>0.46959459781646729</v>
      </c>
    </row>
    <row r="7" spans="1:26" x14ac:dyDescent="0.15">
      <c r="B7" s="47"/>
      <c r="C7" s="54" t="s">
        <v>173</v>
      </c>
      <c r="D7" s="63">
        <v>2</v>
      </c>
      <c r="F7" s="54" t="s">
        <v>8</v>
      </c>
      <c r="I7" s="53"/>
      <c r="J7" s="50" t="s">
        <v>144</v>
      </c>
      <c r="K7" s="11">
        <v>1.2358423471450806</v>
      </c>
      <c r="L7" s="53"/>
      <c r="M7" s="50" t="s">
        <v>151</v>
      </c>
      <c r="N7" s="22">
        <v>1.3941222429275513</v>
      </c>
      <c r="O7" s="18"/>
      <c r="P7" s="53"/>
      <c r="Q7" s="50" t="s">
        <v>144</v>
      </c>
      <c r="R7" s="11">
        <v>1.5800764560699463</v>
      </c>
      <c r="S7" s="53"/>
      <c r="T7" s="50" t="s">
        <v>151</v>
      </c>
      <c r="U7" s="11">
        <v>2.0352022647857666</v>
      </c>
    </row>
    <row r="8" spans="1:26" x14ac:dyDescent="0.15">
      <c r="B8" s="47"/>
      <c r="C8" s="42" t="s">
        <v>160</v>
      </c>
      <c r="D8" s="11">
        <v>0.25</v>
      </c>
      <c r="E8" s="11" t="s">
        <v>159</v>
      </c>
      <c r="F8" s="15"/>
    </row>
    <row r="9" spans="1:26" x14ac:dyDescent="0.15">
      <c r="A9" s="16">
        <v>1</v>
      </c>
      <c r="B9" s="16">
        <v>2</v>
      </c>
      <c r="C9" s="16">
        <v>3</v>
      </c>
      <c r="D9" s="16">
        <v>4</v>
      </c>
      <c r="E9" s="16">
        <v>5</v>
      </c>
      <c r="F9" s="16">
        <v>6</v>
      </c>
      <c r="G9" s="16">
        <v>7</v>
      </c>
      <c r="H9" s="16">
        <v>8</v>
      </c>
      <c r="I9" s="16">
        <v>9</v>
      </c>
      <c r="J9" s="16">
        <v>10</v>
      </c>
      <c r="K9" s="16">
        <v>11</v>
      </c>
      <c r="L9" s="16">
        <v>12</v>
      </c>
      <c r="M9" s="16">
        <v>13</v>
      </c>
      <c r="N9" s="16">
        <v>14</v>
      </c>
      <c r="O9" s="16">
        <v>15</v>
      </c>
      <c r="P9" s="16">
        <v>16</v>
      </c>
      <c r="Q9" s="16">
        <v>17</v>
      </c>
      <c r="R9" s="16">
        <v>18</v>
      </c>
      <c r="S9" s="16">
        <v>19</v>
      </c>
      <c r="T9" s="16">
        <v>20</v>
      </c>
    </row>
    <row r="10" spans="1:26" x14ac:dyDescent="0.15">
      <c r="A10" s="16"/>
      <c r="B10" s="16"/>
      <c r="C10" s="18" t="s">
        <v>9</v>
      </c>
      <c r="D10" s="18" t="s">
        <v>10</v>
      </c>
      <c r="E10" s="11" t="s">
        <v>133</v>
      </c>
      <c r="F10" s="11" t="s">
        <v>134</v>
      </c>
      <c r="H10" s="18" t="s">
        <v>22</v>
      </c>
      <c r="I10" s="18" t="s">
        <v>131</v>
      </c>
      <c r="J10" s="18" t="s">
        <v>23</v>
      </c>
      <c r="K10" s="18" t="s">
        <v>132</v>
      </c>
      <c r="L10" s="18"/>
      <c r="M10" s="11" t="s">
        <v>133</v>
      </c>
      <c r="N10" s="11" t="s">
        <v>134</v>
      </c>
      <c r="P10" s="18" t="s">
        <v>22</v>
      </c>
      <c r="Q10" s="18" t="s">
        <v>131</v>
      </c>
      <c r="R10" s="18" t="s">
        <v>23</v>
      </c>
      <c r="S10" s="18" t="s">
        <v>132</v>
      </c>
    </row>
    <row r="11" spans="1:26" x14ac:dyDescent="0.15">
      <c r="B11" s="11">
        <v>11</v>
      </c>
      <c r="C11">
        <v>5.07</v>
      </c>
      <c r="D11">
        <f>U11*9.80665</f>
        <v>2461.4691499999999</v>
      </c>
      <c r="E11" s="11">
        <v>7057</v>
      </c>
      <c r="F11" s="11">
        <v>6444</v>
      </c>
      <c r="H11" s="11">
        <v>1.4999999999999999E-2</v>
      </c>
      <c r="I11">
        <v>1171</v>
      </c>
      <c r="J11" s="11">
        <v>1.2999999999999999E-2</v>
      </c>
      <c r="K11">
        <v>1070</v>
      </c>
      <c r="M11" s="55">
        <v>24088</v>
      </c>
      <c r="N11" s="55">
        <v>17532</v>
      </c>
      <c r="P11" s="11">
        <v>6.2E-2</v>
      </c>
      <c r="Q11" s="11">
        <v>3998</v>
      </c>
      <c r="R11" s="11">
        <v>3.7999999999999999E-2</v>
      </c>
      <c r="S11" s="11">
        <v>2901</v>
      </c>
      <c r="U11" s="11">
        <v>251</v>
      </c>
      <c r="V11" s="49">
        <v>251</v>
      </c>
      <c r="W11" s="49">
        <v>0.109</v>
      </c>
      <c r="X11" s="11">
        <f>+W11-W12</f>
        <v>1.4999999999999999E-2</v>
      </c>
      <c r="Y11" s="49">
        <v>0.11700000000000001</v>
      </c>
      <c r="Z11" s="11">
        <f>+Y11-Y12</f>
        <v>1.3000000000000012E-2</v>
      </c>
    </row>
    <row r="12" spans="1:26" x14ac:dyDescent="0.15">
      <c r="B12" s="11">
        <v>10</v>
      </c>
      <c r="C12">
        <v>3.8</v>
      </c>
      <c r="D12">
        <f t="shared" ref="D12:D21" si="0">U12*9.80665</f>
        <v>6276.2559999999994</v>
      </c>
      <c r="H12" s="11">
        <v>8.9999999999999993E-3</v>
      </c>
      <c r="I12">
        <v>2688</v>
      </c>
      <c r="J12" s="11">
        <v>8.9999999999999993E-3</v>
      </c>
      <c r="K12">
        <v>2453</v>
      </c>
      <c r="P12" s="11">
        <v>3.5999999999999997E-2</v>
      </c>
      <c r="Q12" s="11">
        <v>9173</v>
      </c>
      <c r="R12" s="11">
        <v>4.2999999999999997E-2</v>
      </c>
      <c r="S12" s="11">
        <v>7125</v>
      </c>
      <c r="U12" s="11">
        <v>640</v>
      </c>
      <c r="V12" s="49">
        <v>640</v>
      </c>
      <c r="W12" s="49">
        <v>9.4E-2</v>
      </c>
      <c r="X12" s="11">
        <f>+W12-W13</f>
        <v>8.9999999999999941E-3</v>
      </c>
      <c r="Y12" s="49">
        <v>0.104</v>
      </c>
      <c r="Z12" s="11">
        <f>+Y12-Y13</f>
        <v>8.9999999999999941E-3</v>
      </c>
    </row>
    <row r="13" spans="1:26" x14ac:dyDescent="0.15">
      <c r="B13" s="11">
        <v>9</v>
      </c>
      <c r="C13">
        <v>3.8</v>
      </c>
      <c r="D13">
        <f t="shared" si="0"/>
        <v>4452.2190999999993</v>
      </c>
      <c r="H13" s="11">
        <v>0.01</v>
      </c>
      <c r="I13">
        <v>3528</v>
      </c>
      <c r="J13" s="11">
        <v>1.0999999999999999E-2</v>
      </c>
      <c r="K13">
        <v>3222</v>
      </c>
      <c r="P13" s="11">
        <v>0.05</v>
      </c>
      <c r="Q13" s="11">
        <v>12044</v>
      </c>
      <c r="R13" s="11">
        <v>6.6000000000000003E-2</v>
      </c>
      <c r="S13" s="11">
        <v>8722</v>
      </c>
      <c r="U13" s="11">
        <v>454</v>
      </c>
      <c r="V13" s="49">
        <v>454</v>
      </c>
      <c r="W13" s="49">
        <v>8.5000000000000006E-2</v>
      </c>
      <c r="X13" s="11">
        <f>+W13-W14</f>
        <v>1.0000000000000009E-2</v>
      </c>
      <c r="Y13" s="49">
        <v>9.5000000000000001E-2</v>
      </c>
      <c r="Z13" s="11">
        <f>+Y13-Y14</f>
        <v>1.0999999999999996E-2</v>
      </c>
    </row>
    <row r="14" spans="1:26" x14ac:dyDescent="0.15">
      <c r="B14" s="11">
        <v>8</v>
      </c>
      <c r="C14">
        <v>3.8</v>
      </c>
      <c r="D14">
        <f t="shared" si="0"/>
        <v>4462.0257499999998</v>
      </c>
      <c r="H14" s="11">
        <v>1.0999999999999999E-2</v>
      </c>
      <c r="I14">
        <v>4254</v>
      </c>
      <c r="J14" s="11">
        <v>1.2E-2</v>
      </c>
      <c r="K14">
        <v>3884</v>
      </c>
      <c r="P14" s="11">
        <v>6.2E-2</v>
      </c>
      <c r="Q14" s="11">
        <v>14524</v>
      </c>
      <c r="R14" s="11">
        <v>7.5999999999999998E-2</v>
      </c>
      <c r="S14" s="11">
        <v>10555</v>
      </c>
      <c r="U14" s="11">
        <v>455</v>
      </c>
      <c r="V14" s="49">
        <v>455</v>
      </c>
      <c r="W14" s="49">
        <v>7.4999999999999997E-2</v>
      </c>
      <c r="X14" s="11">
        <f>+W14-W15</f>
        <v>7.4999999999999997E-2</v>
      </c>
      <c r="Y14" s="49">
        <v>8.4000000000000005E-2</v>
      </c>
      <c r="Z14" s="11">
        <f>+Y14-Y15</f>
        <v>8.4000000000000005E-2</v>
      </c>
    </row>
    <row r="15" spans="1:26" x14ac:dyDescent="0.15">
      <c r="B15" s="11">
        <v>7</v>
      </c>
      <c r="C15">
        <v>3.8</v>
      </c>
      <c r="D15">
        <f t="shared" si="0"/>
        <v>4511.0589999999993</v>
      </c>
      <c r="H15" s="11">
        <v>1.0999999999999999E-2</v>
      </c>
      <c r="I15">
        <v>4890</v>
      </c>
      <c r="J15" s="11">
        <v>1.0999999999999999E-2</v>
      </c>
      <c r="K15">
        <v>4465</v>
      </c>
      <c r="P15" s="11">
        <v>6.3E-2</v>
      </c>
      <c r="Q15" s="11">
        <v>16689</v>
      </c>
      <c r="R15" s="11">
        <v>7.0999999999999994E-2</v>
      </c>
      <c r="S15" s="11">
        <v>12123</v>
      </c>
      <c r="U15" s="11">
        <v>460</v>
      </c>
    </row>
    <row r="16" spans="1:26" x14ac:dyDescent="0.15">
      <c r="B16" s="11">
        <v>6</v>
      </c>
      <c r="C16">
        <v>3.8</v>
      </c>
      <c r="D16">
        <f t="shared" si="0"/>
        <v>4579.7055499999997</v>
      </c>
      <c r="H16" s="11">
        <v>0.01</v>
      </c>
      <c r="I16">
        <v>5445</v>
      </c>
      <c r="J16" s="11">
        <v>0.01</v>
      </c>
      <c r="K16">
        <v>4972</v>
      </c>
      <c r="P16" s="11">
        <v>5.8000000000000003E-2</v>
      </c>
      <c r="Q16" s="11">
        <v>18591</v>
      </c>
      <c r="R16" s="11">
        <v>6.4000000000000001E-2</v>
      </c>
      <c r="S16" s="11">
        <v>13495</v>
      </c>
      <c r="U16" s="11">
        <v>467</v>
      </c>
    </row>
    <row r="17" spans="1:50" x14ac:dyDescent="0.15">
      <c r="B17" s="11">
        <v>5</v>
      </c>
      <c r="C17">
        <v>3.8</v>
      </c>
      <c r="D17">
        <f t="shared" si="0"/>
        <v>4599.3188499999997</v>
      </c>
      <c r="H17" s="11">
        <v>0.01</v>
      </c>
      <c r="I17">
        <v>5920</v>
      </c>
      <c r="J17" s="11">
        <v>0.01</v>
      </c>
      <c r="K17">
        <v>5405</v>
      </c>
      <c r="P17" s="11">
        <v>5.8999999999999997E-2</v>
      </c>
      <c r="Q17" s="11">
        <v>20208</v>
      </c>
      <c r="R17" s="11">
        <v>6.3E-2</v>
      </c>
      <c r="S17" s="11">
        <v>14651</v>
      </c>
      <c r="U17" s="11">
        <v>469</v>
      </c>
    </row>
    <row r="18" spans="1:50" x14ac:dyDescent="0.15">
      <c r="B18" s="11">
        <v>4</v>
      </c>
      <c r="C18">
        <v>3.8</v>
      </c>
      <c r="D18">
        <f t="shared" si="0"/>
        <v>4618.9321499999996</v>
      </c>
      <c r="H18" s="11">
        <v>8.9999999999999993E-3</v>
      </c>
      <c r="I18">
        <v>6316</v>
      </c>
      <c r="J18" s="11">
        <v>0.01</v>
      </c>
      <c r="K18">
        <v>5767</v>
      </c>
      <c r="P18" s="11">
        <v>5.6000000000000001E-2</v>
      </c>
      <c r="Q18" s="11">
        <v>21560</v>
      </c>
      <c r="R18" s="11">
        <v>6.3E-2</v>
      </c>
      <c r="S18" s="11">
        <v>15660</v>
      </c>
      <c r="U18" s="11">
        <v>471</v>
      </c>
    </row>
    <row r="19" spans="1:50" x14ac:dyDescent="0.15">
      <c r="B19" s="11">
        <v>3</v>
      </c>
      <c r="C19">
        <v>3.8</v>
      </c>
      <c r="D19">
        <f t="shared" si="0"/>
        <v>4658.1587499999996</v>
      </c>
      <c r="H19" s="11">
        <v>8.0000000000000002E-3</v>
      </c>
      <c r="I19">
        <v>6638</v>
      </c>
      <c r="J19" s="11">
        <v>0.01</v>
      </c>
      <c r="K19">
        <v>6061</v>
      </c>
      <c r="P19" s="11">
        <v>4.7E-2</v>
      </c>
      <c r="Q19" s="11">
        <v>22658</v>
      </c>
      <c r="R19" s="11">
        <v>6.3E-2</v>
      </c>
      <c r="S19" s="11">
        <v>16395</v>
      </c>
      <c r="U19" s="11">
        <v>475</v>
      </c>
    </row>
    <row r="20" spans="1:50" x14ac:dyDescent="0.15">
      <c r="B20" s="11">
        <v>2</v>
      </c>
      <c r="C20">
        <v>3.8</v>
      </c>
      <c r="D20">
        <f t="shared" si="0"/>
        <v>4677.7720499999996</v>
      </c>
      <c r="H20" s="11">
        <v>8.0000000000000002E-3</v>
      </c>
      <c r="I20">
        <v>6885</v>
      </c>
      <c r="J20" s="11">
        <v>0.01</v>
      </c>
      <c r="K20">
        <v>6287</v>
      </c>
      <c r="P20" s="11">
        <v>4.2999999999999997E-2</v>
      </c>
      <c r="Q20" s="11">
        <v>23500</v>
      </c>
      <c r="R20" s="11">
        <v>5.8999999999999997E-2</v>
      </c>
      <c r="S20" s="11">
        <v>17081</v>
      </c>
      <c r="U20" s="11">
        <v>477</v>
      </c>
    </row>
    <row r="21" spans="1:50" x14ac:dyDescent="0.15">
      <c r="B21" s="11">
        <v>1</v>
      </c>
      <c r="C21">
        <v>4.7300000000000004</v>
      </c>
      <c r="D21">
        <f t="shared" si="0"/>
        <v>4716.9986499999995</v>
      </c>
      <c r="H21" s="11">
        <v>8.0000000000000002E-3</v>
      </c>
      <c r="I21">
        <v>7057</v>
      </c>
      <c r="J21" s="11">
        <v>1.2E-2</v>
      </c>
      <c r="K21">
        <v>6444</v>
      </c>
      <c r="P21" s="11">
        <v>4.1000000000000002E-2</v>
      </c>
      <c r="Q21" s="11">
        <v>24088</v>
      </c>
      <c r="R21" s="11">
        <v>5.1999999999999998E-2</v>
      </c>
      <c r="S21" s="11">
        <v>17532</v>
      </c>
      <c r="U21" s="11">
        <v>481</v>
      </c>
    </row>
    <row r="22" spans="1:50" x14ac:dyDescent="0.15">
      <c r="D22" s="11">
        <f>SUM(D11:D21)</f>
        <v>50013.914999999994</v>
      </c>
    </row>
    <row r="26" spans="1:50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</row>
    <row r="27" spans="1:50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 s="5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</row>
    <row r="28" spans="1:50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 s="5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</row>
    <row r="29" spans="1:50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 s="58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0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 s="58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</row>
    <row r="31" spans="1:50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 s="58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</row>
    <row r="32" spans="1:50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 s="58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1:50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 s="58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1:50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 s="58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1:50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 s="58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 s="58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 s="58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0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0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0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0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 s="57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0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 s="58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0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 s="58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0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 s="58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0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 s="58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0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 s="5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50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 s="58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50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58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58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58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50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58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50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50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1:50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1:50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1:50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1:50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1:50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1:50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1:50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1:50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1:50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1:50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1:50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1:50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1:50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1:50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1:50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1:50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1:50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1:50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1:50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1:50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1:50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1:50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1:50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1:50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1:50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:50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:50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:50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:50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:50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:50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:50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:50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:50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:50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:50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</sheetData>
  <phoneticPr fontId="2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G_ready">
                <anchor moveWithCells="1" sizeWithCells="1">
                  <from>
                    <xdr:col>0</xdr:col>
                    <xdr:colOff>76200</xdr:colOff>
                    <xdr:row>1</xdr:row>
                    <xdr:rowOff>95250</xdr:rowOff>
                  </from>
                  <to>
                    <xdr:col>1</xdr:col>
                    <xdr:colOff>142875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EFD48-6BF7-45EC-B66F-791543175D0D}">
  <sheetPr codeName="Sheet6"/>
  <dimension ref="A1:T100"/>
  <sheetViews>
    <sheetView topLeftCell="A19" workbookViewId="0">
      <selection activeCell="D20" sqref="D20"/>
    </sheetView>
  </sheetViews>
  <sheetFormatPr defaultRowHeight="14.25" x14ac:dyDescent="0.15"/>
  <cols>
    <col min="1" max="1" width="4.7109375" style="11" customWidth="1"/>
    <col min="2" max="2" width="9.7109375" style="12" customWidth="1"/>
    <col min="3" max="3" width="9.7109375" style="19" customWidth="1"/>
    <col min="4" max="4" width="9.7109375" style="11" customWidth="1"/>
    <col min="5" max="5" width="9.7109375" style="17" customWidth="1"/>
    <col min="6" max="6" width="9.7109375" style="11" customWidth="1"/>
    <col min="7" max="7" width="9.7109375" style="17" customWidth="1"/>
    <col min="8" max="9" width="9.7109375" style="11" customWidth="1"/>
    <col min="10" max="12" width="10.7109375" style="11" customWidth="1"/>
    <col min="13" max="16384" width="9.140625" style="11"/>
  </cols>
  <sheetData>
    <row r="1" spans="1:20" x14ac:dyDescent="0.15">
      <c r="A1" s="50">
        <v>1</v>
      </c>
      <c r="B1" s="51">
        <v>2</v>
      </c>
      <c r="C1" s="50">
        <v>3</v>
      </c>
      <c r="D1" s="51">
        <v>4</v>
      </c>
      <c r="E1" s="50">
        <v>5</v>
      </c>
      <c r="F1" s="51">
        <v>6</v>
      </c>
      <c r="G1" s="50">
        <v>7</v>
      </c>
      <c r="H1" s="51">
        <v>8</v>
      </c>
      <c r="I1" s="50">
        <v>9</v>
      </c>
      <c r="J1" s="51">
        <v>10</v>
      </c>
      <c r="K1" s="50">
        <v>11</v>
      </c>
    </row>
    <row r="2" spans="1:20" x14ac:dyDescent="0.15">
      <c r="B2" s="62" t="s">
        <v>167</v>
      </c>
    </row>
    <row r="4" spans="1:20" x14ac:dyDescent="0.15">
      <c r="C4" s="13"/>
      <c r="D4" s="14" t="s">
        <v>29</v>
      </c>
      <c r="E4" s="22">
        <v>43.999996185302734</v>
      </c>
      <c r="G4" s="11"/>
      <c r="H4" s="15" t="s">
        <v>169</v>
      </c>
      <c r="I4" s="22">
        <v>7057</v>
      </c>
      <c r="J4" s="16" t="s">
        <v>30</v>
      </c>
    </row>
    <row r="5" spans="1:20" x14ac:dyDescent="0.15">
      <c r="C5" s="13"/>
      <c r="D5" s="14" t="s">
        <v>28</v>
      </c>
      <c r="E5" s="22">
        <v>11</v>
      </c>
      <c r="H5" s="15" t="s">
        <v>170</v>
      </c>
      <c r="I5" s="22">
        <v>6444</v>
      </c>
      <c r="J5" s="16" t="s">
        <v>30</v>
      </c>
    </row>
    <row r="6" spans="1:20" x14ac:dyDescent="0.15">
      <c r="C6" s="13"/>
      <c r="D6" s="14" t="s">
        <v>27</v>
      </c>
      <c r="E6" s="22">
        <v>1</v>
      </c>
    </row>
    <row r="7" spans="1:20" x14ac:dyDescent="0.15">
      <c r="C7" s="13"/>
      <c r="D7" s="14" t="s">
        <v>12</v>
      </c>
      <c r="E7" s="22">
        <v>0.20000000298023224</v>
      </c>
    </row>
    <row r="8" spans="1:20" x14ac:dyDescent="0.15">
      <c r="C8" s="13"/>
      <c r="D8" s="14" t="s">
        <v>13</v>
      </c>
      <c r="E8" s="22">
        <v>0.60000002384185791</v>
      </c>
      <c r="F8" s="16"/>
      <c r="H8" s="18" t="s">
        <v>44</v>
      </c>
      <c r="I8" s="18" t="s">
        <v>43</v>
      </c>
      <c r="J8" s="18" t="s">
        <v>49</v>
      </c>
    </row>
    <row r="9" spans="1:20" x14ac:dyDescent="0.15">
      <c r="D9" s="14" t="s">
        <v>228</v>
      </c>
      <c r="E9" s="22">
        <v>5100</v>
      </c>
      <c r="G9" s="20" t="s">
        <v>120</v>
      </c>
      <c r="H9" s="11">
        <v>1.2359999418258667</v>
      </c>
      <c r="I9" s="22">
        <v>0.77700000000000002</v>
      </c>
      <c r="L9" s="16"/>
    </row>
    <row r="10" spans="1:20" x14ac:dyDescent="0.15">
      <c r="D10" s="20" t="s">
        <v>229</v>
      </c>
      <c r="E10" s="22">
        <v>3826</v>
      </c>
      <c r="F10" s="12"/>
      <c r="G10" s="15" t="s">
        <v>121</v>
      </c>
      <c r="H10" s="11">
        <v>1.3940000534057617</v>
      </c>
      <c r="I10" s="22">
        <v>0.68899999999999995</v>
      </c>
    </row>
    <row r="11" spans="1:20" x14ac:dyDescent="0.15">
      <c r="D11" s="20" t="s">
        <v>230</v>
      </c>
      <c r="E11" s="22">
        <v>4001</v>
      </c>
      <c r="F11" s="22"/>
      <c r="G11" s="20" t="s">
        <v>122</v>
      </c>
      <c r="H11" s="11">
        <v>1.3199999332427979</v>
      </c>
      <c r="I11" s="22">
        <v>0.72699999999999998</v>
      </c>
      <c r="J11" s="18" t="s">
        <v>45</v>
      </c>
    </row>
    <row r="12" spans="1:20" x14ac:dyDescent="0.15">
      <c r="B12" s="23"/>
      <c r="C12" s="21"/>
      <c r="D12" s="24"/>
      <c r="E12" s="24"/>
      <c r="F12" s="25"/>
      <c r="G12" s="22"/>
      <c r="I12" s="26"/>
      <c r="J12" s="26"/>
    </row>
    <row r="13" spans="1:20" x14ac:dyDescent="0.15">
      <c r="B13" s="32" t="s">
        <v>0</v>
      </c>
      <c r="C13" s="27" t="s">
        <v>116</v>
      </c>
      <c r="D13" s="28" t="s">
        <v>117</v>
      </c>
      <c r="E13" s="29" t="s">
        <v>3</v>
      </c>
      <c r="F13" s="29" t="s">
        <v>118</v>
      </c>
      <c r="G13" s="18" t="s">
        <v>46</v>
      </c>
      <c r="H13" s="28" t="s">
        <v>47</v>
      </c>
      <c r="I13" s="28" t="s">
        <v>48</v>
      </c>
    </row>
    <row r="14" spans="1:20" x14ac:dyDescent="0.15">
      <c r="B14" s="23"/>
      <c r="C14" s="27" t="s">
        <v>6</v>
      </c>
      <c r="D14" s="28" t="s">
        <v>119</v>
      </c>
      <c r="E14" s="29" t="s">
        <v>2</v>
      </c>
      <c r="F14" s="30"/>
      <c r="G14" s="18" t="s">
        <v>7</v>
      </c>
      <c r="H14" s="31"/>
      <c r="I14" s="31"/>
    </row>
    <row r="15" spans="1:20" x14ac:dyDescent="0.15">
      <c r="A15"/>
      <c r="B15">
        <v>11</v>
      </c>
      <c r="C15">
        <v>1.4999999999999999E-2</v>
      </c>
      <c r="D15">
        <v>0.109</v>
      </c>
      <c r="E15">
        <v>5.07</v>
      </c>
      <c r="F15" s="91" t="s">
        <v>293</v>
      </c>
      <c r="G15">
        <v>251</v>
      </c>
      <c r="H15">
        <v>27.36</v>
      </c>
      <c r="I15">
        <v>2.98</v>
      </c>
      <c r="J15"/>
      <c r="K15"/>
      <c r="L15"/>
      <c r="M15"/>
      <c r="N15"/>
      <c r="O15"/>
      <c r="P15"/>
      <c r="Q15"/>
      <c r="R15"/>
      <c r="S15"/>
      <c r="T15"/>
    </row>
    <row r="16" spans="1:20" x14ac:dyDescent="0.15">
      <c r="A16"/>
      <c r="B16">
        <v>10</v>
      </c>
      <c r="C16">
        <v>8.9999999999999993E-3</v>
      </c>
      <c r="D16">
        <v>9.4E-2</v>
      </c>
      <c r="E16">
        <v>3.8</v>
      </c>
      <c r="F16" s="91" t="s">
        <v>294</v>
      </c>
      <c r="G16">
        <v>640</v>
      </c>
      <c r="H16">
        <v>60.16</v>
      </c>
      <c r="I16">
        <v>5.66</v>
      </c>
      <c r="J16"/>
      <c r="K16"/>
      <c r="L16"/>
      <c r="M16"/>
      <c r="N16"/>
      <c r="O16"/>
      <c r="P16"/>
      <c r="Q16"/>
      <c r="R16"/>
      <c r="S16"/>
      <c r="T16"/>
    </row>
    <row r="17" spans="1:20" x14ac:dyDescent="0.15">
      <c r="A17"/>
      <c r="B17">
        <v>9</v>
      </c>
      <c r="C17">
        <v>0.01</v>
      </c>
      <c r="D17">
        <v>8.5000000000000006E-2</v>
      </c>
      <c r="E17">
        <v>3.8</v>
      </c>
      <c r="F17" s="91" t="s">
        <v>295</v>
      </c>
      <c r="G17">
        <v>454</v>
      </c>
      <c r="H17">
        <v>38.590000000000003</v>
      </c>
      <c r="I17">
        <v>3.28</v>
      </c>
      <c r="J17"/>
      <c r="K17"/>
      <c r="L17"/>
      <c r="M17"/>
      <c r="N17"/>
      <c r="O17"/>
      <c r="P17"/>
      <c r="Q17"/>
      <c r="R17"/>
      <c r="S17"/>
      <c r="T17"/>
    </row>
    <row r="18" spans="1:20" x14ac:dyDescent="0.15">
      <c r="A18"/>
      <c r="B18">
        <v>8</v>
      </c>
      <c r="C18">
        <v>1.0999999999999999E-2</v>
      </c>
      <c r="D18">
        <v>7.4999999999999997E-2</v>
      </c>
      <c r="E18">
        <v>3.8</v>
      </c>
      <c r="F18" s="91" t="s">
        <v>296</v>
      </c>
      <c r="G18">
        <v>455</v>
      </c>
      <c r="H18">
        <v>34.130000000000003</v>
      </c>
      <c r="I18">
        <v>2.56</v>
      </c>
      <c r="J18"/>
      <c r="K18"/>
      <c r="L18"/>
      <c r="M18"/>
      <c r="N18"/>
      <c r="O18"/>
      <c r="P18"/>
      <c r="Q18"/>
      <c r="R18"/>
      <c r="S18"/>
      <c r="T18"/>
    </row>
    <row r="19" spans="1:20" x14ac:dyDescent="0.15">
      <c r="A19"/>
      <c r="B19">
        <v>7</v>
      </c>
      <c r="C19">
        <v>1.0999999999999999E-2</v>
      </c>
      <c r="D19">
        <v>6.4000000000000001E-2</v>
      </c>
      <c r="E19">
        <v>3.8</v>
      </c>
      <c r="F19" s="91" t="s">
        <v>296</v>
      </c>
      <c r="G19">
        <v>460</v>
      </c>
      <c r="H19">
        <v>29.44</v>
      </c>
      <c r="I19">
        <v>1.88</v>
      </c>
      <c r="J19"/>
      <c r="K19"/>
      <c r="L19"/>
      <c r="M19"/>
      <c r="N19"/>
      <c r="O19"/>
      <c r="P19"/>
      <c r="Q19"/>
      <c r="R19"/>
      <c r="S19"/>
      <c r="T19"/>
    </row>
    <row r="20" spans="1:20" x14ac:dyDescent="0.15">
      <c r="A20"/>
      <c r="B20">
        <v>6</v>
      </c>
      <c r="C20">
        <v>0.01</v>
      </c>
      <c r="D20">
        <v>5.2999999999999999E-2</v>
      </c>
      <c r="E20">
        <v>3.8</v>
      </c>
      <c r="F20" s="91" t="s">
        <v>295</v>
      </c>
      <c r="G20">
        <v>467</v>
      </c>
      <c r="H20">
        <v>24.75</v>
      </c>
      <c r="I20">
        <v>1.31</v>
      </c>
      <c r="J20"/>
      <c r="K20"/>
      <c r="L20"/>
      <c r="M20"/>
      <c r="N20"/>
      <c r="O20"/>
      <c r="P20"/>
      <c r="Q20"/>
      <c r="R20"/>
      <c r="S20"/>
      <c r="T20"/>
    </row>
    <row r="21" spans="1:20" x14ac:dyDescent="0.15">
      <c r="A21"/>
      <c r="B21">
        <v>5</v>
      </c>
      <c r="C21">
        <v>0.01</v>
      </c>
      <c r="D21">
        <v>4.2999999999999997E-2</v>
      </c>
      <c r="E21">
        <v>3.8</v>
      </c>
      <c r="F21" s="91" t="s">
        <v>295</v>
      </c>
      <c r="G21">
        <v>469</v>
      </c>
      <c r="H21">
        <v>20.170000000000002</v>
      </c>
      <c r="I21">
        <v>0.87</v>
      </c>
      <c r="J21"/>
      <c r="K21"/>
      <c r="L21"/>
      <c r="M21"/>
      <c r="N21"/>
      <c r="O21"/>
      <c r="P21"/>
      <c r="Q21"/>
      <c r="R21"/>
      <c r="S21"/>
      <c r="T21"/>
    </row>
    <row r="22" spans="1:20" x14ac:dyDescent="0.15">
      <c r="A22"/>
      <c r="B22">
        <v>4</v>
      </c>
      <c r="C22">
        <v>8.9999999999999993E-3</v>
      </c>
      <c r="D22">
        <v>3.3000000000000002E-2</v>
      </c>
      <c r="E22">
        <v>3.8</v>
      </c>
      <c r="F22" s="91" t="s">
        <v>294</v>
      </c>
      <c r="G22">
        <v>471</v>
      </c>
      <c r="H22">
        <v>15.54</v>
      </c>
      <c r="I22">
        <v>0.51</v>
      </c>
      <c r="J22"/>
      <c r="K22"/>
      <c r="L22"/>
      <c r="M22"/>
      <c r="N22"/>
      <c r="O22"/>
      <c r="P22"/>
      <c r="Q22"/>
      <c r="R22"/>
      <c r="S22"/>
      <c r="T22"/>
    </row>
    <row r="23" spans="1:20" x14ac:dyDescent="0.15">
      <c r="A23"/>
      <c r="B23">
        <v>3</v>
      </c>
      <c r="C23">
        <v>8.0000000000000002E-3</v>
      </c>
      <c r="D23">
        <v>2.4E-2</v>
      </c>
      <c r="E23">
        <v>3.8</v>
      </c>
      <c r="F23" s="91" t="s">
        <v>297</v>
      </c>
      <c r="G23">
        <v>475</v>
      </c>
      <c r="H23">
        <v>11.4</v>
      </c>
      <c r="I23">
        <v>0.27</v>
      </c>
      <c r="J23"/>
      <c r="K23"/>
      <c r="L23"/>
      <c r="M23"/>
      <c r="N23"/>
      <c r="O23"/>
      <c r="P23"/>
      <c r="Q23"/>
      <c r="R23"/>
      <c r="S23"/>
      <c r="T23"/>
    </row>
    <row r="24" spans="1:20" x14ac:dyDescent="0.15">
      <c r="A24"/>
      <c r="B24">
        <v>2</v>
      </c>
      <c r="C24">
        <v>8.0000000000000002E-3</v>
      </c>
      <c r="D24">
        <v>1.6E-2</v>
      </c>
      <c r="E24">
        <v>3.8</v>
      </c>
      <c r="F24" s="91" t="s">
        <v>297</v>
      </c>
      <c r="G24">
        <v>477</v>
      </c>
      <c r="H24">
        <v>7.63</v>
      </c>
      <c r="I24">
        <v>0.12</v>
      </c>
      <c r="J24"/>
      <c r="K24"/>
      <c r="L24"/>
      <c r="M24"/>
      <c r="N24"/>
      <c r="O24"/>
      <c r="P24"/>
      <c r="Q24"/>
      <c r="R24"/>
      <c r="S24"/>
      <c r="T24"/>
    </row>
    <row r="25" spans="1:20" x14ac:dyDescent="0.15">
      <c r="A25"/>
      <c r="B25">
        <v>1</v>
      </c>
      <c r="C25">
        <v>8.0000000000000002E-3</v>
      </c>
      <c r="D25">
        <v>8.0000000000000002E-3</v>
      </c>
      <c r="E25">
        <v>4.7300000000000004</v>
      </c>
      <c r="F25" s="91" t="s">
        <v>298</v>
      </c>
      <c r="G25">
        <v>481</v>
      </c>
      <c r="H25">
        <v>3.85</v>
      </c>
      <c r="I25">
        <v>0.03</v>
      </c>
      <c r="J25"/>
      <c r="K25"/>
      <c r="L25"/>
      <c r="M25"/>
      <c r="N25"/>
      <c r="O25"/>
      <c r="P25"/>
      <c r="Q25"/>
      <c r="R25"/>
      <c r="S25"/>
      <c r="T25"/>
    </row>
    <row r="26" spans="1:20" x14ac:dyDescent="0.15">
      <c r="A26"/>
      <c r="B26"/>
      <c r="C26"/>
      <c r="D26"/>
      <c r="E26"/>
      <c r="F26"/>
      <c r="G26">
        <v>5100</v>
      </c>
      <c r="H26">
        <v>273.02</v>
      </c>
      <c r="I26">
        <v>19.48</v>
      </c>
      <c r="J26"/>
      <c r="K26"/>
      <c r="L26"/>
      <c r="M26"/>
      <c r="N26"/>
      <c r="O26"/>
      <c r="P26"/>
      <c r="Q26"/>
      <c r="R26"/>
      <c r="S26"/>
      <c r="T26"/>
    </row>
    <row r="27" spans="1:20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x14ac:dyDescent="0.15">
      <c r="A28"/>
      <c r="B28"/>
      <c r="C28" t="s">
        <v>302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x14ac:dyDescent="0.15">
      <c r="A30"/>
      <c r="B30"/>
      <c r="C30" t="s">
        <v>303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x14ac:dyDescent="0.15">
      <c r="A32"/>
      <c r="B32"/>
      <c r="C32" t="s">
        <v>304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x14ac:dyDescent="0.15">
      <c r="A35"/>
      <c r="B35" t="s">
        <v>308</v>
      </c>
      <c r="C35" t="s">
        <v>309</v>
      </c>
      <c r="D35" t="s">
        <v>310</v>
      </c>
      <c r="E35" t="s">
        <v>9</v>
      </c>
      <c r="F35" t="s">
        <v>311</v>
      </c>
      <c r="G35" t="s">
        <v>312</v>
      </c>
      <c r="H35" t="s">
        <v>313</v>
      </c>
      <c r="I35" t="s">
        <v>314</v>
      </c>
      <c r="J35"/>
      <c r="K35"/>
      <c r="L35"/>
      <c r="M35"/>
      <c r="N35"/>
      <c r="O35"/>
      <c r="P35"/>
      <c r="Q35"/>
      <c r="R35"/>
      <c r="S35"/>
      <c r="T35"/>
    </row>
    <row r="36" spans="1:20" x14ac:dyDescent="0.15">
      <c r="A36"/>
      <c r="B36"/>
      <c r="C36" t="s">
        <v>315</v>
      </c>
      <c r="D36" t="s">
        <v>316</v>
      </c>
      <c r="E36" t="s">
        <v>317</v>
      </c>
      <c r="F36"/>
      <c r="G36" t="s">
        <v>318</v>
      </c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x14ac:dyDescent="0.15">
      <c r="A37"/>
      <c r="B37">
        <v>11</v>
      </c>
      <c r="C37">
        <v>1.2999999999999999E-2</v>
      </c>
      <c r="D37">
        <v>0.11799999999999999</v>
      </c>
      <c r="E37">
        <v>5.07</v>
      </c>
      <c r="F37" s="91" t="s">
        <v>299</v>
      </c>
      <c r="G37">
        <v>251</v>
      </c>
      <c r="H37">
        <v>29.62</v>
      </c>
      <c r="I37">
        <v>3.49</v>
      </c>
      <c r="J37"/>
      <c r="K37"/>
      <c r="L37"/>
      <c r="M37"/>
      <c r="N37"/>
      <c r="O37"/>
      <c r="P37"/>
      <c r="Q37"/>
      <c r="R37"/>
      <c r="S37"/>
      <c r="T37"/>
    </row>
    <row r="38" spans="1:20" x14ac:dyDescent="0.15">
      <c r="A38"/>
      <c r="B38">
        <v>10</v>
      </c>
      <c r="C38">
        <v>8.9999999999999993E-3</v>
      </c>
      <c r="D38">
        <v>0.105</v>
      </c>
      <c r="E38">
        <v>3.8</v>
      </c>
      <c r="F38" s="91" t="s">
        <v>294</v>
      </c>
      <c r="G38">
        <v>640</v>
      </c>
      <c r="H38">
        <v>67.2</v>
      </c>
      <c r="I38">
        <v>7.06</v>
      </c>
      <c r="J38"/>
      <c r="K38"/>
      <c r="L38"/>
      <c r="M38"/>
      <c r="N38"/>
      <c r="O38"/>
      <c r="P38"/>
      <c r="Q38"/>
      <c r="R38"/>
      <c r="S38"/>
      <c r="T38"/>
    </row>
    <row r="39" spans="1:20" x14ac:dyDescent="0.15">
      <c r="A39"/>
      <c r="B39">
        <v>9</v>
      </c>
      <c r="C39">
        <v>1.0999999999999999E-2</v>
      </c>
      <c r="D39">
        <v>9.6000000000000002E-2</v>
      </c>
      <c r="E39">
        <v>3.8</v>
      </c>
      <c r="F39" s="91" t="s">
        <v>296</v>
      </c>
      <c r="G39">
        <v>454</v>
      </c>
      <c r="H39">
        <v>43.58</v>
      </c>
      <c r="I39">
        <v>4.18</v>
      </c>
      <c r="J39"/>
      <c r="K39"/>
      <c r="L39"/>
      <c r="M39"/>
      <c r="N39"/>
      <c r="O39"/>
      <c r="P39"/>
      <c r="Q39"/>
      <c r="R39"/>
      <c r="S39"/>
      <c r="T39"/>
    </row>
    <row r="40" spans="1:20" x14ac:dyDescent="0.15">
      <c r="A40"/>
      <c r="B40">
        <v>8</v>
      </c>
      <c r="C40">
        <v>1.2E-2</v>
      </c>
      <c r="D40">
        <v>8.5000000000000006E-2</v>
      </c>
      <c r="E40">
        <v>3.8</v>
      </c>
      <c r="F40" s="91" t="s">
        <v>300</v>
      </c>
      <c r="G40">
        <v>455</v>
      </c>
      <c r="H40">
        <v>38.68</v>
      </c>
      <c r="I40">
        <v>3.29</v>
      </c>
      <c r="J40"/>
      <c r="K40"/>
      <c r="L40"/>
      <c r="M40"/>
      <c r="N40"/>
      <c r="O40"/>
      <c r="P40"/>
      <c r="Q40"/>
      <c r="R40"/>
      <c r="S40"/>
      <c r="T40"/>
    </row>
    <row r="41" spans="1:20" x14ac:dyDescent="0.15">
      <c r="A41"/>
      <c r="B41">
        <v>7</v>
      </c>
      <c r="C41">
        <v>1.0999999999999999E-2</v>
      </c>
      <c r="D41">
        <v>7.2999999999999995E-2</v>
      </c>
      <c r="E41">
        <v>3.8</v>
      </c>
      <c r="F41" s="91" t="s">
        <v>296</v>
      </c>
      <c r="G41">
        <v>460</v>
      </c>
      <c r="H41">
        <v>33.58</v>
      </c>
      <c r="I41">
        <v>2.4500000000000002</v>
      </c>
      <c r="J41"/>
      <c r="K41"/>
      <c r="L41"/>
      <c r="M41"/>
      <c r="N41"/>
      <c r="O41"/>
      <c r="P41"/>
      <c r="Q41"/>
      <c r="R41"/>
      <c r="S41"/>
      <c r="T41"/>
    </row>
    <row r="42" spans="1:20" x14ac:dyDescent="0.15">
      <c r="A42"/>
      <c r="B42">
        <v>6</v>
      </c>
      <c r="C42">
        <v>0.01</v>
      </c>
      <c r="D42">
        <v>6.2E-2</v>
      </c>
      <c r="E42">
        <v>3.8</v>
      </c>
      <c r="F42" s="91" t="s">
        <v>295</v>
      </c>
      <c r="G42">
        <v>467</v>
      </c>
      <c r="H42">
        <v>28.95</v>
      </c>
      <c r="I42">
        <v>1.8</v>
      </c>
      <c r="J42"/>
      <c r="K42"/>
      <c r="L42"/>
      <c r="M42"/>
      <c r="N42"/>
      <c r="O42"/>
      <c r="P42"/>
      <c r="Q42"/>
      <c r="R42"/>
      <c r="S42"/>
      <c r="T42"/>
    </row>
    <row r="43" spans="1:20" x14ac:dyDescent="0.15">
      <c r="A43"/>
      <c r="B43">
        <v>5</v>
      </c>
      <c r="C43">
        <v>0.01</v>
      </c>
      <c r="D43">
        <v>5.1999999999999998E-2</v>
      </c>
      <c r="E43">
        <v>3.8</v>
      </c>
      <c r="F43" s="91" t="s">
        <v>295</v>
      </c>
      <c r="G43">
        <v>469</v>
      </c>
      <c r="H43">
        <v>24.39</v>
      </c>
      <c r="I43">
        <v>1.27</v>
      </c>
      <c r="J43"/>
      <c r="K43"/>
      <c r="L43"/>
      <c r="M43"/>
      <c r="N43"/>
      <c r="O43"/>
      <c r="P43"/>
      <c r="Q43"/>
      <c r="R43"/>
      <c r="S43"/>
      <c r="T43"/>
    </row>
    <row r="44" spans="1:20" x14ac:dyDescent="0.15">
      <c r="A44"/>
      <c r="B44">
        <v>4</v>
      </c>
      <c r="C44">
        <v>0.01</v>
      </c>
      <c r="D44">
        <v>4.2000000000000003E-2</v>
      </c>
      <c r="E44">
        <v>3.8</v>
      </c>
      <c r="F44" s="91" t="s">
        <v>295</v>
      </c>
      <c r="G44">
        <v>471</v>
      </c>
      <c r="H44">
        <v>19.78</v>
      </c>
      <c r="I44">
        <v>0.83</v>
      </c>
      <c r="J44"/>
      <c r="K44"/>
      <c r="L44"/>
      <c r="M44"/>
      <c r="N44"/>
      <c r="O44"/>
      <c r="P44"/>
      <c r="Q44"/>
      <c r="R44"/>
      <c r="S44"/>
      <c r="T44"/>
    </row>
    <row r="45" spans="1:20" x14ac:dyDescent="0.15">
      <c r="A45"/>
      <c r="B45">
        <v>3</v>
      </c>
      <c r="C45">
        <v>0.01</v>
      </c>
      <c r="D45">
        <v>3.2000000000000001E-2</v>
      </c>
      <c r="E45">
        <v>3.8</v>
      </c>
      <c r="F45" s="91" t="s">
        <v>295</v>
      </c>
      <c r="G45">
        <v>475</v>
      </c>
      <c r="H45">
        <v>15.2</v>
      </c>
      <c r="I45">
        <v>0.49</v>
      </c>
      <c r="J45"/>
      <c r="K45"/>
      <c r="L45"/>
      <c r="M45"/>
      <c r="N45"/>
      <c r="O45"/>
      <c r="P45"/>
      <c r="Q45"/>
      <c r="R45"/>
      <c r="S45"/>
      <c r="T45"/>
    </row>
    <row r="46" spans="1:20" x14ac:dyDescent="0.15">
      <c r="A46"/>
      <c r="B46">
        <v>2</v>
      </c>
      <c r="C46">
        <v>0.01</v>
      </c>
      <c r="D46">
        <v>2.1999999999999999E-2</v>
      </c>
      <c r="E46">
        <v>3.8</v>
      </c>
      <c r="F46" s="91" t="s">
        <v>295</v>
      </c>
      <c r="G46">
        <v>477</v>
      </c>
      <c r="H46">
        <v>10.49</v>
      </c>
      <c r="I46">
        <v>0.23</v>
      </c>
      <c r="J46"/>
      <c r="K46"/>
      <c r="L46"/>
      <c r="M46"/>
      <c r="N46"/>
      <c r="O46"/>
      <c r="P46"/>
      <c r="Q46"/>
      <c r="R46"/>
      <c r="S46"/>
      <c r="T46"/>
    </row>
    <row r="47" spans="1:20" x14ac:dyDescent="0.15">
      <c r="A47"/>
      <c r="B47">
        <v>1</v>
      </c>
      <c r="C47">
        <v>1.2E-2</v>
      </c>
      <c r="D47">
        <v>1.2E-2</v>
      </c>
      <c r="E47">
        <v>4.7300000000000004</v>
      </c>
      <c r="F47" s="91" t="s">
        <v>301</v>
      </c>
      <c r="G47">
        <v>481</v>
      </c>
      <c r="H47">
        <v>5.77</v>
      </c>
      <c r="I47">
        <v>7.0000000000000007E-2</v>
      </c>
      <c r="J47"/>
      <c r="K47"/>
      <c r="L47"/>
      <c r="M47"/>
      <c r="N47"/>
      <c r="O47"/>
      <c r="P47"/>
      <c r="Q47"/>
      <c r="R47"/>
      <c r="S47"/>
      <c r="T47"/>
    </row>
    <row r="48" spans="1:20" x14ac:dyDescent="0.15">
      <c r="A48"/>
      <c r="B48"/>
      <c r="C48"/>
      <c r="D48"/>
      <c r="E48"/>
      <c r="F48"/>
      <c r="G48">
        <v>5100</v>
      </c>
      <c r="H48">
        <v>317.25</v>
      </c>
      <c r="I48">
        <v>25.15</v>
      </c>
      <c r="J48"/>
      <c r="K48"/>
      <c r="L48"/>
      <c r="M48"/>
      <c r="N48"/>
      <c r="O48"/>
      <c r="P48"/>
      <c r="Q48"/>
      <c r="R48"/>
      <c r="S48"/>
      <c r="T48"/>
    </row>
    <row r="49" spans="1:20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x14ac:dyDescent="0.15">
      <c r="A50"/>
      <c r="B50"/>
      <c r="C50" t="s">
        <v>305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x14ac:dyDescent="0.15">
      <c r="A52"/>
      <c r="B52"/>
      <c r="C52" t="s">
        <v>306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x14ac:dyDescent="0.15">
      <c r="A54"/>
      <c r="B54"/>
      <c r="C54" t="s">
        <v>307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2"/>
  <pageMargins left="0.25" right="0.25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d_period">
                <anchor moveWithCells="1" sizeWithCells="1">
                  <from>
                    <xdr:col>3</xdr:col>
                    <xdr:colOff>276225</xdr:colOff>
                    <xdr:row>1</xdr:row>
                    <xdr:rowOff>38100</xdr:rowOff>
                  </from>
                  <to>
                    <xdr:col>4</xdr:col>
                    <xdr:colOff>333375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FAEE2-CCD6-440D-9AD8-5CE7611EE841}">
  <sheetPr codeName="Sheet23"/>
  <dimension ref="A1:GR266"/>
  <sheetViews>
    <sheetView tabSelected="1" topLeftCell="A34" zoomScaleNormal="100" workbookViewId="0">
      <selection activeCell="E53" sqref="E53"/>
    </sheetView>
  </sheetViews>
  <sheetFormatPr defaultColWidth="17.85546875" defaultRowHeight="14.25" x14ac:dyDescent="0.15"/>
  <cols>
    <col min="1" max="1" width="5.28515625" style="65" customWidth="1"/>
    <col min="2" max="3" width="9.85546875" style="65" customWidth="1"/>
    <col min="4" max="4" width="11" style="65" customWidth="1"/>
    <col min="5" max="8" width="9.85546875" style="65" customWidth="1"/>
    <col min="9" max="17" width="8.7109375" style="65" customWidth="1"/>
    <col min="18" max="18" width="11" style="65" customWidth="1"/>
    <col min="19" max="19" width="17.42578125" style="65" customWidth="1"/>
    <col min="20" max="54" width="11" style="65" customWidth="1"/>
    <col min="55" max="256" width="17.85546875" style="65"/>
    <col min="257" max="257" width="5.28515625" style="65" customWidth="1"/>
    <col min="258" max="310" width="11" style="65" customWidth="1"/>
    <col min="311" max="512" width="17.85546875" style="65"/>
    <col min="513" max="513" width="5.28515625" style="65" customWidth="1"/>
    <col min="514" max="566" width="11" style="65" customWidth="1"/>
    <col min="567" max="768" width="17.85546875" style="65"/>
    <col min="769" max="769" width="5.28515625" style="65" customWidth="1"/>
    <col min="770" max="822" width="11" style="65" customWidth="1"/>
    <col min="823" max="1024" width="17.85546875" style="65"/>
    <col min="1025" max="1025" width="5.28515625" style="65" customWidth="1"/>
    <col min="1026" max="1078" width="11" style="65" customWidth="1"/>
    <col min="1079" max="1280" width="17.85546875" style="65"/>
    <col min="1281" max="1281" width="5.28515625" style="65" customWidth="1"/>
    <col min="1282" max="1334" width="11" style="65" customWidth="1"/>
    <col min="1335" max="1536" width="17.85546875" style="65"/>
    <col min="1537" max="1537" width="5.28515625" style="65" customWidth="1"/>
    <col min="1538" max="1590" width="11" style="65" customWidth="1"/>
    <col min="1591" max="1792" width="17.85546875" style="65"/>
    <col min="1793" max="1793" width="5.28515625" style="65" customWidth="1"/>
    <col min="1794" max="1846" width="11" style="65" customWidth="1"/>
    <col min="1847" max="2048" width="17.85546875" style="65"/>
    <col min="2049" max="2049" width="5.28515625" style="65" customWidth="1"/>
    <col min="2050" max="2102" width="11" style="65" customWidth="1"/>
    <col min="2103" max="2304" width="17.85546875" style="65"/>
    <col min="2305" max="2305" width="5.28515625" style="65" customWidth="1"/>
    <col min="2306" max="2358" width="11" style="65" customWidth="1"/>
    <col min="2359" max="2560" width="17.85546875" style="65"/>
    <col min="2561" max="2561" width="5.28515625" style="65" customWidth="1"/>
    <col min="2562" max="2614" width="11" style="65" customWidth="1"/>
    <col min="2615" max="2816" width="17.85546875" style="65"/>
    <col min="2817" max="2817" width="5.28515625" style="65" customWidth="1"/>
    <col min="2818" max="2870" width="11" style="65" customWidth="1"/>
    <col min="2871" max="3072" width="17.85546875" style="65"/>
    <col min="3073" max="3073" width="5.28515625" style="65" customWidth="1"/>
    <col min="3074" max="3126" width="11" style="65" customWidth="1"/>
    <col min="3127" max="3328" width="17.85546875" style="65"/>
    <col min="3329" max="3329" width="5.28515625" style="65" customWidth="1"/>
    <col min="3330" max="3382" width="11" style="65" customWidth="1"/>
    <col min="3383" max="3584" width="17.85546875" style="65"/>
    <col min="3585" max="3585" width="5.28515625" style="65" customWidth="1"/>
    <col min="3586" max="3638" width="11" style="65" customWidth="1"/>
    <col min="3639" max="3840" width="17.85546875" style="65"/>
    <col min="3841" max="3841" width="5.28515625" style="65" customWidth="1"/>
    <col min="3842" max="3894" width="11" style="65" customWidth="1"/>
    <col min="3895" max="4096" width="17.85546875" style="65"/>
    <col min="4097" max="4097" width="5.28515625" style="65" customWidth="1"/>
    <col min="4098" max="4150" width="11" style="65" customWidth="1"/>
    <col min="4151" max="4352" width="17.85546875" style="65"/>
    <col min="4353" max="4353" width="5.28515625" style="65" customWidth="1"/>
    <col min="4354" max="4406" width="11" style="65" customWidth="1"/>
    <col min="4407" max="4608" width="17.85546875" style="65"/>
    <col min="4609" max="4609" width="5.28515625" style="65" customWidth="1"/>
    <col min="4610" max="4662" width="11" style="65" customWidth="1"/>
    <col min="4663" max="4864" width="17.85546875" style="65"/>
    <col min="4865" max="4865" width="5.28515625" style="65" customWidth="1"/>
    <col min="4866" max="4918" width="11" style="65" customWidth="1"/>
    <col min="4919" max="5120" width="17.85546875" style="65"/>
    <col min="5121" max="5121" width="5.28515625" style="65" customWidth="1"/>
    <col min="5122" max="5174" width="11" style="65" customWidth="1"/>
    <col min="5175" max="5376" width="17.85546875" style="65"/>
    <col min="5377" max="5377" width="5.28515625" style="65" customWidth="1"/>
    <col min="5378" max="5430" width="11" style="65" customWidth="1"/>
    <col min="5431" max="5632" width="17.85546875" style="65"/>
    <col min="5633" max="5633" width="5.28515625" style="65" customWidth="1"/>
    <col min="5634" max="5686" width="11" style="65" customWidth="1"/>
    <col min="5687" max="5888" width="17.85546875" style="65"/>
    <col min="5889" max="5889" width="5.28515625" style="65" customWidth="1"/>
    <col min="5890" max="5942" width="11" style="65" customWidth="1"/>
    <col min="5943" max="6144" width="17.85546875" style="65"/>
    <col min="6145" max="6145" width="5.28515625" style="65" customWidth="1"/>
    <col min="6146" max="6198" width="11" style="65" customWidth="1"/>
    <col min="6199" max="6400" width="17.85546875" style="65"/>
    <col min="6401" max="6401" width="5.28515625" style="65" customWidth="1"/>
    <col min="6402" max="6454" width="11" style="65" customWidth="1"/>
    <col min="6455" max="6656" width="17.85546875" style="65"/>
    <col min="6657" max="6657" width="5.28515625" style="65" customWidth="1"/>
    <col min="6658" max="6710" width="11" style="65" customWidth="1"/>
    <col min="6711" max="6912" width="17.85546875" style="65"/>
    <col min="6913" max="6913" width="5.28515625" style="65" customWidth="1"/>
    <col min="6914" max="6966" width="11" style="65" customWidth="1"/>
    <col min="6967" max="7168" width="17.85546875" style="65"/>
    <col min="7169" max="7169" width="5.28515625" style="65" customWidth="1"/>
    <col min="7170" max="7222" width="11" style="65" customWidth="1"/>
    <col min="7223" max="7424" width="17.85546875" style="65"/>
    <col min="7425" max="7425" width="5.28515625" style="65" customWidth="1"/>
    <col min="7426" max="7478" width="11" style="65" customWidth="1"/>
    <col min="7479" max="7680" width="17.85546875" style="65"/>
    <col min="7681" max="7681" width="5.28515625" style="65" customWidth="1"/>
    <col min="7682" max="7734" width="11" style="65" customWidth="1"/>
    <col min="7735" max="7936" width="17.85546875" style="65"/>
    <col min="7937" max="7937" width="5.28515625" style="65" customWidth="1"/>
    <col min="7938" max="7990" width="11" style="65" customWidth="1"/>
    <col min="7991" max="8192" width="17.85546875" style="65"/>
    <col min="8193" max="8193" width="5.28515625" style="65" customWidth="1"/>
    <col min="8194" max="8246" width="11" style="65" customWidth="1"/>
    <col min="8247" max="8448" width="17.85546875" style="65"/>
    <col min="8449" max="8449" width="5.28515625" style="65" customWidth="1"/>
    <col min="8450" max="8502" width="11" style="65" customWidth="1"/>
    <col min="8503" max="8704" width="17.85546875" style="65"/>
    <col min="8705" max="8705" width="5.28515625" style="65" customWidth="1"/>
    <col min="8706" max="8758" width="11" style="65" customWidth="1"/>
    <col min="8759" max="8960" width="17.85546875" style="65"/>
    <col min="8961" max="8961" width="5.28515625" style="65" customWidth="1"/>
    <col min="8962" max="9014" width="11" style="65" customWidth="1"/>
    <col min="9015" max="9216" width="17.85546875" style="65"/>
    <col min="9217" max="9217" width="5.28515625" style="65" customWidth="1"/>
    <col min="9218" max="9270" width="11" style="65" customWidth="1"/>
    <col min="9271" max="9472" width="17.85546875" style="65"/>
    <col min="9473" max="9473" width="5.28515625" style="65" customWidth="1"/>
    <col min="9474" max="9526" width="11" style="65" customWidth="1"/>
    <col min="9527" max="9728" width="17.85546875" style="65"/>
    <col min="9729" max="9729" width="5.28515625" style="65" customWidth="1"/>
    <col min="9730" max="9782" width="11" style="65" customWidth="1"/>
    <col min="9783" max="9984" width="17.85546875" style="65"/>
    <col min="9985" max="9985" width="5.28515625" style="65" customWidth="1"/>
    <col min="9986" max="10038" width="11" style="65" customWidth="1"/>
    <col min="10039" max="10240" width="17.85546875" style="65"/>
    <col min="10241" max="10241" width="5.28515625" style="65" customWidth="1"/>
    <col min="10242" max="10294" width="11" style="65" customWidth="1"/>
    <col min="10295" max="10496" width="17.85546875" style="65"/>
    <col min="10497" max="10497" width="5.28515625" style="65" customWidth="1"/>
    <col min="10498" max="10550" width="11" style="65" customWidth="1"/>
    <col min="10551" max="10752" width="17.85546875" style="65"/>
    <col min="10753" max="10753" width="5.28515625" style="65" customWidth="1"/>
    <col min="10754" max="10806" width="11" style="65" customWidth="1"/>
    <col min="10807" max="11008" width="17.85546875" style="65"/>
    <col min="11009" max="11009" width="5.28515625" style="65" customWidth="1"/>
    <col min="11010" max="11062" width="11" style="65" customWidth="1"/>
    <col min="11063" max="11264" width="17.85546875" style="65"/>
    <col min="11265" max="11265" width="5.28515625" style="65" customWidth="1"/>
    <col min="11266" max="11318" width="11" style="65" customWidth="1"/>
    <col min="11319" max="11520" width="17.85546875" style="65"/>
    <col min="11521" max="11521" width="5.28515625" style="65" customWidth="1"/>
    <col min="11522" max="11574" width="11" style="65" customWidth="1"/>
    <col min="11575" max="11776" width="17.85546875" style="65"/>
    <col min="11777" max="11777" width="5.28515625" style="65" customWidth="1"/>
    <col min="11778" max="11830" width="11" style="65" customWidth="1"/>
    <col min="11831" max="12032" width="17.85546875" style="65"/>
    <col min="12033" max="12033" width="5.28515625" style="65" customWidth="1"/>
    <col min="12034" max="12086" width="11" style="65" customWidth="1"/>
    <col min="12087" max="12288" width="17.85546875" style="65"/>
    <col min="12289" max="12289" width="5.28515625" style="65" customWidth="1"/>
    <col min="12290" max="12342" width="11" style="65" customWidth="1"/>
    <col min="12343" max="12544" width="17.85546875" style="65"/>
    <col min="12545" max="12545" width="5.28515625" style="65" customWidth="1"/>
    <col min="12546" max="12598" width="11" style="65" customWidth="1"/>
    <col min="12599" max="12800" width="17.85546875" style="65"/>
    <col min="12801" max="12801" width="5.28515625" style="65" customWidth="1"/>
    <col min="12802" max="12854" width="11" style="65" customWidth="1"/>
    <col min="12855" max="13056" width="17.85546875" style="65"/>
    <col min="13057" max="13057" width="5.28515625" style="65" customWidth="1"/>
    <col min="13058" max="13110" width="11" style="65" customWidth="1"/>
    <col min="13111" max="13312" width="17.85546875" style="65"/>
    <col min="13313" max="13313" width="5.28515625" style="65" customWidth="1"/>
    <col min="13314" max="13366" width="11" style="65" customWidth="1"/>
    <col min="13367" max="13568" width="17.85546875" style="65"/>
    <col min="13569" max="13569" width="5.28515625" style="65" customWidth="1"/>
    <col min="13570" max="13622" width="11" style="65" customWidth="1"/>
    <col min="13623" max="13824" width="17.85546875" style="65"/>
    <col min="13825" max="13825" width="5.28515625" style="65" customWidth="1"/>
    <col min="13826" max="13878" width="11" style="65" customWidth="1"/>
    <col min="13879" max="14080" width="17.85546875" style="65"/>
    <col min="14081" max="14081" width="5.28515625" style="65" customWidth="1"/>
    <col min="14082" max="14134" width="11" style="65" customWidth="1"/>
    <col min="14135" max="14336" width="17.85546875" style="65"/>
    <col min="14337" max="14337" width="5.28515625" style="65" customWidth="1"/>
    <col min="14338" max="14390" width="11" style="65" customWidth="1"/>
    <col min="14391" max="14592" width="17.85546875" style="65"/>
    <col min="14593" max="14593" width="5.28515625" style="65" customWidth="1"/>
    <col min="14594" max="14646" width="11" style="65" customWidth="1"/>
    <col min="14647" max="14848" width="17.85546875" style="65"/>
    <col min="14849" max="14849" width="5.28515625" style="65" customWidth="1"/>
    <col min="14850" max="14902" width="11" style="65" customWidth="1"/>
    <col min="14903" max="15104" width="17.85546875" style="65"/>
    <col min="15105" max="15105" width="5.28515625" style="65" customWidth="1"/>
    <col min="15106" max="15158" width="11" style="65" customWidth="1"/>
    <col min="15159" max="15360" width="17.85546875" style="65"/>
    <col min="15361" max="15361" width="5.28515625" style="65" customWidth="1"/>
    <col min="15362" max="15414" width="11" style="65" customWidth="1"/>
    <col min="15415" max="15616" width="17.85546875" style="65"/>
    <col min="15617" max="15617" width="5.28515625" style="65" customWidth="1"/>
    <col min="15618" max="15670" width="11" style="65" customWidth="1"/>
    <col min="15671" max="15872" width="17.85546875" style="65"/>
    <col min="15873" max="15873" width="5.28515625" style="65" customWidth="1"/>
    <col min="15874" max="15926" width="11" style="65" customWidth="1"/>
    <col min="15927" max="16128" width="17.85546875" style="65"/>
    <col min="16129" max="16129" width="5.28515625" style="65" customWidth="1"/>
    <col min="16130" max="16182" width="11" style="65" customWidth="1"/>
    <col min="16183" max="16384" width="17.85546875" style="65"/>
  </cols>
  <sheetData>
    <row r="1" spans="1:200" x14ac:dyDescent="0.15">
      <c r="A1" s="65">
        <v>1</v>
      </c>
      <c r="B1" s="65">
        <v>2</v>
      </c>
      <c r="C1" s="65">
        <v>3</v>
      </c>
      <c r="D1" s="65">
        <v>4</v>
      </c>
      <c r="E1" s="65">
        <v>5</v>
      </c>
      <c r="F1" s="65">
        <v>6</v>
      </c>
      <c r="G1" s="65">
        <v>7</v>
      </c>
    </row>
    <row r="2" spans="1:200" x14ac:dyDescent="0.15">
      <c r="B2" s="65" t="s">
        <v>212</v>
      </c>
      <c r="L2" s="65" t="s">
        <v>259</v>
      </c>
    </row>
    <row r="4" spans="1:200" x14ac:dyDescent="0.15">
      <c r="B4" s="82" t="s">
        <v>0</v>
      </c>
      <c r="C4" s="82" t="s">
        <v>144</v>
      </c>
      <c r="D4" s="82" t="s">
        <v>151</v>
      </c>
      <c r="E4" s="82" t="s">
        <v>255</v>
      </c>
      <c r="F4" s="82" t="s">
        <v>256</v>
      </c>
      <c r="G4" s="82" t="s">
        <v>140</v>
      </c>
      <c r="L4" s="80" t="s">
        <v>266</v>
      </c>
      <c r="M4" s="81">
        <f>+C5</f>
        <v>1.2359999418258667</v>
      </c>
    </row>
    <row r="5" spans="1:200" x14ac:dyDescent="0.15">
      <c r="B5" s="82">
        <f>損傷限界固有周期!E5</f>
        <v>11</v>
      </c>
      <c r="C5" s="85">
        <f>損傷限界固有周期!H9</f>
        <v>1.2359999418258667</v>
      </c>
      <c r="D5" s="85">
        <f>損傷限界固有周期!H10</f>
        <v>1.3940000534057617</v>
      </c>
      <c r="E5" s="82">
        <f>損傷限界固有周期!E10</f>
        <v>3826</v>
      </c>
      <c r="F5" s="82">
        <f>損傷限界固有周期!E11</f>
        <v>4001</v>
      </c>
      <c r="G5" s="82">
        <f>損傷限界固有周期!E9</f>
        <v>5100</v>
      </c>
      <c r="L5" s="65" t="str">
        <f>IF(C5&lt;=0.16,"Pdi=","")</f>
        <v/>
      </c>
      <c r="M5" s="65" t="s">
        <v>260</v>
      </c>
      <c r="R5" s="65" t="s">
        <v>263</v>
      </c>
    </row>
    <row r="6" spans="1:200" x14ac:dyDescent="0.15">
      <c r="L6" s="80" t="str">
        <f>IF(C5&lt;=0.64,IF(C5&gt;0.16,"Pdi=",""),"")</f>
        <v/>
      </c>
      <c r="M6" s="65" t="s">
        <v>261</v>
      </c>
      <c r="Q6" s="65">
        <v>0.16</v>
      </c>
      <c r="R6" s="65" t="s">
        <v>265</v>
      </c>
    </row>
    <row r="7" spans="1:200" x14ac:dyDescent="0.15">
      <c r="B7" s="65" t="s">
        <v>226</v>
      </c>
      <c r="L7" s="80" t="str">
        <f>IF(C5&gt;0.64,"Pdi=","")</f>
        <v>Pdi=</v>
      </c>
      <c r="M7" s="65" t="s">
        <v>267</v>
      </c>
      <c r="Q7" s="65">
        <v>0.64</v>
      </c>
      <c r="R7" s="65" t="s">
        <v>264</v>
      </c>
    </row>
    <row r="8" spans="1:200" x14ac:dyDescent="0.1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200" x14ac:dyDescent="0.15">
      <c r="B9" s="22" t="s">
        <v>0</v>
      </c>
      <c r="C9" s="11" t="s">
        <v>224</v>
      </c>
      <c r="D9" s="11"/>
      <c r="E9" s="11" t="s">
        <v>225</v>
      </c>
      <c r="F9" s="11"/>
      <c r="G9" s="11"/>
      <c r="H9" s="11"/>
      <c r="I9" s="11"/>
      <c r="J9" s="11"/>
      <c r="K9" s="11"/>
      <c r="M9" s="82" t="s">
        <v>195</v>
      </c>
      <c r="N9" s="82" t="s">
        <v>123</v>
      </c>
      <c r="O9" s="82" t="s">
        <v>258</v>
      </c>
      <c r="P9" s="82" t="s">
        <v>268</v>
      </c>
      <c r="S9" s="11"/>
    </row>
    <row r="10" spans="1:200" x14ac:dyDescent="0.15">
      <c r="B10" s="22">
        <v>1</v>
      </c>
      <c r="C10" s="11" t="s">
        <v>106</v>
      </c>
      <c r="D10" s="11"/>
      <c r="E10" s="26">
        <v>0.8</v>
      </c>
      <c r="F10" s="11"/>
      <c r="G10" s="11"/>
      <c r="H10" s="11"/>
      <c r="I10" s="11"/>
      <c r="J10" s="11"/>
      <c r="K10" s="11"/>
      <c r="M10" s="82" cm="1">
        <f t="array" ref="M10">Pdi_alf(M4)</f>
        <v>0.8284790033948608</v>
      </c>
      <c r="N10" s="82">
        <f>損傷限界固有周期!E6</f>
        <v>1</v>
      </c>
      <c r="O10" s="82">
        <f>C52</f>
        <v>2.0249999999999999</v>
      </c>
      <c r="P10" s="82">
        <f>M10*N10*O10</f>
        <v>1.677669981874593</v>
      </c>
      <c r="S10" s="11"/>
    </row>
    <row r="11" spans="1:200" x14ac:dyDescent="0.15">
      <c r="B11" s="22">
        <v>2</v>
      </c>
      <c r="C11" s="11" t="s">
        <v>107</v>
      </c>
      <c r="D11" s="11"/>
      <c r="E11" s="26">
        <v>0.85</v>
      </c>
      <c r="F11" s="11"/>
      <c r="G11" s="11"/>
      <c r="H11" s="11"/>
      <c r="I11" s="11"/>
      <c r="J11" s="11"/>
      <c r="K11" s="11"/>
      <c r="S11" s="11"/>
    </row>
    <row r="12" spans="1:200" x14ac:dyDescent="0.15">
      <c r="B12" s="22">
        <v>3</v>
      </c>
      <c r="C12" s="11" t="s">
        <v>108</v>
      </c>
      <c r="D12" s="11"/>
      <c r="E12" s="26">
        <v>0.9</v>
      </c>
      <c r="F12" s="11"/>
      <c r="G12" s="11"/>
      <c r="H12" s="11"/>
      <c r="I12" s="11"/>
      <c r="J12" s="11"/>
      <c r="L12" s="80"/>
      <c r="M12" s="81"/>
      <c r="S12" s="11"/>
    </row>
    <row r="13" spans="1:200" x14ac:dyDescent="0.15">
      <c r="B13" s="22">
        <v>4</v>
      </c>
      <c r="C13" s="11" t="s">
        <v>109</v>
      </c>
      <c r="D13" s="11"/>
      <c r="E13" s="26">
        <v>0.95</v>
      </c>
      <c r="F13" s="11"/>
      <c r="G13" s="11"/>
      <c r="H13" s="11"/>
      <c r="I13" s="11"/>
      <c r="J13" s="11"/>
      <c r="L13" s="80" t="s">
        <v>269</v>
      </c>
      <c r="M13" s="78">
        <f>D5</f>
        <v>1.3940000534057617</v>
      </c>
      <c r="S13" s="11"/>
    </row>
    <row r="14" spans="1:200" x14ac:dyDescent="0.15">
      <c r="B14" s="22" t="s">
        <v>105</v>
      </c>
      <c r="C14" s="43">
        <v>1</v>
      </c>
      <c r="D14" s="11"/>
      <c r="E14" s="26">
        <v>1</v>
      </c>
      <c r="F14" s="11"/>
      <c r="G14" s="11"/>
      <c r="H14" s="11"/>
      <c r="I14" s="11"/>
      <c r="J14" s="11"/>
      <c r="L14" s="65" t="str">
        <f>IF(C10&lt;=0.16,"Pdi=","")</f>
        <v/>
      </c>
      <c r="M14" s="65" t="s">
        <v>260</v>
      </c>
      <c r="R14" s="65" t="s">
        <v>263</v>
      </c>
      <c r="S14" s="11"/>
    </row>
    <row r="15" spans="1:200" x14ac:dyDescent="0.15">
      <c r="H15" s="11"/>
      <c r="I15" s="11"/>
      <c r="J15" s="11"/>
      <c r="L15" s="80" t="str">
        <f>IF(C10&lt;=0.64,IF(C10&gt;0.16,"Pdi=",""),"")</f>
        <v/>
      </c>
      <c r="M15" s="65" t="s">
        <v>261</v>
      </c>
      <c r="Q15" s="65">
        <v>0.16</v>
      </c>
      <c r="R15" s="65" t="s">
        <v>265</v>
      </c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</row>
    <row r="16" spans="1:200" x14ac:dyDescent="0.15">
      <c r="B16" s="82"/>
      <c r="C16" s="82" t="s">
        <v>24</v>
      </c>
      <c r="D16" s="82" t="s">
        <v>1</v>
      </c>
      <c r="H16" s="11"/>
      <c r="I16" s="11"/>
      <c r="J16" s="11"/>
      <c r="K16" s="11"/>
      <c r="L16" s="80" t="str">
        <f>IF(C10&gt;0.64,"Pdi=","")</f>
        <v>Pdi=</v>
      </c>
      <c r="M16" s="65" t="s">
        <v>262</v>
      </c>
      <c r="Q16" s="65">
        <v>0.64</v>
      </c>
      <c r="R16" s="65" t="s">
        <v>264</v>
      </c>
      <c r="S16" s="68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</row>
    <row r="17" spans="2:199" x14ac:dyDescent="0.15">
      <c r="B17" s="82" t="s">
        <v>124</v>
      </c>
      <c r="C17" s="86" cm="1">
        <f t="array" ref="C17">bdi_p(B5,C5)</f>
        <v>1</v>
      </c>
      <c r="D17" s="86" cm="1">
        <f t="array" ref="D17">bdi_p(C5,D5)</f>
        <v>1</v>
      </c>
      <c r="G17" s="11"/>
      <c r="H17" s="11"/>
      <c r="I17" s="11"/>
      <c r="J17" s="11"/>
      <c r="K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</row>
    <row r="18" spans="2:199" x14ac:dyDescent="0.15">
      <c r="H18" s="11"/>
      <c r="I18" s="11"/>
      <c r="J18" s="11"/>
      <c r="K18" s="11"/>
      <c r="L18" s="68"/>
      <c r="M18" s="82" t="s">
        <v>195</v>
      </c>
      <c r="N18" s="82" t="s">
        <v>123</v>
      </c>
      <c r="O18" s="82" t="s">
        <v>258</v>
      </c>
      <c r="P18" s="82" t="s">
        <v>268</v>
      </c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</row>
    <row r="19" spans="2:199" x14ac:dyDescent="0.15">
      <c r="B19" s="65" t="s">
        <v>227</v>
      </c>
      <c r="I19" s="11"/>
      <c r="J19" s="11"/>
      <c r="K19" s="11"/>
      <c r="L19" s="68"/>
      <c r="M19" s="82" cm="1">
        <f t="array" ref="M19">Pdi_alf(M13)</f>
        <v>0.73457672938979213</v>
      </c>
      <c r="N19" s="82">
        <f>N10</f>
        <v>1</v>
      </c>
      <c r="O19" s="82">
        <f>D52</f>
        <v>2.0249999999999999</v>
      </c>
      <c r="P19" s="82">
        <f>M19*N19*O19</f>
        <v>1.4875178770143289</v>
      </c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</row>
    <row r="20" spans="2:199" x14ac:dyDescent="0.15">
      <c r="I20" s="11"/>
      <c r="J20" s="11"/>
      <c r="K20" s="11"/>
      <c r="L20" s="68"/>
      <c r="M20" s="69"/>
      <c r="N20" s="70"/>
      <c r="O20" s="71"/>
      <c r="P20" s="7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</row>
    <row r="21" spans="2:199" x14ac:dyDescent="0.15">
      <c r="C21" s="42" t="s">
        <v>110</v>
      </c>
      <c r="D21" s="42" t="s">
        <v>111</v>
      </c>
      <c r="F21" s="42" t="s">
        <v>223</v>
      </c>
      <c r="I21" s="11"/>
      <c r="J21" s="11"/>
      <c r="K21" s="11"/>
      <c r="L21" s="68"/>
      <c r="M21" s="69"/>
      <c r="N21" s="70"/>
      <c r="O21" s="71"/>
      <c r="P21" s="7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</row>
    <row r="22" spans="2:199" x14ac:dyDescent="0.15">
      <c r="C22" s="42"/>
      <c r="D22" s="42" t="s">
        <v>112</v>
      </c>
      <c r="E22" s="11">
        <v>1</v>
      </c>
      <c r="F22" s="11"/>
      <c r="I22" s="11"/>
      <c r="J22" s="11"/>
      <c r="K22" s="11"/>
      <c r="L22" s="68"/>
      <c r="M22" s="69"/>
      <c r="N22" s="70"/>
      <c r="O22" s="71"/>
      <c r="P22" s="7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</row>
    <row r="23" spans="2:199" x14ac:dyDescent="0.15">
      <c r="I23" s="11"/>
      <c r="J23" s="11"/>
      <c r="K23" s="11"/>
      <c r="L23" s="68"/>
      <c r="M23" s="69"/>
      <c r="N23" s="70"/>
      <c r="O23" s="71"/>
      <c r="P23" s="7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</row>
    <row r="24" spans="2:199" x14ac:dyDescent="0.15">
      <c r="B24" s="87"/>
      <c r="C24" s="82" t="s">
        <v>24</v>
      </c>
      <c r="D24" s="82" t="s">
        <v>1</v>
      </c>
      <c r="I24" s="11"/>
      <c r="J24" s="11"/>
      <c r="K24" s="11"/>
      <c r="L24" s="68"/>
      <c r="M24" s="69"/>
      <c r="N24" s="70"/>
      <c r="O24" s="71"/>
      <c r="P24" s="7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</row>
    <row r="25" spans="2:199" x14ac:dyDescent="0.15">
      <c r="B25" s="82" t="s">
        <v>231</v>
      </c>
      <c r="C25" s="86">
        <f>E5/G5</f>
        <v>0.75019607843137259</v>
      </c>
      <c r="D25" s="86">
        <f>F5/G5</f>
        <v>0.78450980392156866</v>
      </c>
      <c r="I25" s="11"/>
      <c r="J25" s="11"/>
      <c r="K25" s="11"/>
      <c r="L25" s="68"/>
      <c r="M25" s="69"/>
      <c r="N25" s="70"/>
      <c r="O25" s="71"/>
      <c r="P25" s="7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</row>
    <row r="26" spans="2:199" x14ac:dyDescent="0.15">
      <c r="B26" s="82" t="s">
        <v>124</v>
      </c>
      <c r="C26" s="86" cm="1">
        <f t="array" ref="C26">bdi_q(E5,G5)</f>
        <v>1</v>
      </c>
      <c r="D26" s="86" cm="1">
        <f t="array" ref="D26">bdi_p(F5,G5)</f>
        <v>1</v>
      </c>
      <c r="I26" s="11"/>
      <c r="J26" s="11"/>
      <c r="K26" s="11"/>
      <c r="L26" s="68"/>
      <c r="M26" s="69"/>
      <c r="N26" s="70"/>
      <c r="O26" s="71"/>
      <c r="P26" s="7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</row>
    <row r="27" spans="2:199" x14ac:dyDescent="0.15">
      <c r="I27" s="11"/>
      <c r="J27" s="11"/>
      <c r="K27" s="11"/>
      <c r="L27" s="68"/>
      <c r="M27" s="69"/>
      <c r="N27" s="70"/>
      <c r="O27" s="71"/>
      <c r="P27" s="7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</row>
    <row r="28" spans="2:199" x14ac:dyDescent="0.15">
      <c r="B28" s="65" t="s">
        <v>232</v>
      </c>
      <c r="I28" s="11"/>
      <c r="J28" s="11"/>
      <c r="K28" s="11"/>
      <c r="L28" s="68"/>
      <c r="M28" s="69"/>
      <c r="N28" s="70"/>
      <c r="O28" s="71"/>
      <c r="P28" s="7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</row>
    <row r="29" spans="2:199" x14ac:dyDescent="0.15">
      <c r="I29" s="11"/>
      <c r="J29" s="11"/>
      <c r="K29" s="11"/>
      <c r="L29" s="68"/>
      <c r="M29" s="69"/>
      <c r="N29" s="70"/>
      <c r="O29" s="71"/>
      <c r="P29" s="7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</row>
    <row r="30" spans="2:199" x14ac:dyDescent="0.15">
      <c r="B30" s="65" t="s">
        <v>233</v>
      </c>
      <c r="I30" s="11"/>
      <c r="J30" s="11"/>
      <c r="K30" s="11"/>
      <c r="L30" s="68"/>
      <c r="M30" s="69"/>
      <c r="N30" s="70"/>
      <c r="O30" s="71"/>
      <c r="P30" s="7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</row>
    <row r="31" spans="2:199" x14ac:dyDescent="0.15">
      <c r="F31" s="65" t="s">
        <v>238</v>
      </c>
      <c r="G31" s="65" t="s">
        <v>240</v>
      </c>
      <c r="I31" s="11"/>
      <c r="J31" s="11"/>
      <c r="K31" s="11"/>
      <c r="L31" s="68"/>
      <c r="M31" s="69"/>
      <c r="N31" s="70"/>
      <c r="O31" s="71"/>
      <c r="P31" s="7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</row>
    <row r="32" spans="2:199" x14ac:dyDescent="0.15">
      <c r="B32" s="65" t="s">
        <v>242</v>
      </c>
      <c r="F32" s="65" t="s">
        <v>239</v>
      </c>
      <c r="G32" s="65" t="s">
        <v>241</v>
      </c>
      <c r="J32" s="11"/>
      <c r="K32" s="11"/>
      <c r="L32" s="68"/>
      <c r="M32" s="69"/>
      <c r="N32" s="70"/>
      <c r="O32" s="71"/>
      <c r="P32" s="7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</row>
    <row r="33" spans="2:200" x14ac:dyDescent="0.15">
      <c r="B33" s="65" t="s">
        <v>243</v>
      </c>
      <c r="D33" s="65" t="s">
        <v>247</v>
      </c>
      <c r="F33" s="65" t="s">
        <v>234</v>
      </c>
      <c r="H33" s="65" t="s">
        <v>247</v>
      </c>
      <c r="J33" s="11"/>
      <c r="K33" s="11"/>
      <c r="L33" s="11"/>
      <c r="M33" s="11"/>
      <c r="N33" s="11"/>
      <c r="O33" s="11"/>
      <c r="P33" s="7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</row>
    <row r="34" spans="2:200" x14ac:dyDescent="0.15">
      <c r="B34" s="65" t="s">
        <v>244</v>
      </c>
      <c r="D34" s="65" t="s">
        <v>246</v>
      </c>
      <c r="F34" s="65" t="s">
        <v>235</v>
      </c>
      <c r="H34" s="65" t="s">
        <v>249</v>
      </c>
      <c r="K34" s="11"/>
      <c r="L34" s="11"/>
      <c r="M34" s="11"/>
      <c r="N34" s="11"/>
      <c r="O34" s="11"/>
      <c r="P34" s="7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</row>
    <row r="35" spans="2:200" x14ac:dyDescent="0.15">
      <c r="B35" s="65" t="s">
        <v>245</v>
      </c>
      <c r="D35" s="65" t="s">
        <v>248</v>
      </c>
      <c r="F35" s="65" t="s">
        <v>236</v>
      </c>
      <c r="H35" s="65" t="s">
        <v>250</v>
      </c>
      <c r="K35" s="11"/>
      <c r="L35" s="72"/>
      <c r="M35" s="72"/>
      <c r="N35" s="73"/>
      <c r="O35" s="72"/>
      <c r="P35" s="72"/>
      <c r="Q35" s="73"/>
      <c r="R35" s="73"/>
      <c r="S35" s="74"/>
      <c r="T35" s="73"/>
      <c r="U35" s="73"/>
      <c r="V35" s="73"/>
      <c r="W35" s="73"/>
      <c r="X35" s="73"/>
      <c r="Y35" s="73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</row>
    <row r="36" spans="2:200" x14ac:dyDescent="0.15">
      <c r="F36" s="65" t="s">
        <v>237</v>
      </c>
      <c r="K36" s="11"/>
      <c r="L36" s="72"/>
      <c r="M36" s="72"/>
      <c r="N36" s="73"/>
      <c r="O36" s="72"/>
      <c r="P36" s="72"/>
      <c r="Q36" s="73"/>
      <c r="R36" s="73"/>
      <c r="S36" s="74"/>
      <c r="T36" s="73"/>
      <c r="U36" s="73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</row>
    <row r="37" spans="2:200" x14ac:dyDescent="0.15">
      <c r="B37" s="87" t="s">
        <v>222</v>
      </c>
      <c r="C37" s="87" t="s">
        <v>214</v>
      </c>
      <c r="D37" s="87" t="s">
        <v>213</v>
      </c>
      <c r="K37" s="11"/>
      <c r="L37" s="72"/>
      <c r="M37" s="72"/>
      <c r="N37" s="73"/>
      <c r="O37" s="72"/>
      <c r="P37" s="72"/>
      <c r="Q37" s="73"/>
      <c r="R37" s="73"/>
      <c r="S37" s="74"/>
      <c r="T37" s="73"/>
      <c r="U37" s="73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</row>
    <row r="38" spans="2:200" x14ac:dyDescent="0.15">
      <c r="B38" s="87">
        <v>2</v>
      </c>
      <c r="C38" s="87" cm="1">
        <f t="array" ref="C38">Gs387_7_2(C5,B38)</f>
        <v>2.0249999999999999</v>
      </c>
      <c r="D38" s="87" cm="1">
        <f t="array" ref="D38">Gs387_7_2(D5,B38)</f>
        <v>2.0249999999999999</v>
      </c>
      <c r="K38" s="11"/>
      <c r="L38" s="72"/>
      <c r="M38" s="72"/>
      <c r="N38" s="73"/>
      <c r="O38" s="72"/>
      <c r="P38" s="72"/>
      <c r="Q38" s="73"/>
      <c r="R38" s="73"/>
      <c r="S38" s="74"/>
      <c r="T38" s="73"/>
      <c r="U38" s="73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</row>
    <row r="39" spans="2:200" x14ac:dyDescent="0.15">
      <c r="K39" s="11"/>
      <c r="L39" s="72"/>
      <c r="M39" s="72"/>
      <c r="N39" s="73"/>
      <c r="O39" s="72"/>
      <c r="P39" s="72"/>
      <c r="Q39" s="73"/>
      <c r="R39" s="73"/>
      <c r="S39" s="74"/>
      <c r="T39" s="73"/>
      <c r="U39" s="73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</row>
    <row r="40" spans="2:200" x14ac:dyDescent="0.15">
      <c r="K40" s="11"/>
      <c r="L40" s="72"/>
      <c r="M40" s="72"/>
      <c r="N40" s="73"/>
      <c r="O40" s="72"/>
      <c r="P40" s="72"/>
      <c r="Q40" s="73"/>
      <c r="R40" s="73"/>
      <c r="S40" s="74"/>
      <c r="T40" s="73"/>
      <c r="U40" s="73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</row>
    <row r="41" spans="2:200" x14ac:dyDescent="0.15">
      <c r="B41" s="65" t="s">
        <v>251</v>
      </c>
      <c r="K41" s="11"/>
      <c r="L41" s="72"/>
      <c r="M41" s="72"/>
      <c r="N41" s="72"/>
      <c r="O41" s="72"/>
      <c r="P41" s="72"/>
      <c r="Q41" s="73"/>
      <c r="R41" s="73"/>
      <c r="S41" s="74"/>
      <c r="T41" s="73"/>
      <c r="U41" s="73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</row>
    <row r="42" spans="2:200" x14ac:dyDescent="0.15">
      <c r="K42" s="11"/>
      <c r="L42" s="72"/>
      <c r="M42" s="72"/>
      <c r="N42" s="72"/>
      <c r="O42" s="72"/>
      <c r="P42" s="72"/>
      <c r="Q42" s="73"/>
      <c r="R42" s="73"/>
      <c r="S42" s="74"/>
      <c r="T42" s="73"/>
      <c r="U42" s="73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</row>
    <row r="43" spans="2:200" x14ac:dyDescent="0.15">
      <c r="C43" s="42" t="s">
        <v>205</v>
      </c>
      <c r="D43" s="43" t="s">
        <v>209</v>
      </c>
      <c r="E43" s="11"/>
      <c r="F43" s="11">
        <v>1.5</v>
      </c>
      <c r="H43" s="11"/>
      <c r="I43" s="11"/>
      <c r="J43" s="11"/>
      <c r="K43" s="11"/>
      <c r="L43" s="72"/>
      <c r="M43" s="72"/>
      <c r="N43" s="72"/>
      <c r="O43" s="72"/>
      <c r="P43" s="72"/>
      <c r="Q43" s="73"/>
      <c r="R43" s="73"/>
      <c r="S43" s="74"/>
      <c r="T43" s="73"/>
      <c r="U43" s="73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</row>
    <row r="44" spans="2:200" x14ac:dyDescent="0.15">
      <c r="B44" s="11"/>
      <c r="C44" s="42" t="s">
        <v>206</v>
      </c>
      <c r="D44" s="43" t="s">
        <v>210</v>
      </c>
      <c r="E44" s="11"/>
      <c r="F44" s="11">
        <v>1.5</v>
      </c>
      <c r="I44" s="11"/>
      <c r="J44" s="11"/>
      <c r="K44" s="11"/>
      <c r="L44" s="72"/>
      <c r="M44" s="72"/>
      <c r="N44" s="72"/>
      <c r="O44" s="72"/>
      <c r="P44" s="72"/>
      <c r="Q44" s="73"/>
      <c r="R44" s="73"/>
      <c r="S44" s="74"/>
      <c r="T44" s="73"/>
      <c r="U44" s="73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</row>
    <row r="45" spans="2:200" x14ac:dyDescent="0.15">
      <c r="B45" s="11"/>
      <c r="C45" s="42" t="s">
        <v>207</v>
      </c>
      <c r="D45" s="43">
        <v>2.68</v>
      </c>
      <c r="E45" s="11"/>
      <c r="F45" s="11">
        <v>1.5</v>
      </c>
      <c r="H45" s="11"/>
      <c r="I45" s="11"/>
      <c r="J45" s="11"/>
      <c r="K45" s="11"/>
      <c r="L45" s="72"/>
      <c r="M45" s="72"/>
      <c r="N45" s="72"/>
      <c r="O45" s="72"/>
      <c r="P45" s="72"/>
      <c r="Q45" s="73"/>
      <c r="R45" s="73"/>
      <c r="S45" s="74"/>
      <c r="T45" s="73"/>
      <c r="U45" s="73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</row>
    <row r="46" spans="2:200" x14ac:dyDescent="0.15">
      <c r="B46" s="11"/>
      <c r="C46" s="65" t="s">
        <v>208</v>
      </c>
      <c r="D46" s="65" t="s">
        <v>211</v>
      </c>
      <c r="F46" s="11">
        <v>1.35</v>
      </c>
      <c r="H46" s="11"/>
      <c r="I46" s="11"/>
      <c r="J46" s="11"/>
      <c r="K46" s="11"/>
      <c r="L46" s="72"/>
      <c r="M46" s="72"/>
      <c r="N46" s="72"/>
      <c r="O46" s="72"/>
      <c r="P46" s="72"/>
      <c r="Q46" s="73"/>
      <c r="R46" s="73"/>
      <c r="S46" s="74"/>
      <c r="T46" s="73"/>
      <c r="U46" s="73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</row>
    <row r="47" spans="2:200" x14ac:dyDescent="0.15"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73"/>
      <c r="R47" s="73"/>
      <c r="S47" s="74"/>
      <c r="T47" s="73"/>
      <c r="U47" s="73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</row>
    <row r="48" spans="2:200" x14ac:dyDescent="0.15">
      <c r="C48" s="82" t="s">
        <v>214</v>
      </c>
      <c r="D48" s="82" t="s">
        <v>213</v>
      </c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73"/>
      <c r="R48" s="73"/>
      <c r="S48" s="74"/>
      <c r="T48" s="73"/>
      <c r="U48" s="73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</row>
    <row r="49" spans="2:200" x14ac:dyDescent="0.15">
      <c r="C49" s="85">
        <f>GS!B16</f>
        <v>1.4801617860794067</v>
      </c>
      <c r="D49" s="85">
        <f>GS!C16</f>
        <v>1.4178048372268677</v>
      </c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73"/>
      <c r="R49" s="73"/>
      <c r="S49" s="74"/>
      <c r="T49" s="73"/>
      <c r="U49" s="73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</row>
    <row r="50" spans="2:200" x14ac:dyDescent="0.15">
      <c r="H50" s="11"/>
      <c r="I50" s="11"/>
      <c r="J50" s="11"/>
      <c r="K50" s="11"/>
      <c r="L50" s="11"/>
      <c r="M50" s="11"/>
      <c r="N50" s="11"/>
      <c r="O50" s="11"/>
      <c r="P50" s="11"/>
      <c r="Q50" s="73"/>
      <c r="R50" s="73"/>
      <c r="S50" s="74"/>
      <c r="T50" s="73"/>
      <c r="U50" s="73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</row>
    <row r="51" spans="2:200" x14ac:dyDescent="0.15">
      <c r="B51" s="83"/>
      <c r="C51" s="83" t="str">
        <f>C48</f>
        <v>GsX</v>
      </c>
      <c r="D51" s="83" t="str">
        <f>D48</f>
        <v>GsY</v>
      </c>
      <c r="E51" s="84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73"/>
      <c r="R51" s="73"/>
      <c r="S51" s="74"/>
      <c r="T51" s="73"/>
      <c r="U51" s="73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</row>
    <row r="52" spans="2:200" x14ac:dyDescent="0.15">
      <c r="B52" s="83" t="s">
        <v>257</v>
      </c>
      <c r="C52" s="83">
        <f>IF(E52=1,C38,C49)</f>
        <v>2.0249999999999999</v>
      </c>
      <c r="D52" s="83">
        <f>IF(E52=1,D38,D49)</f>
        <v>2.0249999999999999</v>
      </c>
      <c r="E52" s="84">
        <v>1</v>
      </c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73"/>
      <c r="R52" s="73"/>
      <c r="S52" s="74"/>
      <c r="T52" s="73"/>
      <c r="U52" s="73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</row>
    <row r="53" spans="2:200" x14ac:dyDescent="0.15">
      <c r="B53" s="11"/>
      <c r="C53" s="11"/>
      <c r="D53" s="43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73"/>
      <c r="R53" s="73"/>
      <c r="S53" s="74"/>
      <c r="T53" s="73"/>
      <c r="U53" s="73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</row>
    <row r="54" spans="2:200" x14ac:dyDescent="0.15">
      <c r="B54" s="11"/>
      <c r="C54" s="42"/>
      <c r="D54" s="43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73"/>
      <c r="R54" s="73"/>
      <c r="S54" s="74"/>
      <c r="T54" s="73"/>
      <c r="U54" s="73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</row>
    <row r="55" spans="2:200" x14ac:dyDescent="0.15">
      <c r="B55" s="11"/>
      <c r="C55" s="42"/>
      <c r="D55" s="43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73"/>
      <c r="R55" s="73"/>
      <c r="S55" s="74"/>
      <c r="T55" s="73"/>
      <c r="U55" s="73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</row>
    <row r="56" spans="2:200" x14ac:dyDescent="0.15">
      <c r="B56" s="11"/>
      <c r="C56" s="42"/>
      <c r="D56" s="43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73"/>
      <c r="R56" s="73"/>
      <c r="S56" s="74"/>
      <c r="T56" s="73"/>
      <c r="U56" s="73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</row>
    <row r="57" spans="2:200" x14ac:dyDescent="0.15">
      <c r="B57" s="11"/>
      <c r="C57" s="42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73"/>
      <c r="R57" s="73"/>
      <c r="S57" s="74"/>
      <c r="T57" s="73"/>
      <c r="U57" s="73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</row>
    <row r="58" spans="2:200" x14ac:dyDescent="0.15">
      <c r="B58" s="11"/>
      <c r="C58" s="42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73"/>
      <c r="R58" s="73"/>
      <c r="S58" s="74"/>
      <c r="T58" s="73"/>
      <c r="U58" s="73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</row>
    <row r="59" spans="2:200" x14ac:dyDescent="0.15"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73"/>
      <c r="R59" s="73"/>
      <c r="S59" s="73"/>
      <c r="T59" s="73"/>
      <c r="U59" s="73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</row>
    <row r="60" spans="2:200" x14ac:dyDescent="0.15">
      <c r="B60" s="11"/>
      <c r="C60" s="42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73"/>
      <c r="R60" s="73"/>
      <c r="S60" s="73"/>
      <c r="T60" s="73"/>
      <c r="U60" s="73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</row>
    <row r="61" spans="2:200" x14ac:dyDescent="0.15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73"/>
      <c r="R61" s="73"/>
      <c r="S61" s="73"/>
      <c r="T61" s="73"/>
      <c r="U61" s="73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</row>
    <row r="62" spans="2:200" x14ac:dyDescent="0.15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73"/>
      <c r="R62" s="73"/>
      <c r="S62" s="73"/>
      <c r="T62" s="73"/>
      <c r="U62" s="73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</row>
    <row r="63" spans="2:200" x14ac:dyDescent="0.15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73"/>
      <c r="R63" s="73"/>
      <c r="S63" s="73"/>
      <c r="T63" s="73"/>
      <c r="U63" s="73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</row>
    <row r="64" spans="2:200" x14ac:dyDescent="0.1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73"/>
      <c r="R64" s="73"/>
      <c r="S64" s="73"/>
      <c r="T64" s="73"/>
      <c r="U64" s="73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</row>
    <row r="65" spans="2:200" x14ac:dyDescent="0.1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73"/>
      <c r="R65" s="73"/>
      <c r="S65" s="73"/>
      <c r="T65" s="73"/>
      <c r="U65" s="73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</row>
    <row r="66" spans="2:200" x14ac:dyDescent="0.15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73"/>
      <c r="R66" s="73"/>
      <c r="S66" s="73"/>
      <c r="T66" s="73"/>
      <c r="U66" s="73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</row>
    <row r="67" spans="2:200" x14ac:dyDescent="0.15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73"/>
      <c r="R67" s="73"/>
      <c r="S67" s="73"/>
      <c r="T67" s="73"/>
      <c r="U67" s="73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</row>
    <row r="68" spans="2:200" x14ac:dyDescent="0.15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73"/>
      <c r="R68" s="73"/>
      <c r="S68" s="73"/>
      <c r="T68" s="73"/>
      <c r="U68" s="73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</row>
    <row r="69" spans="2:200" x14ac:dyDescent="0.15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73"/>
      <c r="R69" s="73"/>
      <c r="S69" s="73"/>
      <c r="T69" s="73"/>
      <c r="U69" s="73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</row>
    <row r="70" spans="2:200" x14ac:dyDescent="0.15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73"/>
      <c r="R70" s="73"/>
      <c r="S70" s="73"/>
      <c r="T70" s="73"/>
      <c r="U70" s="73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</row>
    <row r="71" spans="2:200" x14ac:dyDescent="0.15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73"/>
      <c r="R71" s="73"/>
      <c r="S71" s="73"/>
      <c r="T71" s="73"/>
      <c r="U71" s="73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</row>
    <row r="72" spans="2:200" x14ac:dyDescent="0.1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73"/>
      <c r="R72" s="73"/>
      <c r="S72" s="73"/>
      <c r="T72" s="73"/>
      <c r="U72" s="73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</row>
    <row r="73" spans="2:200" x14ac:dyDescent="0.1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73"/>
      <c r="R73" s="73"/>
      <c r="S73" s="73"/>
      <c r="T73" s="73"/>
      <c r="U73" s="73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</row>
    <row r="74" spans="2:200" x14ac:dyDescent="0.15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73"/>
      <c r="R74" s="73"/>
      <c r="S74" s="73"/>
      <c r="T74" s="73"/>
      <c r="U74" s="73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</row>
    <row r="75" spans="2:200" x14ac:dyDescent="0.15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73"/>
      <c r="R75" s="73"/>
      <c r="S75" s="73"/>
      <c r="T75" s="73"/>
      <c r="U75" s="73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</row>
    <row r="76" spans="2:200" x14ac:dyDescent="0.15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73"/>
      <c r="R76" s="73"/>
      <c r="S76" s="73"/>
      <c r="T76" s="73"/>
      <c r="U76" s="73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</row>
    <row r="77" spans="2:200" x14ac:dyDescent="0.15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73"/>
      <c r="R77" s="73"/>
      <c r="S77" s="73"/>
      <c r="T77" s="73"/>
      <c r="U77" s="73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</row>
    <row r="78" spans="2:200" x14ac:dyDescent="0.15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</row>
    <row r="79" spans="2:200" x14ac:dyDescent="0.15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</row>
    <row r="80" spans="2:200" x14ac:dyDescent="0.15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</row>
    <row r="81" spans="2:200" x14ac:dyDescent="0.15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</row>
    <row r="82" spans="2:200" x14ac:dyDescent="0.1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</row>
    <row r="83" spans="2:200" x14ac:dyDescent="0.15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</row>
    <row r="84" spans="2:200" x14ac:dyDescent="0.15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</row>
    <row r="85" spans="2:200" x14ac:dyDescent="0.15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</row>
    <row r="86" spans="2:200" x14ac:dyDescent="0.15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</row>
    <row r="87" spans="2:200" x14ac:dyDescent="0.15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</row>
    <row r="88" spans="2:200" x14ac:dyDescent="0.15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</row>
    <row r="89" spans="2:200" x14ac:dyDescent="0.15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</row>
    <row r="90" spans="2:200" x14ac:dyDescent="0.15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</row>
    <row r="91" spans="2:200" x14ac:dyDescent="0.1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</row>
    <row r="92" spans="2:200" x14ac:dyDescent="0.15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</row>
    <row r="93" spans="2:200" x14ac:dyDescent="0.15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</row>
    <row r="94" spans="2:200" x14ac:dyDescent="0.15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</row>
    <row r="95" spans="2:200" x14ac:dyDescent="0.15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</row>
    <row r="96" spans="2:200" x14ac:dyDescent="0.15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</row>
    <row r="97" spans="2:200" x14ac:dyDescent="0.15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</row>
    <row r="98" spans="2:200" x14ac:dyDescent="0.15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</row>
    <row r="99" spans="2:200" x14ac:dyDescent="0.15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</row>
    <row r="100" spans="2:200" x14ac:dyDescent="0.1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</row>
    <row r="101" spans="2:200" x14ac:dyDescent="0.15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</row>
    <row r="102" spans="2:200" x14ac:dyDescent="0.15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</row>
    <row r="103" spans="2:200" x14ac:dyDescent="0.15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</row>
    <row r="104" spans="2:200" x14ac:dyDescent="0.15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</row>
    <row r="105" spans="2:200" x14ac:dyDescent="0.15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</row>
    <row r="106" spans="2:200" x14ac:dyDescent="0.15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</row>
    <row r="107" spans="2:200" x14ac:dyDescent="0.15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</row>
    <row r="108" spans="2:200" x14ac:dyDescent="0.15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  <c r="DV108" s="11"/>
      <c r="DW108" s="11"/>
      <c r="DX108" s="11"/>
      <c r="DY108" s="11"/>
      <c r="DZ108" s="11"/>
      <c r="EA108" s="11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  <c r="FD108" s="11"/>
      <c r="FE108" s="11"/>
      <c r="FF108" s="11"/>
      <c r="FG108" s="11"/>
      <c r="FH108" s="11"/>
      <c r="FI108" s="11"/>
      <c r="FJ108" s="11"/>
      <c r="FK108" s="11"/>
      <c r="FL108" s="11"/>
      <c r="FM108" s="11"/>
      <c r="FN108" s="11"/>
      <c r="FO108" s="11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M108" s="11"/>
      <c r="GN108" s="11"/>
      <c r="GO108" s="11"/>
      <c r="GP108" s="11"/>
      <c r="GQ108" s="11"/>
      <c r="GR108" s="11"/>
    </row>
    <row r="109" spans="2:200" x14ac:dyDescent="0.1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</row>
    <row r="110" spans="2:200" x14ac:dyDescent="0.15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</row>
    <row r="111" spans="2:200" x14ac:dyDescent="0.15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</row>
    <row r="112" spans="2:200" x14ac:dyDescent="0.15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</row>
    <row r="113" spans="2:200" x14ac:dyDescent="0.15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</row>
    <row r="114" spans="2:200" x14ac:dyDescent="0.15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</row>
    <row r="115" spans="2:200" x14ac:dyDescent="0.15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</row>
    <row r="116" spans="2:200" x14ac:dyDescent="0.15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</row>
    <row r="117" spans="2:200" x14ac:dyDescent="0.15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</row>
    <row r="118" spans="2:200" x14ac:dyDescent="0.1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1"/>
      <c r="DQ118" s="11"/>
      <c r="DR118" s="11"/>
      <c r="DS118" s="11"/>
      <c r="DT118" s="11"/>
      <c r="DU118" s="11"/>
      <c r="DV118" s="11"/>
      <c r="DW118" s="11"/>
      <c r="DX118" s="11"/>
      <c r="DY118" s="11"/>
      <c r="DZ118" s="11"/>
      <c r="EA118" s="11"/>
      <c r="EB118" s="11"/>
      <c r="EC118" s="11"/>
      <c r="ED118" s="11"/>
      <c r="EE118" s="11"/>
      <c r="EF118" s="11"/>
      <c r="EG118" s="11"/>
      <c r="EH118" s="11"/>
      <c r="EI118" s="11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1"/>
      <c r="EY118" s="11"/>
      <c r="EZ118" s="11"/>
      <c r="FA118" s="11"/>
      <c r="FB118" s="11"/>
      <c r="FC118" s="11"/>
      <c r="FD118" s="11"/>
      <c r="FE118" s="11"/>
      <c r="FF118" s="11"/>
      <c r="FG118" s="11"/>
      <c r="FH118" s="11"/>
      <c r="FI118" s="11"/>
      <c r="FJ118" s="11"/>
      <c r="FK118" s="11"/>
      <c r="FL118" s="11"/>
      <c r="FM118" s="11"/>
      <c r="FN118" s="11"/>
      <c r="FO118" s="11"/>
      <c r="FP118" s="11"/>
      <c r="FQ118" s="11"/>
      <c r="FR118" s="11"/>
      <c r="FS118" s="11"/>
      <c r="FT118" s="11"/>
      <c r="FU118" s="11"/>
      <c r="FV118" s="11"/>
      <c r="FW118" s="11"/>
      <c r="FX118" s="11"/>
      <c r="FY118" s="11"/>
      <c r="FZ118" s="11"/>
      <c r="GA118" s="11"/>
      <c r="GB118" s="11"/>
      <c r="GC118" s="11"/>
      <c r="GD118" s="11"/>
      <c r="GE118" s="11"/>
      <c r="GF118" s="11"/>
      <c r="GG118" s="11"/>
      <c r="GH118" s="11"/>
      <c r="GI118" s="11"/>
      <c r="GJ118" s="11"/>
      <c r="GK118" s="11"/>
      <c r="GL118" s="11"/>
      <c r="GM118" s="11"/>
      <c r="GN118" s="11"/>
      <c r="GO118" s="11"/>
      <c r="GP118" s="11"/>
      <c r="GQ118" s="11"/>
      <c r="GR118" s="11"/>
    </row>
    <row r="119" spans="2:200" x14ac:dyDescent="0.15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</row>
    <row r="120" spans="2:200" x14ac:dyDescent="0.15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  <c r="DV120" s="11"/>
      <c r="DW120" s="11"/>
      <c r="DX120" s="11"/>
      <c r="DY120" s="11"/>
      <c r="DZ120" s="11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1"/>
      <c r="FI120" s="11"/>
      <c r="FJ120" s="11"/>
      <c r="FK120" s="11"/>
      <c r="FL120" s="11"/>
      <c r="FM120" s="11"/>
      <c r="FN120" s="11"/>
      <c r="FO120" s="11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1"/>
      <c r="GE120" s="11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</row>
    <row r="121" spans="2:200" x14ac:dyDescent="0.15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</row>
    <row r="122" spans="2:200" x14ac:dyDescent="0.15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</row>
    <row r="123" spans="2:200" x14ac:dyDescent="0.15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  <c r="CW123" s="11"/>
      <c r="CX123" s="11"/>
      <c r="CY123" s="11"/>
      <c r="CZ123" s="11"/>
      <c r="DA123" s="11"/>
      <c r="DB123" s="11"/>
      <c r="DC123" s="11"/>
      <c r="DD123" s="11"/>
      <c r="DE123" s="11"/>
      <c r="DF123" s="11"/>
      <c r="DG123" s="11"/>
      <c r="DH123" s="11"/>
      <c r="DI123" s="11"/>
      <c r="DJ123" s="11"/>
      <c r="DK123" s="11"/>
      <c r="DL123" s="11"/>
      <c r="DM123" s="11"/>
      <c r="DN123" s="11"/>
      <c r="DO123" s="11"/>
      <c r="DP123" s="11"/>
      <c r="DQ123" s="11"/>
      <c r="DR123" s="11"/>
      <c r="DS123" s="11"/>
      <c r="DT123" s="11"/>
      <c r="DU123" s="11"/>
      <c r="DV123" s="11"/>
      <c r="DW123" s="11"/>
      <c r="DX123" s="11"/>
      <c r="DY123" s="11"/>
      <c r="DZ123" s="11"/>
      <c r="EA123" s="11"/>
      <c r="EB123" s="11"/>
      <c r="EC123" s="11"/>
      <c r="ED123" s="11"/>
      <c r="EE123" s="11"/>
      <c r="EF123" s="11"/>
      <c r="EG123" s="11"/>
      <c r="EH123" s="11"/>
      <c r="EI123" s="11"/>
      <c r="EJ123" s="11"/>
      <c r="EK123" s="11"/>
      <c r="EL123" s="11"/>
      <c r="EM123" s="11"/>
      <c r="EN123" s="11"/>
      <c r="EO123" s="11"/>
      <c r="EP123" s="11"/>
      <c r="EQ123" s="11"/>
      <c r="ER123" s="11"/>
      <c r="ES123" s="11"/>
      <c r="ET123" s="11"/>
      <c r="EU123" s="11"/>
      <c r="EV123" s="11"/>
      <c r="EW123" s="11"/>
      <c r="EX123" s="11"/>
      <c r="EY123" s="11"/>
      <c r="EZ123" s="11"/>
      <c r="FA123" s="11"/>
      <c r="FB123" s="11"/>
      <c r="FC123" s="11"/>
      <c r="FD123" s="11"/>
      <c r="FE123" s="11"/>
      <c r="FF123" s="11"/>
      <c r="FG123" s="11"/>
      <c r="FH123" s="11"/>
      <c r="FI123" s="11"/>
      <c r="FJ123" s="11"/>
      <c r="FK123" s="11"/>
      <c r="FL123" s="11"/>
      <c r="FM123" s="11"/>
      <c r="FN123" s="11"/>
      <c r="FO123" s="11"/>
      <c r="FP123" s="11"/>
      <c r="FQ123" s="11"/>
      <c r="FR123" s="11"/>
      <c r="FS123" s="11"/>
      <c r="FT123" s="11"/>
      <c r="FU123" s="11"/>
      <c r="FV123" s="11"/>
      <c r="FW123" s="11"/>
      <c r="FX123" s="11"/>
      <c r="FY123" s="11"/>
      <c r="FZ123" s="11"/>
      <c r="GA123" s="11"/>
      <c r="GB123" s="11"/>
      <c r="GC123" s="11"/>
      <c r="GD123" s="11"/>
      <c r="GE123" s="11"/>
      <c r="GF123" s="11"/>
      <c r="GG123" s="11"/>
      <c r="GH123" s="11"/>
      <c r="GI123" s="11"/>
      <c r="GJ123" s="11"/>
      <c r="GK123" s="11"/>
      <c r="GL123" s="11"/>
      <c r="GM123" s="11"/>
      <c r="GN123" s="11"/>
      <c r="GO123" s="11"/>
      <c r="GP123" s="11"/>
      <c r="GQ123" s="11"/>
      <c r="GR123" s="11"/>
    </row>
    <row r="124" spans="2:200" x14ac:dyDescent="0.15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</row>
    <row r="125" spans="2:200" x14ac:dyDescent="0.15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</row>
    <row r="126" spans="2:200" x14ac:dyDescent="0.15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</row>
    <row r="127" spans="2:200" x14ac:dyDescent="0.1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  <c r="CW127" s="11"/>
      <c r="CX127" s="11"/>
      <c r="CY127" s="11"/>
      <c r="CZ127" s="11"/>
      <c r="DA127" s="11"/>
      <c r="DB127" s="11"/>
      <c r="DC127" s="11"/>
      <c r="DD127" s="11"/>
      <c r="DE127" s="11"/>
      <c r="DF127" s="11"/>
      <c r="DG127" s="11"/>
      <c r="DH127" s="11"/>
      <c r="DI127" s="11"/>
      <c r="DJ127" s="11"/>
      <c r="DK127" s="11"/>
      <c r="DL127" s="11"/>
      <c r="DM127" s="11"/>
      <c r="DN127" s="11"/>
      <c r="DO127" s="11"/>
      <c r="DP127" s="11"/>
      <c r="DQ127" s="11"/>
      <c r="DR127" s="11"/>
      <c r="DS127" s="11"/>
      <c r="DT127" s="11"/>
      <c r="DU127" s="11"/>
      <c r="DV127" s="11"/>
      <c r="DW127" s="11"/>
      <c r="DX127" s="11"/>
      <c r="DY127" s="11"/>
      <c r="DZ127" s="11"/>
      <c r="EA127" s="11"/>
      <c r="EB127" s="11"/>
      <c r="EC127" s="11"/>
      <c r="ED127" s="11"/>
      <c r="EE127" s="11"/>
      <c r="EF127" s="11"/>
      <c r="EG127" s="11"/>
      <c r="EH127" s="11"/>
      <c r="EI127" s="11"/>
      <c r="EJ127" s="11"/>
      <c r="EK127" s="11"/>
      <c r="EL127" s="11"/>
      <c r="EM127" s="11"/>
      <c r="EN127" s="11"/>
      <c r="EO127" s="11"/>
      <c r="EP127" s="11"/>
      <c r="EQ127" s="11"/>
      <c r="ER127" s="11"/>
      <c r="ES127" s="11"/>
      <c r="ET127" s="11"/>
      <c r="EU127" s="11"/>
      <c r="EV127" s="11"/>
      <c r="EW127" s="11"/>
      <c r="EX127" s="11"/>
      <c r="EY127" s="11"/>
      <c r="EZ127" s="11"/>
      <c r="FA127" s="11"/>
      <c r="FB127" s="11"/>
      <c r="FC127" s="11"/>
      <c r="FD127" s="11"/>
      <c r="FE127" s="11"/>
      <c r="FF127" s="11"/>
      <c r="FG127" s="11"/>
      <c r="FH127" s="11"/>
      <c r="FI127" s="11"/>
      <c r="FJ127" s="11"/>
      <c r="FK127" s="11"/>
      <c r="FL127" s="11"/>
      <c r="FM127" s="11"/>
      <c r="FN127" s="11"/>
      <c r="FO127" s="11"/>
      <c r="FP127" s="11"/>
      <c r="FQ127" s="11"/>
      <c r="FR127" s="11"/>
      <c r="FS127" s="11"/>
      <c r="FT127" s="11"/>
      <c r="FU127" s="11"/>
      <c r="FV127" s="11"/>
      <c r="FW127" s="11"/>
      <c r="FX127" s="11"/>
      <c r="FY127" s="11"/>
      <c r="FZ127" s="11"/>
      <c r="GA127" s="11"/>
      <c r="GB127" s="11"/>
      <c r="GC127" s="11"/>
      <c r="GD127" s="11"/>
      <c r="GE127" s="11"/>
      <c r="GF127" s="11"/>
      <c r="GG127" s="11"/>
      <c r="GH127" s="11"/>
      <c r="GI127" s="11"/>
      <c r="GJ127" s="11"/>
      <c r="GK127" s="11"/>
      <c r="GL127" s="11"/>
      <c r="GM127" s="11"/>
      <c r="GN127" s="11"/>
      <c r="GO127" s="11"/>
      <c r="GP127" s="11"/>
      <c r="GQ127" s="11"/>
      <c r="GR127" s="11"/>
    </row>
    <row r="128" spans="2:200" x14ac:dyDescent="0.15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  <c r="CW128" s="11"/>
      <c r="CX128" s="11"/>
      <c r="CY128" s="11"/>
      <c r="CZ128" s="11"/>
      <c r="DA128" s="11"/>
      <c r="DB128" s="11"/>
      <c r="DC128" s="11"/>
      <c r="DD128" s="11"/>
      <c r="DE128" s="11"/>
      <c r="DF128" s="11"/>
      <c r="DG128" s="11"/>
      <c r="DH128" s="11"/>
      <c r="DI128" s="11"/>
      <c r="DJ128" s="11"/>
      <c r="DK128" s="11"/>
      <c r="DL128" s="11"/>
      <c r="DM128" s="11"/>
      <c r="DN128" s="11"/>
      <c r="DO128" s="11"/>
      <c r="DP128" s="11"/>
      <c r="DQ128" s="11"/>
      <c r="DR128" s="11"/>
      <c r="DS128" s="11"/>
      <c r="DT128" s="11"/>
      <c r="DU128" s="11"/>
      <c r="DV128" s="11"/>
      <c r="DW128" s="11"/>
      <c r="DX128" s="11"/>
      <c r="DY128" s="11"/>
      <c r="DZ128" s="11"/>
      <c r="EA128" s="11"/>
      <c r="EB128" s="11"/>
      <c r="EC128" s="11"/>
      <c r="ED128" s="11"/>
      <c r="EE128" s="11"/>
      <c r="EF128" s="11"/>
      <c r="EG128" s="11"/>
      <c r="EH128" s="11"/>
      <c r="EI128" s="11"/>
      <c r="EJ128" s="11"/>
      <c r="EK128" s="11"/>
      <c r="EL128" s="11"/>
      <c r="EM128" s="11"/>
      <c r="EN128" s="11"/>
      <c r="EO128" s="11"/>
      <c r="EP128" s="11"/>
      <c r="EQ128" s="11"/>
      <c r="ER128" s="11"/>
      <c r="ES128" s="11"/>
      <c r="ET128" s="11"/>
      <c r="EU128" s="11"/>
      <c r="EV128" s="11"/>
      <c r="EW128" s="11"/>
      <c r="EX128" s="11"/>
      <c r="EY128" s="11"/>
      <c r="EZ128" s="11"/>
      <c r="FA128" s="11"/>
      <c r="FB128" s="11"/>
      <c r="FC128" s="11"/>
      <c r="FD128" s="11"/>
      <c r="FE128" s="11"/>
      <c r="FF128" s="11"/>
      <c r="FG128" s="11"/>
      <c r="FH128" s="11"/>
      <c r="FI128" s="11"/>
      <c r="FJ128" s="11"/>
      <c r="FK128" s="11"/>
      <c r="FL128" s="11"/>
      <c r="FM128" s="11"/>
      <c r="FN128" s="11"/>
      <c r="FO128" s="11"/>
      <c r="FP128" s="11"/>
      <c r="FQ128" s="11"/>
      <c r="FR128" s="11"/>
      <c r="FS128" s="11"/>
      <c r="FT128" s="11"/>
      <c r="FU128" s="11"/>
      <c r="FV128" s="11"/>
      <c r="FW128" s="11"/>
      <c r="FX128" s="11"/>
      <c r="FY128" s="11"/>
      <c r="FZ128" s="11"/>
      <c r="GA128" s="11"/>
      <c r="GB128" s="11"/>
      <c r="GC128" s="11"/>
      <c r="GD128" s="11"/>
      <c r="GE128" s="11"/>
      <c r="GF128" s="11"/>
      <c r="GG128" s="11"/>
      <c r="GH128" s="11"/>
      <c r="GI128" s="11"/>
      <c r="GJ128" s="11"/>
      <c r="GK128" s="11"/>
      <c r="GL128" s="11"/>
      <c r="GM128" s="11"/>
      <c r="GN128" s="11"/>
      <c r="GO128" s="11"/>
      <c r="GP128" s="11"/>
      <c r="GQ128" s="11"/>
      <c r="GR128" s="11"/>
    </row>
    <row r="129" spans="2:200" x14ac:dyDescent="0.15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  <c r="CW129" s="11"/>
      <c r="CX129" s="11"/>
      <c r="CY129" s="11"/>
      <c r="CZ129" s="11"/>
      <c r="DA129" s="11"/>
      <c r="DB129" s="11"/>
      <c r="DC129" s="11"/>
      <c r="DD129" s="11"/>
      <c r="DE129" s="11"/>
      <c r="DF129" s="11"/>
      <c r="DG129" s="11"/>
      <c r="DH129" s="11"/>
      <c r="DI129" s="11"/>
      <c r="DJ129" s="11"/>
      <c r="DK129" s="11"/>
      <c r="DL129" s="11"/>
      <c r="DM129" s="11"/>
      <c r="DN129" s="11"/>
      <c r="DO129" s="11"/>
      <c r="DP129" s="11"/>
      <c r="DQ129" s="11"/>
      <c r="DR129" s="11"/>
      <c r="DS129" s="11"/>
      <c r="DT129" s="11"/>
      <c r="DU129" s="11"/>
      <c r="DV129" s="11"/>
      <c r="DW129" s="11"/>
      <c r="DX129" s="11"/>
      <c r="DY129" s="11"/>
      <c r="DZ129" s="11"/>
      <c r="EA129" s="11"/>
      <c r="EB129" s="11"/>
      <c r="EC129" s="11"/>
      <c r="ED129" s="11"/>
      <c r="EE129" s="11"/>
      <c r="EF129" s="11"/>
      <c r="EG129" s="11"/>
      <c r="EH129" s="11"/>
      <c r="EI129" s="11"/>
      <c r="EJ129" s="11"/>
      <c r="EK129" s="11"/>
      <c r="EL129" s="11"/>
      <c r="EM129" s="11"/>
      <c r="EN129" s="11"/>
      <c r="EO129" s="11"/>
      <c r="EP129" s="11"/>
      <c r="EQ129" s="11"/>
      <c r="ER129" s="11"/>
      <c r="ES129" s="11"/>
      <c r="ET129" s="11"/>
      <c r="EU129" s="11"/>
      <c r="EV129" s="11"/>
      <c r="EW129" s="11"/>
      <c r="EX129" s="11"/>
      <c r="EY129" s="11"/>
      <c r="EZ129" s="11"/>
      <c r="FA129" s="11"/>
      <c r="FB129" s="11"/>
      <c r="FC129" s="11"/>
      <c r="FD129" s="11"/>
      <c r="FE129" s="11"/>
      <c r="FF129" s="11"/>
      <c r="FG129" s="11"/>
      <c r="FH129" s="11"/>
      <c r="FI129" s="11"/>
      <c r="FJ129" s="11"/>
      <c r="FK129" s="11"/>
      <c r="FL129" s="11"/>
      <c r="FM129" s="11"/>
      <c r="FN129" s="11"/>
      <c r="FO129" s="11"/>
      <c r="FP129" s="11"/>
      <c r="FQ129" s="11"/>
      <c r="FR129" s="11"/>
      <c r="FS129" s="11"/>
      <c r="FT129" s="11"/>
      <c r="FU129" s="11"/>
      <c r="FV129" s="11"/>
      <c r="FW129" s="11"/>
      <c r="FX129" s="11"/>
      <c r="FY129" s="11"/>
      <c r="FZ129" s="11"/>
      <c r="GA129" s="11"/>
      <c r="GB129" s="11"/>
      <c r="GC129" s="11"/>
      <c r="GD129" s="11"/>
      <c r="GE129" s="11"/>
      <c r="GF129" s="11"/>
      <c r="GG129" s="11"/>
      <c r="GH129" s="11"/>
      <c r="GI129" s="11"/>
      <c r="GJ129" s="11"/>
      <c r="GK129" s="11"/>
      <c r="GL129" s="11"/>
      <c r="GM129" s="11"/>
      <c r="GN129" s="11"/>
      <c r="GO129" s="11"/>
      <c r="GP129" s="11"/>
      <c r="GQ129" s="11"/>
      <c r="GR129" s="11"/>
    </row>
    <row r="130" spans="2:200" x14ac:dyDescent="0.15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  <c r="DV130" s="11"/>
      <c r="DW130" s="11"/>
      <c r="DX130" s="11"/>
      <c r="DY130" s="11"/>
      <c r="DZ130" s="11"/>
      <c r="EA130" s="11"/>
      <c r="EB130" s="11"/>
      <c r="EC130" s="11"/>
      <c r="ED130" s="11"/>
      <c r="EE130" s="11"/>
      <c r="EF130" s="11"/>
      <c r="EG130" s="11"/>
      <c r="EH130" s="11"/>
      <c r="EI130" s="11"/>
      <c r="EJ130" s="11"/>
      <c r="EK130" s="11"/>
      <c r="EL130" s="11"/>
      <c r="EM130" s="11"/>
      <c r="EN130" s="11"/>
      <c r="EO130" s="11"/>
      <c r="EP130" s="11"/>
      <c r="EQ130" s="11"/>
      <c r="ER130" s="11"/>
      <c r="ES130" s="11"/>
      <c r="ET130" s="11"/>
      <c r="EU130" s="11"/>
      <c r="EV130" s="11"/>
      <c r="EW130" s="11"/>
      <c r="EX130" s="11"/>
      <c r="EY130" s="11"/>
      <c r="EZ130" s="11"/>
      <c r="FA130" s="11"/>
      <c r="FB130" s="11"/>
      <c r="FC130" s="11"/>
      <c r="FD130" s="11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M130" s="11"/>
      <c r="GN130" s="11"/>
      <c r="GO130" s="11"/>
      <c r="GP130" s="11"/>
      <c r="GQ130" s="11"/>
      <c r="GR130" s="11"/>
    </row>
    <row r="131" spans="2:200" x14ac:dyDescent="0.15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  <c r="CW131" s="11"/>
      <c r="CX131" s="11"/>
      <c r="CY131" s="11"/>
      <c r="CZ131" s="11"/>
      <c r="DA131" s="11"/>
      <c r="DB131" s="11"/>
      <c r="DC131" s="11"/>
      <c r="DD131" s="11"/>
      <c r="DE131" s="11"/>
      <c r="DF131" s="11"/>
      <c r="DG131" s="11"/>
      <c r="DH131" s="11"/>
      <c r="DI131" s="11"/>
      <c r="DJ131" s="11"/>
      <c r="DK131" s="11"/>
      <c r="DL131" s="11"/>
      <c r="DM131" s="11"/>
      <c r="DN131" s="11"/>
      <c r="DO131" s="11"/>
      <c r="DP131" s="11"/>
      <c r="DQ131" s="11"/>
      <c r="DR131" s="11"/>
      <c r="DS131" s="11"/>
      <c r="DT131" s="11"/>
      <c r="DU131" s="11"/>
      <c r="DV131" s="11"/>
      <c r="DW131" s="11"/>
      <c r="DX131" s="11"/>
      <c r="DY131" s="11"/>
      <c r="DZ131" s="11"/>
      <c r="EA131" s="11"/>
      <c r="EB131" s="11"/>
      <c r="EC131" s="11"/>
      <c r="ED131" s="11"/>
      <c r="EE131" s="11"/>
      <c r="EF131" s="11"/>
      <c r="EG131" s="11"/>
      <c r="EH131" s="11"/>
      <c r="EI131" s="11"/>
      <c r="EJ131" s="11"/>
      <c r="EK131" s="11"/>
      <c r="EL131" s="11"/>
      <c r="EM131" s="11"/>
      <c r="EN131" s="11"/>
      <c r="EO131" s="11"/>
      <c r="EP131" s="11"/>
      <c r="EQ131" s="11"/>
      <c r="ER131" s="11"/>
      <c r="ES131" s="11"/>
      <c r="ET131" s="11"/>
      <c r="EU131" s="11"/>
      <c r="EV131" s="11"/>
      <c r="EW131" s="11"/>
      <c r="EX131" s="11"/>
      <c r="EY131" s="11"/>
      <c r="EZ131" s="11"/>
      <c r="FA131" s="11"/>
      <c r="FB131" s="11"/>
      <c r="FC131" s="11"/>
      <c r="FD131" s="11"/>
      <c r="FE131" s="11"/>
      <c r="FF131" s="11"/>
      <c r="FG131" s="11"/>
      <c r="FH131" s="11"/>
      <c r="FI131" s="11"/>
      <c r="FJ131" s="11"/>
      <c r="FK131" s="11"/>
      <c r="FL131" s="11"/>
      <c r="FM131" s="11"/>
      <c r="FN131" s="11"/>
      <c r="FO131" s="11"/>
      <c r="FP131" s="11"/>
      <c r="FQ131" s="11"/>
      <c r="FR131" s="11"/>
      <c r="FS131" s="11"/>
      <c r="FT131" s="11"/>
      <c r="FU131" s="11"/>
      <c r="FV131" s="11"/>
      <c r="FW131" s="11"/>
      <c r="FX131" s="11"/>
      <c r="FY131" s="11"/>
      <c r="FZ131" s="11"/>
      <c r="GA131" s="11"/>
      <c r="GB131" s="11"/>
      <c r="GC131" s="11"/>
      <c r="GD131" s="11"/>
      <c r="GE131" s="11"/>
      <c r="GF131" s="11"/>
      <c r="GG131" s="11"/>
      <c r="GH131" s="11"/>
      <c r="GI131" s="11"/>
      <c r="GJ131" s="11"/>
      <c r="GK131" s="11"/>
      <c r="GL131" s="11"/>
      <c r="GM131" s="11"/>
      <c r="GN131" s="11"/>
      <c r="GO131" s="11"/>
      <c r="GP131" s="11"/>
      <c r="GQ131" s="11"/>
      <c r="GR131" s="11"/>
    </row>
    <row r="132" spans="2:200" x14ac:dyDescent="0.15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  <c r="CW132" s="11"/>
      <c r="CX132" s="11"/>
      <c r="CY132" s="11"/>
      <c r="CZ132" s="11"/>
      <c r="DA132" s="11"/>
      <c r="DB132" s="11"/>
      <c r="DC132" s="11"/>
      <c r="DD132" s="11"/>
      <c r="DE132" s="11"/>
      <c r="DF132" s="11"/>
      <c r="DG132" s="11"/>
      <c r="DH132" s="11"/>
      <c r="DI132" s="11"/>
      <c r="DJ132" s="11"/>
      <c r="DK132" s="11"/>
      <c r="DL132" s="11"/>
      <c r="DM132" s="11"/>
      <c r="DN132" s="11"/>
      <c r="DO132" s="11"/>
      <c r="DP132" s="11"/>
      <c r="DQ132" s="11"/>
      <c r="DR132" s="11"/>
      <c r="DS132" s="11"/>
      <c r="DT132" s="11"/>
      <c r="DU132" s="11"/>
      <c r="DV132" s="11"/>
      <c r="DW132" s="11"/>
      <c r="DX132" s="11"/>
      <c r="DY132" s="11"/>
      <c r="DZ132" s="11"/>
      <c r="EA132" s="11"/>
      <c r="EB132" s="11"/>
      <c r="EC132" s="11"/>
      <c r="ED132" s="11"/>
      <c r="EE132" s="11"/>
      <c r="EF132" s="11"/>
      <c r="EG132" s="11"/>
      <c r="EH132" s="11"/>
      <c r="EI132" s="11"/>
      <c r="EJ132" s="11"/>
      <c r="EK132" s="11"/>
      <c r="EL132" s="11"/>
      <c r="EM132" s="11"/>
      <c r="EN132" s="11"/>
      <c r="EO132" s="11"/>
      <c r="EP132" s="11"/>
      <c r="EQ132" s="11"/>
      <c r="ER132" s="11"/>
      <c r="ES132" s="11"/>
      <c r="ET132" s="11"/>
      <c r="EU132" s="11"/>
      <c r="EV132" s="11"/>
      <c r="EW132" s="11"/>
      <c r="EX132" s="11"/>
      <c r="EY132" s="11"/>
      <c r="EZ132" s="11"/>
      <c r="FA132" s="11"/>
      <c r="FB132" s="11"/>
      <c r="FC132" s="11"/>
      <c r="FD132" s="11"/>
      <c r="FE132" s="11"/>
      <c r="FF132" s="11"/>
      <c r="FG132" s="11"/>
      <c r="FH132" s="11"/>
      <c r="FI132" s="11"/>
      <c r="FJ132" s="11"/>
      <c r="FK132" s="11"/>
      <c r="FL132" s="11"/>
      <c r="FM132" s="11"/>
      <c r="FN132" s="11"/>
      <c r="FO132" s="11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11"/>
      <c r="GA132" s="11"/>
      <c r="GB132" s="11"/>
      <c r="GC132" s="11"/>
      <c r="GD132" s="11"/>
      <c r="GE132" s="11"/>
      <c r="GF132" s="11"/>
      <c r="GG132" s="11"/>
      <c r="GH132" s="11"/>
      <c r="GI132" s="11"/>
      <c r="GJ132" s="11"/>
      <c r="GK132" s="11"/>
      <c r="GL132" s="11"/>
      <c r="GM132" s="11"/>
      <c r="GN132" s="11"/>
      <c r="GO132" s="11"/>
      <c r="GP132" s="11"/>
      <c r="GQ132" s="11"/>
      <c r="GR132" s="11"/>
    </row>
    <row r="133" spans="2:200" x14ac:dyDescent="0.15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  <c r="CW133" s="11"/>
      <c r="CX133" s="11"/>
      <c r="CY133" s="11"/>
      <c r="CZ133" s="11"/>
      <c r="DA133" s="11"/>
      <c r="DB133" s="11"/>
      <c r="DC133" s="11"/>
      <c r="DD133" s="11"/>
      <c r="DE133" s="11"/>
      <c r="DF133" s="11"/>
      <c r="DG133" s="11"/>
      <c r="DH133" s="11"/>
      <c r="DI133" s="11"/>
      <c r="DJ133" s="11"/>
      <c r="DK133" s="11"/>
      <c r="DL133" s="11"/>
      <c r="DM133" s="11"/>
      <c r="DN133" s="11"/>
      <c r="DO133" s="11"/>
      <c r="DP133" s="11"/>
      <c r="DQ133" s="11"/>
      <c r="DR133" s="11"/>
      <c r="DS133" s="11"/>
      <c r="DT133" s="11"/>
      <c r="DU133" s="11"/>
      <c r="DV133" s="11"/>
      <c r="DW133" s="11"/>
      <c r="DX133" s="11"/>
      <c r="DY133" s="11"/>
      <c r="DZ133" s="11"/>
      <c r="EA133" s="11"/>
      <c r="EB133" s="11"/>
      <c r="EC133" s="11"/>
      <c r="ED133" s="11"/>
      <c r="EE133" s="11"/>
      <c r="EF133" s="11"/>
      <c r="EG133" s="11"/>
      <c r="EH133" s="11"/>
      <c r="EI133" s="11"/>
      <c r="EJ133" s="11"/>
      <c r="EK133" s="11"/>
      <c r="EL133" s="11"/>
      <c r="EM133" s="11"/>
      <c r="EN133" s="11"/>
      <c r="EO133" s="11"/>
      <c r="EP133" s="11"/>
      <c r="EQ133" s="11"/>
      <c r="ER133" s="11"/>
      <c r="ES133" s="11"/>
      <c r="ET133" s="11"/>
      <c r="EU133" s="11"/>
      <c r="EV133" s="11"/>
      <c r="EW133" s="11"/>
      <c r="EX133" s="11"/>
      <c r="EY133" s="11"/>
      <c r="EZ133" s="11"/>
      <c r="FA133" s="11"/>
      <c r="FB133" s="11"/>
      <c r="FC133" s="11"/>
      <c r="FD133" s="11"/>
      <c r="FE133" s="11"/>
      <c r="FF133" s="11"/>
      <c r="FG133" s="11"/>
      <c r="FH133" s="11"/>
      <c r="FI133" s="11"/>
      <c r="FJ133" s="11"/>
      <c r="FK133" s="11"/>
      <c r="FL133" s="11"/>
      <c r="FM133" s="11"/>
      <c r="FN133" s="11"/>
      <c r="FO133" s="11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11"/>
      <c r="GC133" s="11"/>
      <c r="GD133" s="11"/>
      <c r="GE133" s="11"/>
      <c r="GF133" s="11"/>
      <c r="GG133" s="11"/>
      <c r="GH133" s="11"/>
      <c r="GI133" s="11"/>
      <c r="GJ133" s="11"/>
      <c r="GK133" s="11"/>
      <c r="GL133" s="11"/>
      <c r="GM133" s="11"/>
      <c r="GN133" s="11"/>
      <c r="GO133" s="11"/>
      <c r="GP133" s="11"/>
      <c r="GQ133" s="11"/>
      <c r="GR133" s="11"/>
    </row>
    <row r="134" spans="2:200" x14ac:dyDescent="0.15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</row>
    <row r="135" spans="2:200" x14ac:dyDescent="0.15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1"/>
      <c r="DK135" s="11"/>
      <c r="DL135" s="11"/>
      <c r="DM135" s="11"/>
      <c r="DN135" s="11"/>
      <c r="DO135" s="11"/>
      <c r="DP135" s="11"/>
      <c r="DQ135" s="11"/>
      <c r="DR135" s="11"/>
      <c r="DS135" s="11"/>
      <c r="DT135" s="11"/>
      <c r="DU135" s="11"/>
      <c r="DV135" s="11"/>
      <c r="DW135" s="11"/>
      <c r="DX135" s="11"/>
      <c r="DY135" s="11"/>
      <c r="DZ135" s="11"/>
      <c r="EA135" s="11"/>
      <c r="EB135" s="11"/>
      <c r="EC135" s="11"/>
      <c r="ED135" s="11"/>
      <c r="EE135" s="11"/>
      <c r="EF135" s="11"/>
      <c r="EG135" s="11"/>
      <c r="EH135" s="11"/>
      <c r="EI135" s="11"/>
      <c r="EJ135" s="11"/>
      <c r="EK135" s="11"/>
      <c r="EL135" s="11"/>
      <c r="EM135" s="11"/>
      <c r="EN135" s="11"/>
      <c r="EO135" s="11"/>
      <c r="EP135" s="11"/>
      <c r="EQ135" s="11"/>
      <c r="ER135" s="11"/>
      <c r="ES135" s="11"/>
      <c r="ET135" s="11"/>
      <c r="EU135" s="11"/>
      <c r="EV135" s="11"/>
      <c r="EW135" s="11"/>
      <c r="EX135" s="11"/>
      <c r="EY135" s="11"/>
      <c r="EZ135" s="11"/>
      <c r="FA135" s="11"/>
      <c r="FB135" s="11"/>
      <c r="FC135" s="11"/>
      <c r="FD135" s="11"/>
      <c r="FE135" s="11"/>
      <c r="FF135" s="11"/>
      <c r="FG135" s="11"/>
      <c r="FH135" s="11"/>
      <c r="FI135" s="11"/>
      <c r="FJ135" s="11"/>
      <c r="FK135" s="11"/>
      <c r="FL135" s="11"/>
      <c r="FM135" s="11"/>
      <c r="FN135" s="11"/>
      <c r="FO135" s="11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1"/>
      <c r="GF135" s="11"/>
      <c r="GG135" s="11"/>
      <c r="GH135" s="11"/>
      <c r="GI135" s="11"/>
      <c r="GJ135" s="11"/>
      <c r="GK135" s="11"/>
      <c r="GL135" s="11"/>
      <c r="GM135" s="11"/>
      <c r="GN135" s="11"/>
      <c r="GO135" s="11"/>
      <c r="GP135" s="11"/>
      <c r="GQ135" s="11"/>
      <c r="GR135" s="11"/>
    </row>
    <row r="136" spans="2:200" x14ac:dyDescent="0.15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11"/>
      <c r="DU136" s="11"/>
      <c r="DV136" s="11"/>
      <c r="DW136" s="11"/>
      <c r="DX136" s="11"/>
      <c r="DY136" s="11"/>
      <c r="DZ136" s="11"/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11"/>
      <c r="FI136" s="11"/>
      <c r="FJ136" s="11"/>
      <c r="FK136" s="11"/>
      <c r="FL136" s="11"/>
      <c r="FM136" s="11"/>
      <c r="FN136" s="11"/>
      <c r="FO136" s="11"/>
      <c r="FP136" s="11"/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1"/>
      <c r="GF136" s="11"/>
      <c r="GG136" s="11"/>
      <c r="GH136" s="11"/>
      <c r="GI136" s="11"/>
      <c r="GJ136" s="11"/>
      <c r="GK136" s="11"/>
      <c r="GL136" s="11"/>
      <c r="GM136" s="11"/>
      <c r="GN136" s="11"/>
      <c r="GO136" s="11"/>
      <c r="GP136" s="11"/>
      <c r="GQ136" s="11"/>
      <c r="GR136" s="11"/>
    </row>
    <row r="137" spans="2:200" x14ac:dyDescent="0.15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</row>
    <row r="138" spans="2:200" x14ac:dyDescent="0.15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  <c r="CW138" s="11"/>
      <c r="CX138" s="11"/>
      <c r="CY138" s="11"/>
      <c r="CZ138" s="11"/>
      <c r="DA138" s="11"/>
      <c r="DB138" s="11"/>
      <c r="DC138" s="11"/>
      <c r="DD138" s="11"/>
      <c r="DE138" s="11"/>
      <c r="DF138" s="11"/>
      <c r="DG138" s="11"/>
      <c r="DH138" s="11"/>
      <c r="DI138" s="11"/>
      <c r="DJ138" s="11"/>
      <c r="DK138" s="11"/>
      <c r="DL138" s="11"/>
      <c r="DM138" s="11"/>
      <c r="DN138" s="11"/>
      <c r="DO138" s="11"/>
      <c r="DP138" s="11"/>
      <c r="DQ138" s="11"/>
      <c r="DR138" s="11"/>
      <c r="DS138" s="11"/>
      <c r="DT138" s="11"/>
      <c r="DU138" s="11"/>
      <c r="DV138" s="11"/>
      <c r="DW138" s="11"/>
      <c r="DX138" s="11"/>
      <c r="DY138" s="11"/>
      <c r="DZ138" s="11"/>
      <c r="EA138" s="11"/>
      <c r="EB138" s="11"/>
      <c r="EC138" s="11"/>
      <c r="ED138" s="11"/>
      <c r="EE138" s="11"/>
      <c r="EF138" s="11"/>
      <c r="EG138" s="11"/>
      <c r="EH138" s="11"/>
      <c r="EI138" s="11"/>
      <c r="EJ138" s="11"/>
      <c r="EK138" s="11"/>
      <c r="EL138" s="11"/>
      <c r="EM138" s="11"/>
      <c r="EN138" s="11"/>
      <c r="EO138" s="11"/>
      <c r="EP138" s="11"/>
      <c r="EQ138" s="11"/>
      <c r="ER138" s="11"/>
      <c r="ES138" s="11"/>
      <c r="ET138" s="11"/>
      <c r="EU138" s="11"/>
      <c r="EV138" s="11"/>
      <c r="EW138" s="11"/>
      <c r="EX138" s="11"/>
      <c r="EY138" s="11"/>
      <c r="EZ138" s="11"/>
      <c r="FA138" s="11"/>
      <c r="FB138" s="11"/>
      <c r="FC138" s="11"/>
      <c r="FD138" s="11"/>
      <c r="FE138" s="11"/>
      <c r="FF138" s="11"/>
      <c r="FG138" s="11"/>
      <c r="FH138" s="11"/>
      <c r="FI138" s="11"/>
      <c r="FJ138" s="11"/>
      <c r="FK138" s="11"/>
      <c r="FL138" s="11"/>
      <c r="FM138" s="11"/>
      <c r="FN138" s="11"/>
      <c r="FO138" s="11"/>
      <c r="FP138" s="11"/>
      <c r="FQ138" s="11"/>
      <c r="FR138" s="11"/>
      <c r="FS138" s="11"/>
      <c r="FT138" s="11"/>
      <c r="FU138" s="11"/>
      <c r="FV138" s="11"/>
      <c r="FW138" s="11"/>
      <c r="FX138" s="11"/>
      <c r="FY138" s="11"/>
      <c r="FZ138" s="11"/>
      <c r="GA138" s="11"/>
      <c r="GB138" s="11"/>
      <c r="GC138" s="11"/>
      <c r="GD138" s="11"/>
      <c r="GE138" s="11"/>
      <c r="GF138" s="11"/>
      <c r="GG138" s="11"/>
      <c r="GH138" s="11"/>
      <c r="GI138" s="11"/>
      <c r="GJ138" s="11"/>
      <c r="GK138" s="11"/>
      <c r="GL138" s="11"/>
      <c r="GM138" s="11"/>
      <c r="GN138" s="11"/>
      <c r="GO138" s="11"/>
      <c r="GP138" s="11"/>
      <c r="GQ138" s="11"/>
      <c r="GR138" s="11"/>
    </row>
    <row r="139" spans="2:200" x14ac:dyDescent="0.15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  <c r="CW139" s="11"/>
      <c r="CX139" s="11"/>
      <c r="CY139" s="11"/>
      <c r="CZ139" s="11"/>
      <c r="DA139" s="11"/>
      <c r="DB139" s="11"/>
      <c r="DC139" s="11"/>
      <c r="DD139" s="11"/>
      <c r="DE139" s="11"/>
      <c r="DF139" s="11"/>
      <c r="DG139" s="11"/>
      <c r="DH139" s="11"/>
      <c r="DI139" s="11"/>
      <c r="DJ139" s="11"/>
      <c r="DK139" s="11"/>
      <c r="DL139" s="11"/>
      <c r="DM139" s="11"/>
      <c r="DN139" s="11"/>
      <c r="DO139" s="11"/>
      <c r="DP139" s="11"/>
      <c r="DQ139" s="11"/>
      <c r="DR139" s="11"/>
      <c r="DS139" s="11"/>
      <c r="DT139" s="11"/>
      <c r="DU139" s="11"/>
      <c r="DV139" s="11"/>
      <c r="DW139" s="11"/>
      <c r="DX139" s="11"/>
      <c r="DY139" s="11"/>
      <c r="DZ139" s="11"/>
      <c r="EA139" s="11"/>
      <c r="EB139" s="11"/>
      <c r="EC139" s="11"/>
      <c r="ED139" s="11"/>
      <c r="EE139" s="11"/>
      <c r="EF139" s="11"/>
      <c r="EG139" s="11"/>
      <c r="EH139" s="11"/>
      <c r="EI139" s="11"/>
      <c r="EJ139" s="11"/>
      <c r="EK139" s="11"/>
      <c r="EL139" s="11"/>
      <c r="EM139" s="11"/>
      <c r="EN139" s="11"/>
      <c r="EO139" s="11"/>
      <c r="EP139" s="11"/>
      <c r="EQ139" s="11"/>
      <c r="ER139" s="11"/>
      <c r="ES139" s="11"/>
      <c r="ET139" s="11"/>
      <c r="EU139" s="11"/>
      <c r="EV139" s="11"/>
      <c r="EW139" s="11"/>
      <c r="EX139" s="11"/>
      <c r="EY139" s="11"/>
      <c r="EZ139" s="11"/>
      <c r="FA139" s="11"/>
      <c r="FB139" s="11"/>
      <c r="FC139" s="11"/>
      <c r="FD139" s="11"/>
      <c r="FE139" s="11"/>
      <c r="FF139" s="11"/>
      <c r="FG139" s="11"/>
      <c r="FH139" s="11"/>
      <c r="FI139" s="11"/>
      <c r="FJ139" s="11"/>
      <c r="FK139" s="11"/>
      <c r="FL139" s="11"/>
      <c r="FM139" s="11"/>
      <c r="FN139" s="11"/>
      <c r="FO139" s="11"/>
      <c r="FP139" s="11"/>
      <c r="FQ139" s="11"/>
      <c r="FR139" s="11"/>
      <c r="FS139" s="11"/>
      <c r="FT139" s="11"/>
      <c r="FU139" s="11"/>
      <c r="FV139" s="11"/>
      <c r="FW139" s="11"/>
      <c r="FX139" s="11"/>
      <c r="FY139" s="11"/>
      <c r="FZ139" s="11"/>
      <c r="GA139" s="11"/>
      <c r="GB139" s="11"/>
      <c r="GC139" s="11"/>
      <c r="GD139" s="11"/>
      <c r="GE139" s="11"/>
      <c r="GF139" s="11"/>
      <c r="GG139" s="11"/>
      <c r="GH139" s="11"/>
      <c r="GI139" s="11"/>
      <c r="GJ139" s="11"/>
      <c r="GK139" s="11"/>
      <c r="GL139" s="11"/>
      <c r="GM139" s="11"/>
      <c r="GN139" s="11"/>
      <c r="GO139" s="11"/>
      <c r="GP139" s="11"/>
      <c r="GQ139" s="11"/>
      <c r="GR139" s="11"/>
    </row>
    <row r="140" spans="2:200" x14ac:dyDescent="0.15"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  <c r="CW140" s="11"/>
      <c r="CX140" s="11"/>
      <c r="CY140" s="11"/>
      <c r="CZ140" s="11"/>
      <c r="DA140" s="11"/>
      <c r="DB140" s="11"/>
      <c r="DC140" s="11"/>
      <c r="DD140" s="11"/>
      <c r="DE140" s="11"/>
      <c r="DF140" s="11"/>
      <c r="DG140" s="11"/>
      <c r="DH140" s="11"/>
      <c r="DI140" s="11"/>
      <c r="DJ140" s="11"/>
      <c r="DK140" s="11"/>
      <c r="DL140" s="11"/>
      <c r="DM140" s="11"/>
      <c r="DN140" s="11"/>
      <c r="DO140" s="11"/>
      <c r="DP140" s="11"/>
      <c r="DQ140" s="11"/>
      <c r="DR140" s="11"/>
      <c r="DS140" s="11"/>
      <c r="DT140" s="11"/>
      <c r="DU140" s="11"/>
      <c r="DV140" s="11"/>
      <c r="DW140" s="11"/>
      <c r="DX140" s="11"/>
      <c r="DY140" s="11"/>
      <c r="DZ140" s="11"/>
      <c r="EA140" s="11"/>
      <c r="EB140" s="11"/>
      <c r="EC140" s="11"/>
      <c r="ED140" s="11"/>
      <c r="EE140" s="11"/>
      <c r="EF140" s="11"/>
      <c r="EG140" s="11"/>
      <c r="EH140" s="11"/>
      <c r="EI140" s="11"/>
      <c r="EJ140" s="11"/>
      <c r="EK140" s="11"/>
      <c r="EL140" s="11"/>
      <c r="EM140" s="11"/>
      <c r="EN140" s="11"/>
      <c r="EO140" s="11"/>
      <c r="EP140" s="11"/>
      <c r="EQ140" s="11"/>
      <c r="ER140" s="11"/>
      <c r="ES140" s="11"/>
      <c r="ET140" s="11"/>
      <c r="EU140" s="11"/>
      <c r="EV140" s="11"/>
      <c r="EW140" s="11"/>
      <c r="EX140" s="11"/>
      <c r="EY140" s="11"/>
      <c r="EZ140" s="11"/>
      <c r="FA140" s="11"/>
      <c r="FB140" s="11"/>
      <c r="FC140" s="11"/>
      <c r="FD140" s="11"/>
      <c r="FE140" s="11"/>
      <c r="FF140" s="11"/>
      <c r="FG140" s="11"/>
      <c r="FH140" s="11"/>
      <c r="FI140" s="11"/>
      <c r="FJ140" s="11"/>
      <c r="FK140" s="11"/>
      <c r="FL140" s="11"/>
      <c r="FM140" s="11"/>
      <c r="FN140" s="11"/>
      <c r="FO140" s="11"/>
      <c r="FP140" s="11"/>
      <c r="FQ140" s="11"/>
      <c r="FR140" s="11"/>
      <c r="FS140" s="11"/>
      <c r="FT140" s="11"/>
      <c r="FU140" s="11"/>
      <c r="FV140" s="11"/>
      <c r="FW140" s="11"/>
      <c r="FX140" s="11"/>
      <c r="FY140" s="11"/>
      <c r="FZ140" s="11"/>
      <c r="GA140" s="11"/>
      <c r="GB140" s="11"/>
      <c r="GC140" s="11"/>
      <c r="GD140" s="11"/>
      <c r="GE140" s="11"/>
      <c r="GF140" s="11"/>
      <c r="GG140" s="11"/>
      <c r="GH140" s="11"/>
      <c r="GI140" s="11"/>
      <c r="GJ140" s="11"/>
      <c r="GK140" s="11"/>
      <c r="GL140" s="11"/>
      <c r="GM140" s="11"/>
      <c r="GN140" s="11"/>
      <c r="GO140" s="11"/>
      <c r="GP140" s="11"/>
      <c r="GQ140" s="11"/>
      <c r="GR140" s="11"/>
    </row>
    <row r="141" spans="2:200" x14ac:dyDescent="0.15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  <c r="CW141" s="11"/>
      <c r="CX141" s="11"/>
      <c r="CY141" s="11"/>
      <c r="CZ141" s="11"/>
      <c r="DA141" s="11"/>
      <c r="DB141" s="11"/>
      <c r="DC141" s="11"/>
      <c r="DD141" s="11"/>
      <c r="DE141" s="11"/>
      <c r="DF141" s="11"/>
      <c r="DG141" s="11"/>
      <c r="DH141" s="11"/>
      <c r="DI141" s="11"/>
      <c r="DJ141" s="11"/>
      <c r="DK141" s="11"/>
      <c r="DL141" s="11"/>
      <c r="DM141" s="11"/>
      <c r="DN141" s="11"/>
      <c r="DO141" s="11"/>
      <c r="DP141" s="11"/>
      <c r="DQ141" s="11"/>
      <c r="DR141" s="11"/>
      <c r="DS141" s="11"/>
      <c r="DT141" s="11"/>
      <c r="DU141" s="11"/>
      <c r="DV141" s="11"/>
      <c r="DW141" s="11"/>
      <c r="DX141" s="11"/>
      <c r="DY141" s="11"/>
      <c r="DZ141" s="11"/>
      <c r="EA141" s="11"/>
      <c r="EB141" s="11"/>
      <c r="EC141" s="11"/>
      <c r="ED141" s="11"/>
      <c r="EE141" s="11"/>
      <c r="EF141" s="11"/>
      <c r="EG141" s="11"/>
      <c r="EH141" s="11"/>
      <c r="EI141" s="11"/>
      <c r="EJ141" s="11"/>
      <c r="EK141" s="11"/>
      <c r="EL141" s="11"/>
      <c r="EM141" s="11"/>
      <c r="EN141" s="11"/>
      <c r="EO141" s="11"/>
      <c r="EP141" s="11"/>
      <c r="EQ141" s="11"/>
      <c r="ER141" s="11"/>
      <c r="ES141" s="11"/>
      <c r="ET141" s="11"/>
      <c r="EU141" s="11"/>
      <c r="EV141" s="11"/>
      <c r="EW141" s="11"/>
      <c r="EX141" s="11"/>
      <c r="EY141" s="11"/>
      <c r="EZ141" s="11"/>
      <c r="FA141" s="11"/>
      <c r="FB141" s="11"/>
      <c r="FC141" s="11"/>
      <c r="FD141" s="11"/>
      <c r="FE141" s="11"/>
      <c r="FF141" s="11"/>
      <c r="FG141" s="11"/>
      <c r="FH141" s="11"/>
      <c r="FI141" s="11"/>
      <c r="FJ141" s="11"/>
      <c r="FK141" s="11"/>
      <c r="FL141" s="11"/>
      <c r="FM141" s="11"/>
      <c r="FN141" s="11"/>
      <c r="FO141" s="11"/>
      <c r="FP141" s="11"/>
      <c r="FQ141" s="11"/>
      <c r="FR141" s="11"/>
      <c r="FS141" s="11"/>
      <c r="FT141" s="11"/>
      <c r="FU141" s="11"/>
      <c r="FV141" s="11"/>
      <c r="FW141" s="11"/>
      <c r="FX141" s="11"/>
      <c r="FY141" s="11"/>
      <c r="FZ141" s="11"/>
      <c r="GA141" s="11"/>
      <c r="GB141" s="11"/>
      <c r="GC141" s="11"/>
      <c r="GD141" s="11"/>
      <c r="GE141" s="11"/>
      <c r="GF141" s="11"/>
      <c r="GG141" s="11"/>
      <c r="GH141" s="11"/>
      <c r="GI141" s="11"/>
      <c r="GJ141" s="11"/>
      <c r="GK141" s="11"/>
      <c r="GL141" s="11"/>
      <c r="GM141" s="11"/>
      <c r="GN141" s="11"/>
      <c r="GO141" s="11"/>
      <c r="GP141" s="11"/>
      <c r="GQ141" s="11"/>
      <c r="GR141" s="11"/>
    </row>
    <row r="142" spans="2:200" x14ac:dyDescent="0.15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  <c r="CW142" s="11"/>
      <c r="CX142" s="11"/>
      <c r="CY142" s="11"/>
      <c r="CZ142" s="11"/>
      <c r="DA142" s="11"/>
      <c r="DB142" s="11"/>
      <c r="DC142" s="11"/>
      <c r="DD142" s="11"/>
      <c r="DE142" s="11"/>
      <c r="DF142" s="11"/>
      <c r="DG142" s="11"/>
      <c r="DH142" s="11"/>
      <c r="DI142" s="11"/>
      <c r="DJ142" s="11"/>
      <c r="DK142" s="11"/>
      <c r="DL142" s="11"/>
      <c r="DM142" s="11"/>
      <c r="DN142" s="11"/>
      <c r="DO142" s="11"/>
      <c r="DP142" s="11"/>
      <c r="DQ142" s="11"/>
      <c r="DR142" s="11"/>
      <c r="DS142" s="11"/>
      <c r="DT142" s="11"/>
      <c r="DU142" s="11"/>
      <c r="DV142" s="11"/>
      <c r="DW142" s="11"/>
      <c r="DX142" s="11"/>
      <c r="DY142" s="11"/>
      <c r="DZ142" s="11"/>
      <c r="EA142" s="11"/>
      <c r="EB142" s="11"/>
      <c r="EC142" s="11"/>
      <c r="ED142" s="11"/>
      <c r="EE142" s="11"/>
      <c r="EF142" s="11"/>
      <c r="EG142" s="11"/>
      <c r="EH142" s="11"/>
      <c r="EI142" s="11"/>
      <c r="EJ142" s="11"/>
      <c r="EK142" s="11"/>
      <c r="EL142" s="11"/>
      <c r="EM142" s="11"/>
      <c r="EN142" s="11"/>
      <c r="EO142" s="11"/>
      <c r="EP142" s="11"/>
      <c r="EQ142" s="11"/>
      <c r="ER142" s="11"/>
      <c r="ES142" s="11"/>
      <c r="ET142" s="11"/>
      <c r="EU142" s="11"/>
      <c r="EV142" s="11"/>
      <c r="EW142" s="11"/>
      <c r="EX142" s="11"/>
      <c r="EY142" s="11"/>
      <c r="EZ142" s="11"/>
      <c r="FA142" s="11"/>
      <c r="FB142" s="11"/>
      <c r="FC142" s="11"/>
      <c r="FD142" s="11"/>
      <c r="FE142" s="11"/>
      <c r="FF142" s="11"/>
      <c r="FG142" s="11"/>
      <c r="FH142" s="11"/>
      <c r="FI142" s="11"/>
      <c r="FJ142" s="11"/>
      <c r="FK142" s="11"/>
      <c r="FL142" s="11"/>
      <c r="FM142" s="11"/>
      <c r="FN142" s="11"/>
      <c r="FO142" s="11"/>
      <c r="FP142" s="11"/>
      <c r="FQ142" s="11"/>
      <c r="FR142" s="11"/>
      <c r="FS142" s="11"/>
      <c r="FT142" s="11"/>
      <c r="FU142" s="11"/>
      <c r="FV142" s="11"/>
      <c r="FW142" s="11"/>
      <c r="FX142" s="11"/>
      <c r="FY142" s="11"/>
      <c r="FZ142" s="11"/>
      <c r="GA142" s="11"/>
      <c r="GB142" s="11"/>
      <c r="GC142" s="11"/>
      <c r="GD142" s="11"/>
      <c r="GE142" s="11"/>
      <c r="GF142" s="11"/>
      <c r="GG142" s="11"/>
      <c r="GH142" s="11"/>
      <c r="GI142" s="11"/>
      <c r="GJ142" s="11"/>
      <c r="GK142" s="11"/>
      <c r="GL142" s="11"/>
      <c r="GM142" s="11"/>
      <c r="GN142" s="11"/>
      <c r="GO142" s="11"/>
      <c r="GP142" s="11"/>
      <c r="GQ142" s="11"/>
      <c r="GR142" s="11"/>
    </row>
    <row r="143" spans="2:200" x14ac:dyDescent="0.15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 s="11"/>
      <c r="GL143" s="11"/>
      <c r="GM143" s="11"/>
      <c r="GN143" s="11"/>
      <c r="GO143" s="11"/>
      <c r="GP143" s="11"/>
      <c r="GQ143" s="11"/>
      <c r="GR143" s="11"/>
    </row>
    <row r="144" spans="2:200" x14ac:dyDescent="0.15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  <c r="CW144" s="11"/>
      <c r="CX144" s="11"/>
      <c r="CY144" s="11"/>
      <c r="CZ144" s="11"/>
      <c r="DA144" s="11"/>
      <c r="DB144" s="11"/>
      <c r="DC144" s="11"/>
      <c r="DD144" s="11"/>
      <c r="DE144" s="11"/>
      <c r="DF144" s="11"/>
      <c r="DG144" s="11"/>
      <c r="DH144" s="11"/>
      <c r="DI144" s="11"/>
      <c r="DJ144" s="11"/>
      <c r="DK144" s="11"/>
      <c r="DL144" s="11"/>
      <c r="DM144" s="11"/>
      <c r="DN144" s="11"/>
      <c r="DO144" s="11"/>
      <c r="DP144" s="11"/>
      <c r="DQ144" s="11"/>
      <c r="DR144" s="11"/>
      <c r="DS144" s="11"/>
      <c r="DT144" s="11"/>
      <c r="DU144" s="11"/>
      <c r="DV144" s="11"/>
      <c r="DW144" s="11"/>
      <c r="DX144" s="11"/>
      <c r="DY144" s="11"/>
      <c r="DZ144" s="11"/>
      <c r="EA144" s="11"/>
      <c r="EB144" s="11"/>
      <c r="EC144" s="11"/>
      <c r="ED144" s="11"/>
      <c r="EE144" s="11"/>
      <c r="EF144" s="11"/>
      <c r="EG144" s="11"/>
      <c r="EH144" s="11"/>
      <c r="EI144" s="11"/>
      <c r="EJ144" s="11"/>
      <c r="EK144" s="11"/>
      <c r="EL144" s="11"/>
      <c r="EM144" s="11"/>
      <c r="EN144" s="11"/>
      <c r="EO144" s="11"/>
      <c r="EP144" s="11"/>
      <c r="EQ144" s="11"/>
      <c r="ER144" s="11"/>
      <c r="ES144" s="11"/>
      <c r="ET144" s="11"/>
      <c r="EU144" s="11"/>
      <c r="EV144" s="11"/>
      <c r="EW144" s="11"/>
      <c r="EX144" s="11"/>
      <c r="EY144" s="11"/>
      <c r="EZ144" s="11"/>
      <c r="FA144" s="11"/>
      <c r="FB144" s="11"/>
      <c r="FC144" s="11"/>
      <c r="FD144" s="11"/>
      <c r="FE144" s="11"/>
      <c r="FF144" s="11"/>
      <c r="FG144" s="11"/>
      <c r="FH144" s="11"/>
      <c r="FI144" s="11"/>
      <c r="FJ144" s="11"/>
      <c r="FK144" s="11"/>
      <c r="FL144" s="11"/>
      <c r="FM144" s="11"/>
      <c r="FN144" s="11"/>
      <c r="FO144" s="11"/>
      <c r="FP144" s="11"/>
      <c r="FQ144" s="11"/>
      <c r="FR144" s="11"/>
      <c r="FS144" s="11"/>
      <c r="FT144" s="11"/>
      <c r="FU144" s="11"/>
      <c r="FV144" s="11"/>
      <c r="FW144" s="11"/>
      <c r="FX144" s="11"/>
      <c r="FY144" s="11"/>
      <c r="FZ144" s="11"/>
      <c r="GA144" s="11"/>
      <c r="GB144" s="11"/>
      <c r="GC144" s="11"/>
      <c r="GD144" s="11"/>
      <c r="GE144" s="11"/>
      <c r="GF144" s="11"/>
      <c r="GG144" s="11"/>
      <c r="GH144" s="11"/>
      <c r="GI144" s="11"/>
      <c r="GJ144" s="11"/>
      <c r="GK144" s="11"/>
      <c r="GL144" s="11"/>
      <c r="GM144" s="11"/>
      <c r="GN144" s="11"/>
      <c r="GO144" s="11"/>
      <c r="GP144" s="11"/>
      <c r="GQ144" s="11"/>
      <c r="GR144" s="11"/>
    </row>
    <row r="145" spans="2:200" x14ac:dyDescent="0.15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  <c r="CW145" s="11"/>
      <c r="CX145" s="11"/>
      <c r="CY145" s="11"/>
      <c r="CZ145" s="11"/>
      <c r="DA145" s="11"/>
      <c r="DB145" s="11"/>
      <c r="DC145" s="11"/>
      <c r="DD145" s="11"/>
      <c r="DE145" s="11"/>
      <c r="DF145" s="11"/>
      <c r="DG145" s="11"/>
      <c r="DH145" s="11"/>
      <c r="DI145" s="11"/>
      <c r="DJ145" s="11"/>
      <c r="DK145" s="11"/>
      <c r="DL145" s="11"/>
      <c r="DM145" s="11"/>
      <c r="DN145" s="11"/>
      <c r="DO145" s="11"/>
      <c r="DP145" s="11"/>
      <c r="DQ145" s="11"/>
      <c r="DR145" s="11"/>
      <c r="DS145" s="11"/>
      <c r="DT145" s="11"/>
      <c r="DU145" s="11"/>
      <c r="DV145" s="11"/>
      <c r="DW145" s="11"/>
      <c r="DX145" s="11"/>
      <c r="DY145" s="11"/>
      <c r="DZ145" s="11"/>
      <c r="EA145" s="11"/>
      <c r="EB145" s="11"/>
      <c r="EC145" s="11"/>
      <c r="ED145" s="11"/>
      <c r="EE145" s="11"/>
      <c r="EF145" s="11"/>
      <c r="EG145" s="11"/>
      <c r="EH145" s="11"/>
      <c r="EI145" s="11"/>
      <c r="EJ145" s="11"/>
      <c r="EK145" s="11"/>
      <c r="EL145" s="11"/>
      <c r="EM145" s="11"/>
      <c r="EN145" s="11"/>
      <c r="EO145" s="11"/>
      <c r="EP145" s="11"/>
      <c r="EQ145" s="11"/>
      <c r="ER145" s="11"/>
      <c r="ES145" s="11"/>
      <c r="ET145" s="11"/>
      <c r="EU145" s="11"/>
      <c r="EV145" s="11"/>
      <c r="EW145" s="11"/>
      <c r="EX145" s="11"/>
      <c r="EY145" s="11"/>
      <c r="EZ145" s="11"/>
      <c r="FA145" s="11"/>
      <c r="FB145" s="11"/>
      <c r="FC145" s="11"/>
      <c r="FD145" s="11"/>
      <c r="FE145" s="11"/>
      <c r="FF145" s="11"/>
      <c r="FG145" s="11"/>
      <c r="FH145" s="11"/>
      <c r="FI145" s="11"/>
      <c r="FJ145" s="11"/>
      <c r="FK145" s="11"/>
      <c r="FL145" s="11"/>
      <c r="FM145" s="11"/>
      <c r="FN145" s="11"/>
      <c r="FO145" s="11"/>
      <c r="FP145" s="11"/>
      <c r="FQ145" s="11"/>
      <c r="FR145" s="11"/>
      <c r="FS145" s="11"/>
      <c r="FT145" s="11"/>
      <c r="FU145" s="11"/>
      <c r="FV145" s="11"/>
      <c r="FW145" s="11"/>
      <c r="FX145" s="11"/>
      <c r="FY145" s="11"/>
      <c r="FZ145" s="11"/>
      <c r="GA145" s="11"/>
      <c r="GB145" s="11"/>
      <c r="GC145" s="11"/>
      <c r="GD145" s="11"/>
      <c r="GE145" s="11"/>
      <c r="GF145" s="11"/>
      <c r="GG145" s="11"/>
      <c r="GH145" s="11"/>
      <c r="GI145" s="11"/>
      <c r="GJ145" s="11"/>
      <c r="GK145" s="11"/>
      <c r="GL145" s="11"/>
      <c r="GM145" s="11"/>
      <c r="GN145" s="11"/>
      <c r="GO145" s="11"/>
      <c r="GP145" s="11"/>
      <c r="GQ145" s="11"/>
      <c r="GR145" s="11"/>
    </row>
    <row r="146" spans="2:200" x14ac:dyDescent="0.15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  <c r="CW146" s="11"/>
      <c r="CX146" s="11"/>
      <c r="CY146" s="11"/>
      <c r="CZ146" s="11"/>
      <c r="DA146" s="11"/>
      <c r="DB146" s="11"/>
      <c r="DC146" s="11"/>
      <c r="DD146" s="11"/>
      <c r="DE146" s="11"/>
      <c r="DF146" s="11"/>
      <c r="DG146" s="11"/>
      <c r="DH146" s="11"/>
      <c r="DI146" s="11"/>
      <c r="DJ146" s="11"/>
      <c r="DK146" s="11"/>
      <c r="DL146" s="11"/>
      <c r="DM146" s="11"/>
      <c r="DN146" s="11"/>
      <c r="DO146" s="11"/>
      <c r="DP146" s="11"/>
      <c r="DQ146" s="11"/>
      <c r="DR146" s="11"/>
      <c r="DS146" s="11"/>
      <c r="DT146" s="11"/>
      <c r="DU146" s="11"/>
      <c r="DV146" s="11"/>
      <c r="DW146" s="11"/>
      <c r="DX146" s="11"/>
      <c r="DY146" s="11"/>
      <c r="DZ146" s="11"/>
      <c r="EA146" s="11"/>
      <c r="EB146" s="11"/>
      <c r="EC146" s="11"/>
      <c r="ED146" s="11"/>
      <c r="EE146" s="11"/>
      <c r="EF146" s="11"/>
      <c r="EG146" s="11"/>
      <c r="EH146" s="11"/>
      <c r="EI146" s="11"/>
      <c r="EJ146" s="11"/>
      <c r="EK146" s="11"/>
      <c r="EL146" s="11"/>
      <c r="EM146" s="11"/>
      <c r="EN146" s="11"/>
      <c r="EO146" s="11"/>
      <c r="EP146" s="11"/>
      <c r="EQ146" s="11"/>
      <c r="ER146" s="11"/>
      <c r="ES146" s="11"/>
      <c r="ET146" s="11"/>
      <c r="EU146" s="11"/>
      <c r="EV146" s="11"/>
      <c r="EW146" s="11"/>
      <c r="EX146" s="11"/>
      <c r="EY146" s="11"/>
      <c r="EZ146" s="11"/>
      <c r="FA146" s="11"/>
      <c r="FB146" s="11"/>
      <c r="FC146" s="11"/>
      <c r="FD146" s="11"/>
      <c r="FE146" s="11"/>
      <c r="FF146" s="11"/>
      <c r="FG146" s="11"/>
      <c r="FH146" s="11"/>
      <c r="FI146" s="11"/>
      <c r="FJ146" s="11"/>
      <c r="FK146" s="11"/>
      <c r="FL146" s="11"/>
      <c r="FM146" s="11"/>
      <c r="FN146" s="11"/>
      <c r="FO146" s="11"/>
      <c r="FP146" s="11"/>
      <c r="FQ146" s="11"/>
      <c r="FR146" s="11"/>
      <c r="FS146" s="11"/>
      <c r="FT146" s="11"/>
      <c r="FU146" s="11"/>
      <c r="FV146" s="11"/>
      <c r="FW146" s="11"/>
      <c r="FX146" s="11"/>
      <c r="FY146" s="11"/>
      <c r="FZ146" s="11"/>
      <c r="GA146" s="11"/>
      <c r="GB146" s="11"/>
      <c r="GC146" s="11"/>
      <c r="GD146" s="11"/>
      <c r="GE146" s="11"/>
      <c r="GF146" s="11"/>
      <c r="GG146" s="11"/>
      <c r="GH146" s="11"/>
      <c r="GI146" s="11"/>
      <c r="GJ146" s="11"/>
      <c r="GK146" s="11"/>
      <c r="GL146" s="11"/>
      <c r="GM146" s="11"/>
      <c r="GN146" s="11"/>
      <c r="GO146" s="11"/>
      <c r="GP146" s="11"/>
      <c r="GQ146" s="11"/>
      <c r="GR146" s="11"/>
    </row>
    <row r="147" spans="2:200" x14ac:dyDescent="0.15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 s="11"/>
      <c r="GL147" s="11"/>
      <c r="GM147" s="11"/>
      <c r="GN147" s="11"/>
      <c r="GO147" s="11"/>
      <c r="GP147" s="11"/>
      <c r="GQ147" s="11"/>
      <c r="GR147" s="11"/>
    </row>
    <row r="148" spans="2:200" x14ac:dyDescent="0.15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  <c r="CW148" s="11"/>
      <c r="CX148" s="11"/>
      <c r="CY148" s="11"/>
      <c r="CZ148" s="11"/>
      <c r="DA148" s="11"/>
      <c r="DB148" s="11"/>
      <c r="DC148" s="11"/>
      <c r="DD148" s="11"/>
      <c r="DE148" s="11"/>
      <c r="DF148" s="11"/>
      <c r="DG148" s="11"/>
      <c r="DH148" s="11"/>
      <c r="DI148" s="11"/>
      <c r="DJ148" s="11"/>
      <c r="DK148" s="11"/>
      <c r="DL148" s="11"/>
      <c r="DM148" s="11"/>
      <c r="DN148" s="11"/>
      <c r="DO148" s="11"/>
      <c r="DP148" s="11"/>
      <c r="DQ148" s="11"/>
      <c r="DR148" s="11"/>
      <c r="DS148" s="11"/>
      <c r="DT148" s="11"/>
      <c r="DU148" s="11"/>
      <c r="DV148" s="11"/>
      <c r="DW148" s="11"/>
      <c r="DX148" s="11"/>
      <c r="DY148" s="11"/>
      <c r="DZ148" s="11"/>
      <c r="EA148" s="11"/>
      <c r="EB148" s="11"/>
      <c r="EC148" s="11"/>
      <c r="ED148" s="11"/>
      <c r="EE148" s="11"/>
      <c r="EF148" s="11"/>
      <c r="EG148" s="11"/>
      <c r="EH148" s="11"/>
      <c r="EI148" s="11"/>
      <c r="EJ148" s="11"/>
      <c r="EK148" s="11"/>
      <c r="EL148" s="11"/>
      <c r="EM148" s="11"/>
      <c r="EN148" s="11"/>
      <c r="EO148" s="11"/>
      <c r="EP148" s="11"/>
      <c r="EQ148" s="11"/>
      <c r="ER148" s="11"/>
      <c r="ES148" s="11"/>
      <c r="ET148" s="11"/>
      <c r="EU148" s="11"/>
      <c r="EV148" s="11"/>
      <c r="EW148" s="11"/>
      <c r="EX148" s="11"/>
      <c r="EY148" s="11"/>
      <c r="EZ148" s="11"/>
      <c r="FA148" s="11"/>
      <c r="FB148" s="11"/>
      <c r="FC148" s="11"/>
      <c r="FD148" s="11"/>
      <c r="FE148" s="11"/>
      <c r="FF148" s="11"/>
      <c r="FG148" s="11"/>
      <c r="FH148" s="11"/>
      <c r="FI148" s="11"/>
      <c r="FJ148" s="11"/>
      <c r="FK148" s="11"/>
      <c r="FL148" s="11"/>
      <c r="FM148" s="11"/>
      <c r="FN148" s="11"/>
      <c r="FO148" s="11"/>
      <c r="FP148" s="11"/>
      <c r="FQ148" s="11"/>
      <c r="FR148" s="11"/>
      <c r="FS148" s="11"/>
      <c r="FT148" s="11"/>
      <c r="FU148" s="11"/>
      <c r="FV148" s="11"/>
      <c r="FW148" s="11"/>
      <c r="FX148" s="11"/>
      <c r="FY148" s="11"/>
      <c r="FZ148" s="11"/>
      <c r="GA148" s="11"/>
      <c r="GB148" s="11"/>
      <c r="GC148" s="11"/>
      <c r="GD148" s="11"/>
      <c r="GE148" s="11"/>
      <c r="GF148" s="11"/>
      <c r="GG148" s="11"/>
      <c r="GH148" s="11"/>
      <c r="GI148" s="11"/>
      <c r="GJ148" s="11"/>
      <c r="GK148" s="11"/>
      <c r="GL148" s="11"/>
      <c r="GM148" s="11"/>
      <c r="GN148" s="11"/>
      <c r="GO148" s="11"/>
      <c r="GP148" s="11"/>
      <c r="GQ148" s="11"/>
      <c r="GR148" s="11"/>
    </row>
    <row r="149" spans="2:200" x14ac:dyDescent="0.15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  <c r="CW149" s="11"/>
      <c r="CX149" s="11"/>
      <c r="CY149" s="11"/>
      <c r="CZ149" s="11"/>
      <c r="DA149" s="11"/>
      <c r="DB149" s="11"/>
      <c r="DC149" s="11"/>
      <c r="DD149" s="11"/>
      <c r="DE149" s="11"/>
      <c r="DF149" s="11"/>
      <c r="DG149" s="11"/>
      <c r="DH149" s="11"/>
      <c r="DI149" s="11"/>
      <c r="DJ149" s="11"/>
      <c r="DK149" s="11"/>
      <c r="DL149" s="11"/>
      <c r="DM149" s="11"/>
      <c r="DN149" s="11"/>
      <c r="DO149" s="11"/>
      <c r="DP149" s="11"/>
      <c r="DQ149" s="11"/>
      <c r="DR149" s="11"/>
      <c r="DS149" s="11"/>
      <c r="DT149" s="11"/>
      <c r="DU149" s="11"/>
      <c r="DV149" s="11"/>
      <c r="DW149" s="11"/>
      <c r="DX149" s="11"/>
      <c r="DY149" s="11"/>
      <c r="DZ149" s="11"/>
      <c r="EA149" s="11"/>
      <c r="EB149" s="11"/>
      <c r="EC149" s="11"/>
      <c r="ED149" s="11"/>
      <c r="EE149" s="11"/>
      <c r="EF149" s="11"/>
      <c r="EG149" s="11"/>
      <c r="EH149" s="11"/>
      <c r="EI149" s="11"/>
      <c r="EJ149" s="11"/>
      <c r="EK149" s="11"/>
      <c r="EL149" s="11"/>
      <c r="EM149" s="11"/>
      <c r="EN149" s="11"/>
      <c r="EO149" s="11"/>
      <c r="EP149" s="11"/>
      <c r="EQ149" s="11"/>
      <c r="ER149" s="11"/>
      <c r="ES149" s="11"/>
      <c r="ET149" s="11"/>
      <c r="EU149" s="11"/>
      <c r="EV149" s="11"/>
      <c r="EW149" s="11"/>
      <c r="EX149" s="11"/>
      <c r="EY149" s="11"/>
      <c r="EZ149" s="11"/>
      <c r="FA149" s="11"/>
      <c r="FB149" s="11"/>
      <c r="FC149" s="11"/>
      <c r="FD149" s="11"/>
      <c r="FE149" s="11"/>
      <c r="FF149" s="11"/>
      <c r="FG149" s="11"/>
      <c r="FH149" s="11"/>
      <c r="FI149" s="11"/>
      <c r="FJ149" s="11"/>
      <c r="FK149" s="11"/>
      <c r="FL149" s="11"/>
      <c r="FM149" s="11"/>
      <c r="FN149" s="11"/>
      <c r="FO149" s="11"/>
      <c r="FP149" s="11"/>
      <c r="FQ149" s="11"/>
      <c r="FR149" s="11"/>
      <c r="FS149" s="11"/>
      <c r="FT149" s="11"/>
      <c r="FU149" s="11"/>
      <c r="FV149" s="11"/>
      <c r="FW149" s="11"/>
      <c r="FX149" s="11"/>
      <c r="FY149" s="11"/>
      <c r="FZ149" s="11"/>
      <c r="GA149" s="11"/>
      <c r="GB149" s="11"/>
      <c r="GC149" s="11"/>
      <c r="GD149" s="11"/>
      <c r="GE149" s="11"/>
      <c r="GF149" s="11"/>
      <c r="GG149" s="11"/>
      <c r="GH149" s="11"/>
      <c r="GI149" s="11"/>
      <c r="GJ149" s="11"/>
      <c r="GK149" s="11"/>
      <c r="GL149" s="11"/>
      <c r="GM149" s="11"/>
      <c r="GN149" s="11"/>
      <c r="GO149" s="11"/>
      <c r="GP149" s="11"/>
      <c r="GQ149" s="11"/>
      <c r="GR149" s="11"/>
    </row>
    <row r="150" spans="2:200" x14ac:dyDescent="0.15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  <c r="CW150" s="11"/>
      <c r="CX150" s="11"/>
      <c r="CY150" s="11"/>
      <c r="CZ150" s="11"/>
      <c r="DA150" s="11"/>
      <c r="DB150" s="11"/>
      <c r="DC150" s="11"/>
      <c r="DD150" s="11"/>
      <c r="DE150" s="11"/>
      <c r="DF150" s="11"/>
      <c r="DG150" s="11"/>
      <c r="DH150" s="11"/>
      <c r="DI150" s="11"/>
      <c r="DJ150" s="11"/>
      <c r="DK150" s="11"/>
      <c r="DL150" s="11"/>
      <c r="DM150" s="11"/>
      <c r="DN150" s="11"/>
      <c r="DO150" s="11"/>
      <c r="DP150" s="11"/>
      <c r="DQ150" s="11"/>
      <c r="DR150" s="11"/>
      <c r="DS150" s="11"/>
      <c r="DT150" s="11"/>
      <c r="DU150" s="11"/>
      <c r="DV150" s="11"/>
      <c r="DW150" s="11"/>
      <c r="DX150" s="11"/>
      <c r="DY150" s="11"/>
      <c r="DZ150" s="11"/>
      <c r="EA150" s="11"/>
      <c r="EB150" s="11"/>
      <c r="EC150" s="11"/>
      <c r="ED150" s="11"/>
      <c r="EE150" s="11"/>
      <c r="EF150" s="11"/>
      <c r="EG150" s="11"/>
      <c r="EH150" s="11"/>
      <c r="EI150" s="11"/>
      <c r="EJ150" s="11"/>
      <c r="EK150" s="11"/>
      <c r="EL150" s="11"/>
      <c r="EM150" s="11"/>
      <c r="EN150" s="11"/>
      <c r="EO150" s="11"/>
      <c r="EP150" s="11"/>
      <c r="EQ150" s="11"/>
      <c r="ER150" s="11"/>
      <c r="ES150" s="11"/>
      <c r="ET150" s="11"/>
      <c r="EU150" s="11"/>
      <c r="EV150" s="11"/>
      <c r="EW150" s="11"/>
      <c r="EX150" s="11"/>
      <c r="EY150" s="11"/>
      <c r="EZ150" s="11"/>
      <c r="FA150" s="11"/>
      <c r="FB150" s="11"/>
      <c r="FC150" s="11"/>
      <c r="FD150" s="11"/>
      <c r="FE150" s="11"/>
      <c r="FF150" s="11"/>
      <c r="FG150" s="11"/>
      <c r="FH150" s="11"/>
      <c r="FI150" s="11"/>
      <c r="FJ150" s="11"/>
      <c r="FK150" s="11"/>
      <c r="FL150" s="11"/>
      <c r="FM150" s="11"/>
      <c r="FN150" s="11"/>
      <c r="FO150" s="11"/>
      <c r="FP150" s="11"/>
      <c r="FQ150" s="11"/>
      <c r="FR150" s="11"/>
      <c r="FS150" s="11"/>
      <c r="FT150" s="11"/>
      <c r="FU150" s="11"/>
      <c r="FV150" s="11"/>
      <c r="FW150" s="11"/>
      <c r="FX150" s="11"/>
      <c r="FY150" s="11"/>
      <c r="FZ150" s="11"/>
      <c r="GA150" s="11"/>
      <c r="GB150" s="11"/>
      <c r="GC150" s="11"/>
      <c r="GD150" s="11"/>
      <c r="GE150" s="11"/>
      <c r="GF150" s="11"/>
      <c r="GG150" s="11"/>
      <c r="GH150" s="11"/>
      <c r="GI150" s="11"/>
      <c r="GJ150" s="11"/>
      <c r="GK150" s="11"/>
      <c r="GL150" s="11"/>
      <c r="GM150" s="11"/>
      <c r="GN150" s="11"/>
      <c r="GO150" s="11"/>
      <c r="GP150" s="11"/>
      <c r="GQ150" s="11"/>
      <c r="GR150" s="11"/>
    </row>
    <row r="151" spans="2:200" x14ac:dyDescent="0.15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  <c r="CW151" s="11"/>
      <c r="CX151" s="11"/>
      <c r="CY151" s="11"/>
      <c r="CZ151" s="11"/>
      <c r="DA151" s="11"/>
      <c r="DB151" s="11"/>
      <c r="DC151" s="11"/>
      <c r="DD151" s="11"/>
      <c r="DE151" s="11"/>
      <c r="DF151" s="11"/>
      <c r="DG151" s="11"/>
      <c r="DH151" s="11"/>
      <c r="DI151" s="11"/>
      <c r="DJ151" s="11"/>
      <c r="DK151" s="11"/>
      <c r="DL151" s="11"/>
      <c r="DM151" s="11"/>
      <c r="DN151" s="11"/>
      <c r="DO151" s="11"/>
      <c r="DP151" s="11"/>
      <c r="DQ151" s="11"/>
      <c r="DR151" s="11"/>
      <c r="DS151" s="11"/>
      <c r="DT151" s="11"/>
      <c r="DU151" s="11"/>
      <c r="DV151" s="11"/>
      <c r="DW151" s="11"/>
      <c r="DX151" s="11"/>
      <c r="DY151" s="11"/>
      <c r="DZ151" s="11"/>
      <c r="EA151" s="11"/>
      <c r="EB151" s="11"/>
      <c r="EC151" s="11"/>
      <c r="ED151" s="11"/>
      <c r="EE151" s="11"/>
      <c r="EF151" s="11"/>
      <c r="EG151" s="11"/>
      <c r="EH151" s="11"/>
      <c r="EI151" s="11"/>
      <c r="EJ151" s="11"/>
      <c r="EK151" s="11"/>
      <c r="EL151" s="11"/>
      <c r="EM151" s="11"/>
      <c r="EN151" s="11"/>
      <c r="EO151" s="11"/>
      <c r="EP151" s="11"/>
      <c r="EQ151" s="11"/>
      <c r="ER151" s="11"/>
      <c r="ES151" s="11"/>
      <c r="ET151" s="11"/>
      <c r="EU151" s="11"/>
      <c r="EV151" s="11"/>
      <c r="EW151" s="11"/>
      <c r="EX151" s="11"/>
      <c r="EY151" s="11"/>
      <c r="EZ151" s="11"/>
      <c r="FA151" s="11"/>
      <c r="FB151" s="11"/>
      <c r="FC151" s="11"/>
      <c r="FD151" s="11"/>
      <c r="FE151" s="11"/>
      <c r="FF151" s="11"/>
      <c r="FG151" s="11"/>
      <c r="FH151" s="11"/>
      <c r="FI151" s="11"/>
      <c r="FJ151" s="11"/>
      <c r="FK151" s="11"/>
      <c r="FL151" s="11"/>
      <c r="FM151" s="11"/>
      <c r="FN151" s="11"/>
      <c r="FO151" s="11"/>
      <c r="FP151" s="11"/>
      <c r="FQ151" s="11"/>
      <c r="FR151" s="11"/>
      <c r="FS151" s="11"/>
      <c r="FT151" s="11"/>
      <c r="FU151" s="11"/>
      <c r="FV151" s="11"/>
      <c r="FW151" s="11"/>
      <c r="FX151" s="11"/>
      <c r="FY151" s="11"/>
      <c r="FZ151" s="11"/>
      <c r="GA151" s="11"/>
      <c r="GB151" s="11"/>
      <c r="GC151" s="11"/>
      <c r="GD151" s="11"/>
      <c r="GE151" s="11"/>
      <c r="GF151" s="11"/>
      <c r="GG151" s="11"/>
      <c r="GH151" s="11"/>
      <c r="GI151" s="11"/>
      <c r="GJ151" s="11"/>
      <c r="GK151" s="11"/>
      <c r="GL151" s="11"/>
      <c r="GM151" s="11"/>
      <c r="GN151" s="11"/>
      <c r="GO151" s="11"/>
      <c r="GP151" s="11"/>
      <c r="GQ151" s="11"/>
      <c r="GR151" s="11"/>
    </row>
    <row r="152" spans="2:200" x14ac:dyDescent="0.15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  <c r="CW152" s="11"/>
      <c r="CX152" s="11"/>
      <c r="CY152" s="11"/>
      <c r="CZ152" s="11"/>
      <c r="DA152" s="11"/>
      <c r="DB152" s="11"/>
      <c r="DC152" s="11"/>
      <c r="DD152" s="11"/>
      <c r="DE152" s="11"/>
      <c r="DF152" s="11"/>
      <c r="DG152" s="11"/>
      <c r="DH152" s="11"/>
      <c r="DI152" s="11"/>
      <c r="DJ152" s="11"/>
      <c r="DK152" s="11"/>
      <c r="DL152" s="11"/>
      <c r="DM152" s="11"/>
      <c r="DN152" s="11"/>
      <c r="DO152" s="11"/>
      <c r="DP152" s="11"/>
      <c r="DQ152" s="11"/>
      <c r="DR152" s="11"/>
      <c r="DS152" s="11"/>
      <c r="DT152" s="11"/>
      <c r="DU152" s="11"/>
      <c r="DV152" s="11"/>
      <c r="DW152" s="11"/>
      <c r="DX152" s="11"/>
      <c r="DY152" s="11"/>
      <c r="DZ152" s="11"/>
      <c r="EA152" s="11"/>
      <c r="EB152" s="11"/>
      <c r="EC152" s="11"/>
      <c r="ED152" s="11"/>
      <c r="EE152" s="11"/>
      <c r="EF152" s="11"/>
      <c r="EG152" s="11"/>
      <c r="EH152" s="11"/>
      <c r="EI152" s="11"/>
      <c r="EJ152" s="11"/>
      <c r="EK152" s="11"/>
      <c r="EL152" s="11"/>
      <c r="EM152" s="11"/>
      <c r="EN152" s="11"/>
      <c r="EO152" s="11"/>
      <c r="EP152" s="11"/>
      <c r="EQ152" s="11"/>
      <c r="ER152" s="11"/>
      <c r="ES152" s="11"/>
      <c r="ET152" s="11"/>
      <c r="EU152" s="11"/>
      <c r="EV152" s="11"/>
      <c r="EW152" s="11"/>
      <c r="EX152" s="11"/>
      <c r="EY152" s="11"/>
      <c r="EZ152" s="11"/>
      <c r="FA152" s="11"/>
      <c r="FB152" s="11"/>
      <c r="FC152" s="11"/>
      <c r="FD152" s="11"/>
      <c r="FE152" s="11"/>
      <c r="FF152" s="11"/>
      <c r="FG152" s="11"/>
      <c r="FH152" s="11"/>
      <c r="FI152" s="11"/>
      <c r="FJ152" s="11"/>
      <c r="FK152" s="11"/>
      <c r="FL152" s="11"/>
      <c r="FM152" s="11"/>
      <c r="FN152" s="11"/>
      <c r="FO152" s="11"/>
      <c r="FP152" s="11"/>
      <c r="FQ152" s="11"/>
      <c r="FR152" s="11"/>
      <c r="FS152" s="11"/>
      <c r="FT152" s="11"/>
      <c r="FU152" s="11"/>
      <c r="FV152" s="11"/>
      <c r="FW152" s="11"/>
      <c r="FX152" s="11"/>
      <c r="FY152" s="11"/>
      <c r="FZ152" s="11"/>
      <c r="GA152" s="11"/>
      <c r="GB152" s="11"/>
      <c r="GC152" s="11"/>
      <c r="GD152" s="11"/>
      <c r="GE152" s="11"/>
      <c r="GF152" s="11"/>
      <c r="GG152" s="11"/>
      <c r="GH152" s="11"/>
      <c r="GI152" s="11"/>
      <c r="GJ152" s="11"/>
      <c r="GK152" s="11"/>
      <c r="GL152" s="11"/>
      <c r="GM152" s="11"/>
      <c r="GN152" s="11"/>
      <c r="GO152" s="11"/>
      <c r="GP152" s="11"/>
      <c r="GQ152" s="11"/>
      <c r="GR152" s="11"/>
    </row>
    <row r="153" spans="2:200" x14ac:dyDescent="0.15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  <c r="CW153" s="11"/>
      <c r="CX153" s="11"/>
      <c r="CY153" s="11"/>
      <c r="CZ153" s="11"/>
      <c r="DA153" s="11"/>
      <c r="DB153" s="11"/>
      <c r="DC153" s="11"/>
      <c r="DD153" s="11"/>
      <c r="DE153" s="11"/>
      <c r="DF153" s="11"/>
      <c r="DG153" s="11"/>
      <c r="DH153" s="11"/>
      <c r="DI153" s="11"/>
      <c r="DJ153" s="11"/>
      <c r="DK153" s="11"/>
      <c r="DL153" s="11"/>
      <c r="DM153" s="11"/>
      <c r="DN153" s="11"/>
      <c r="DO153" s="11"/>
      <c r="DP153" s="11"/>
      <c r="DQ153" s="11"/>
      <c r="DR153" s="11"/>
      <c r="DS153" s="11"/>
      <c r="DT153" s="11"/>
      <c r="DU153" s="11"/>
      <c r="DV153" s="11"/>
      <c r="DW153" s="11"/>
      <c r="DX153" s="11"/>
      <c r="DY153" s="11"/>
      <c r="DZ153" s="11"/>
      <c r="EA153" s="11"/>
      <c r="EB153" s="11"/>
      <c r="EC153" s="11"/>
      <c r="ED153" s="11"/>
      <c r="EE153" s="11"/>
      <c r="EF153" s="11"/>
      <c r="EG153" s="11"/>
      <c r="EH153" s="11"/>
      <c r="EI153" s="11"/>
      <c r="EJ153" s="11"/>
      <c r="EK153" s="11"/>
      <c r="EL153" s="11"/>
      <c r="EM153" s="11"/>
      <c r="EN153" s="11"/>
      <c r="EO153" s="11"/>
      <c r="EP153" s="11"/>
      <c r="EQ153" s="11"/>
      <c r="ER153" s="11"/>
      <c r="ES153" s="11"/>
      <c r="ET153" s="11"/>
      <c r="EU153" s="11"/>
      <c r="EV153" s="11"/>
      <c r="EW153" s="11"/>
      <c r="EX153" s="11"/>
      <c r="EY153" s="11"/>
      <c r="EZ153" s="11"/>
      <c r="FA153" s="11"/>
      <c r="FB153" s="11"/>
      <c r="FC153" s="11"/>
      <c r="FD153" s="11"/>
      <c r="FE153" s="11"/>
      <c r="FF153" s="11"/>
      <c r="FG153" s="11"/>
      <c r="FH153" s="11"/>
      <c r="FI153" s="11"/>
      <c r="FJ153" s="11"/>
      <c r="FK153" s="11"/>
      <c r="FL153" s="11"/>
      <c r="FM153" s="11"/>
      <c r="FN153" s="11"/>
      <c r="FO153" s="11"/>
      <c r="FP153" s="11"/>
      <c r="FQ153" s="11"/>
      <c r="FR153" s="11"/>
      <c r="FS153" s="11"/>
      <c r="FT153" s="11"/>
      <c r="FU153" s="11"/>
      <c r="FV153" s="11"/>
      <c r="FW153" s="11"/>
      <c r="FX153" s="11"/>
      <c r="FY153" s="11"/>
      <c r="FZ153" s="11"/>
      <c r="GA153" s="11"/>
      <c r="GB153" s="11"/>
      <c r="GC153" s="11"/>
      <c r="GD153" s="11"/>
      <c r="GE153" s="11"/>
      <c r="GF153" s="11"/>
      <c r="GG153" s="11"/>
      <c r="GH153" s="11"/>
      <c r="GI153" s="11"/>
      <c r="GJ153" s="11"/>
      <c r="GK153" s="11"/>
      <c r="GL153" s="11"/>
      <c r="GM153" s="11"/>
      <c r="GN153" s="11"/>
      <c r="GO153" s="11"/>
      <c r="GP153" s="11"/>
      <c r="GQ153" s="11"/>
      <c r="GR153" s="11"/>
    </row>
    <row r="154" spans="2:200" x14ac:dyDescent="0.15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  <c r="CW154" s="11"/>
      <c r="CX154" s="11"/>
      <c r="CY154" s="11"/>
      <c r="CZ154" s="11"/>
      <c r="DA154" s="11"/>
      <c r="DB154" s="11"/>
      <c r="DC154" s="11"/>
      <c r="DD154" s="11"/>
      <c r="DE154" s="11"/>
      <c r="DF154" s="11"/>
      <c r="DG154" s="11"/>
      <c r="DH154" s="11"/>
      <c r="DI154" s="11"/>
      <c r="DJ154" s="11"/>
      <c r="DK154" s="11"/>
      <c r="DL154" s="11"/>
      <c r="DM154" s="11"/>
      <c r="DN154" s="11"/>
      <c r="DO154" s="11"/>
      <c r="DP154" s="11"/>
      <c r="DQ154" s="11"/>
      <c r="DR154" s="11"/>
      <c r="DS154" s="11"/>
      <c r="DT154" s="11"/>
      <c r="DU154" s="11"/>
      <c r="DV154" s="11"/>
      <c r="DW154" s="11"/>
      <c r="DX154" s="11"/>
      <c r="DY154" s="11"/>
      <c r="DZ154" s="11"/>
      <c r="EA154" s="11"/>
      <c r="EB154" s="11"/>
      <c r="EC154" s="11"/>
      <c r="ED154" s="11"/>
      <c r="EE154" s="11"/>
      <c r="EF154" s="11"/>
      <c r="EG154" s="11"/>
      <c r="EH154" s="11"/>
      <c r="EI154" s="11"/>
      <c r="EJ154" s="11"/>
      <c r="EK154" s="11"/>
      <c r="EL154" s="11"/>
      <c r="EM154" s="11"/>
      <c r="EN154" s="11"/>
      <c r="EO154" s="11"/>
      <c r="EP154" s="11"/>
      <c r="EQ154" s="11"/>
      <c r="ER154" s="11"/>
      <c r="ES154" s="11"/>
      <c r="ET154" s="11"/>
      <c r="EU154" s="11"/>
      <c r="EV154" s="11"/>
      <c r="EW154" s="11"/>
      <c r="EX154" s="11"/>
      <c r="EY154" s="11"/>
      <c r="EZ154" s="11"/>
      <c r="FA154" s="11"/>
      <c r="FB154" s="11"/>
      <c r="FC154" s="11"/>
      <c r="FD154" s="11"/>
      <c r="FE154" s="11"/>
      <c r="FF154" s="11"/>
      <c r="FG154" s="11"/>
      <c r="FH154" s="11"/>
      <c r="FI154" s="11"/>
      <c r="FJ154" s="11"/>
      <c r="FK154" s="11"/>
      <c r="FL154" s="11"/>
      <c r="FM154" s="11"/>
      <c r="FN154" s="11"/>
      <c r="FO154" s="11"/>
      <c r="FP154" s="11"/>
      <c r="FQ154" s="11"/>
      <c r="FR154" s="11"/>
      <c r="FS154" s="11"/>
      <c r="FT154" s="11"/>
      <c r="FU154" s="11"/>
      <c r="FV154" s="11"/>
      <c r="FW154" s="11"/>
      <c r="FX154" s="11"/>
      <c r="FY154" s="11"/>
      <c r="FZ154" s="11"/>
      <c r="GA154" s="11"/>
      <c r="GB154" s="11"/>
      <c r="GC154" s="11"/>
      <c r="GD154" s="11"/>
      <c r="GE154" s="11"/>
      <c r="GF154" s="11"/>
      <c r="GG154" s="11"/>
      <c r="GH154" s="11"/>
      <c r="GI154" s="11"/>
      <c r="GJ154" s="11"/>
      <c r="GK154" s="11"/>
      <c r="GL154" s="11"/>
      <c r="GM154" s="11"/>
      <c r="GN154" s="11"/>
      <c r="GO154" s="11"/>
      <c r="GP154" s="11"/>
      <c r="GQ154" s="11"/>
      <c r="GR154" s="11"/>
    </row>
    <row r="155" spans="2:200" x14ac:dyDescent="0.15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  <c r="CW155" s="11"/>
      <c r="CX155" s="11"/>
      <c r="CY155" s="11"/>
      <c r="CZ155" s="11"/>
      <c r="DA155" s="11"/>
      <c r="DB155" s="11"/>
      <c r="DC155" s="11"/>
      <c r="DD155" s="11"/>
      <c r="DE155" s="11"/>
      <c r="DF155" s="11"/>
      <c r="DG155" s="11"/>
      <c r="DH155" s="11"/>
      <c r="DI155" s="11"/>
      <c r="DJ155" s="11"/>
      <c r="DK155" s="11"/>
      <c r="DL155" s="11"/>
      <c r="DM155" s="11"/>
      <c r="DN155" s="11"/>
      <c r="DO155" s="11"/>
      <c r="DP155" s="11"/>
      <c r="DQ155" s="11"/>
      <c r="DR155" s="11"/>
      <c r="DS155" s="11"/>
      <c r="DT155" s="11"/>
      <c r="DU155" s="11"/>
      <c r="DV155" s="11"/>
      <c r="DW155" s="11"/>
      <c r="DX155" s="11"/>
      <c r="DY155" s="11"/>
      <c r="DZ155" s="11"/>
      <c r="EA155" s="11"/>
      <c r="EB155" s="11"/>
      <c r="EC155" s="11"/>
      <c r="ED155" s="11"/>
      <c r="EE155" s="11"/>
      <c r="EF155" s="11"/>
      <c r="EG155" s="11"/>
      <c r="EH155" s="11"/>
      <c r="EI155" s="11"/>
      <c r="EJ155" s="11"/>
      <c r="EK155" s="11"/>
      <c r="EL155" s="11"/>
      <c r="EM155" s="11"/>
      <c r="EN155" s="11"/>
      <c r="EO155" s="11"/>
      <c r="EP155" s="11"/>
      <c r="EQ155" s="11"/>
      <c r="ER155" s="11"/>
      <c r="ES155" s="11"/>
      <c r="ET155" s="11"/>
      <c r="EU155" s="11"/>
      <c r="EV155" s="11"/>
      <c r="EW155" s="11"/>
      <c r="EX155" s="11"/>
      <c r="EY155" s="11"/>
      <c r="EZ155" s="11"/>
      <c r="FA155" s="11"/>
      <c r="FB155" s="11"/>
      <c r="FC155" s="11"/>
      <c r="FD155" s="11"/>
      <c r="FE155" s="11"/>
      <c r="FF155" s="11"/>
      <c r="FG155" s="11"/>
      <c r="FH155" s="11"/>
      <c r="FI155" s="11"/>
      <c r="FJ155" s="11"/>
      <c r="FK155" s="11"/>
      <c r="FL155" s="11"/>
      <c r="FM155" s="11"/>
      <c r="FN155" s="11"/>
      <c r="FO155" s="11"/>
      <c r="FP155" s="11"/>
      <c r="FQ155" s="11"/>
      <c r="FR155" s="11"/>
      <c r="FS155" s="11"/>
      <c r="FT155" s="11"/>
      <c r="FU155" s="11"/>
      <c r="FV155" s="11"/>
      <c r="FW155" s="11"/>
      <c r="FX155" s="11"/>
      <c r="FY155" s="11"/>
      <c r="FZ155" s="11"/>
      <c r="GA155" s="11"/>
      <c r="GB155" s="11"/>
      <c r="GC155" s="11"/>
      <c r="GD155" s="11"/>
      <c r="GE155" s="11"/>
      <c r="GF155" s="11"/>
      <c r="GG155" s="11"/>
      <c r="GH155" s="11"/>
      <c r="GI155" s="11"/>
      <c r="GJ155" s="11"/>
      <c r="GK155" s="11"/>
      <c r="GL155" s="11"/>
      <c r="GM155" s="11"/>
      <c r="GN155" s="11"/>
      <c r="GO155" s="11"/>
      <c r="GP155" s="11"/>
      <c r="GQ155" s="11"/>
      <c r="GR155" s="11"/>
    </row>
    <row r="156" spans="2:200" x14ac:dyDescent="0.15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  <c r="CW156" s="11"/>
      <c r="CX156" s="11"/>
      <c r="CY156" s="11"/>
      <c r="CZ156" s="11"/>
      <c r="DA156" s="11"/>
      <c r="DB156" s="11"/>
      <c r="DC156" s="11"/>
      <c r="DD156" s="11"/>
      <c r="DE156" s="11"/>
      <c r="DF156" s="11"/>
      <c r="DG156" s="11"/>
      <c r="DH156" s="11"/>
      <c r="DI156" s="11"/>
      <c r="DJ156" s="11"/>
      <c r="DK156" s="11"/>
      <c r="DL156" s="11"/>
      <c r="DM156" s="11"/>
      <c r="DN156" s="11"/>
      <c r="DO156" s="11"/>
      <c r="DP156" s="11"/>
      <c r="DQ156" s="11"/>
      <c r="DR156" s="11"/>
      <c r="DS156" s="11"/>
      <c r="DT156" s="11"/>
      <c r="DU156" s="11"/>
      <c r="DV156" s="11"/>
      <c r="DW156" s="11"/>
      <c r="DX156" s="11"/>
      <c r="DY156" s="11"/>
      <c r="DZ156" s="11"/>
      <c r="EA156" s="11"/>
      <c r="EB156" s="11"/>
      <c r="EC156" s="11"/>
      <c r="ED156" s="11"/>
      <c r="EE156" s="11"/>
      <c r="EF156" s="11"/>
      <c r="EG156" s="11"/>
      <c r="EH156" s="11"/>
      <c r="EI156" s="11"/>
      <c r="EJ156" s="11"/>
      <c r="EK156" s="11"/>
      <c r="EL156" s="11"/>
      <c r="EM156" s="11"/>
      <c r="EN156" s="11"/>
      <c r="EO156" s="11"/>
      <c r="EP156" s="11"/>
      <c r="EQ156" s="11"/>
      <c r="ER156" s="11"/>
      <c r="ES156" s="11"/>
      <c r="ET156" s="11"/>
      <c r="EU156" s="11"/>
      <c r="EV156" s="11"/>
      <c r="EW156" s="11"/>
      <c r="EX156" s="11"/>
      <c r="EY156" s="11"/>
      <c r="EZ156" s="11"/>
      <c r="FA156" s="11"/>
      <c r="FB156" s="11"/>
      <c r="FC156" s="11"/>
      <c r="FD156" s="11"/>
      <c r="FE156" s="11"/>
      <c r="FF156" s="11"/>
      <c r="FG156" s="11"/>
      <c r="FH156" s="11"/>
      <c r="FI156" s="11"/>
      <c r="FJ156" s="11"/>
      <c r="FK156" s="11"/>
      <c r="FL156" s="11"/>
      <c r="FM156" s="11"/>
      <c r="FN156" s="11"/>
      <c r="FO156" s="11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11"/>
      <c r="GC156" s="11"/>
      <c r="GD156" s="11"/>
      <c r="GE156" s="11"/>
      <c r="GF156" s="11"/>
      <c r="GG156" s="11"/>
      <c r="GH156" s="11"/>
      <c r="GI156" s="11"/>
      <c r="GJ156" s="11"/>
      <c r="GK156" s="11"/>
      <c r="GL156" s="11"/>
      <c r="GM156" s="11"/>
      <c r="GN156" s="11"/>
      <c r="GO156" s="11"/>
      <c r="GP156" s="11"/>
      <c r="GQ156" s="11"/>
      <c r="GR156" s="11"/>
    </row>
    <row r="157" spans="2:200" x14ac:dyDescent="0.15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  <c r="CW157" s="11"/>
      <c r="CX157" s="11"/>
      <c r="CY157" s="11"/>
      <c r="CZ157" s="11"/>
      <c r="DA157" s="11"/>
      <c r="DB157" s="11"/>
      <c r="DC157" s="11"/>
      <c r="DD157" s="11"/>
      <c r="DE157" s="11"/>
      <c r="DF157" s="11"/>
      <c r="DG157" s="11"/>
      <c r="DH157" s="11"/>
      <c r="DI157" s="11"/>
      <c r="DJ157" s="11"/>
      <c r="DK157" s="11"/>
      <c r="DL157" s="11"/>
      <c r="DM157" s="11"/>
      <c r="DN157" s="11"/>
      <c r="DO157" s="11"/>
      <c r="DP157" s="11"/>
      <c r="DQ157" s="11"/>
      <c r="DR157" s="11"/>
      <c r="DS157" s="11"/>
      <c r="DT157" s="11"/>
      <c r="DU157" s="11"/>
      <c r="DV157" s="11"/>
      <c r="DW157" s="11"/>
      <c r="DX157" s="11"/>
      <c r="DY157" s="11"/>
      <c r="DZ157" s="11"/>
      <c r="EA157" s="11"/>
      <c r="EB157" s="11"/>
      <c r="EC157" s="11"/>
      <c r="ED157" s="11"/>
      <c r="EE157" s="11"/>
      <c r="EF157" s="11"/>
      <c r="EG157" s="11"/>
      <c r="EH157" s="11"/>
      <c r="EI157" s="11"/>
      <c r="EJ157" s="11"/>
      <c r="EK157" s="11"/>
      <c r="EL157" s="11"/>
      <c r="EM157" s="11"/>
      <c r="EN157" s="11"/>
      <c r="EO157" s="11"/>
      <c r="EP157" s="11"/>
      <c r="EQ157" s="11"/>
      <c r="ER157" s="11"/>
      <c r="ES157" s="11"/>
      <c r="ET157" s="11"/>
      <c r="EU157" s="11"/>
      <c r="EV157" s="11"/>
      <c r="EW157" s="11"/>
      <c r="EX157" s="11"/>
      <c r="EY157" s="11"/>
      <c r="EZ157" s="11"/>
      <c r="FA157" s="11"/>
      <c r="FB157" s="11"/>
      <c r="FC157" s="11"/>
      <c r="FD157" s="11"/>
      <c r="FE157" s="11"/>
      <c r="FF157" s="11"/>
      <c r="FG157" s="11"/>
      <c r="FH157" s="11"/>
      <c r="FI157" s="11"/>
      <c r="FJ157" s="11"/>
      <c r="FK157" s="11"/>
      <c r="FL157" s="11"/>
      <c r="FM157" s="11"/>
      <c r="FN157" s="11"/>
      <c r="FO157" s="1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11"/>
      <c r="GC157" s="11"/>
      <c r="GD157" s="11"/>
      <c r="GE157" s="11"/>
      <c r="GF157" s="11"/>
      <c r="GG157" s="11"/>
      <c r="GH157" s="11"/>
      <c r="GI157" s="11"/>
      <c r="GJ157" s="11"/>
      <c r="GK157" s="11"/>
      <c r="GL157" s="11"/>
      <c r="GM157" s="11"/>
      <c r="GN157" s="11"/>
      <c r="GO157" s="11"/>
      <c r="GP157" s="11"/>
      <c r="GQ157" s="11"/>
      <c r="GR157" s="11"/>
    </row>
    <row r="158" spans="2:200" x14ac:dyDescent="0.15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  <c r="CW158" s="11"/>
      <c r="CX158" s="11"/>
      <c r="CY158" s="11"/>
      <c r="CZ158" s="11"/>
      <c r="DA158" s="11"/>
      <c r="DB158" s="11"/>
      <c r="DC158" s="11"/>
      <c r="DD158" s="11"/>
      <c r="DE158" s="11"/>
      <c r="DF158" s="11"/>
      <c r="DG158" s="11"/>
      <c r="DH158" s="11"/>
      <c r="DI158" s="11"/>
      <c r="DJ158" s="11"/>
      <c r="DK158" s="11"/>
      <c r="DL158" s="11"/>
      <c r="DM158" s="11"/>
      <c r="DN158" s="11"/>
      <c r="DO158" s="11"/>
      <c r="DP158" s="11"/>
      <c r="DQ158" s="11"/>
      <c r="DR158" s="11"/>
      <c r="DS158" s="11"/>
      <c r="DT158" s="11"/>
      <c r="DU158" s="11"/>
      <c r="DV158" s="11"/>
      <c r="DW158" s="11"/>
      <c r="DX158" s="11"/>
      <c r="DY158" s="11"/>
      <c r="DZ158" s="11"/>
      <c r="EA158" s="11"/>
      <c r="EB158" s="11"/>
      <c r="EC158" s="11"/>
      <c r="ED158" s="11"/>
      <c r="EE158" s="11"/>
      <c r="EF158" s="11"/>
      <c r="EG158" s="11"/>
      <c r="EH158" s="11"/>
      <c r="EI158" s="11"/>
      <c r="EJ158" s="11"/>
      <c r="EK158" s="11"/>
      <c r="EL158" s="11"/>
      <c r="EM158" s="11"/>
      <c r="EN158" s="11"/>
      <c r="EO158" s="11"/>
      <c r="EP158" s="11"/>
      <c r="EQ158" s="11"/>
      <c r="ER158" s="11"/>
      <c r="ES158" s="11"/>
      <c r="ET158" s="11"/>
      <c r="EU158" s="11"/>
      <c r="EV158" s="11"/>
      <c r="EW158" s="11"/>
      <c r="EX158" s="11"/>
      <c r="EY158" s="11"/>
      <c r="EZ158" s="11"/>
      <c r="FA158" s="11"/>
      <c r="FB158" s="11"/>
      <c r="FC158" s="11"/>
      <c r="FD158" s="11"/>
      <c r="FE158" s="11"/>
      <c r="FF158" s="11"/>
      <c r="FG158" s="11"/>
      <c r="FH158" s="11"/>
      <c r="FI158" s="11"/>
      <c r="FJ158" s="11"/>
      <c r="FK158" s="11"/>
      <c r="FL158" s="11"/>
      <c r="FM158" s="11"/>
      <c r="FN158" s="11"/>
      <c r="FO158" s="11"/>
      <c r="FP158" s="11"/>
      <c r="FQ158" s="11"/>
      <c r="FR158" s="11"/>
      <c r="FS158" s="11"/>
      <c r="FT158" s="11"/>
      <c r="FU158" s="11"/>
      <c r="FV158" s="11"/>
      <c r="FW158" s="11"/>
      <c r="FX158" s="11"/>
      <c r="FY158" s="11"/>
      <c r="FZ158" s="11"/>
      <c r="GA158" s="11"/>
      <c r="GB158" s="11"/>
      <c r="GC158" s="11"/>
      <c r="GD158" s="11"/>
      <c r="GE158" s="11"/>
      <c r="GF158" s="11"/>
      <c r="GG158" s="11"/>
      <c r="GH158" s="11"/>
      <c r="GI158" s="11"/>
      <c r="GJ158" s="11"/>
      <c r="GK158" s="11"/>
      <c r="GL158" s="11"/>
      <c r="GM158" s="11"/>
      <c r="GN158" s="11"/>
      <c r="GO158" s="11"/>
      <c r="GP158" s="11"/>
      <c r="GQ158" s="11"/>
      <c r="GR158" s="11"/>
    </row>
    <row r="159" spans="2:200" x14ac:dyDescent="0.15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  <c r="CW159" s="11"/>
      <c r="CX159" s="11"/>
      <c r="CY159" s="11"/>
      <c r="CZ159" s="11"/>
      <c r="DA159" s="11"/>
      <c r="DB159" s="11"/>
      <c r="DC159" s="11"/>
      <c r="DD159" s="11"/>
      <c r="DE159" s="11"/>
      <c r="DF159" s="11"/>
      <c r="DG159" s="11"/>
      <c r="DH159" s="11"/>
      <c r="DI159" s="11"/>
      <c r="DJ159" s="11"/>
      <c r="DK159" s="11"/>
      <c r="DL159" s="11"/>
      <c r="DM159" s="11"/>
      <c r="DN159" s="11"/>
      <c r="DO159" s="11"/>
      <c r="DP159" s="11"/>
      <c r="DQ159" s="11"/>
      <c r="DR159" s="11"/>
      <c r="DS159" s="11"/>
      <c r="DT159" s="11"/>
      <c r="DU159" s="11"/>
      <c r="DV159" s="11"/>
      <c r="DW159" s="11"/>
      <c r="DX159" s="11"/>
      <c r="DY159" s="11"/>
      <c r="DZ159" s="11"/>
      <c r="EA159" s="11"/>
      <c r="EB159" s="11"/>
      <c r="EC159" s="11"/>
      <c r="ED159" s="11"/>
      <c r="EE159" s="11"/>
      <c r="EF159" s="11"/>
      <c r="EG159" s="11"/>
      <c r="EH159" s="11"/>
      <c r="EI159" s="11"/>
      <c r="EJ159" s="11"/>
      <c r="EK159" s="11"/>
      <c r="EL159" s="11"/>
      <c r="EM159" s="11"/>
      <c r="EN159" s="11"/>
      <c r="EO159" s="11"/>
      <c r="EP159" s="11"/>
      <c r="EQ159" s="11"/>
      <c r="ER159" s="11"/>
      <c r="ES159" s="11"/>
      <c r="ET159" s="11"/>
      <c r="EU159" s="11"/>
      <c r="EV159" s="11"/>
      <c r="EW159" s="11"/>
      <c r="EX159" s="11"/>
      <c r="EY159" s="11"/>
      <c r="EZ159" s="11"/>
      <c r="FA159" s="11"/>
      <c r="FB159" s="11"/>
      <c r="FC159" s="11"/>
      <c r="FD159" s="11"/>
      <c r="FE159" s="11"/>
      <c r="FF159" s="11"/>
      <c r="FG159" s="11"/>
      <c r="FH159" s="11"/>
      <c r="FI159" s="11"/>
      <c r="FJ159" s="11"/>
      <c r="FK159" s="11"/>
      <c r="FL159" s="11"/>
      <c r="FM159" s="11"/>
      <c r="FN159" s="11"/>
      <c r="FO159" s="11"/>
      <c r="FP159" s="11"/>
      <c r="FQ159" s="11"/>
      <c r="FR159" s="11"/>
      <c r="FS159" s="11"/>
      <c r="FT159" s="11"/>
      <c r="FU159" s="11"/>
      <c r="FV159" s="11"/>
      <c r="FW159" s="11"/>
      <c r="FX159" s="11"/>
      <c r="FY159" s="11"/>
      <c r="FZ159" s="11"/>
      <c r="GA159" s="11"/>
      <c r="GB159" s="11"/>
      <c r="GC159" s="11"/>
      <c r="GD159" s="11"/>
      <c r="GE159" s="11"/>
      <c r="GF159" s="11"/>
      <c r="GG159" s="11"/>
      <c r="GH159" s="11"/>
      <c r="GI159" s="11"/>
      <c r="GJ159" s="11"/>
      <c r="GK159" s="11"/>
      <c r="GL159" s="11"/>
      <c r="GM159" s="11"/>
      <c r="GN159" s="11"/>
      <c r="GO159" s="11"/>
      <c r="GP159" s="11"/>
      <c r="GQ159" s="11"/>
      <c r="GR159" s="11"/>
    </row>
    <row r="160" spans="2:200" x14ac:dyDescent="0.15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  <c r="CW160" s="11"/>
      <c r="CX160" s="11"/>
      <c r="CY160" s="11"/>
      <c r="CZ160" s="11"/>
      <c r="DA160" s="11"/>
      <c r="DB160" s="11"/>
      <c r="DC160" s="11"/>
      <c r="DD160" s="11"/>
      <c r="DE160" s="11"/>
      <c r="DF160" s="11"/>
      <c r="DG160" s="11"/>
      <c r="DH160" s="11"/>
      <c r="DI160" s="11"/>
      <c r="DJ160" s="11"/>
      <c r="DK160" s="11"/>
      <c r="DL160" s="11"/>
      <c r="DM160" s="11"/>
      <c r="DN160" s="11"/>
      <c r="DO160" s="11"/>
      <c r="DP160" s="11"/>
      <c r="DQ160" s="11"/>
      <c r="DR160" s="11"/>
      <c r="DS160" s="11"/>
      <c r="DT160" s="11"/>
      <c r="DU160" s="11"/>
      <c r="DV160" s="11"/>
      <c r="DW160" s="11"/>
      <c r="DX160" s="11"/>
      <c r="DY160" s="11"/>
      <c r="DZ160" s="11"/>
      <c r="EA160" s="11"/>
      <c r="EB160" s="11"/>
      <c r="EC160" s="11"/>
      <c r="ED160" s="11"/>
      <c r="EE160" s="11"/>
      <c r="EF160" s="11"/>
      <c r="EG160" s="11"/>
      <c r="EH160" s="11"/>
      <c r="EI160" s="11"/>
      <c r="EJ160" s="11"/>
      <c r="EK160" s="11"/>
      <c r="EL160" s="11"/>
      <c r="EM160" s="11"/>
      <c r="EN160" s="11"/>
      <c r="EO160" s="11"/>
      <c r="EP160" s="11"/>
      <c r="EQ160" s="11"/>
      <c r="ER160" s="11"/>
      <c r="ES160" s="11"/>
      <c r="ET160" s="11"/>
      <c r="EU160" s="11"/>
      <c r="EV160" s="11"/>
      <c r="EW160" s="11"/>
      <c r="EX160" s="11"/>
      <c r="EY160" s="11"/>
      <c r="EZ160" s="11"/>
      <c r="FA160" s="11"/>
      <c r="FB160" s="11"/>
      <c r="FC160" s="11"/>
      <c r="FD160" s="11"/>
      <c r="FE160" s="11"/>
      <c r="FF160" s="11"/>
      <c r="FG160" s="11"/>
      <c r="FH160" s="11"/>
      <c r="FI160" s="11"/>
      <c r="FJ160" s="11"/>
      <c r="FK160" s="11"/>
      <c r="FL160" s="11"/>
      <c r="FM160" s="11"/>
      <c r="FN160" s="11"/>
      <c r="FO160" s="11"/>
      <c r="FP160" s="11"/>
      <c r="FQ160" s="11"/>
      <c r="FR160" s="11"/>
      <c r="FS160" s="11"/>
      <c r="FT160" s="11"/>
      <c r="FU160" s="11"/>
      <c r="FV160" s="11"/>
      <c r="FW160" s="11"/>
      <c r="FX160" s="11"/>
      <c r="FY160" s="11"/>
      <c r="FZ160" s="11"/>
      <c r="GA160" s="11"/>
      <c r="GB160" s="11"/>
      <c r="GC160" s="11"/>
      <c r="GD160" s="11"/>
      <c r="GE160" s="11"/>
      <c r="GF160" s="11"/>
      <c r="GG160" s="11"/>
      <c r="GH160" s="11"/>
      <c r="GI160" s="11"/>
      <c r="GJ160" s="11"/>
      <c r="GK160" s="11"/>
      <c r="GL160" s="11"/>
      <c r="GM160" s="11"/>
      <c r="GN160" s="11"/>
      <c r="GO160" s="11"/>
      <c r="GP160" s="11"/>
      <c r="GQ160" s="11"/>
      <c r="GR160" s="11"/>
    </row>
    <row r="161" spans="2:200" x14ac:dyDescent="0.15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  <c r="CW161" s="11"/>
      <c r="CX161" s="11"/>
      <c r="CY161" s="11"/>
      <c r="CZ161" s="11"/>
      <c r="DA161" s="11"/>
      <c r="DB161" s="11"/>
      <c r="DC161" s="11"/>
      <c r="DD161" s="11"/>
      <c r="DE161" s="11"/>
      <c r="DF161" s="11"/>
      <c r="DG161" s="11"/>
      <c r="DH161" s="11"/>
      <c r="DI161" s="11"/>
      <c r="DJ161" s="11"/>
      <c r="DK161" s="11"/>
      <c r="DL161" s="11"/>
      <c r="DM161" s="11"/>
      <c r="DN161" s="11"/>
      <c r="DO161" s="11"/>
      <c r="DP161" s="11"/>
      <c r="DQ161" s="11"/>
      <c r="DR161" s="11"/>
      <c r="DS161" s="11"/>
      <c r="DT161" s="11"/>
      <c r="DU161" s="11"/>
      <c r="DV161" s="11"/>
      <c r="DW161" s="11"/>
      <c r="DX161" s="11"/>
      <c r="DY161" s="11"/>
      <c r="DZ161" s="11"/>
      <c r="EA161" s="11"/>
      <c r="EB161" s="11"/>
      <c r="EC161" s="11"/>
      <c r="ED161" s="11"/>
      <c r="EE161" s="11"/>
      <c r="EF161" s="11"/>
      <c r="EG161" s="11"/>
      <c r="EH161" s="11"/>
      <c r="EI161" s="11"/>
      <c r="EJ161" s="11"/>
      <c r="EK161" s="11"/>
      <c r="EL161" s="11"/>
      <c r="EM161" s="11"/>
      <c r="EN161" s="11"/>
      <c r="EO161" s="11"/>
      <c r="EP161" s="11"/>
      <c r="EQ161" s="11"/>
      <c r="ER161" s="11"/>
      <c r="ES161" s="11"/>
      <c r="ET161" s="11"/>
      <c r="EU161" s="11"/>
      <c r="EV161" s="11"/>
      <c r="EW161" s="11"/>
      <c r="EX161" s="11"/>
      <c r="EY161" s="11"/>
      <c r="EZ161" s="11"/>
      <c r="FA161" s="11"/>
      <c r="FB161" s="11"/>
      <c r="FC161" s="11"/>
      <c r="FD161" s="11"/>
      <c r="FE161" s="11"/>
      <c r="FF161" s="11"/>
      <c r="FG161" s="11"/>
      <c r="FH161" s="11"/>
      <c r="FI161" s="11"/>
      <c r="FJ161" s="11"/>
      <c r="FK161" s="11"/>
      <c r="FL161" s="11"/>
      <c r="FM161" s="11"/>
      <c r="FN161" s="11"/>
      <c r="FO161" s="11"/>
      <c r="FP161" s="11"/>
      <c r="FQ161" s="11"/>
      <c r="FR161" s="11"/>
      <c r="FS161" s="11"/>
      <c r="FT161" s="11"/>
      <c r="FU161" s="11"/>
      <c r="FV161" s="11"/>
      <c r="FW161" s="11"/>
      <c r="FX161" s="11"/>
      <c r="FY161" s="11"/>
      <c r="FZ161" s="11"/>
      <c r="GA161" s="11"/>
      <c r="GB161" s="11"/>
      <c r="GC161" s="11"/>
      <c r="GD161" s="11"/>
      <c r="GE161" s="11"/>
      <c r="GF161" s="11"/>
      <c r="GG161" s="11"/>
      <c r="GH161" s="11"/>
      <c r="GI161" s="11"/>
      <c r="GJ161" s="11"/>
      <c r="GK161" s="11"/>
      <c r="GL161" s="11"/>
      <c r="GM161" s="11"/>
      <c r="GN161" s="11"/>
      <c r="GO161" s="11"/>
      <c r="GP161" s="11"/>
      <c r="GQ161" s="11"/>
      <c r="GR161" s="11"/>
    </row>
    <row r="162" spans="2:200" x14ac:dyDescent="0.15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  <c r="CW162" s="11"/>
      <c r="CX162" s="11"/>
      <c r="CY162" s="11"/>
      <c r="CZ162" s="11"/>
      <c r="DA162" s="11"/>
      <c r="DB162" s="11"/>
      <c r="DC162" s="11"/>
      <c r="DD162" s="11"/>
      <c r="DE162" s="11"/>
      <c r="DF162" s="11"/>
      <c r="DG162" s="11"/>
      <c r="DH162" s="11"/>
      <c r="DI162" s="11"/>
      <c r="DJ162" s="11"/>
      <c r="DK162" s="11"/>
      <c r="DL162" s="11"/>
      <c r="DM162" s="11"/>
      <c r="DN162" s="11"/>
      <c r="DO162" s="11"/>
      <c r="DP162" s="11"/>
      <c r="DQ162" s="11"/>
      <c r="DR162" s="11"/>
      <c r="DS162" s="11"/>
      <c r="DT162" s="11"/>
      <c r="DU162" s="11"/>
      <c r="DV162" s="11"/>
      <c r="DW162" s="11"/>
      <c r="DX162" s="11"/>
      <c r="DY162" s="11"/>
      <c r="DZ162" s="11"/>
      <c r="EA162" s="11"/>
      <c r="EB162" s="11"/>
      <c r="EC162" s="11"/>
      <c r="ED162" s="11"/>
      <c r="EE162" s="11"/>
      <c r="EF162" s="11"/>
      <c r="EG162" s="11"/>
      <c r="EH162" s="11"/>
      <c r="EI162" s="11"/>
      <c r="EJ162" s="11"/>
      <c r="EK162" s="11"/>
      <c r="EL162" s="11"/>
      <c r="EM162" s="11"/>
      <c r="EN162" s="11"/>
      <c r="EO162" s="11"/>
      <c r="EP162" s="11"/>
      <c r="EQ162" s="11"/>
      <c r="ER162" s="11"/>
      <c r="ES162" s="11"/>
      <c r="ET162" s="11"/>
      <c r="EU162" s="11"/>
      <c r="EV162" s="11"/>
      <c r="EW162" s="11"/>
      <c r="EX162" s="11"/>
      <c r="EY162" s="11"/>
      <c r="EZ162" s="11"/>
      <c r="FA162" s="11"/>
      <c r="FB162" s="11"/>
      <c r="FC162" s="11"/>
      <c r="FD162" s="11"/>
      <c r="FE162" s="11"/>
      <c r="FF162" s="11"/>
      <c r="FG162" s="11"/>
      <c r="FH162" s="11"/>
      <c r="FI162" s="11"/>
      <c r="FJ162" s="11"/>
      <c r="FK162" s="11"/>
      <c r="FL162" s="11"/>
      <c r="FM162" s="11"/>
      <c r="FN162" s="11"/>
      <c r="FO162" s="11"/>
      <c r="FP162" s="11"/>
      <c r="FQ162" s="11"/>
      <c r="FR162" s="11"/>
      <c r="FS162" s="11"/>
      <c r="FT162" s="11"/>
      <c r="FU162" s="11"/>
      <c r="FV162" s="11"/>
      <c r="FW162" s="11"/>
      <c r="FX162" s="11"/>
      <c r="FY162" s="11"/>
      <c r="FZ162" s="11"/>
      <c r="GA162" s="11"/>
      <c r="GB162" s="11"/>
      <c r="GC162" s="11"/>
      <c r="GD162" s="11"/>
      <c r="GE162" s="11"/>
      <c r="GF162" s="11"/>
      <c r="GG162" s="11"/>
      <c r="GH162" s="11"/>
      <c r="GI162" s="11"/>
      <c r="GJ162" s="11"/>
      <c r="GK162" s="11"/>
      <c r="GL162" s="11"/>
      <c r="GM162" s="11"/>
      <c r="GN162" s="11"/>
      <c r="GO162" s="11"/>
      <c r="GP162" s="11"/>
      <c r="GQ162" s="11"/>
      <c r="GR162" s="11"/>
    </row>
    <row r="163" spans="2:200" x14ac:dyDescent="0.15"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  <c r="CX163" s="11"/>
      <c r="CY163" s="11"/>
      <c r="CZ163" s="11"/>
      <c r="DA163" s="11"/>
      <c r="DB163" s="11"/>
      <c r="DC163" s="11"/>
      <c r="DD163" s="11"/>
      <c r="DE163" s="11"/>
      <c r="DF163" s="11"/>
      <c r="DG163" s="11"/>
      <c r="DH163" s="11"/>
      <c r="DI163" s="11"/>
      <c r="DJ163" s="11"/>
      <c r="DK163" s="11"/>
      <c r="DL163" s="11"/>
      <c r="DM163" s="11"/>
      <c r="DN163" s="11"/>
      <c r="DO163" s="11"/>
      <c r="DP163" s="11"/>
      <c r="DQ163" s="11"/>
      <c r="DR163" s="11"/>
      <c r="DS163" s="11"/>
      <c r="DT163" s="11"/>
      <c r="DU163" s="11"/>
      <c r="DV163" s="11"/>
      <c r="DW163" s="11"/>
      <c r="DX163" s="11"/>
      <c r="DY163" s="11"/>
      <c r="DZ163" s="11"/>
      <c r="EA163" s="11"/>
      <c r="EB163" s="11"/>
      <c r="EC163" s="11"/>
      <c r="ED163" s="11"/>
      <c r="EE163" s="11"/>
      <c r="EF163" s="11"/>
      <c r="EG163" s="11"/>
      <c r="EH163" s="11"/>
      <c r="EI163" s="11"/>
      <c r="EJ163" s="11"/>
      <c r="EK163" s="11"/>
      <c r="EL163" s="11"/>
      <c r="EM163" s="11"/>
      <c r="EN163" s="11"/>
      <c r="EO163" s="11"/>
      <c r="EP163" s="11"/>
      <c r="EQ163" s="11"/>
      <c r="ER163" s="11"/>
      <c r="ES163" s="11"/>
      <c r="ET163" s="11"/>
      <c r="EU163" s="11"/>
      <c r="EV163" s="11"/>
      <c r="EW163" s="11"/>
      <c r="EX163" s="11"/>
      <c r="EY163" s="11"/>
      <c r="EZ163" s="11"/>
      <c r="FA163" s="11"/>
      <c r="FB163" s="11"/>
      <c r="FC163" s="11"/>
      <c r="FD163" s="11"/>
      <c r="FE163" s="11"/>
      <c r="FF163" s="11"/>
      <c r="FG163" s="11"/>
      <c r="FH163" s="11"/>
      <c r="FI163" s="11"/>
      <c r="FJ163" s="11"/>
      <c r="FK163" s="11"/>
      <c r="FL163" s="11"/>
      <c r="FM163" s="11"/>
      <c r="FN163" s="11"/>
      <c r="FO163" s="11"/>
      <c r="FP163" s="11"/>
      <c r="FQ163" s="11"/>
      <c r="FR163" s="11"/>
      <c r="FS163" s="11"/>
      <c r="FT163" s="11"/>
      <c r="FU163" s="11"/>
      <c r="FV163" s="11"/>
      <c r="FW163" s="11"/>
      <c r="FX163" s="11"/>
      <c r="FY163" s="11"/>
      <c r="FZ163" s="11"/>
      <c r="GA163" s="11"/>
      <c r="GB163" s="11"/>
      <c r="GC163" s="11"/>
      <c r="GD163" s="11"/>
      <c r="GE163" s="11"/>
      <c r="GF163" s="11"/>
      <c r="GG163" s="11"/>
      <c r="GH163" s="11"/>
      <c r="GI163" s="11"/>
      <c r="GJ163" s="11"/>
      <c r="GK163" s="11"/>
      <c r="GL163" s="11"/>
      <c r="GM163" s="11"/>
      <c r="GN163" s="11"/>
      <c r="GO163" s="11"/>
      <c r="GP163" s="11"/>
      <c r="GQ163" s="11"/>
      <c r="GR163" s="11"/>
    </row>
    <row r="164" spans="2:200" x14ac:dyDescent="0.15"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  <c r="CW164" s="11"/>
      <c r="CX164" s="11"/>
      <c r="CY164" s="11"/>
      <c r="CZ164" s="11"/>
      <c r="DA164" s="11"/>
      <c r="DB164" s="11"/>
      <c r="DC164" s="11"/>
      <c r="DD164" s="11"/>
      <c r="DE164" s="11"/>
      <c r="DF164" s="11"/>
      <c r="DG164" s="11"/>
      <c r="DH164" s="11"/>
      <c r="DI164" s="11"/>
      <c r="DJ164" s="11"/>
      <c r="DK164" s="11"/>
      <c r="DL164" s="11"/>
      <c r="DM164" s="11"/>
      <c r="DN164" s="11"/>
      <c r="DO164" s="11"/>
      <c r="DP164" s="11"/>
      <c r="DQ164" s="11"/>
      <c r="DR164" s="11"/>
      <c r="DS164" s="11"/>
      <c r="DT164" s="11"/>
      <c r="DU164" s="11"/>
      <c r="DV164" s="11"/>
      <c r="DW164" s="11"/>
      <c r="DX164" s="11"/>
      <c r="DY164" s="11"/>
      <c r="DZ164" s="11"/>
      <c r="EA164" s="11"/>
      <c r="EB164" s="11"/>
      <c r="EC164" s="11"/>
      <c r="ED164" s="11"/>
      <c r="EE164" s="11"/>
      <c r="EF164" s="11"/>
      <c r="EG164" s="11"/>
      <c r="EH164" s="11"/>
      <c r="EI164" s="11"/>
      <c r="EJ164" s="11"/>
      <c r="EK164" s="11"/>
      <c r="EL164" s="11"/>
      <c r="EM164" s="11"/>
      <c r="EN164" s="11"/>
      <c r="EO164" s="11"/>
      <c r="EP164" s="11"/>
      <c r="EQ164" s="11"/>
      <c r="ER164" s="11"/>
      <c r="ES164" s="11"/>
      <c r="ET164" s="11"/>
      <c r="EU164" s="11"/>
      <c r="EV164" s="11"/>
      <c r="EW164" s="11"/>
      <c r="EX164" s="11"/>
      <c r="EY164" s="11"/>
      <c r="EZ164" s="11"/>
      <c r="FA164" s="11"/>
      <c r="FB164" s="11"/>
      <c r="FC164" s="11"/>
      <c r="FD164" s="11"/>
      <c r="FE164" s="11"/>
      <c r="FF164" s="11"/>
      <c r="FG164" s="11"/>
      <c r="FH164" s="11"/>
      <c r="FI164" s="11"/>
      <c r="FJ164" s="11"/>
      <c r="FK164" s="11"/>
      <c r="FL164" s="11"/>
      <c r="FM164" s="11"/>
      <c r="FN164" s="11"/>
      <c r="FO164" s="11"/>
      <c r="FP164" s="11"/>
      <c r="FQ164" s="11"/>
      <c r="FR164" s="11"/>
      <c r="FS164" s="11"/>
      <c r="FT164" s="11"/>
      <c r="FU164" s="11"/>
      <c r="FV164" s="11"/>
      <c r="FW164" s="11"/>
      <c r="FX164" s="11"/>
      <c r="FY164" s="11"/>
      <c r="FZ164" s="11"/>
      <c r="GA164" s="11"/>
      <c r="GB164" s="11"/>
      <c r="GC164" s="11"/>
      <c r="GD164" s="11"/>
      <c r="GE164" s="11"/>
      <c r="GF164" s="11"/>
      <c r="GG164" s="11"/>
      <c r="GH164" s="11"/>
      <c r="GI164" s="11"/>
      <c r="GJ164" s="11"/>
      <c r="GK164" s="11"/>
      <c r="GL164" s="11"/>
      <c r="GM164" s="11"/>
      <c r="GN164" s="11"/>
      <c r="GO164" s="11"/>
      <c r="GP164" s="11"/>
      <c r="GQ164" s="11"/>
      <c r="GR164" s="11"/>
    </row>
    <row r="165" spans="2:200" x14ac:dyDescent="0.15"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11"/>
      <c r="CW165" s="11"/>
      <c r="CX165" s="11"/>
      <c r="CY165" s="11"/>
      <c r="CZ165" s="11"/>
      <c r="DA165" s="11"/>
      <c r="DB165" s="11"/>
      <c r="DC165" s="11"/>
      <c r="DD165" s="11"/>
      <c r="DE165" s="11"/>
      <c r="DF165" s="11"/>
      <c r="DG165" s="11"/>
      <c r="DH165" s="11"/>
      <c r="DI165" s="11"/>
      <c r="DJ165" s="11"/>
      <c r="DK165" s="11"/>
      <c r="DL165" s="11"/>
      <c r="DM165" s="11"/>
      <c r="DN165" s="11"/>
      <c r="DO165" s="11"/>
      <c r="DP165" s="11"/>
      <c r="DQ165" s="11"/>
      <c r="DR165" s="11"/>
      <c r="DS165" s="11"/>
      <c r="DT165" s="11"/>
      <c r="DU165" s="11"/>
      <c r="DV165" s="11"/>
      <c r="DW165" s="11"/>
      <c r="DX165" s="11"/>
      <c r="DY165" s="11"/>
      <c r="DZ165" s="11"/>
      <c r="EA165" s="11"/>
      <c r="EB165" s="11"/>
      <c r="EC165" s="11"/>
      <c r="ED165" s="11"/>
      <c r="EE165" s="11"/>
      <c r="EF165" s="11"/>
      <c r="EG165" s="11"/>
      <c r="EH165" s="11"/>
      <c r="EI165" s="11"/>
      <c r="EJ165" s="11"/>
      <c r="EK165" s="11"/>
      <c r="EL165" s="11"/>
      <c r="EM165" s="11"/>
      <c r="EN165" s="11"/>
      <c r="EO165" s="11"/>
      <c r="EP165" s="11"/>
      <c r="EQ165" s="11"/>
      <c r="ER165" s="11"/>
      <c r="ES165" s="11"/>
      <c r="ET165" s="11"/>
      <c r="EU165" s="11"/>
      <c r="EV165" s="11"/>
      <c r="EW165" s="11"/>
      <c r="EX165" s="11"/>
      <c r="EY165" s="11"/>
      <c r="EZ165" s="11"/>
      <c r="FA165" s="11"/>
      <c r="FB165" s="11"/>
      <c r="FC165" s="11"/>
      <c r="FD165" s="11"/>
      <c r="FE165" s="11"/>
      <c r="FF165" s="11"/>
      <c r="FG165" s="11"/>
      <c r="FH165" s="11"/>
      <c r="FI165" s="11"/>
      <c r="FJ165" s="11"/>
      <c r="FK165" s="11"/>
      <c r="FL165" s="11"/>
      <c r="FM165" s="11"/>
      <c r="FN165" s="11"/>
      <c r="FO165" s="11"/>
      <c r="FP165" s="11"/>
      <c r="FQ165" s="11"/>
      <c r="FR165" s="11"/>
      <c r="FS165" s="11"/>
      <c r="FT165" s="11"/>
      <c r="FU165" s="11"/>
      <c r="FV165" s="11"/>
      <c r="FW165" s="11"/>
      <c r="FX165" s="11"/>
      <c r="FY165" s="11"/>
      <c r="FZ165" s="11"/>
      <c r="GA165" s="11"/>
      <c r="GB165" s="11"/>
      <c r="GC165" s="11"/>
      <c r="GD165" s="11"/>
      <c r="GE165" s="11"/>
      <c r="GF165" s="11"/>
      <c r="GG165" s="11"/>
      <c r="GH165" s="11"/>
      <c r="GI165" s="11"/>
      <c r="GJ165" s="11"/>
      <c r="GK165" s="11"/>
      <c r="GL165" s="11"/>
      <c r="GM165" s="11"/>
      <c r="GN165" s="11"/>
      <c r="GO165" s="11"/>
      <c r="GP165" s="11"/>
      <c r="GQ165" s="11"/>
      <c r="GR165" s="11"/>
    </row>
    <row r="166" spans="2:200" x14ac:dyDescent="0.15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  <c r="GK166" s="11"/>
      <c r="GL166" s="11"/>
      <c r="GM166" s="11"/>
      <c r="GN166" s="11"/>
      <c r="GO166" s="11"/>
      <c r="GP166" s="11"/>
      <c r="GQ166" s="11"/>
      <c r="GR166" s="11"/>
    </row>
    <row r="167" spans="2:200" x14ac:dyDescent="0.15"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</row>
    <row r="168" spans="2:200" x14ac:dyDescent="0.15"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  <c r="EO168" s="11"/>
      <c r="EP168" s="11"/>
      <c r="EQ168" s="11"/>
      <c r="ER168" s="11"/>
      <c r="ES168" s="11"/>
      <c r="ET168" s="11"/>
      <c r="EU168" s="11"/>
      <c r="EV168" s="11"/>
      <c r="EW168" s="11"/>
      <c r="EX168" s="11"/>
      <c r="EY168" s="11"/>
      <c r="EZ168" s="11"/>
      <c r="FA168" s="11"/>
      <c r="FB168" s="11"/>
      <c r="FC168" s="11"/>
      <c r="FD168" s="11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1"/>
      <c r="FU168" s="11"/>
      <c r="FV168" s="11"/>
      <c r="FW168" s="11"/>
      <c r="FX168" s="11"/>
      <c r="FY168" s="11"/>
      <c r="FZ168" s="11"/>
      <c r="GA168" s="11"/>
      <c r="GB168" s="11"/>
      <c r="GC168" s="11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</row>
    <row r="169" spans="2:200" x14ac:dyDescent="0.15"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  <c r="CW169" s="11"/>
      <c r="CX169" s="11"/>
      <c r="CY169" s="11"/>
      <c r="CZ169" s="11"/>
      <c r="DA169" s="11"/>
      <c r="DB169" s="11"/>
      <c r="DC169" s="11"/>
      <c r="DD169" s="11"/>
      <c r="DE169" s="11"/>
      <c r="DF169" s="11"/>
      <c r="DG169" s="11"/>
      <c r="DH169" s="11"/>
      <c r="DI169" s="11"/>
      <c r="DJ169" s="11"/>
      <c r="DK169" s="11"/>
      <c r="DL169" s="11"/>
      <c r="DM169" s="11"/>
      <c r="DN169" s="11"/>
      <c r="DO169" s="11"/>
      <c r="DP169" s="11"/>
      <c r="DQ169" s="11"/>
      <c r="DR169" s="11"/>
      <c r="DS169" s="11"/>
      <c r="DT169" s="11"/>
      <c r="DU169" s="11"/>
      <c r="DV169" s="11"/>
      <c r="DW169" s="11"/>
      <c r="DX169" s="11"/>
      <c r="DY169" s="11"/>
      <c r="DZ169" s="11"/>
      <c r="EA169" s="11"/>
      <c r="EB169" s="11"/>
      <c r="EC169" s="11"/>
      <c r="ED169" s="11"/>
      <c r="EE169" s="11"/>
      <c r="EF169" s="11"/>
      <c r="EG169" s="11"/>
      <c r="EH169" s="11"/>
      <c r="EI169" s="11"/>
      <c r="EJ169" s="11"/>
      <c r="EK169" s="11"/>
      <c r="EL169" s="11"/>
      <c r="EM169" s="11"/>
      <c r="EN169" s="11"/>
      <c r="EO169" s="11"/>
      <c r="EP169" s="11"/>
      <c r="EQ169" s="11"/>
      <c r="ER169" s="11"/>
      <c r="ES169" s="11"/>
      <c r="ET169" s="11"/>
      <c r="EU169" s="11"/>
      <c r="EV169" s="11"/>
      <c r="EW169" s="11"/>
      <c r="EX169" s="11"/>
      <c r="EY169" s="11"/>
      <c r="EZ169" s="11"/>
      <c r="FA169" s="11"/>
      <c r="FB169" s="11"/>
      <c r="FC169" s="11"/>
      <c r="FD169" s="11"/>
      <c r="FE169" s="11"/>
      <c r="FF169" s="11"/>
      <c r="FG169" s="11"/>
      <c r="FH169" s="11"/>
      <c r="FI169" s="11"/>
      <c r="FJ169" s="11"/>
      <c r="FK169" s="11"/>
      <c r="FL169" s="11"/>
      <c r="FM169" s="11"/>
      <c r="FN169" s="11"/>
      <c r="FO169" s="11"/>
      <c r="FP169" s="11"/>
      <c r="FQ169" s="11"/>
      <c r="FR169" s="11"/>
      <c r="FS169" s="11"/>
      <c r="FT169" s="11"/>
      <c r="FU169" s="11"/>
      <c r="FV169" s="11"/>
      <c r="FW169" s="11"/>
      <c r="FX169" s="11"/>
      <c r="FY169" s="11"/>
      <c r="FZ169" s="11"/>
      <c r="GA169" s="11"/>
      <c r="GB169" s="11"/>
      <c r="GC169" s="11"/>
      <c r="GD169" s="11"/>
      <c r="GE169" s="11"/>
      <c r="GF169" s="11"/>
      <c r="GG169" s="11"/>
      <c r="GH169" s="11"/>
      <c r="GI169" s="11"/>
      <c r="GJ169" s="11"/>
      <c r="GK169" s="11"/>
      <c r="GL169" s="11"/>
      <c r="GM169" s="11"/>
      <c r="GN169" s="11"/>
      <c r="GO169" s="11"/>
      <c r="GP169" s="11"/>
      <c r="GQ169" s="11"/>
      <c r="GR169" s="11"/>
    </row>
    <row r="170" spans="2:200" x14ac:dyDescent="0.15"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  <c r="CW170" s="11"/>
      <c r="CX170" s="11"/>
      <c r="CY170" s="11"/>
      <c r="CZ170" s="11"/>
      <c r="DA170" s="11"/>
      <c r="DB170" s="11"/>
      <c r="DC170" s="11"/>
      <c r="DD170" s="11"/>
      <c r="DE170" s="11"/>
      <c r="DF170" s="11"/>
      <c r="DG170" s="11"/>
      <c r="DH170" s="11"/>
      <c r="DI170" s="11"/>
      <c r="DJ170" s="11"/>
      <c r="DK170" s="11"/>
      <c r="DL170" s="11"/>
      <c r="DM170" s="11"/>
      <c r="DN170" s="11"/>
      <c r="DO170" s="11"/>
      <c r="DP170" s="11"/>
      <c r="DQ170" s="11"/>
      <c r="DR170" s="11"/>
      <c r="DS170" s="11"/>
      <c r="DT170" s="11"/>
      <c r="DU170" s="11"/>
      <c r="DV170" s="11"/>
      <c r="DW170" s="11"/>
      <c r="DX170" s="11"/>
      <c r="DY170" s="11"/>
      <c r="DZ170" s="11"/>
      <c r="EA170" s="11"/>
      <c r="EB170" s="11"/>
      <c r="EC170" s="11"/>
      <c r="ED170" s="11"/>
      <c r="EE170" s="11"/>
      <c r="EF170" s="11"/>
      <c r="EG170" s="11"/>
      <c r="EH170" s="11"/>
      <c r="EI170" s="11"/>
      <c r="EJ170" s="11"/>
      <c r="EK170" s="11"/>
      <c r="EL170" s="11"/>
      <c r="EM170" s="11"/>
      <c r="EN170" s="11"/>
      <c r="EO170" s="11"/>
      <c r="EP170" s="11"/>
      <c r="EQ170" s="11"/>
      <c r="ER170" s="11"/>
      <c r="ES170" s="11"/>
      <c r="ET170" s="11"/>
      <c r="EU170" s="11"/>
      <c r="EV170" s="11"/>
      <c r="EW170" s="11"/>
      <c r="EX170" s="11"/>
      <c r="EY170" s="11"/>
      <c r="EZ170" s="11"/>
      <c r="FA170" s="11"/>
      <c r="FB170" s="11"/>
      <c r="FC170" s="11"/>
      <c r="FD170" s="11"/>
      <c r="FE170" s="11"/>
      <c r="FF170" s="11"/>
      <c r="FG170" s="11"/>
      <c r="FH170" s="11"/>
      <c r="FI170" s="11"/>
      <c r="FJ170" s="11"/>
      <c r="FK170" s="11"/>
      <c r="FL170" s="11"/>
      <c r="FM170" s="11"/>
      <c r="FN170" s="11"/>
      <c r="FO170" s="11"/>
      <c r="FP170" s="11"/>
      <c r="FQ170" s="11"/>
      <c r="FR170" s="11"/>
      <c r="FS170" s="11"/>
      <c r="FT170" s="11"/>
      <c r="FU170" s="11"/>
      <c r="FV170" s="11"/>
      <c r="FW170" s="11"/>
      <c r="FX170" s="11"/>
      <c r="FY170" s="11"/>
      <c r="FZ170" s="11"/>
      <c r="GA170" s="11"/>
      <c r="GB170" s="11"/>
      <c r="GC170" s="11"/>
      <c r="GD170" s="11"/>
      <c r="GE170" s="11"/>
      <c r="GF170" s="11"/>
      <c r="GG170" s="11"/>
      <c r="GH170" s="11"/>
      <c r="GI170" s="11"/>
      <c r="GJ170" s="11"/>
      <c r="GK170" s="11"/>
      <c r="GL170" s="11"/>
      <c r="GM170" s="11"/>
      <c r="GN170" s="11"/>
      <c r="GO170" s="11"/>
      <c r="GP170" s="11"/>
      <c r="GQ170" s="11"/>
      <c r="GR170" s="11"/>
    </row>
    <row r="171" spans="2:200" x14ac:dyDescent="0.15"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  <c r="CW171" s="11"/>
      <c r="CX171" s="11"/>
      <c r="CY171" s="11"/>
      <c r="CZ171" s="11"/>
      <c r="DA171" s="11"/>
      <c r="DB171" s="11"/>
      <c r="DC171" s="11"/>
      <c r="DD171" s="11"/>
      <c r="DE171" s="11"/>
      <c r="DF171" s="11"/>
      <c r="DG171" s="11"/>
      <c r="DH171" s="11"/>
      <c r="DI171" s="11"/>
      <c r="DJ171" s="11"/>
      <c r="DK171" s="11"/>
      <c r="DL171" s="11"/>
      <c r="DM171" s="11"/>
      <c r="DN171" s="11"/>
      <c r="DO171" s="11"/>
      <c r="DP171" s="11"/>
      <c r="DQ171" s="11"/>
      <c r="DR171" s="11"/>
      <c r="DS171" s="11"/>
      <c r="DT171" s="11"/>
      <c r="DU171" s="11"/>
      <c r="DV171" s="11"/>
      <c r="DW171" s="11"/>
      <c r="DX171" s="11"/>
      <c r="DY171" s="11"/>
      <c r="DZ171" s="11"/>
      <c r="EA171" s="11"/>
      <c r="EB171" s="11"/>
      <c r="EC171" s="11"/>
      <c r="ED171" s="11"/>
      <c r="EE171" s="11"/>
      <c r="EF171" s="11"/>
      <c r="EG171" s="11"/>
      <c r="EH171" s="11"/>
      <c r="EI171" s="11"/>
      <c r="EJ171" s="11"/>
      <c r="EK171" s="11"/>
      <c r="EL171" s="11"/>
      <c r="EM171" s="11"/>
      <c r="EN171" s="11"/>
      <c r="EO171" s="11"/>
      <c r="EP171" s="11"/>
      <c r="EQ171" s="11"/>
      <c r="ER171" s="11"/>
      <c r="ES171" s="11"/>
      <c r="ET171" s="11"/>
      <c r="EU171" s="11"/>
      <c r="EV171" s="11"/>
      <c r="EW171" s="11"/>
      <c r="EX171" s="11"/>
      <c r="EY171" s="11"/>
      <c r="EZ171" s="11"/>
      <c r="FA171" s="11"/>
      <c r="FB171" s="11"/>
      <c r="FC171" s="11"/>
      <c r="FD171" s="11"/>
      <c r="FE171" s="11"/>
      <c r="FF171" s="11"/>
      <c r="FG171" s="11"/>
      <c r="FH171" s="11"/>
      <c r="FI171" s="11"/>
      <c r="FJ171" s="11"/>
      <c r="FK171" s="11"/>
      <c r="FL171" s="11"/>
      <c r="FM171" s="11"/>
      <c r="FN171" s="11"/>
      <c r="FO171" s="11"/>
      <c r="FP171" s="11"/>
      <c r="FQ171" s="11"/>
      <c r="FR171" s="11"/>
      <c r="FS171" s="11"/>
      <c r="FT171" s="11"/>
      <c r="FU171" s="11"/>
      <c r="FV171" s="11"/>
      <c r="FW171" s="11"/>
      <c r="FX171" s="11"/>
      <c r="FY171" s="11"/>
      <c r="FZ171" s="11"/>
      <c r="GA171" s="11"/>
      <c r="GB171" s="11"/>
      <c r="GC171" s="11"/>
      <c r="GD171" s="11"/>
      <c r="GE171" s="11"/>
      <c r="GF171" s="11"/>
      <c r="GG171" s="11"/>
      <c r="GH171" s="11"/>
      <c r="GI171" s="11"/>
      <c r="GJ171" s="11"/>
      <c r="GK171" s="11"/>
      <c r="GL171" s="11"/>
      <c r="GM171" s="11"/>
      <c r="GN171" s="11"/>
      <c r="GO171" s="11"/>
      <c r="GP171" s="11"/>
      <c r="GQ171" s="11"/>
      <c r="GR171" s="11"/>
    </row>
    <row r="172" spans="2:200" x14ac:dyDescent="0.15"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  <c r="CW172" s="11"/>
      <c r="CX172" s="11"/>
      <c r="CY172" s="11"/>
      <c r="CZ172" s="11"/>
      <c r="DA172" s="11"/>
      <c r="DB172" s="11"/>
      <c r="DC172" s="11"/>
      <c r="DD172" s="11"/>
      <c r="DE172" s="11"/>
      <c r="DF172" s="11"/>
      <c r="DG172" s="11"/>
      <c r="DH172" s="11"/>
      <c r="DI172" s="11"/>
      <c r="DJ172" s="11"/>
      <c r="DK172" s="11"/>
      <c r="DL172" s="11"/>
      <c r="DM172" s="11"/>
      <c r="DN172" s="11"/>
      <c r="DO172" s="11"/>
      <c r="DP172" s="11"/>
      <c r="DQ172" s="11"/>
      <c r="DR172" s="11"/>
      <c r="DS172" s="11"/>
      <c r="DT172" s="11"/>
      <c r="DU172" s="11"/>
      <c r="DV172" s="11"/>
      <c r="DW172" s="11"/>
      <c r="DX172" s="11"/>
      <c r="DY172" s="11"/>
      <c r="DZ172" s="11"/>
      <c r="EA172" s="11"/>
      <c r="EB172" s="11"/>
      <c r="EC172" s="11"/>
      <c r="ED172" s="11"/>
      <c r="EE172" s="11"/>
      <c r="EF172" s="11"/>
      <c r="EG172" s="11"/>
      <c r="EH172" s="11"/>
      <c r="EI172" s="11"/>
      <c r="EJ172" s="11"/>
      <c r="EK172" s="11"/>
      <c r="EL172" s="11"/>
      <c r="EM172" s="11"/>
      <c r="EN172" s="11"/>
      <c r="EO172" s="11"/>
      <c r="EP172" s="11"/>
      <c r="EQ172" s="11"/>
      <c r="ER172" s="11"/>
      <c r="ES172" s="11"/>
      <c r="ET172" s="11"/>
      <c r="EU172" s="11"/>
      <c r="EV172" s="11"/>
      <c r="EW172" s="11"/>
      <c r="EX172" s="11"/>
      <c r="EY172" s="11"/>
      <c r="EZ172" s="11"/>
      <c r="FA172" s="11"/>
      <c r="FB172" s="11"/>
      <c r="FC172" s="11"/>
      <c r="FD172" s="11"/>
      <c r="FE172" s="11"/>
      <c r="FF172" s="11"/>
      <c r="FG172" s="11"/>
      <c r="FH172" s="11"/>
      <c r="FI172" s="11"/>
      <c r="FJ172" s="11"/>
      <c r="FK172" s="11"/>
      <c r="FL172" s="11"/>
      <c r="FM172" s="11"/>
      <c r="FN172" s="11"/>
      <c r="FO172" s="11"/>
      <c r="FP172" s="11"/>
      <c r="FQ172" s="11"/>
      <c r="FR172" s="11"/>
      <c r="FS172" s="11"/>
      <c r="FT172" s="11"/>
      <c r="FU172" s="11"/>
      <c r="FV172" s="11"/>
      <c r="FW172" s="11"/>
      <c r="FX172" s="11"/>
      <c r="FY172" s="11"/>
      <c r="FZ172" s="11"/>
      <c r="GA172" s="11"/>
      <c r="GB172" s="11"/>
      <c r="GC172" s="11"/>
      <c r="GD172" s="11"/>
      <c r="GE172" s="11"/>
      <c r="GF172" s="11"/>
      <c r="GG172" s="11"/>
      <c r="GH172" s="11"/>
      <c r="GI172" s="11"/>
      <c r="GJ172" s="11"/>
      <c r="GK172" s="11"/>
      <c r="GL172" s="11"/>
      <c r="GM172" s="11"/>
      <c r="GN172" s="11"/>
      <c r="GO172" s="11"/>
      <c r="GP172" s="11"/>
      <c r="GQ172" s="11"/>
      <c r="GR172" s="11"/>
    </row>
    <row r="173" spans="2:200" x14ac:dyDescent="0.15"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  <c r="CW173" s="11"/>
      <c r="CX173" s="11"/>
      <c r="CY173" s="11"/>
      <c r="CZ173" s="11"/>
      <c r="DA173" s="11"/>
      <c r="DB173" s="11"/>
      <c r="DC173" s="11"/>
      <c r="DD173" s="11"/>
      <c r="DE173" s="11"/>
      <c r="DF173" s="11"/>
      <c r="DG173" s="11"/>
      <c r="DH173" s="11"/>
      <c r="DI173" s="11"/>
      <c r="DJ173" s="11"/>
      <c r="DK173" s="11"/>
      <c r="DL173" s="11"/>
      <c r="DM173" s="11"/>
      <c r="DN173" s="11"/>
      <c r="DO173" s="11"/>
      <c r="DP173" s="11"/>
      <c r="DQ173" s="11"/>
      <c r="DR173" s="11"/>
      <c r="DS173" s="11"/>
      <c r="DT173" s="11"/>
      <c r="DU173" s="11"/>
      <c r="DV173" s="11"/>
      <c r="DW173" s="11"/>
      <c r="DX173" s="11"/>
      <c r="DY173" s="11"/>
      <c r="DZ173" s="11"/>
      <c r="EA173" s="11"/>
      <c r="EB173" s="11"/>
      <c r="EC173" s="11"/>
      <c r="ED173" s="11"/>
      <c r="EE173" s="11"/>
      <c r="EF173" s="11"/>
      <c r="EG173" s="11"/>
      <c r="EH173" s="11"/>
      <c r="EI173" s="11"/>
      <c r="EJ173" s="11"/>
      <c r="EK173" s="11"/>
      <c r="EL173" s="11"/>
      <c r="EM173" s="11"/>
      <c r="EN173" s="11"/>
      <c r="EO173" s="11"/>
      <c r="EP173" s="11"/>
      <c r="EQ173" s="11"/>
      <c r="ER173" s="11"/>
      <c r="ES173" s="11"/>
      <c r="ET173" s="11"/>
      <c r="EU173" s="11"/>
      <c r="EV173" s="11"/>
      <c r="EW173" s="11"/>
      <c r="EX173" s="11"/>
      <c r="EY173" s="11"/>
      <c r="EZ173" s="11"/>
      <c r="FA173" s="11"/>
      <c r="FB173" s="11"/>
      <c r="FC173" s="11"/>
      <c r="FD173" s="11"/>
      <c r="FE173" s="11"/>
      <c r="FF173" s="11"/>
      <c r="FG173" s="11"/>
      <c r="FH173" s="11"/>
      <c r="FI173" s="11"/>
      <c r="FJ173" s="11"/>
      <c r="FK173" s="11"/>
      <c r="FL173" s="11"/>
      <c r="FM173" s="11"/>
      <c r="FN173" s="11"/>
      <c r="FO173" s="11"/>
      <c r="FP173" s="11"/>
      <c r="FQ173" s="11"/>
      <c r="FR173" s="11"/>
      <c r="FS173" s="11"/>
      <c r="FT173" s="11"/>
      <c r="FU173" s="11"/>
      <c r="FV173" s="11"/>
      <c r="FW173" s="11"/>
      <c r="FX173" s="11"/>
      <c r="FY173" s="11"/>
      <c r="FZ173" s="11"/>
      <c r="GA173" s="11"/>
      <c r="GB173" s="11"/>
      <c r="GC173" s="11"/>
      <c r="GD173" s="11"/>
      <c r="GE173" s="11"/>
      <c r="GF173" s="11"/>
      <c r="GG173" s="11"/>
      <c r="GH173" s="11"/>
      <c r="GI173" s="11"/>
      <c r="GJ173" s="11"/>
      <c r="GK173" s="11"/>
      <c r="GL173" s="11"/>
      <c r="GM173" s="11"/>
      <c r="GN173" s="11"/>
      <c r="GO173" s="11"/>
      <c r="GP173" s="11"/>
      <c r="GQ173" s="11"/>
      <c r="GR173" s="11"/>
    </row>
    <row r="174" spans="2:200" x14ac:dyDescent="0.15"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  <c r="CW174" s="11"/>
      <c r="CX174" s="11"/>
      <c r="CY174" s="11"/>
      <c r="CZ174" s="11"/>
      <c r="DA174" s="11"/>
      <c r="DB174" s="11"/>
      <c r="DC174" s="11"/>
      <c r="DD174" s="11"/>
      <c r="DE174" s="11"/>
      <c r="DF174" s="11"/>
      <c r="DG174" s="11"/>
      <c r="DH174" s="11"/>
      <c r="DI174" s="11"/>
      <c r="DJ174" s="11"/>
      <c r="DK174" s="11"/>
      <c r="DL174" s="11"/>
      <c r="DM174" s="11"/>
      <c r="DN174" s="11"/>
      <c r="DO174" s="11"/>
      <c r="DP174" s="11"/>
      <c r="DQ174" s="11"/>
      <c r="DR174" s="11"/>
      <c r="DS174" s="11"/>
      <c r="DT174" s="11"/>
      <c r="DU174" s="11"/>
      <c r="DV174" s="11"/>
      <c r="DW174" s="11"/>
      <c r="DX174" s="11"/>
      <c r="DY174" s="11"/>
      <c r="DZ174" s="11"/>
      <c r="EA174" s="11"/>
      <c r="EB174" s="11"/>
      <c r="EC174" s="11"/>
      <c r="ED174" s="11"/>
      <c r="EE174" s="11"/>
      <c r="EF174" s="11"/>
      <c r="EG174" s="11"/>
      <c r="EH174" s="11"/>
      <c r="EI174" s="11"/>
      <c r="EJ174" s="11"/>
      <c r="EK174" s="11"/>
      <c r="EL174" s="11"/>
      <c r="EM174" s="11"/>
      <c r="EN174" s="11"/>
      <c r="EO174" s="11"/>
      <c r="EP174" s="11"/>
      <c r="EQ174" s="11"/>
      <c r="ER174" s="11"/>
      <c r="ES174" s="11"/>
      <c r="ET174" s="11"/>
      <c r="EU174" s="11"/>
      <c r="EV174" s="11"/>
      <c r="EW174" s="11"/>
      <c r="EX174" s="11"/>
      <c r="EY174" s="11"/>
      <c r="EZ174" s="11"/>
      <c r="FA174" s="11"/>
      <c r="FB174" s="11"/>
      <c r="FC174" s="11"/>
      <c r="FD174" s="11"/>
      <c r="FE174" s="11"/>
      <c r="FF174" s="11"/>
      <c r="FG174" s="11"/>
      <c r="FH174" s="11"/>
      <c r="FI174" s="11"/>
      <c r="FJ174" s="11"/>
      <c r="FK174" s="11"/>
      <c r="FL174" s="11"/>
      <c r="FM174" s="11"/>
      <c r="FN174" s="11"/>
      <c r="FO174" s="11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D174" s="11"/>
      <c r="GE174" s="11"/>
      <c r="GF174" s="11"/>
      <c r="GG174" s="11"/>
      <c r="GH174" s="11"/>
      <c r="GI174" s="11"/>
      <c r="GJ174" s="11"/>
      <c r="GK174" s="11"/>
      <c r="GL174" s="11"/>
      <c r="GM174" s="11"/>
      <c r="GN174" s="11"/>
      <c r="GO174" s="11"/>
      <c r="GP174" s="11"/>
      <c r="GQ174" s="11"/>
      <c r="GR174" s="11"/>
    </row>
    <row r="175" spans="2:200" x14ac:dyDescent="0.15"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  <c r="CW175" s="11"/>
      <c r="CX175" s="11"/>
      <c r="CY175" s="11"/>
      <c r="CZ175" s="11"/>
      <c r="DA175" s="11"/>
      <c r="DB175" s="11"/>
      <c r="DC175" s="11"/>
      <c r="DD175" s="11"/>
      <c r="DE175" s="11"/>
      <c r="DF175" s="11"/>
      <c r="DG175" s="11"/>
      <c r="DH175" s="11"/>
      <c r="DI175" s="11"/>
      <c r="DJ175" s="11"/>
      <c r="DK175" s="11"/>
      <c r="DL175" s="11"/>
      <c r="DM175" s="11"/>
      <c r="DN175" s="11"/>
      <c r="DO175" s="11"/>
      <c r="DP175" s="11"/>
      <c r="DQ175" s="11"/>
      <c r="DR175" s="11"/>
      <c r="DS175" s="11"/>
      <c r="DT175" s="11"/>
      <c r="DU175" s="11"/>
      <c r="DV175" s="11"/>
      <c r="DW175" s="11"/>
      <c r="DX175" s="11"/>
      <c r="DY175" s="11"/>
      <c r="DZ175" s="11"/>
      <c r="EA175" s="11"/>
      <c r="EB175" s="11"/>
      <c r="EC175" s="11"/>
      <c r="ED175" s="11"/>
      <c r="EE175" s="11"/>
      <c r="EF175" s="11"/>
      <c r="EG175" s="11"/>
      <c r="EH175" s="11"/>
      <c r="EI175" s="11"/>
      <c r="EJ175" s="11"/>
      <c r="EK175" s="11"/>
      <c r="EL175" s="11"/>
      <c r="EM175" s="11"/>
      <c r="EN175" s="11"/>
      <c r="EO175" s="11"/>
      <c r="EP175" s="11"/>
      <c r="EQ175" s="11"/>
      <c r="ER175" s="11"/>
      <c r="ES175" s="11"/>
      <c r="ET175" s="11"/>
      <c r="EU175" s="11"/>
      <c r="EV175" s="11"/>
      <c r="EW175" s="11"/>
      <c r="EX175" s="11"/>
      <c r="EY175" s="11"/>
      <c r="EZ175" s="11"/>
      <c r="FA175" s="11"/>
      <c r="FB175" s="11"/>
      <c r="FC175" s="11"/>
      <c r="FD175" s="11"/>
      <c r="FE175" s="11"/>
      <c r="FF175" s="11"/>
      <c r="FG175" s="11"/>
      <c r="FH175" s="11"/>
      <c r="FI175" s="11"/>
      <c r="FJ175" s="11"/>
      <c r="FK175" s="11"/>
      <c r="FL175" s="11"/>
      <c r="FM175" s="11"/>
      <c r="FN175" s="11"/>
      <c r="FO175" s="11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1"/>
      <c r="GC175" s="11"/>
      <c r="GD175" s="11"/>
      <c r="GE175" s="11"/>
      <c r="GF175" s="11"/>
      <c r="GG175" s="11"/>
      <c r="GH175" s="11"/>
      <c r="GI175" s="11"/>
      <c r="GJ175" s="11"/>
      <c r="GK175" s="11"/>
      <c r="GL175" s="11"/>
      <c r="GM175" s="11"/>
      <c r="GN175" s="11"/>
      <c r="GO175" s="11"/>
      <c r="GP175" s="11"/>
      <c r="GQ175" s="11"/>
      <c r="GR175" s="11"/>
    </row>
    <row r="176" spans="2:200" x14ac:dyDescent="0.15"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  <c r="CW176" s="11"/>
      <c r="CX176" s="11"/>
      <c r="CY176" s="11"/>
      <c r="CZ176" s="11"/>
      <c r="DA176" s="11"/>
      <c r="DB176" s="11"/>
      <c r="DC176" s="11"/>
      <c r="DD176" s="11"/>
      <c r="DE176" s="11"/>
      <c r="DF176" s="11"/>
      <c r="DG176" s="11"/>
      <c r="DH176" s="11"/>
      <c r="DI176" s="11"/>
      <c r="DJ176" s="11"/>
      <c r="DK176" s="11"/>
      <c r="DL176" s="11"/>
      <c r="DM176" s="11"/>
      <c r="DN176" s="11"/>
      <c r="DO176" s="11"/>
      <c r="DP176" s="11"/>
      <c r="DQ176" s="11"/>
      <c r="DR176" s="11"/>
      <c r="DS176" s="11"/>
      <c r="DT176" s="11"/>
      <c r="DU176" s="11"/>
      <c r="DV176" s="11"/>
      <c r="DW176" s="11"/>
      <c r="DX176" s="11"/>
      <c r="DY176" s="11"/>
      <c r="DZ176" s="11"/>
      <c r="EA176" s="11"/>
      <c r="EB176" s="11"/>
      <c r="EC176" s="11"/>
      <c r="ED176" s="11"/>
      <c r="EE176" s="11"/>
      <c r="EF176" s="11"/>
      <c r="EG176" s="11"/>
      <c r="EH176" s="11"/>
      <c r="EI176" s="11"/>
      <c r="EJ176" s="11"/>
      <c r="EK176" s="11"/>
      <c r="EL176" s="11"/>
      <c r="EM176" s="11"/>
      <c r="EN176" s="11"/>
      <c r="EO176" s="11"/>
      <c r="EP176" s="11"/>
      <c r="EQ176" s="11"/>
      <c r="ER176" s="11"/>
      <c r="ES176" s="11"/>
      <c r="ET176" s="11"/>
      <c r="EU176" s="11"/>
      <c r="EV176" s="11"/>
      <c r="EW176" s="11"/>
      <c r="EX176" s="11"/>
      <c r="EY176" s="11"/>
      <c r="EZ176" s="11"/>
      <c r="FA176" s="11"/>
      <c r="FB176" s="11"/>
      <c r="FC176" s="11"/>
      <c r="FD176" s="11"/>
      <c r="FE176" s="11"/>
      <c r="FF176" s="11"/>
      <c r="FG176" s="11"/>
      <c r="FH176" s="11"/>
      <c r="FI176" s="11"/>
      <c r="FJ176" s="11"/>
      <c r="FK176" s="11"/>
      <c r="FL176" s="11"/>
      <c r="FM176" s="11"/>
      <c r="FN176" s="11"/>
      <c r="FO176" s="11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1"/>
      <c r="GC176" s="11"/>
      <c r="GD176" s="11"/>
      <c r="GE176" s="11"/>
      <c r="GF176" s="11"/>
      <c r="GG176" s="11"/>
      <c r="GH176" s="11"/>
      <c r="GI176" s="11"/>
      <c r="GJ176" s="11"/>
      <c r="GK176" s="11"/>
      <c r="GL176" s="11"/>
      <c r="GM176" s="11"/>
      <c r="GN176" s="11"/>
      <c r="GO176" s="11"/>
      <c r="GP176" s="11"/>
      <c r="GQ176" s="11"/>
      <c r="GR176" s="11"/>
    </row>
    <row r="177" spans="2:200" x14ac:dyDescent="0.15"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  <c r="CW177" s="11"/>
      <c r="CX177" s="11"/>
      <c r="CY177" s="11"/>
      <c r="CZ177" s="11"/>
      <c r="DA177" s="11"/>
      <c r="DB177" s="11"/>
      <c r="DC177" s="11"/>
      <c r="DD177" s="11"/>
      <c r="DE177" s="11"/>
      <c r="DF177" s="11"/>
      <c r="DG177" s="11"/>
      <c r="DH177" s="11"/>
      <c r="DI177" s="11"/>
      <c r="DJ177" s="11"/>
      <c r="DK177" s="11"/>
      <c r="DL177" s="11"/>
      <c r="DM177" s="11"/>
      <c r="DN177" s="11"/>
      <c r="DO177" s="11"/>
      <c r="DP177" s="11"/>
      <c r="DQ177" s="11"/>
      <c r="DR177" s="11"/>
      <c r="DS177" s="11"/>
      <c r="DT177" s="11"/>
      <c r="DU177" s="11"/>
      <c r="DV177" s="11"/>
      <c r="DW177" s="11"/>
      <c r="DX177" s="11"/>
      <c r="DY177" s="11"/>
      <c r="DZ177" s="11"/>
      <c r="EA177" s="11"/>
      <c r="EB177" s="11"/>
      <c r="EC177" s="11"/>
      <c r="ED177" s="11"/>
      <c r="EE177" s="11"/>
      <c r="EF177" s="11"/>
      <c r="EG177" s="11"/>
      <c r="EH177" s="11"/>
      <c r="EI177" s="11"/>
      <c r="EJ177" s="11"/>
      <c r="EK177" s="11"/>
      <c r="EL177" s="11"/>
      <c r="EM177" s="11"/>
      <c r="EN177" s="11"/>
      <c r="EO177" s="11"/>
      <c r="EP177" s="11"/>
      <c r="EQ177" s="11"/>
      <c r="ER177" s="11"/>
      <c r="ES177" s="11"/>
      <c r="ET177" s="11"/>
      <c r="EU177" s="11"/>
      <c r="EV177" s="11"/>
      <c r="EW177" s="11"/>
      <c r="EX177" s="11"/>
      <c r="EY177" s="11"/>
      <c r="EZ177" s="11"/>
      <c r="FA177" s="11"/>
      <c r="FB177" s="11"/>
      <c r="FC177" s="11"/>
      <c r="FD177" s="11"/>
      <c r="FE177" s="11"/>
      <c r="FF177" s="11"/>
      <c r="FG177" s="11"/>
      <c r="FH177" s="11"/>
      <c r="FI177" s="11"/>
      <c r="FJ177" s="11"/>
      <c r="FK177" s="11"/>
      <c r="FL177" s="11"/>
      <c r="FM177" s="11"/>
      <c r="FN177" s="11"/>
      <c r="FO177" s="11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11"/>
      <c r="GD177" s="11"/>
      <c r="GE177" s="11"/>
      <c r="GF177" s="11"/>
      <c r="GG177" s="11"/>
      <c r="GH177" s="11"/>
      <c r="GI177" s="11"/>
      <c r="GJ177" s="11"/>
      <c r="GK177" s="11"/>
      <c r="GL177" s="11"/>
      <c r="GM177" s="11"/>
      <c r="GN177" s="11"/>
      <c r="GO177" s="11"/>
      <c r="GP177" s="11"/>
      <c r="GQ177" s="11"/>
      <c r="GR177" s="11"/>
    </row>
    <row r="178" spans="2:200" x14ac:dyDescent="0.15"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  <c r="CW178" s="11"/>
      <c r="CX178" s="11"/>
      <c r="CY178" s="11"/>
      <c r="CZ178" s="11"/>
      <c r="DA178" s="11"/>
      <c r="DB178" s="11"/>
      <c r="DC178" s="11"/>
      <c r="DD178" s="11"/>
      <c r="DE178" s="11"/>
      <c r="DF178" s="11"/>
      <c r="DG178" s="11"/>
      <c r="DH178" s="11"/>
      <c r="DI178" s="11"/>
      <c r="DJ178" s="11"/>
      <c r="DK178" s="11"/>
      <c r="DL178" s="11"/>
      <c r="DM178" s="11"/>
      <c r="DN178" s="11"/>
      <c r="DO178" s="11"/>
      <c r="DP178" s="11"/>
      <c r="DQ178" s="11"/>
      <c r="DR178" s="11"/>
      <c r="DS178" s="11"/>
      <c r="DT178" s="11"/>
      <c r="DU178" s="11"/>
      <c r="DV178" s="11"/>
      <c r="DW178" s="11"/>
      <c r="DX178" s="11"/>
      <c r="DY178" s="11"/>
      <c r="DZ178" s="11"/>
      <c r="EA178" s="11"/>
      <c r="EB178" s="11"/>
      <c r="EC178" s="11"/>
      <c r="ED178" s="11"/>
      <c r="EE178" s="11"/>
      <c r="EF178" s="11"/>
      <c r="EG178" s="11"/>
      <c r="EH178" s="11"/>
      <c r="EI178" s="11"/>
      <c r="EJ178" s="11"/>
      <c r="EK178" s="11"/>
      <c r="EL178" s="11"/>
      <c r="EM178" s="11"/>
      <c r="EN178" s="11"/>
      <c r="EO178" s="11"/>
      <c r="EP178" s="11"/>
      <c r="EQ178" s="11"/>
      <c r="ER178" s="11"/>
      <c r="ES178" s="11"/>
      <c r="ET178" s="11"/>
      <c r="EU178" s="11"/>
      <c r="EV178" s="11"/>
      <c r="EW178" s="11"/>
      <c r="EX178" s="11"/>
      <c r="EY178" s="11"/>
      <c r="EZ178" s="11"/>
      <c r="FA178" s="11"/>
      <c r="FB178" s="11"/>
      <c r="FC178" s="11"/>
      <c r="FD178" s="11"/>
      <c r="FE178" s="11"/>
      <c r="FF178" s="11"/>
      <c r="FG178" s="11"/>
      <c r="FH178" s="11"/>
      <c r="FI178" s="11"/>
      <c r="FJ178" s="11"/>
      <c r="FK178" s="11"/>
      <c r="FL178" s="11"/>
      <c r="FM178" s="11"/>
      <c r="FN178" s="11"/>
      <c r="FO178" s="11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11"/>
      <c r="GD178" s="11"/>
      <c r="GE178" s="11"/>
      <c r="GF178" s="11"/>
      <c r="GG178" s="11"/>
      <c r="GH178" s="11"/>
      <c r="GI178" s="11"/>
      <c r="GJ178" s="11"/>
      <c r="GK178" s="11"/>
      <c r="GL178" s="11"/>
      <c r="GM178" s="11"/>
      <c r="GN178" s="11"/>
      <c r="GO178" s="11"/>
      <c r="GP178" s="11"/>
      <c r="GQ178" s="11"/>
      <c r="GR178" s="11"/>
    </row>
    <row r="179" spans="2:200" x14ac:dyDescent="0.15"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  <c r="CW179" s="11"/>
      <c r="CX179" s="11"/>
      <c r="CY179" s="11"/>
      <c r="CZ179" s="11"/>
      <c r="DA179" s="11"/>
      <c r="DB179" s="11"/>
      <c r="DC179" s="11"/>
      <c r="DD179" s="11"/>
      <c r="DE179" s="11"/>
      <c r="DF179" s="11"/>
      <c r="DG179" s="11"/>
      <c r="DH179" s="11"/>
      <c r="DI179" s="11"/>
      <c r="DJ179" s="11"/>
      <c r="DK179" s="11"/>
      <c r="DL179" s="11"/>
      <c r="DM179" s="11"/>
      <c r="DN179" s="11"/>
      <c r="DO179" s="11"/>
      <c r="DP179" s="11"/>
      <c r="DQ179" s="11"/>
      <c r="DR179" s="11"/>
      <c r="DS179" s="11"/>
      <c r="DT179" s="11"/>
      <c r="DU179" s="11"/>
      <c r="DV179" s="11"/>
      <c r="DW179" s="11"/>
      <c r="DX179" s="11"/>
      <c r="DY179" s="11"/>
      <c r="DZ179" s="11"/>
      <c r="EA179" s="11"/>
      <c r="EB179" s="11"/>
      <c r="EC179" s="11"/>
      <c r="ED179" s="11"/>
      <c r="EE179" s="11"/>
      <c r="EF179" s="11"/>
      <c r="EG179" s="11"/>
      <c r="EH179" s="11"/>
      <c r="EI179" s="11"/>
      <c r="EJ179" s="11"/>
      <c r="EK179" s="11"/>
      <c r="EL179" s="11"/>
      <c r="EM179" s="11"/>
      <c r="EN179" s="11"/>
      <c r="EO179" s="11"/>
      <c r="EP179" s="11"/>
      <c r="EQ179" s="11"/>
      <c r="ER179" s="11"/>
      <c r="ES179" s="11"/>
      <c r="ET179" s="11"/>
      <c r="EU179" s="11"/>
      <c r="EV179" s="11"/>
      <c r="EW179" s="11"/>
      <c r="EX179" s="11"/>
      <c r="EY179" s="11"/>
      <c r="EZ179" s="11"/>
      <c r="FA179" s="11"/>
      <c r="FB179" s="11"/>
      <c r="FC179" s="11"/>
      <c r="FD179" s="11"/>
      <c r="FE179" s="11"/>
      <c r="FF179" s="11"/>
      <c r="FG179" s="11"/>
      <c r="FH179" s="11"/>
      <c r="FI179" s="11"/>
      <c r="FJ179" s="11"/>
      <c r="FK179" s="11"/>
      <c r="FL179" s="11"/>
      <c r="FM179" s="11"/>
      <c r="FN179" s="11"/>
      <c r="FO179" s="1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/>
      <c r="FZ179" s="11"/>
      <c r="GA179" s="11"/>
      <c r="GB179" s="11"/>
      <c r="GC179" s="11"/>
      <c r="GD179" s="11"/>
      <c r="GE179" s="11"/>
      <c r="GF179" s="11"/>
      <c r="GG179" s="11"/>
      <c r="GH179" s="11"/>
      <c r="GI179" s="11"/>
      <c r="GJ179" s="11"/>
      <c r="GK179" s="11"/>
      <c r="GL179" s="11"/>
      <c r="GM179" s="11"/>
      <c r="GN179" s="11"/>
      <c r="GO179" s="11"/>
      <c r="GP179" s="11"/>
      <c r="GQ179" s="11"/>
      <c r="GR179" s="11"/>
    </row>
    <row r="180" spans="2:200" x14ac:dyDescent="0.15"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11"/>
      <c r="CV180" s="11"/>
      <c r="CW180" s="11"/>
      <c r="CX180" s="11"/>
      <c r="CY180" s="11"/>
      <c r="CZ180" s="11"/>
      <c r="DA180" s="11"/>
      <c r="DB180" s="11"/>
      <c r="DC180" s="11"/>
      <c r="DD180" s="11"/>
      <c r="DE180" s="11"/>
      <c r="DF180" s="11"/>
      <c r="DG180" s="11"/>
      <c r="DH180" s="11"/>
      <c r="DI180" s="11"/>
      <c r="DJ180" s="11"/>
      <c r="DK180" s="11"/>
      <c r="DL180" s="11"/>
      <c r="DM180" s="11"/>
      <c r="DN180" s="11"/>
      <c r="DO180" s="11"/>
      <c r="DP180" s="11"/>
      <c r="DQ180" s="11"/>
      <c r="DR180" s="11"/>
      <c r="DS180" s="11"/>
      <c r="DT180" s="11"/>
      <c r="DU180" s="11"/>
      <c r="DV180" s="11"/>
      <c r="DW180" s="11"/>
      <c r="DX180" s="11"/>
      <c r="DY180" s="11"/>
      <c r="DZ180" s="11"/>
      <c r="EA180" s="11"/>
      <c r="EB180" s="11"/>
      <c r="EC180" s="11"/>
      <c r="ED180" s="11"/>
      <c r="EE180" s="11"/>
      <c r="EF180" s="11"/>
      <c r="EG180" s="11"/>
      <c r="EH180" s="11"/>
      <c r="EI180" s="11"/>
      <c r="EJ180" s="11"/>
      <c r="EK180" s="11"/>
      <c r="EL180" s="11"/>
      <c r="EM180" s="11"/>
      <c r="EN180" s="11"/>
      <c r="EO180" s="11"/>
      <c r="EP180" s="11"/>
      <c r="EQ180" s="11"/>
      <c r="ER180" s="11"/>
      <c r="ES180" s="11"/>
      <c r="ET180" s="11"/>
      <c r="EU180" s="11"/>
      <c r="EV180" s="11"/>
      <c r="EW180" s="11"/>
      <c r="EX180" s="11"/>
      <c r="EY180" s="11"/>
      <c r="EZ180" s="11"/>
      <c r="FA180" s="11"/>
      <c r="FB180" s="11"/>
      <c r="FC180" s="11"/>
      <c r="FD180" s="11"/>
      <c r="FE180" s="11"/>
      <c r="FF180" s="11"/>
      <c r="FG180" s="11"/>
      <c r="FH180" s="11"/>
      <c r="FI180" s="11"/>
      <c r="FJ180" s="11"/>
      <c r="FK180" s="11"/>
      <c r="FL180" s="11"/>
      <c r="FM180" s="11"/>
      <c r="FN180" s="11"/>
      <c r="FO180" s="11"/>
      <c r="FP180" s="11"/>
      <c r="FQ180" s="11"/>
      <c r="FR180" s="11"/>
      <c r="FS180" s="11"/>
      <c r="FT180" s="11"/>
      <c r="FU180" s="11"/>
      <c r="FV180" s="11"/>
      <c r="FW180" s="11"/>
      <c r="FX180" s="11"/>
      <c r="FY180" s="11"/>
      <c r="FZ180" s="11"/>
      <c r="GA180" s="11"/>
      <c r="GB180" s="11"/>
      <c r="GC180" s="11"/>
      <c r="GD180" s="11"/>
      <c r="GE180" s="11"/>
      <c r="GF180" s="11"/>
      <c r="GG180" s="11"/>
      <c r="GH180" s="11"/>
      <c r="GI180" s="11"/>
      <c r="GJ180" s="11"/>
      <c r="GK180" s="11"/>
      <c r="GL180" s="11"/>
      <c r="GM180" s="11"/>
      <c r="GN180" s="11"/>
      <c r="GO180" s="11"/>
      <c r="GP180" s="11"/>
      <c r="GQ180" s="11"/>
      <c r="GR180" s="11"/>
    </row>
    <row r="181" spans="2:200" x14ac:dyDescent="0.15"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11"/>
      <c r="CW181" s="11"/>
      <c r="CX181" s="11"/>
      <c r="CY181" s="11"/>
      <c r="CZ181" s="11"/>
      <c r="DA181" s="11"/>
      <c r="DB181" s="11"/>
      <c r="DC181" s="11"/>
      <c r="DD181" s="11"/>
      <c r="DE181" s="11"/>
      <c r="DF181" s="11"/>
      <c r="DG181" s="11"/>
      <c r="DH181" s="11"/>
      <c r="DI181" s="11"/>
      <c r="DJ181" s="11"/>
      <c r="DK181" s="11"/>
      <c r="DL181" s="11"/>
      <c r="DM181" s="11"/>
      <c r="DN181" s="11"/>
      <c r="DO181" s="11"/>
      <c r="DP181" s="11"/>
      <c r="DQ181" s="11"/>
      <c r="DR181" s="11"/>
      <c r="DS181" s="11"/>
      <c r="DT181" s="11"/>
      <c r="DU181" s="11"/>
      <c r="DV181" s="11"/>
      <c r="DW181" s="11"/>
      <c r="DX181" s="11"/>
      <c r="DY181" s="11"/>
      <c r="DZ181" s="11"/>
      <c r="EA181" s="11"/>
      <c r="EB181" s="11"/>
      <c r="EC181" s="11"/>
      <c r="ED181" s="11"/>
      <c r="EE181" s="11"/>
      <c r="EF181" s="11"/>
      <c r="EG181" s="11"/>
      <c r="EH181" s="11"/>
      <c r="EI181" s="11"/>
      <c r="EJ181" s="11"/>
      <c r="EK181" s="11"/>
      <c r="EL181" s="11"/>
      <c r="EM181" s="11"/>
      <c r="EN181" s="11"/>
      <c r="EO181" s="11"/>
      <c r="EP181" s="11"/>
      <c r="EQ181" s="11"/>
      <c r="ER181" s="11"/>
      <c r="ES181" s="11"/>
      <c r="ET181" s="11"/>
      <c r="EU181" s="11"/>
      <c r="EV181" s="11"/>
      <c r="EW181" s="11"/>
      <c r="EX181" s="11"/>
      <c r="EY181" s="11"/>
      <c r="EZ181" s="11"/>
      <c r="FA181" s="11"/>
      <c r="FB181" s="11"/>
      <c r="FC181" s="11"/>
      <c r="FD181" s="11"/>
      <c r="FE181" s="11"/>
      <c r="FF181" s="11"/>
      <c r="FG181" s="11"/>
      <c r="FH181" s="11"/>
      <c r="FI181" s="11"/>
      <c r="FJ181" s="11"/>
      <c r="FK181" s="11"/>
      <c r="FL181" s="11"/>
      <c r="FM181" s="11"/>
      <c r="FN181" s="11"/>
      <c r="FO181" s="11"/>
      <c r="FP181" s="11"/>
      <c r="FQ181" s="11"/>
      <c r="FR181" s="11"/>
      <c r="FS181" s="11"/>
      <c r="FT181" s="11"/>
      <c r="FU181" s="11"/>
      <c r="FV181" s="11"/>
      <c r="FW181" s="11"/>
      <c r="FX181" s="11"/>
      <c r="FY181" s="11"/>
      <c r="FZ181" s="11"/>
      <c r="GA181" s="11"/>
      <c r="GB181" s="11"/>
      <c r="GC181" s="11"/>
      <c r="GD181" s="11"/>
      <c r="GE181" s="11"/>
      <c r="GF181" s="11"/>
      <c r="GG181" s="11"/>
      <c r="GH181" s="11"/>
      <c r="GI181" s="11"/>
      <c r="GJ181" s="11"/>
      <c r="GK181" s="11"/>
      <c r="GL181" s="11"/>
      <c r="GM181" s="11"/>
      <c r="GN181" s="11"/>
      <c r="GO181" s="11"/>
      <c r="GP181" s="11"/>
      <c r="GQ181" s="11"/>
      <c r="GR181" s="11"/>
    </row>
    <row r="182" spans="2:200" x14ac:dyDescent="0.15"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11"/>
      <c r="CW182" s="11"/>
      <c r="CX182" s="11"/>
      <c r="CY182" s="11"/>
      <c r="CZ182" s="11"/>
      <c r="DA182" s="11"/>
      <c r="DB182" s="11"/>
      <c r="DC182" s="11"/>
      <c r="DD182" s="11"/>
      <c r="DE182" s="11"/>
      <c r="DF182" s="11"/>
      <c r="DG182" s="11"/>
      <c r="DH182" s="11"/>
      <c r="DI182" s="11"/>
      <c r="DJ182" s="11"/>
      <c r="DK182" s="11"/>
      <c r="DL182" s="11"/>
      <c r="DM182" s="11"/>
      <c r="DN182" s="11"/>
      <c r="DO182" s="11"/>
      <c r="DP182" s="11"/>
      <c r="DQ182" s="11"/>
      <c r="DR182" s="11"/>
      <c r="DS182" s="11"/>
      <c r="DT182" s="11"/>
      <c r="DU182" s="11"/>
      <c r="DV182" s="11"/>
      <c r="DW182" s="11"/>
      <c r="DX182" s="11"/>
      <c r="DY182" s="11"/>
      <c r="DZ182" s="11"/>
      <c r="EA182" s="11"/>
      <c r="EB182" s="11"/>
      <c r="EC182" s="11"/>
      <c r="ED182" s="11"/>
      <c r="EE182" s="11"/>
      <c r="EF182" s="11"/>
      <c r="EG182" s="11"/>
      <c r="EH182" s="11"/>
      <c r="EI182" s="11"/>
      <c r="EJ182" s="11"/>
      <c r="EK182" s="11"/>
      <c r="EL182" s="11"/>
      <c r="EM182" s="11"/>
      <c r="EN182" s="11"/>
      <c r="EO182" s="11"/>
      <c r="EP182" s="11"/>
      <c r="EQ182" s="11"/>
      <c r="ER182" s="11"/>
      <c r="ES182" s="11"/>
      <c r="ET182" s="11"/>
      <c r="EU182" s="11"/>
      <c r="EV182" s="11"/>
      <c r="EW182" s="11"/>
      <c r="EX182" s="11"/>
      <c r="EY182" s="11"/>
      <c r="EZ182" s="11"/>
      <c r="FA182" s="11"/>
      <c r="FB182" s="11"/>
      <c r="FC182" s="11"/>
      <c r="FD182" s="11"/>
      <c r="FE182" s="11"/>
      <c r="FF182" s="11"/>
      <c r="FG182" s="11"/>
      <c r="FH182" s="11"/>
      <c r="FI182" s="11"/>
      <c r="FJ182" s="11"/>
      <c r="FK182" s="11"/>
      <c r="FL182" s="11"/>
      <c r="FM182" s="11"/>
      <c r="FN182" s="11"/>
      <c r="FO182" s="11"/>
      <c r="FP182" s="11"/>
      <c r="FQ182" s="11"/>
      <c r="FR182" s="11"/>
      <c r="FS182" s="11"/>
      <c r="FT182" s="11"/>
      <c r="FU182" s="11"/>
      <c r="FV182" s="11"/>
      <c r="FW182" s="11"/>
      <c r="FX182" s="11"/>
      <c r="FY182" s="11"/>
      <c r="FZ182" s="11"/>
      <c r="GA182" s="11"/>
      <c r="GB182" s="11"/>
      <c r="GC182" s="11"/>
      <c r="GD182" s="11"/>
      <c r="GE182" s="11"/>
      <c r="GF182" s="11"/>
      <c r="GG182" s="11"/>
      <c r="GH182" s="11"/>
      <c r="GI182" s="11"/>
      <c r="GJ182" s="11"/>
      <c r="GK182" s="11"/>
      <c r="GL182" s="11"/>
      <c r="GM182" s="11"/>
      <c r="GN182" s="11"/>
      <c r="GO182" s="11"/>
      <c r="GP182" s="11"/>
      <c r="GQ182" s="11"/>
      <c r="GR182" s="11"/>
    </row>
    <row r="183" spans="2:200" x14ac:dyDescent="0.15"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11"/>
      <c r="CV183" s="11"/>
      <c r="CW183" s="11"/>
      <c r="CX183" s="11"/>
      <c r="CY183" s="11"/>
      <c r="CZ183" s="11"/>
      <c r="DA183" s="11"/>
      <c r="DB183" s="11"/>
      <c r="DC183" s="11"/>
      <c r="DD183" s="11"/>
      <c r="DE183" s="11"/>
      <c r="DF183" s="11"/>
      <c r="DG183" s="11"/>
      <c r="DH183" s="11"/>
      <c r="DI183" s="11"/>
      <c r="DJ183" s="11"/>
      <c r="DK183" s="11"/>
      <c r="DL183" s="11"/>
      <c r="DM183" s="11"/>
      <c r="DN183" s="11"/>
      <c r="DO183" s="11"/>
      <c r="DP183" s="11"/>
      <c r="DQ183" s="11"/>
      <c r="DR183" s="11"/>
      <c r="DS183" s="11"/>
      <c r="DT183" s="11"/>
      <c r="DU183" s="11"/>
      <c r="DV183" s="11"/>
      <c r="DW183" s="11"/>
      <c r="DX183" s="11"/>
      <c r="DY183" s="11"/>
      <c r="DZ183" s="11"/>
      <c r="EA183" s="11"/>
      <c r="EB183" s="11"/>
      <c r="EC183" s="11"/>
      <c r="ED183" s="11"/>
      <c r="EE183" s="11"/>
      <c r="EF183" s="11"/>
      <c r="EG183" s="11"/>
      <c r="EH183" s="11"/>
      <c r="EI183" s="11"/>
      <c r="EJ183" s="11"/>
      <c r="EK183" s="11"/>
      <c r="EL183" s="11"/>
      <c r="EM183" s="11"/>
      <c r="EN183" s="11"/>
      <c r="EO183" s="11"/>
      <c r="EP183" s="11"/>
      <c r="EQ183" s="11"/>
      <c r="ER183" s="11"/>
      <c r="ES183" s="11"/>
      <c r="ET183" s="11"/>
      <c r="EU183" s="11"/>
      <c r="EV183" s="11"/>
      <c r="EW183" s="11"/>
      <c r="EX183" s="11"/>
      <c r="EY183" s="11"/>
      <c r="EZ183" s="11"/>
      <c r="FA183" s="11"/>
      <c r="FB183" s="11"/>
      <c r="FC183" s="11"/>
      <c r="FD183" s="11"/>
      <c r="FE183" s="11"/>
      <c r="FF183" s="11"/>
      <c r="FG183" s="11"/>
      <c r="FH183" s="11"/>
      <c r="FI183" s="11"/>
      <c r="FJ183" s="11"/>
      <c r="FK183" s="11"/>
      <c r="FL183" s="11"/>
      <c r="FM183" s="11"/>
      <c r="FN183" s="11"/>
      <c r="FO183" s="11"/>
      <c r="FP183" s="11"/>
      <c r="FQ183" s="11"/>
      <c r="FR183" s="11"/>
      <c r="FS183" s="11"/>
      <c r="FT183" s="11"/>
      <c r="FU183" s="11"/>
      <c r="FV183" s="11"/>
      <c r="FW183" s="11"/>
      <c r="FX183" s="11"/>
      <c r="FY183" s="11"/>
      <c r="FZ183" s="11"/>
      <c r="GA183" s="11"/>
      <c r="GB183" s="11"/>
      <c r="GC183" s="11"/>
      <c r="GD183" s="11"/>
      <c r="GE183" s="11"/>
      <c r="GF183" s="11"/>
      <c r="GG183" s="11"/>
      <c r="GH183" s="11"/>
      <c r="GI183" s="11"/>
      <c r="GJ183" s="11"/>
      <c r="GK183" s="11"/>
      <c r="GL183" s="11"/>
      <c r="GM183" s="11"/>
      <c r="GN183" s="11"/>
      <c r="GO183" s="11"/>
      <c r="GP183" s="11"/>
      <c r="GQ183" s="11"/>
      <c r="GR183" s="11"/>
    </row>
    <row r="184" spans="2:200" x14ac:dyDescent="0.15"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11"/>
      <c r="CW184" s="11"/>
      <c r="CX184" s="11"/>
      <c r="CY184" s="11"/>
      <c r="CZ184" s="11"/>
      <c r="DA184" s="11"/>
      <c r="DB184" s="11"/>
      <c r="DC184" s="11"/>
      <c r="DD184" s="11"/>
      <c r="DE184" s="11"/>
      <c r="DF184" s="11"/>
      <c r="DG184" s="11"/>
      <c r="DH184" s="11"/>
      <c r="DI184" s="11"/>
      <c r="DJ184" s="11"/>
      <c r="DK184" s="11"/>
      <c r="DL184" s="11"/>
      <c r="DM184" s="11"/>
      <c r="DN184" s="11"/>
      <c r="DO184" s="11"/>
      <c r="DP184" s="11"/>
      <c r="DQ184" s="11"/>
      <c r="DR184" s="11"/>
      <c r="DS184" s="11"/>
      <c r="DT184" s="11"/>
      <c r="DU184" s="11"/>
      <c r="DV184" s="11"/>
      <c r="DW184" s="11"/>
      <c r="DX184" s="11"/>
      <c r="DY184" s="11"/>
      <c r="DZ184" s="11"/>
      <c r="EA184" s="11"/>
      <c r="EB184" s="11"/>
      <c r="EC184" s="11"/>
      <c r="ED184" s="11"/>
      <c r="EE184" s="11"/>
      <c r="EF184" s="11"/>
      <c r="EG184" s="11"/>
      <c r="EH184" s="11"/>
      <c r="EI184" s="11"/>
      <c r="EJ184" s="11"/>
      <c r="EK184" s="11"/>
      <c r="EL184" s="11"/>
      <c r="EM184" s="11"/>
      <c r="EN184" s="11"/>
      <c r="EO184" s="11"/>
      <c r="EP184" s="11"/>
      <c r="EQ184" s="11"/>
      <c r="ER184" s="11"/>
      <c r="ES184" s="11"/>
      <c r="ET184" s="11"/>
      <c r="EU184" s="11"/>
      <c r="EV184" s="11"/>
      <c r="EW184" s="11"/>
      <c r="EX184" s="11"/>
      <c r="EY184" s="11"/>
      <c r="EZ184" s="11"/>
      <c r="FA184" s="11"/>
      <c r="FB184" s="11"/>
      <c r="FC184" s="11"/>
      <c r="FD184" s="11"/>
      <c r="FE184" s="11"/>
      <c r="FF184" s="11"/>
      <c r="FG184" s="11"/>
      <c r="FH184" s="11"/>
      <c r="FI184" s="11"/>
      <c r="FJ184" s="11"/>
      <c r="FK184" s="11"/>
      <c r="FL184" s="11"/>
      <c r="FM184" s="11"/>
      <c r="FN184" s="11"/>
      <c r="FO184" s="11"/>
      <c r="FP184" s="11"/>
      <c r="FQ184" s="11"/>
      <c r="FR184" s="11"/>
      <c r="FS184" s="11"/>
      <c r="FT184" s="11"/>
      <c r="FU184" s="11"/>
      <c r="FV184" s="11"/>
      <c r="FW184" s="11"/>
      <c r="FX184" s="11"/>
      <c r="FY184" s="11"/>
      <c r="FZ184" s="11"/>
      <c r="GA184" s="11"/>
      <c r="GB184" s="11"/>
      <c r="GC184" s="11"/>
      <c r="GD184" s="11"/>
      <c r="GE184" s="11"/>
      <c r="GF184" s="11"/>
      <c r="GG184" s="11"/>
      <c r="GH184" s="11"/>
      <c r="GI184" s="11"/>
      <c r="GJ184" s="11"/>
      <c r="GK184" s="11"/>
      <c r="GL184" s="11"/>
      <c r="GM184" s="11"/>
      <c r="GN184" s="11"/>
      <c r="GO184" s="11"/>
      <c r="GP184" s="11"/>
      <c r="GQ184" s="11"/>
      <c r="GR184" s="11"/>
    </row>
    <row r="185" spans="2:200" x14ac:dyDescent="0.15"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  <c r="DU185" s="11"/>
      <c r="DV185" s="11"/>
      <c r="DW185" s="11"/>
      <c r="DX185" s="11"/>
      <c r="DY185" s="11"/>
      <c r="DZ185" s="11"/>
      <c r="EA185" s="11"/>
      <c r="EB185" s="11"/>
      <c r="EC185" s="11"/>
      <c r="ED185" s="11"/>
      <c r="EE185" s="11"/>
      <c r="EF185" s="11"/>
      <c r="EG185" s="11"/>
      <c r="EH185" s="11"/>
      <c r="EI185" s="11"/>
      <c r="EJ185" s="11"/>
      <c r="EK185" s="11"/>
      <c r="EL185" s="11"/>
      <c r="EM185" s="11"/>
      <c r="EN185" s="11"/>
      <c r="EO185" s="11"/>
      <c r="EP185" s="11"/>
      <c r="EQ185" s="11"/>
      <c r="ER185" s="11"/>
      <c r="ES185" s="11"/>
      <c r="ET185" s="11"/>
      <c r="EU185" s="11"/>
      <c r="EV185" s="11"/>
      <c r="EW185" s="11"/>
      <c r="EX185" s="11"/>
      <c r="EY185" s="11"/>
      <c r="EZ185" s="11"/>
      <c r="FA185" s="11"/>
      <c r="FB185" s="11"/>
      <c r="FC185" s="11"/>
      <c r="FD185" s="11"/>
      <c r="FE185" s="11"/>
      <c r="FF185" s="11"/>
      <c r="FG185" s="11"/>
      <c r="FH185" s="11"/>
      <c r="FI185" s="11"/>
      <c r="FJ185" s="11"/>
      <c r="FK185" s="11"/>
      <c r="FL185" s="11"/>
      <c r="FM185" s="11"/>
      <c r="FN185" s="11"/>
      <c r="FO185" s="11"/>
      <c r="FP185" s="11"/>
      <c r="FQ185" s="11"/>
      <c r="FR185" s="11"/>
      <c r="FS185" s="11"/>
      <c r="FT185" s="11"/>
      <c r="FU185" s="11"/>
      <c r="FV185" s="11"/>
      <c r="FW185" s="11"/>
      <c r="FX185" s="11"/>
      <c r="FY185" s="11"/>
      <c r="FZ185" s="11"/>
      <c r="GA185" s="11"/>
      <c r="GB185" s="11"/>
      <c r="GC185" s="11"/>
      <c r="GD185" s="11"/>
      <c r="GE185" s="11"/>
      <c r="GF185" s="11"/>
      <c r="GG185" s="11"/>
      <c r="GH185" s="11"/>
      <c r="GI185" s="11"/>
      <c r="GJ185" s="11"/>
      <c r="GK185" s="11"/>
      <c r="GL185" s="11"/>
      <c r="GM185" s="11"/>
      <c r="GN185" s="11"/>
      <c r="GO185" s="11"/>
      <c r="GP185" s="11"/>
      <c r="GQ185" s="11"/>
      <c r="GR185" s="11"/>
    </row>
    <row r="186" spans="2:200" x14ac:dyDescent="0.15"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11"/>
      <c r="CV186" s="11"/>
      <c r="CW186" s="11"/>
      <c r="CX186" s="11"/>
      <c r="CY186" s="11"/>
      <c r="CZ186" s="11"/>
      <c r="DA186" s="11"/>
      <c r="DB186" s="11"/>
      <c r="DC186" s="11"/>
      <c r="DD186" s="11"/>
      <c r="DE186" s="11"/>
      <c r="DF186" s="11"/>
      <c r="DG186" s="11"/>
      <c r="DH186" s="11"/>
      <c r="DI186" s="11"/>
      <c r="DJ186" s="11"/>
      <c r="DK186" s="11"/>
      <c r="DL186" s="11"/>
      <c r="DM186" s="11"/>
      <c r="DN186" s="11"/>
      <c r="DO186" s="11"/>
      <c r="DP186" s="11"/>
      <c r="DQ186" s="11"/>
      <c r="DR186" s="11"/>
      <c r="DS186" s="11"/>
      <c r="DT186" s="11"/>
      <c r="DU186" s="11"/>
      <c r="DV186" s="11"/>
      <c r="DW186" s="11"/>
      <c r="DX186" s="11"/>
      <c r="DY186" s="11"/>
      <c r="DZ186" s="11"/>
      <c r="EA186" s="11"/>
      <c r="EB186" s="11"/>
      <c r="EC186" s="11"/>
      <c r="ED186" s="11"/>
      <c r="EE186" s="11"/>
      <c r="EF186" s="11"/>
      <c r="EG186" s="11"/>
      <c r="EH186" s="11"/>
      <c r="EI186" s="11"/>
      <c r="EJ186" s="11"/>
      <c r="EK186" s="11"/>
      <c r="EL186" s="11"/>
      <c r="EM186" s="11"/>
      <c r="EN186" s="11"/>
      <c r="EO186" s="11"/>
      <c r="EP186" s="11"/>
      <c r="EQ186" s="11"/>
      <c r="ER186" s="11"/>
      <c r="ES186" s="11"/>
      <c r="ET186" s="11"/>
      <c r="EU186" s="11"/>
      <c r="EV186" s="11"/>
      <c r="EW186" s="11"/>
      <c r="EX186" s="11"/>
      <c r="EY186" s="11"/>
      <c r="EZ186" s="11"/>
      <c r="FA186" s="11"/>
      <c r="FB186" s="11"/>
      <c r="FC186" s="11"/>
      <c r="FD186" s="11"/>
      <c r="FE186" s="11"/>
      <c r="FF186" s="11"/>
      <c r="FG186" s="11"/>
      <c r="FH186" s="11"/>
      <c r="FI186" s="11"/>
      <c r="FJ186" s="11"/>
      <c r="FK186" s="11"/>
      <c r="FL186" s="11"/>
      <c r="FM186" s="11"/>
      <c r="FN186" s="11"/>
      <c r="FO186" s="11"/>
      <c r="FP186" s="11"/>
      <c r="FQ186" s="11"/>
      <c r="FR186" s="11"/>
      <c r="FS186" s="11"/>
      <c r="FT186" s="11"/>
      <c r="FU186" s="11"/>
      <c r="FV186" s="11"/>
      <c r="FW186" s="11"/>
      <c r="FX186" s="11"/>
      <c r="FY186" s="11"/>
      <c r="FZ186" s="11"/>
      <c r="GA186" s="11"/>
      <c r="GB186" s="11"/>
      <c r="GC186" s="11"/>
      <c r="GD186" s="11"/>
      <c r="GE186" s="11"/>
      <c r="GF186" s="11"/>
      <c r="GG186" s="11"/>
      <c r="GH186" s="11"/>
      <c r="GI186" s="11"/>
      <c r="GJ186" s="11"/>
      <c r="GK186" s="11"/>
      <c r="GL186" s="11"/>
      <c r="GM186" s="11"/>
      <c r="GN186" s="11"/>
      <c r="GO186" s="11"/>
      <c r="GP186" s="11"/>
      <c r="GQ186" s="11"/>
      <c r="GR186" s="11"/>
    </row>
    <row r="187" spans="2:200" x14ac:dyDescent="0.15"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  <c r="DF187" s="11"/>
      <c r="DG187" s="11"/>
      <c r="DH187" s="11"/>
      <c r="DI187" s="11"/>
      <c r="DJ187" s="11"/>
      <c r="DK187" s="11"/>
      <c r="DL187" s="11"/>
      <c r="DM187" s="11"/>
      <c r="DN187" s="11"/>
      <c r="DO187" s="11"/>
      <c r="DP187" s="11"/>
      <c r="DQ187" s="11"/>
      <c r="DR187" s="11"/>
      <c r="DS187" s="11"/>
      <c r="DT187" s="11"/>
      <c r="DU187" s="11"/>
      <c r="DV187" s="11"/>
      <c r="DW187" s="11"/>
      <c r="DX187" s="11"/>
      <c r="DY187" s="11"/>
      <c r="DZ187" s="11"/>
      <c r="EA187" s="11"/>
      <c r="EB187" s="11"/>
      <c r="EC187" s="11"/>
      <c r="ED187" s="11"/>
      <c r="EE187" s="11"/>
      <c r="EF187" s="11"/>
      <c r="EG187" s="11"/>
      <c r="EH187" s="11"/>
      <c r="EI187" s="11"/>
      <c r="EJ187" s="11"/>
      <c r="EK187" s="11"/>
      <c r="EL187" s="11"/>
      <c r="EM187" s="11"/>
      <c r="EN187" s="11"/>
      <c r="EO187" s="11"/>
      <c r="EP187" s="11"/>
      <c r="EQ187" s="11"/>
      <c r="ER187" s="11"/>
      <c r="ES187" s="11"/>
      <c r="ET187" s="11"/>
      <c r="EU187" s="11"/>
      <c r="EV187" s="11"/>
      <c r="EW187" s="11"/>
      <c r="EX187" s="11"/>
      <c r="EY187" s="11"/>
      <c r="EZ187" s="11"/>
      <c r="FA187" s="11"/>
      <c r="FB187" s="11"/>
      <c r="FC187" s="11"/>
      <c r="FD187" s="11"/>
      <c r="FE187" s="11"/>
      <c r="FF187" s="11"/>
      <c r="FG187" s="11"/>
      <c r="FH187" s="11"/>
      <c r="FI187" s="11"/>
      <c r="FJ187" s="11"/>
      <c r="FK187" s="11"/>
      <c r="FL187" s="11"/>
      <c r="FM187" s="11"/>
      <c r="FN187" s="11"/>
      <c r="FO187" s="11"/>
      <c r="FP187" s="11"/>
      <c r="FQ187" s="11"/>
      <c r="FR187" s="11"/>
      <c r="FS187" s="11"/>
      <c r="FT187" s="11"/>
      <c r="FU187" s="11"/>
      <c r="FV187" s="11"/>
      <c r="FW187" s="11"/>
      <c r="FX187" s="11"/>
      <c r="FY187" s="11"/>
      <c r="FZ187" s="11"/>
      <c r="GA187" s="11"/>
      <c r="GB187" s="11"/>
      <c r="GC187" s="11"/>
      <c r="GD187" s="11"/>
      <c r="GE187" s="11"/>
      <c r="GF187" s="11"/>
      <c r="GG187" s="11"/>
      <c r="GH187" s="11"/>
      <c r="GI187" s="11"/>
      <c r="GJ187" s="11"/>
      <c r="GK187" s="11"/>
      <c r="GL187" s="11"/>
      <c r="GM187" s="11"/>
      <c r="GN187" s="11"/>
      <c r="GO187" s="11"/>
      <c r="GP187" s="11"/>
      <c r="GQ187" s="11"/>
      <c r="GR187" s="11"/>
    </row>
    <row r="188" spans="2:200" x14ac:dyDescent="0.15"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  <c r="CW188" s="11"/>
      <c r="CX188" s="11"/>
      <c r="CY188" s="11"/>
      <c r="CZ188" s="11"/>
      <c r="DA188" s="11"/>
      <c r="DB188" s="11"/>
      <c r="DC188" s="11"/>
      <c r="DD188" s="11"/>
      <c r="DE188" s="11"/>
      <c r="DF188" s="11"/>
      <c r="DG188" s="11"/>
      <c r="DH188" s="11"/>
      <c r="DI188" s="11"/>
      <c r="DJ188" s="11"/>
      <c r="DK188" s="11"/>
      <c r="DL188" s="11"/>
      <c r="DM188" s="11"/>
      <c r="DN188" s="11"/>
      <c r="DO188" s="11"/>
      <c r="DP188" s="11"/>
      <c r="DQ188" s="11"/>
      <c r="DR188" s="11"/>
      <c r="DS188" s="11"/>
      <c r="DT188" s="11"/>
      <c r="DU188" s="11"/>
      <c r="DV188" s="11"/>
      <c r="DW188" s="11"/>
      <c r="DX188" s="11"/>
      <c r="DY188" s="11"/>
      <c r="DZ188" s="11"/>
      <c r="EA188" s="11"/>
      <c r="EB188" s="11"/>
      <c r="EC188" s="11"/>
      <c r="ED188" s="11"/>
      <c r="EE188" s="11"/>
      <c r="EF188" s="11"/>
      <c r="EG188" s="11"/>
      <c r="EH188" s="11"/>
      <c r="EI188" s="11"/>
      <c r="EJ188" s="11"/>
      <c r="EK188" s="11"/>
      <c r="EL188" s="11"/>
      <c r="EM188" s="11"/>
      <c r="EN188" s="11"/>
      <c r="EO188" s="11"/>
      <c r="EP188" s="11"/>
      <c r="EQ188" s="11"/>
      <c r="ER188" s="11"/>
      <c r="ES188" s="11"/>
      <c r="ET188" s="11"/>
      <c r="EU188" s="11"/>
      <c r="EV188" s="11"/>
      <c r="EW188" s="11"/>
      <c r="EX188" s="11"/>
      <c r="EY188" s="11"/>
      <c r="EZ188" s="11"/>
      <c r="FA188" s="11"/>
      <c r="FB188" s="11"/>
      <c r="FC188" s="11"/>
      <c r="FD188" s="11"/>
      <c r="FE188" s="11"/>
      <c r="FF188" s="11"/>
      <c r="FG188" s="11"/>
      <c r="FH188" s="11"/>
      <c r="FI188" s="11"/>
      <c r="FJ188" s="11"/>
      <c r="FK188" s="11"/>
      <c r="FL188" s="11"/>
      <c r="FM188" s="11"/>
      <c r="FN188" s="11"/>
      <c r="FO188" s="11"/>
      <c r="FP188" s="11"/>
      <c r="FQ188" s="11"/>
      <c r="FR188" s="11"/>
      <c r="FS188" s="11"/>
      <c r="FT188" s="11"/>
      <c r="FU188" s="11"/>
      <c r="FV188" s="11"/>
      <c r="FW188" s="11"/>
      <c r="FX188" s="11"/>
      <c r="FY188" s="11"/>
      <c r="FZ188" s="11"/>
      <c r="GA188" s="11"/>
      <c r="GB188" s="11"/>
      <c r="GC188" s="11"/>
      <c r="GD188" s="11"/>
      <c r="GE188" s="11"/>
      <c r="GF188" s="11"/>
      <c r="GG188" s="11"/>
      <c r="GH188" s="11"/>
      <c r="GI188" s="11"/>
      <c r="GJ188" s="11"/>
      <c r="GK188" s="11"/>
      <c r="GL188" s="11"/>
      <c r="GM188" s="11"/>
      <c r="GN188" s="11"/>
      <c r="GO188" s="11"/>
      <c r="GP188" s="11"/>
      <c r="GQ188" s="11"/>
      <c r="GR188" s="11"/>
    </row>
    <row r="189" spans="2:200" x14ac:dyDescent="0.15"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  <c r="CW189" s="11"/>
      <c r="CX189" s="11"/>
      <c r="CY189" s="11"/>
      <c r="CZ189" s="11"/>
      <c r="DA189" s="11"/>
      <c r="DB189" s="11"/>
      <c r="DC189" s="11"/>
      <c r="DD189" s="11"/>
      <c r="DE189" s="11"/>
      <c r="DF189" s="11"/>
      <c r="DG189" s="11"/>
      <c r="DH189" s="11"/>
      <c r="DI189" s="11"/>
      <c r="DJ189" s="11"/>
      <c r="DK189" s="11"/>
      <c r="DL189" s="11"/>
      <c r="DM189" s="11"/>
      <c r="DN189" s="11"/>
      <c r="DO189" s="11"/>
      <c r="DP189" s="11"/>
      <c r="DQ189" s="11"/>
      <c r="DR189" s="11"/>
      <c r="DS189" s="11"/>
      <c r="DT189" s="11"/>
      <c r="DU189" s="11"/>
      <c r="DV189" s="11"/>
      <c r="DW189" s="11"/>
      <c r="DX189" s="11"/>
      <c r="DY189" s="11"/>
      <c r="DZ189" s="11"/>
      <c r="EA189" s="11"/>
      <c r="EB189" s="11"/>
      <c r="EC189" s="11"/>
      <c r="ED189" s="11"/>
      <c r="EE189" s="11"/>
      <c r="EF189" s="11"/>
      <c r="EG189" s="11"/>
      <c r="EH189" s="11"/>
      <c r="EI189" s="11"/>
      <c r="EJ189" s="11"/>
      <c r="EK189" s="11"/>
      <c r="EL189" s="11"/>
      <c r="EM189" s="11"/>
      <c r="EN189" s="11"/>
      <c r="EO189" s="11"/>
      <c r="EP189" s="11"/>
      <c r="EQ189" s="11"/>
      <c r="ER189" s="11"/>
      <c r="ES189" s="11"/>
      <c r="ET189" s="11"/>
      <c r="EU189" s="11"/>
      <c r="EV189" s="11"/>
      <c r="EW189" s="11"/>
      <c r="EX189" s="11"/>
      <c r="EY189" s="11"/>
      <c r="EZ189" s="11"/>
      <c r="FA189" s="11"/>
      <c r="FB189" s="11"/>
      <c r="FC189" s="11"/>
      <c r="FD189" s="11"/>
      <c r="FE189" s="11"/>
      <c r="FF189" s="11"/>
      <c r="FG189" s="11"/>
      <c r="FH189" s="11"/>
      <c r="FI189" s="11"/>
      <c r="FJ189" s="11"/>
      <c r="FK189" s="11"/>
      <c r="FL189" s="11"/>
      <c r="FM189" s="11"/>
      <c r="FN189" s="11"/>
      <c r="FO189" s="11"/>
      <c r="FP189" s="11"/>
      <c r="FQ189" s="11"/>
      <c r="FR189" s="11"/>
      <c r="FS189" s="11"/>
      <c r="FT189" s="11"/>
      <c r="FU189" s="11"/>
      <c r="FV189" s="11"/>
      <c r="FW189" s="11"/>
      <c r="FX189" s="11"/>
      <c r="FY189" s="11"/>
      <c r="FZ189" s="11"/>
      <c r="GA189" s="11"/>
      <c r="GB189" s="11"/>
      <c r="GC189" s="11"/>
      <c r="GD189" s="11"/>
      <c r="GE189" s="11"/>
      <c r="GF189" s="11"/>
      <c r="GG189" s="11"/>
      <c r="GH189" s="11"/>
      <c r="GI189" s="11"/>
      <c r="GJ189" s="11"/>
      <c r="GK189" s="11"/>
      <c r="GL189" s="11"/>
      <c r="GM189" s="11"/>
      <c r="GN189" s="11"/>
      <c r="GO189" s="11"/>
      <c r="GP189" s="11"/>
      <c r="GQ189" s="11"/>
      <c r="GR189" s="11"/>
    </row>
    <row r="190" spans="2:200" x14ac:dyDescent="0.15"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11"/>
      <c r="CV190" s="11"/>
      <c r="CW190" s="11"/>
      <c r="CX190" s="11"/>
      <c r="CY190" s="11"/>
      <c r="CZ190" s="11"/>
      <c r="DA190" s="11"/>
      <c r="DB190" s="11"/>
      <c r="DC190" s="11"/>
      <c r="DD190" s="11"/>
      <c r="DE190" s="11"/>
      <c r="DF190" s="11"/>
      <c r="DG190" s="11"/>
      <c r="DH190" s="11"/>
      <c r="DI190" s="11"/>
      <c r="DJ190" s="11"/>
      <c r="DK190" s="11"/>
      <c r="DL190" s="11"/>
      <c r="DM190" s="11"/>
      <c r="DN190" s="11"/>
      <c r="DO190" s="11"/>
      <c r="DP190" s="11"/>
      <c r="DQ190" s="11"/>
      <c r="DR190" s="11"/>
      <c r="DS190" s="11"/>
      <c r="DT190" s="11"/>
      <c r="DU190" s="11"/>
      <c r="DV190" s="11"/>
      <c r="DW190" s="11"/>
      <c r="DX190" s="11"/>
      <c r="DY190" s="11"/>
      <c r="DZ190" s="11"/>
      <c r="EA190" s="11"/>
      <c r="EB190" s="11"/>
      <c r="EC190" s="11"/>
      <c r="ED190" s="11"/>
      <c r="EE190" s="11"/>
      <c r="EF190" s="11"/>
      <c r="EG190" s="11"/>
      <c r="EH190" s="11"/>
      <c r="EI190" s="11"/>
      <c r="EJ190" s="11"/>
      <c r="EK190" s="11"/>
      <c r="EL190" s="11"/>
      <c r="EM190" s="11"/>
      <c r="EN190" s="11"/>
      <c r="EO190" s="11"/>
      <c r="EP190" s="11"/>
      <c r="EQ190" s="11"/>
      <c r="ER190" s="11"/>
      <c r="ES190" s="11"/>
      <c r="ET190" s="11"/>
      <c r="EU190" s="11"/>
      <c r="EV190" s="11"/>
      <c r="EW190" s="11"/>
      <c r="EX190" s="11"/>
      <c r="EY190" s="11"/>
      <c r="EZ190" s="11"/>
      <c r="FA190" s="11"/>
      <c r="FB190" s="11"/>
      <c r="FC190" s="11"/>
      <c r="FD190" s="11"/>
      <c r="FE190" s="11"/>
      <c r="FF190" s="11"/>
      <c r="FG190" s="11"/>
      <c r="FH190" s="11"/>
      <c r="FI190" s="11"/>
      <c r="FJ190" s="11"/>
      <c r="FK190" s="11"/>
      <c r="FL190" s="11"/>
      <c r="FM190" s="11"/>
      <c r="FN190" s="11"/>
      <c r="FO190" s="11"/>
      <c r="FP190" s="11"/>
      <c r="FQ190" s="11"/>
      <c r="FR190" s="11"/>
      <c r="FS190" s="11"/>
      <c r="FT190" s="11"/>
      <c r="FU190" s="11"/>
      <c r="FV190" s="11"/>
      <c r="FW190" s="11"/>
      <c r="FX190" s="11"/>
      <c r="FY190" s="11"/>
      <c r="FZ190" s="11"/>
      <c r="GA190" s="11"/>
      <c r="GB190" s="11"/>
      <c r="GC190" s="11"/>
      <c r="GD190" s="11"/>
      <c r="GE190" s="11"/>
      <c r="GF190" s="11"/>
      <c r="GG190" s="11"/>
      <c r="GH190" s="11"/>
      <c r="GI190" s="11"/>
      <c r="GJ190" s="11"/>
      <c r="GK190" s="11"/>
      <c r="GL190" s="11"/>
      <c r="GM190" s="11"/>
      <c r="GN190" s="11"/>
      <c r="GO190" s="11"/>
      <c r="GP190" s="11"/>
      <c r="GQ190" s="11"/>
      <c r="GR190" s="11"/>
    </row>
    <row r="191" spans="2:200" x14ac:dyDescent="0.15"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11"/>
      <c r="CU191" s="11"/>
      <c r="CV191" s="11"/>
      <c r="CW191" s="11"/>
      <c r="CX191" s="11"/>
      <c r="CY191" s="11"/>
      <c r="CZ191" s="11"/>
      <c r="DA191" s="11"/>
      <c r="DB191" s="11"/>
      <c r="DC191" s="11"/>
      <c r="DD191" s="11"/>
      <c r="DE191" s="11"/>
      <c r="DF191" s="11"/>
      <c r="DG191" s="11"/>
      <c r="DH191" s="11"/>
      <c r="DI191" s="11"/>
      <c r="DJ191" s="11"/>
      <c r="DK191" s="11"/>
      <c r="DL191" s="11"/>
      <c r="DM191" s="11"/>
      <c r="DN191" s="11"/>
      <c r="DO191" s="11"/>
      <c r="DP191" s="11"/>
      <c r="DQ191" s="11"/>
      <c r="DR191" s="11"/>
      <c r="DS191" s="11"/>
      <c r="DT191" s="11"/>
      <c r="DU191" s="11"/>
      <c r="DV191" s="11"/>
      <c r="DW191" s="11"/>
      <c r="DX191" s="11"/>
      <c r="DY191" s="11"/>
      <c r="DZ191" s="11"/>
      <c r="EA191" s="11"/>
      <c r="EB191" s="11"/>
      <c r="EC191" s="11"/>
      <c r="ED191" s="11"/>
      <c r="EE191" s="11"/>
      <c r="EF191" s="11"/>
      <c r="EG191" s="11"/>
      <c r="EH191" s="11"/>
      <c r="EI191" s="11"/>
      <c r="EJ191" s="11"/>
      <c r="EK191" s="11"/>
      <c r="EL191" s="11"/>
      <c r="EM191" s="11"/>
      <c r="EN191" s="11"/>
      <c r="EO191" s="11"/>
      <c r="EP191" s="11"/>
      <c r="EQ191" s="11"/>
      <c r="ER191" s="11"/>
      <c r="ES191" s="11"/>
      <c r="ET191" s="11"/>
      <c r="EU191" s="11"/>
      <c r="EV191" s="11"/>
      <c r="EW191" s="11"/>
      <c r="EX191" s="11"/>
      <c r="EY191" s="11"/>
      <c r="EZ191" s="11"/>
      <c r="FA191" s="11"/>
      <c r="FB191" s="11"/>
      <c r="FC191" s="11"/>
      <c r="FD191" s="11"/>
      <c r="FE191" s="11"/>
      <c r="FF191" s="11"/>
      <c r="FG191" s="11"/>
      <c r="FH191" s="11"/>
      <c r="FI191" s="11"/>
      <c r="FJ191" s="11"/>
      <c r="FK191" s="11"/>
      <c r="FL191" s="11"/>
      <c r="FM191" s="11"/>
      <c r="FN191" s="11"/>
      <c r="FO191" s="11"/>
      <c r="FP191" s="11"/>
      <c r="FQ191" s="11"/>
      <c r="FR191" s="11"/>
      <c r="FS191" s="11"/>
      <c r="FT191" s="11"/>
      <c r="FU191" s="11"/>
      <c r="FV191" s="11"/>
      <c r="FW191" s="11"/>
      <c r="FX191" s="11"/>
      <c r="FY191" s="11"/>
      <c r="FZ191" s="11"/>
      <c r="GA191" s="11"/>
      <c r="GB191" s="11"/>
      <c r="GC191" s="11"/>
      <c r="GD191" s="11"/>
      <c r="GE191" s="11"/>
      <c r="GF191" s="11"/>
      <c r="GG191" s="11"/>
      <c r="GH191" s="11"/>
      <c r="GI191" s="11"/>
      <c r="GJ191" s="11"/>
      <c r="GK191" s="11"/>
      <c r="GL191" s="11"/>
      <c r="GM191" s="11"/>
      <c r="GN191" s="11"/>
      <c r="GO191" s="11"/>
      <c r="GP191" s="11"/>
      <c r="GQ191" s="11"/>
      <c r="GR191" s="11"/>
    </row>
    <row r="192" spans="2:200" x14ac:dyDescent="0.15"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</row>
    <row r="193" spans="2:200" x14ac:dyDescent="0.15"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11"/>
      <c r="CV193" s="11"/>
      <c r="CW193" s="11"/>
      <c r="CX193" s="11"/>
      <c r="CY193" s="11"/>
      <c r="CZ193" s="11"/>
      <c r="DA193" s="11"/>
      <c r="DB193" s="11"/>
      <c r="DC193" s="11"/>
      <c r="DD193" s="11"/>
      <c r="DE193" s="11"/>
      <c r="DF193" s="11"/>
      <c r="DG193" s="11"/>
      <c r="DH193" s="11"/>
      <c r="DI193" s="11"/>
      <c r="DJ193" s="11"/>
      <c r="DK193" s="11"/>
      <c r="DL193" s="11"/>
      <c r="DM193" s="11"/>
      <c r="DN193" s="11"/>
      <c r="DO193" s="11"/>
      <c r="DP193" s="11"/>
      <c r="DQ193" s="11"/>
      <c r="DR193" s="11"/>
      <c r="DS193" s="11"/>
      <c r="DT193" s="11"/>
      <c r="DU193" s="11"/>
      <c r="DV193" s="11"/>
      <c r="DW193" s="11"/>
      <c r="DX193" s="11"/>
      <c r="DY193" s="11"/>
      <c r="DZ193" s="11"/>
      <c r="EA193" s="11"/>
      <c r="EB193" s="11"/>
      <c r="EC193" s="11"/>
      <c r="ED193" s="11"/>
      <c r="EE193" s="11"/>
      <c r="EF193" s="11"/>
      <c r="EG193" s="11"/>
      <c r="EH193" s="11"/>
      <c r="EI193" s="11"/>
      <c r="EJ193" s="11"/>
      <c r="EK193" s="11"/>
      <c r="EL193" s="11"/>
      <c r="EM193" s="11"/>
      <c r="EN193" s="11"/>
      <c r="EO193" s="11"/>
      <c r="EP193" s="11"/>
      <c r="EQ193" s="11"/>
      <c r="ER193" s="11"/>
      <c r="ES193" s="11"/>
      <c r="ET193" s="11"/>
      <c r="EU193" s="11"/>
      <c r="EV193" s="11"/>
      <c r="EW193" s="11"/>
      <c r="EX193" s="11"/>
      <c r="EY193" s="11"/>
      <c r="EZ193" s="11"/>
      <c r="FA193" s="11"/>
      <c r="FB193" s="11"/>
      <c r="FC193" s="11"/>
      <c r="FD193" s="11"/>
      <c r="FE193" s="11"/>
      <c r="FF193" s="11"/>
      <c r="FG193" s="11"/>
      <c r="FH193" s="11"/>
      <c r="FI193" s="11"/>
      <c r="FJ193" s="11"/>
      <c r="FK193" s="11"/>
      <c r="FL193" s="11"/>
      <c r="FM193" s="11"/>
      <c r="FN193" s="11"/>
      <c r="FO193" s="1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1"/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</row>
    <row r="194" spans="2:200" x14ac:dyDescent="0.15"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11"/>
      <c r="CV194" s="11"/>
      <c r="CW194" s="11"/>
      <c r="CX194" s="11"/>
      <c r="CY194" s="11"/>
      <c r="CZ194" s="11"/>
      <c r="DA194" s="11"/>
      <c r="DB194" s="11"/>
      <c r="DC194" s="11"/>
      <c r="DD194" s="11"/>
      <c r="DE194" s="11"/>
      <c r="DF194" s="11"/>
      <c r="DG194" s="11"/>
      <c r="DH194" s="11"/>
      <c r="DI194" s="11"/>
      <c r="DJ194" s="11"/>
      <c r="DK194" s="11"/>
      <c r="DL194" s="11"/>
      <c r="DM194" s="11"/>
      <c r="DN194" s="11"/>
      <c r="DO194" s="11"/>
      <c r="DP194" s="11"/>
      <c r="DQ194" s="11"/>
      <c r="DR194" s="11"/>
      <c r="DS194" s="11"/>
      <c r="DT194" s="11"/>
      <c r="DU194" s="11"/>
      <c r="DV194" s="11"/>
      <c r="DW194" s="11"/>
      <c r="DX194" s="11"/>
      <c r="DY194" s="11"/>
      <c r="DZ194" s="11"/>
      <c r="EA194" s="11"/>
      <c r="EB194" s="11"/>
      <c r="EC194" s="11"/>
      <c r="ED194" s="11"/>
      <c r="EE194" s="11"/>
      <c r="EF194" s="11"/>
      <c r="EG194" s="11"/>
      <c r="EH194" s="11"/>
      <c r="EI194" s="11"/>
      <c r="EJ194" s="11"/>
      <c r="EK194" s="11"/>
      <c r="EL194" s="11"/>
      <c r="EM194" s="11"/>
      <c r="EN194" s="11"/>
      <c r="EO194" s="11"/>
      <c r="EP194" s="11"/>
      <c r="EQ194" s="11"/>
      <c r="ER194" s="11"/>
      <c r="ES194" s="11"/>
      <c r="ET194" s="11"/>
      <c r="EU194" s="11"/>
      <c r="EV194" s="11"/>
      <c r="EW194" s="11"/>
      <c r="EX194" s="11"/>
      <c r="EY194" s="11"/>
      <c r="EZ194" s="11"/>
      <c r="FA194" s="11"/>
      <c r="FB194" s="11"/>
      <c r="FC194" s="11"/>
      <c r="FD194" s="11"/>
      <c r="FE194" s="11"/>
      <c r="FF194" s="11"/>
      <c r="FG194" s="11"/>
      <c r="FH194" s="11"/>
      <c r="FI194" s="11"/>
      <c r="FJ194" s="11"/>
      <c r="FK194" s="11"/>
      <c r="FL194" s="11"/>
      <c r="FM194" s="11"/>
      <c r="FN194" s="11"/>
      <c r="FO194" s="11"/>
      <c r="FP194" s="11"/>
      <c r="FQ194" s="11"/>
      <c r="FR194" s="11"/>
      <c r="FS194" s="11"/>
      <c r="FT194" s="11"/>
      <c r="FU194" s="11"/>
      <c r="FV194" s="11"/>
      <c r="FW194" s="11"/>
      <c r="FX194" s="11"/>
      <c r="FY194" s="11"/>
      <c r="FZ194" s="11"/>
      <c r="GA194" s="11"/>
      <c r="GB194" s="11"/>
      <c r="GC194" s="11"/>
      <c r="GD194" s="11"/>
      <c r="GE194" s="11"/>
      <c r="GF194" s="11"/>
      <c r="GG194" s="11"/>
      <c r="GH194" s="11"/>
      <c r="GI194" s="11"/>
      <c r="GJ194" s="11"/>
      <c r="GK194" s="11"/>
      <c r="GL194" s="11"/>
      <c r="GM194" s="11"/>
      <c r="GN194" s="11"/>
      <c r="GO194" s="11"/>
      <c r="GP194" s="11"/>
      <c r="GQ194" s="11"/>
      <c r="GR194" s="11"/>
    </row>
    <row r="195" spans="2:200" x14ac:dyDescent="0.15"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  <c r="CW195" s="11"/>
      <c r="CX195" s="11"/>
      <c r="CY195" s="11"/>
      <c r="CZ195" s="11"/>
      <c r="DA195" s="11"/>
      <c r="DB195" s="11"/>
      <c r="DC195" s="11"/>
      <c r="DD195" s="11"/>
      <c r="DE195" s="11"/>
      <c r="DF195" s="11"/>
      <c r="DG195" s="11"/>
      <c r="DH195" s="11"/>
      <c r="DI195" s="11"/>
      <c r="DJ195" s="11"/>
      <c r="DK195" s="11"/>
      <c r="DL195" s="11"/>
      <c r="DM195" s="11"/>
      <c r="DN195" s="11"/>
      <c r="DO195" s="11"/>
      <c r="DP195" s="11"/>
      <c r="DQ195" s="11"/>
      <c r="DR195" s="11"/>
      <c r="DS195" s="11"/>
      <c r="DT195" s="11"/>
      <c r="DU195" s="11"/>
      <c r="DV195" s="11"/>
      <c r="DW195" s="11"/>
      <c r="DX195" s="11"/>
      <c r="DY195" s="11"/>
      <c r="DZ195" s="11"/>
      <c r="EA195" s="11"/>
      <c r="EB195" s="11"/>
      <c r="EC195" s="11"/>
      <c r="ED195" s="11"/>
      <c r="EE195" s="11"/>
      <c r="EF195" s="11"/>
      <c r="EG195" s="11"/>
      <c r="EH195" s="11"/>
      <c r="EI195" s="11"/>
      <c r="EJ195" s="11"/>
      <c r="EK195" s="11"/>
      <c r="EL195" s="11"/>
      <c r="EM195" s="11"/>
      <c r="EN195" s="11"/>
      <c r="EO195" s="11"/>
      <c r="EP195" s="11"/>
      <c r="EQ195" s="11"/>
      <c r="ER195" s="11"/>
      <c r="ES195" s="11"/>
      <c r="ET195" s="11"/>
      <c r="EU195" s="11"/>
      <c r="EV195" s="11"/>
      <c r="EW195" s="11"/>
      <c r="EX195" s="11"/>
      <c r="EY195" s="11"/>
      <c r="EZ195" s="11"/>
      <c r="FA195" s="11"/>
      <c r="FB195" s="11"/>
      <c r="FC195" s="11"/>
      <c r="FD195" s="11"/>
      <c r="FE195" s="11"/>
      <c r="FF195" s="11"/>
      <c r="FG195" s="11"/>
      <c r="FH195" s="11"/>
      <c r="FI195" s="11"/>
      <c r="FJ195" s="11"/>
      <c r="FK195" s="11"/>
      <c r="FL195" s="11"/>
      <c r="FM195" s="11"/>
      <c r="FN195" s="11"/>
      <c r="FO195" s="11"/>
      <c r="FP195" s="11"/>
      <c r="FQ195" s="11"/>
      <c r="FR195" s="11"/>
      <c r="FS195" s="11"/>
      <c r="FT195" s="11"/>
      <c r="FU195" s="11"/>
      <c r="FV195" s="11"/>
      <c r="FW195" s="11"/>
      <c r="FX195" s="11"/>
      <c r="FY195" s="11"/>
      <c r="FZ195" s="11"/>
      <c r="GA195" s="11"/>
      <c r="GB195" s="11"/>
      <c r="GC195" s="11"/>
      <c r="GD195" s="11"/>
      <c r="GE195" s="11"/>
      <c r="GF195" s="11"/>
      <c r="GG195" s="11"/>
      <c r="GH195" s="11"/>
      <c r="GI195" s="11"/>
      <c r="GJ195" s="11"/>
      <c r="GK195" s="11"/>
      <c r="GL195" s="11"/>
      <c r="GM195" s="11"/>
      <c r="GN195" s="11"/>
      <c r="GO195" s="11"/>
      <c r="GP195" s="11"/>
      <c r="GQ195" s="11"/>
      <c r="GR195" s="11"/>
    </row>
    <row r="196" spans="2:200" x14ac:dyDescent="0.15"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11"/>
      <c r="CW196" s="11"/>
      <c r="CX196" s="11"/>
      <c r="CY196" s="11"/>
      <c r="CZ196" s="11"/>
      <c r="DA196" s="11"/>
      <c r="DB196" s="11"/>
      <c r="DC196" s="11"/>
      <c r="DD196" s="11"/>
      <c r="DE196" s="11"/>
      <c r="DF196" s="11"/>
      <c r="DG196" s="11"/>
      <c r="DH196" s="11"/>
      <c r="DI196" s="11"/>
      <c r="DJ196" s="11"/>
      <c r="DK196" s="11"/>
      <c r="DL196" s="11"/>
      <c r="DM196" s="11"/>
      <c r="DN196" s="11"/>
      <c r="DO196" s="11"/>
      <c r="DP196" s="11"/>
      <c r="DQ196" s="11"/>
      <c r="DR196" s="11"/>
      <c r="DS196" s="11"/>
      <c r="DT196" s="11"/>
      <c r="DU196" s="11"/>
      <c r="DV196" s="11"/>
      <c r="DW196" s="11"/>
      <c r="DX196" s="11"/>
      <c r="DY196" s="11"/>
      <c r="DZ196" s="11"/>
      <c r="EA196" s="11"/>
      <c r="EB196" s="11"/>
      <c r="EC196" s="11"/>
      <c r="ED196" s="11"/>
      <c r="EE196" s="11"/>
      <c r="EF196" s="11"/>
      <c r="EG196" s="11"/>
      <c r="EH196" s="11"/>
      <c r="EI196" s="11"/>
      <c r="EJ196" s="11"/>
      <c r="EK196" s="11"/>
      <c r="EL196" s="11"/>
      <c r="EM196" s="11"/>
      <c r="EN196" s="11"/>
      <c r="EO196" s="11"/>
      <c r="EP196" s="11"/>
      <c r="EQ196" s="11"/>
      <c r="ER196" s="11"/>
      <c r="ES196" s="11"/>
      <c r="ET196" s="11"/>
      <c r="EU196" s="11"/>
      <c r="EV196" s="11"/>
      <c r="EW196" s="11"/>
      <c r="EX196" s="11"/>
      <c r="EY196" s="11"/>
      <c r="EZ196" s="11"/>
      <c r="FA196" s="11"/>
      <c r="FB196" s="11"/>
      <c r="FC196" s="11"/>
      <c r="FD196" s="11"/>
      <c r="FE196" s="11"/>
      <c r="FF196" s="11"/>
      <c r="FG196" s="11"/>
      <c r="FH196" s="11"/>
      <c r="FI196" s="11"/>
      <c r="FJ196" s="11"/>
      <c r="FK196" s="11"/>
      <c r="FL196" s="11"/>
      <c r="FM196" s="11"/>
      <c r="FN196" s="11"/>
      <c r="FO196" s="11"/>
      <c r="FP196" s="11"/>
      <c r="FQ196" s="11"/>
      <c r="FR196" s="11"/>
      <c r="FS196" s="11"/>
      <c r="FT196" s="11"/>
      <c r="FU196" s="11"/>
      <c r="FV196" s="11"/>
      <c r="FW196" s="11"/>
      <c r="FX196" s="11"/>
      <c r="FY196" s="11"/>
      <c r="FZ196" s="11"/>
      <c r="GA196" s="11"/>
      <c r="GB196" s="11"/>
      <c r="GC196" s="11"/>
      <c r="GD196" s="11"/>
      <c r="GE196" s="11"/>
      <c r="GF196" s="11"/>
      <c r="GG196" s="11"/>
      <c r="GH196" s="11"/>
      <c r="GI196" s="11"/>
      <c r="GJ196" s="11"/>
      <c r="GK196" s="11"/>
      <c r="GL196" s="11"/>
      <c r="GM196" s="11"/>
      <c r="GN196" s="11"/>
      <c r="GO196" s="11"/>
      <c r="GP196" s="11"/>
      <c r="GQ196" s="11"/>
      <c r="GR196" s="11"/>
    </row>
    <row r="197" spans="2:200" x14ac:dyDescent="0.15"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11"/>
      <c r="CW197" s="11"/>
      <c r="CX197" s="11"/>
      <c r="CY197" s="11"/>
      <c r="CZ197" s="11"/>
      <c r="DA197" s="11"/>
      <c r="DB197" s="11"/>
      <c r="DC197" s="11"/>
      <c r="DD197" s="11"/>
      <c r="DE197" s="11"/>
      <c r="DF197" s="11"/>
      <c r="DG197" s="11"/>
      <c r="DH197" s="11"/>
      <c r="DI197" s="11"/>
      <c r="DJ197" s="11"/>
      <c r="DK197" s="11"/>
      <c r="DL197" s="11"/>
      <c r="DM197" s="11"/>
      <c r="DN197" s="11"/>
      <c r="DO197" s="11"/>
      <c r="DP197" s="11"/>
      <c r="DQ197" s="11"/>
      <c r="DR197" s="11"/>
      <c r="DS197" s="11"/>
      <c r="DT197" s="11"/>
      <c r="DU197" s="11"/>
      <c r="DV197" s="11"/>
      <c r="DW197" s="11"/>
      <c r="DX197" s="11"/>
      <c r="DY197" s="11"/>
      <c r="DZ197" s="11"/>
      <c r="EA197" s="11"/>
      <c r="EB197" s="11"/>
      <c r="EC197" s="11"/>
      <c r="ED197" s="11"/>
      <c r="EE197" s="11"/>
      <c r="EF197" s="11"/>
      <c r="EG197" s="11"/>
      <c r="EH197" s="11"/>
      <c r="EI197" s="11"/>
      <c r="EJ197" s="11"/>
      <c r="EK197" s="11"/>
      <c r="EL197" s="11"/>
      <c r="EM197" s="11"/>
      <c r="EN197" s="11"/>
      <c r="EO197" s="11"/>
      <c r="EP197" s="11"/>
      <c r="EQ197" s="11"/>
      <c r="ER197" s="11"/>
      <c r="ES197" s="11"/>
      <c r="ET197" s="11"/>
      <c r="EU197" s="11"/>
      <c r="EV197" s="11"/>
      <c r="EW197" s="11"/>
      <c r="EX197" s="11"/>
      <c r="EY197" s="11"/>
      <c r="EZ197" s="11"/>
      <c r="FA197" s="11"/>
      <c r="FB197" s="11"/>
      <c r="FC197" s="11"/>
      <c r="FD197" s="11"/>
      <c r="FE197" s="11"/>
      <c r="FF197" s="11"/>
      <c r="FG197" s="11"/>
      <c r="FH197" s="11"/>
      <c r="FI197" s="11"/>
      <c r="FJ197" s="11"/>
      <c r="FK197" s="11"/>
      <c r="FL197" s="11"/>
      <c r="FM197" s="11"/>
      <c r="FN197" s="11"/>
      <c r="FO197" s="11"/>
      <c r="FP197" s="11"/>
      <c r="FQ197" s="11"/>
      <c r="FR197" s="11"/>
      <c r="FS197" s="11"/>
      <c r="FT197" s="11"/>
      <c r="FU197" s="11"/>
      <c r="FV197" s="11"/>
      <c r="FW197" s="11"/>
      <c r="FX197" s="11"/>
      <c r="FY197" s="11"/>
      <c r="FZ197" s="11"/>
      <c r="GA197" s="11"/>
      <c r="GB197" s="11"/>
      <c r="GC197" s="11"/>
      <c r="GD197" s="11"/>
      <c r="GE197" s="11"/>
      <c r="GF197" s="11"/>
      <c r="GG197" s="11"/>
      <c r="GH197" s="11"/>
      <c r="GI197" s="11"/>
      <c r="GJ197" s="11"/>
      <c r="GK197" s="11"/>
      <c r="GL197" s="11"/>
      <c r="GM197" s="11"/>
      <c r="GN197" s="11"/>
      <c r="GO197" s="11"/>
      <c r="GP197" s="11"/>
      <c r="GQ197" s="11"/>
      <c r="GR197" s="11"/>
    </row>
    <row r="198" spans="2:200" x14ac:dyDescent="0.15"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11"/>
      <c r="CW198" s="11"/>
      <c r="CX198" s="11"/>
      <c r="CY198" s="11"/>
      <c r="CZ198" s="11"/>
      <c r="DA198" s="11"/>
      <c r="DB198" s="11"/>
      <c r="DC198" s="11"/>
      <c r="DD198" s="11"/>
      <c r="DE198" s="11"/>
      <c r="DF198" s="11"/>
      <c r="DG198" s="11"/>
      <c r="DH198" s="11"/>
      <c r="DI198" s="11"/>
      <c r="DJ198" s="11"/>
      <c r="DK198" s="11"/>
      <c r="DL198" s="11"/>
      <c r="DM198" s="11"/>
      <c r="DN198" s="11"/>
      <c r="DO198" s="11"/>
      <c r="DP198" s="11"/>
      <c r="DQ198" s="11"/>
      <c r="DR198" s="11"/>
      <c r="DS198" s="11"/>
      <c r="DT198" s="11"/>
      <c r="DU198" s="11"/>
      <c r="DV198" s="11"/>
      <c r="DW198" s="11"/>
      <c r="DX198" s="11"/>
      <c r="DY198" s="11"/>
      <c r="DZ198" s="11"/>
      <c r="EA198" s="11"/>
      <c r="EB198" s="11"/>
      <c r="EC198" s="11"/>
      <c r="ED198" s="11"/>
      <c r="EE198" s="11"/>
      <c r="EF198" s="11"/>
      <c r="EG198" s="11"/>
      <c r="EH198" s="11"/>
      <c r="EI198" s="11"/>
      <c r="EJ198" s="11"/>
      <c r="EK198" s="11"/>
      <c r="EL198" s="11"/>
      <c r="EM198" s="11"/>
      <c r="EN198" s="11"/>
      <c r="EO198" s="11"/>
      <c r="EP198" s="11"/>
      <c r="EQ198" s="11"/>
      <c r="ER198" s="11"/>
      <c r="ES198" s="11"/>
      <c r="ET198" s="11"/>
      <c r="EU198" s="11"/>
      <c r="EV198" s="11"/>
      <c r="EW198" s="11"/>
      <c r="EX198" s="11"/>
      <c r="EY198" s="11"/>
      <c r="EZ198" s="11"/>
      <c r="FA198" s="11"/>
      <c r="FB198" s="11"/>
      <c r="FC198" s="11"/>
      <c r="FD198" s="11"/>
      <c r="FE198" s="11"/>
      <c r="FF198" s="11"/>
      <c r="FG198" s="11"/>
      <c r="FH198" s="11"/>
      <c r="FI198" s="11"/>
      <c r="FJ198" s="11"/>
      <c r="FK198" s="11"/>
      <c r="FL198" s="11"/>
      <c r="FM198" s="11"/>
      <c r="FN198" s="11"/>
      <c r="FO198" s="11"/>
      <c r="FP198" s="11"/>
      <c r="FQ198" s="11"/>
      <c r="FR198" s="11"/>
      <c r="FS198" s="11"/>
      <c r="FT198" s="11"/>
      <c r="FU198" s="11"/>
      <c r="FV198" s="11"/>
      <c r="FW198" s="11"/>
      <c r="FX198" s="11"/>
      <c r="FY198" s="11"/>
      <c r="FZ198" s="11"/>
      <c r="GA198" s="11"/>
      <c r="GB198" s="11"/>
      <c r="GC198" s="11"/>
      <c r="GD198" s="11"/>
      <c r="GE198" s="11"/>
      <c r="GF198" s="11"/>
      <c r="GG198" s="11"/>
      <c r="GH198" s="11"/>
      <c r="GI198" s="11"/>
      <c r="GJ198" s="11"/>
      <c r="GK198" s="11"/>
      <c r="GL198" s="11"/>
      <c r="GM198" s="11"/>
      <c r="GN198" s="11"/>
      <c r="GO198" s="11"/>
      <c r="GP198" s="11"/>
      <c r="GQ198" s="11"/>
      <c r="GR198" s="11"/>
    </row>
    <row r="199" spans="2:200" x14ac:dyDescent="0.15"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11"/>
      <c r="CW199" s="11"/>
      <c r="CX199" s="11"/>
      <c r="CY199" s="11"/>
      <c r="CZ199" s="11"/>
      <c r="DA199" s="11"/>
      <c r="DB199" s="11"/>
      <c r="DC199" s="11"/>
      <c r="DD199" s="11"/>
      <c r="DE199" s="11"/>
      <c r="DF199" s="11"/>
      <c r="DG199" s="11"/>
      <c r="DH199" s="11"/>
      <c r="DI199" s="11"/>
      <c r="DJ199" s="11"/>
      <c r="DK199" s="11"/>
      <c r="DL199" s="11"/>
      <c r="DM199" s="11"/>
      <c r="DN199" s="11"/>
      <c r="DO199" s="11"/>
      <c r="DP199" s="11"/>
      <c r="DQ199" s="11"/>
      <c r="DR199" s="11"/>
      <c r="DS199" s="11"/>
      <c r="DT199" s="11"/>
      <c r="DU199" s="11"/>
      <c r="DV199" s="11"/>
      <c r="DW199" s="11"/>
      <c r="DX199" s="11"/>
      <c r="DY199" s="11"/>
      <c r="DZ199" s="11"/>
      <c r="EA199" s="11"/>
      <c r="EB199" s="11"/>
      <c r="EC199" s="11"/>
      <c r="ED199" s="11"/>
      <c r="EE199" s="11"/>
      <c r="EF199" s="11"/>
      <c r="EG199" s="11"/>
      <c r="EH199" s="11"/>
      <c r="EI199" s="11"/>
      <c r="EJ199" s="11"/>
      <c r="EK199" s="11"/>
      <c r="EL199" s="11"/>
      <c r="EM199" s="11"/>
      <c r="EN199" s="11"/>
      <c r="EO199" s="11"/>
      <c r="EP199" s="11"/>
      <c r="EQ199" s="11"/>
      <c r="ER199" s="11"/>
      <c r="ES199" s="11"/>
      <c r="ET199" s="11"/>
      <c r="EU199" s="11"/>
      <c r="EV199" s="11"/>
      <c r="EW199" s="11"/>
      <c r="EX199" s="11"/>
      <c r="EY199" s="11"/>
      <c r="EZ199" s="11"/>
      <c r="FA199" s="11"/>
      <c r="FB199" s="11"/>
      <c r="FC199" s="11"/>
      <c r="FD199" s="11"/>
      <c r="FE199" s="11"/>
      <c r="FF199" s="11"/>
      <c r="FG199" s="11"/>
      <c r="FH199" s="11"/>
      <c r="FI199" s="11"/>
      <c r="FJ199" s="11"/>
      <c r="FK199" s="11"/>
      <c r="FL199" s="11"/>
      <c r="FM199" s="11"/>
      <c r="FN199" s="11"/>
      <c r="FO199" s="11"/>
      <c r="FP199" s="11"/>
      <c r="FQ199" s="11"/>
      <c r="FR199" s="11"/>
      <c r="FS199" s="11"/>
      <c r="FT199" s="11"/>
      <c r="FU199" s="11"/>
      <c r="FV199" s="11"/>
      <c r="FW199" s="11"/>
      <c r="FX199" s="11"/>
      <c r="FY199" s="11"/>
      <c r="FZ199" s="11"/>
      <c r="GA199" s="11"/>
      <c r="GB199" s="11"/>
      <c r="GC199" s="11"/>
      <c r="GD199" s="11"/>
      <c r="GE199" s="11"/>
      <c r="GF199" s="11"/>
      <c r="GG199" s="11"/>
      <c r="GH199" s="11"/>
      <c r="GI199" s="11"/>
      <c r="GJ199" s="11"/>
      <c r="GK199" s="11"/>
      <c r="GL199" s="11"/>
      <c r="GM199" s="11"/>
      <c r="GN199" s="11"/>
      <c r="GO199" s="11"/>
      <c r="GP199" s="11"/>
      <c r="GQ199" s="11"/>
      <c r="GR199" s="11"/>
    </row>
    <row r="200" spans="2:200" x14ac:dyDescent="0.15"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11"/>
      <c r="CW200" s="11"/>
      <c r="CX200" s="11"/>
      <c r="CY200" s="11"/>
      <c r="CZ200" s="11"/>
      <c r="DA200" s="11"/>
      <c r="DB200" s="11"/>
      <c r="DC200" s="11"/>
      <c r="DD200" s="11"/>
      <c r="DE200" s="11"/>
      <c r="DF200" s="11"/>
      <c r="DG200" s="11"/>
      <c r="DH200" s="11"/>
      <c r="DI200" s="11"/>
      <c r="DJ200" s="11"/>
      <c r="DK200" s="11"/>
      <c r="DL200" s="11"/>
      <c r="DM200" s="11"/>
      <c r="DN200" s="11"/>
      <c r="DO200" s="11"/>
      <c r="DP200" s="11"/>
      <c r="DQ200" s="11"/>
      <c r="DR200" s="11"/>
      <c r="DS200" s="11"/>
      <c r="DT200" s="11"/>
      <c r="DU200" s="11"/>
      <c r="DV200" s="11"/>
      <c r="DW200" s="11"/>
      <c r="DX200" s="11"/>
      <c r="DY200" s="11"/>
      <c r="DZ200" s="11"/>
      <c r="EA200" s="11"/>
      <c r="EB200" s="11"/>
      <c r="EC200" s="11"/>
      <c r="ED200" s="11"/>
      <c r="EE200" s="11"/>
      <c r="EF200" s="11"/>
      <c r="EG200" s="11"/>
      <c r="EH200" s="11"/>
      <c r="EI200" s="11"/>
      <c r="EJ200" s="11"/>
      <c r="EK200" s="11"/>
      <c r="EL200" s="11"/>
      <c r="EM200" s="11"/>
      <c r="EN200" s="11"/>
      <c r="EO200" s="11"/>
      <c r="EP200" s="11"/>
      <c r="EQ200" s="11"/>
      <c r="ER200" s="11"/>
      <c r="ES200" s="11"/>
      <c r="ET200" s="11"/>
      <c r="EU200" s="11"/>
      <c r="EV200" s="11"/>
      <c r="EW200" s="11"/>
      <c r="EX200" s="11"/>
      <c r="EY200" s="11"/>
      <c r="EZ200" s="11"/>
      <c r="FA200" s="11"/>
      <c r="FB200" s="11"/>
      <c r="FC200" s="11"/>
      <c r="FD200" s="11"/>
      <c r="FE200" s="11"/>
      <c r="FF200" s="11"/>
      <c r="FG200" s="11"/>
      <c r="FH200" s="11"/>
      <c r="FI200" s="11"/>
      <c r="FJ200" s="11"/>
      <c r="FK200" s="11"/>
      <c r="FL200" s="11"/>
      <c r="FM200" s="11"/>
      <c r="FN200" s="11"/>
      <c r="FO200" s="11"/>
      <c r="FP200" s="11"/>
      <c r="FQ200" s="11"/>
      <c r="FR200" s="11"/>
      <c r="FS200" s="11"/>
      <c r="FT200" s="11"/>
      <c r="FU200" s="11"/>
      <c r="FV200" s="11"/>
      <c r="FW200" s="11"/>
      <c r="FX200" s="11"/>
      <c r="FY200" s="11"/>
      <c r="FZ200" s="11"/>
      <c r="GA200" s="11"/>
      <c r="GB200" s="11"/>
      <c r="GC200" s="11"/>
      <c r="GD200" s="11"/>
      <c r="GE200" s="11"/>
      <c r="GF200" s="11"/>
      <c r="GG200" s="11"/>
      <c r="GH200" s="11"/>
      <c r="GI200" s="11"/>
      <c r="GJ200" s="11"/>
      <c r="GK200" s="11"/>
      <c r="GL200" s="11"/>
      <c r="GM200" s="11"/>
      <c r="GN200" s="11"/>
      <c r="GO200" s="11"/>
      <c r="GP200" s="11"/>
      <c r="GQ200" s="11"/>
      <c r="GR200" s="11"/>
    </row>
    <row r="201" spans="2:200" x14ac:dyDescent="0.15"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11"/>
      <c r="CW201" s="11"/>
      <c r="CX201" s="11"/>
      <c r="CY201" s="11"/>
      <c r="CZ201" s="11"/>
      <c r="DA201" s="11"/>
      <c r="DB201" s="11"/>
      <c r="DC201" s="11"/>
      <c r="DD201" s="11"/>
      <c r="DE201" s="11"/>
      <c r="DF201" s="11"/>
      <c r="DG201" s="11"/>
      <c r="DH201" s="11"/>
      <c r="DI201" s="11"/>
      <c r="DJ201" s="11"/>
      <c r="DK201" s="11"/>
      <c r="DL201" s="11"/>
      <c r="DM201" s="11"/>
      <c r="DN201" s="11"/>
      <c r="DO201" s="11"/>
      <c r="DP201" s="11"/>
      <c r="DQ201" s="11"/>
      <c r="DR201" s="11"/>
      <c r="DS201" s="11"/>
      <c r="DT201" s="11"/>
      <c r="DU201" s="11"/>
      <c r="DV201" s="11"/>
      <c r="DW201" s="11"/>
      <c r="DX201" s="11"/>
      <c r="DY201" s="11"/>
      <c r="DZ201" s="11"/>
      <c r="EA201" s="11"/>
      <c r="EB201" s="11"/>
      <c r="EC201" s="11"/>
      <c r="ED201" s="11"/>
      <c r="EE201" s="11"/>
      <c r="EF201" s="11"/>
      <c r="EG201" s="11"/>
      <c r="EH201" s="11"/>
      <c r="EI201" s="11"/>
      <c r="EJ201" s="11"/>
      <c r="EK201" s="11"/>
      <c r="EL201" s="11"/>
      <c r="EM201" s="11"/>
      <c r="EN201" s="11"/>
      <c r="EO201" s="11"/>
      <c r="EP201" s="11"/>
      <c r="EQ201" s="11"/>
      <c r="ER201" s="11"/>
      <c r="ES201" s="11"/>
      <c r="ET201" s="11"/>
      <c r="EU201" s="11"/>
      <c r="EV201" s="11"/>
      <c r="EW201" s="11"/>
      <c r="EX201" s="11"/>
      <c r="EY201" s="11"/>
      <c r="EZ201" s="11"/>
      <c r="FA201" s="11"/>
      <c r="FB201" s="11"/>
      <c r="FC201" s="11"/>
      <c r="FD201" s="11"/>
      <c r="FE201" s="11"/>
      <c r="FF201" s="11"/>
      <c r="FG201" s="11"/>
      <c r="FH201" s="11"/>
      <c r="FI201" s="11"/>
      <c r="FJ201" s="11"/>
      <c r="FK201" s="11"/>
      <c r="FL201" s="11"/>
      <c r="FM201" s="11"/>
      <c r="FN201" s="11"/>
      <c r="FO201" s="11"/>
      <c r="FP201" s="11"/>
      <c r="FQ201" s="11"/>
      <c r="FR201" s="11"/>
      <c r="FS201" s="11"/>
      <c r="FT201" s="11"/>
      <c r="FU201" s="11"/>
      <c r="FV201" s="11"/>
      <c r="FW201" s="11"/>
      <c r="FX201" s="11"/>
      <c r="FY201" s="11"/>
      <c r="FZ201" s="11"/>
      <c r="GA201" s="11"/>
      <c r="GB201" s="11"/>
      <c r="GC201" s="11"/>
      <c r="GD201" s="11"/>
      <c r="GE201" s="11"/>
      <c r="GF201" s="11"/>
      <c r="GG201" s="11"/>
      <c r="GH201" s="11"/>
      <c r="GI201" s="11"/>
      <c r="GJ201" s="11"/>
      <c r="GK201" s="11"/>
      <c r="GL201" s="11"/>
      <c r="GM201" s="11"/>
      <c r="GN201" s="11"/>
      <c r="GO201" s="11"/>
      <c r="GP201" s="11"/>
      <c r="GQ201" s="11"/>
      <c r="GR201" s="11"/>
    </row>
    <row r="202" spans="2:200" x14ac:dyDescent="0.15"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1"/>
      <c r="CL202" s="11"/>
      <c r="CM202" s="11"/>
      <c r="CN202" s="11"/>
      <c r="CO202" s="11"/>
      <c r="CP202" s="11"/>
      <c r="CQ202" s="11"/>
      <c r="CR202" s="11"/>
      <c r="CS202" s="11"/>
      <c r="CT202" s="11"/>
      <c r="CU202" s="11"/>
      <c r="CV202" s="11"/>
      <c r="CW202" s="11"/>
      <c r="CX202" s="11"/>
      <c r="CY202" s="11"/>
      <c r="CZ202" s="11"/>
      <c r="DA202" s="11"/>
      <c r="DB202" s="11"/>
      <c r="DC202" s="11"/>
      <c r="DD202" s="11"/>
      <c r="DE202" s="11"/>
      <c r="DF202" s="11"/>
      <c r="DG202" s="11"/>
      <c r="DH202" s="11"/>
      <c r="DI202" s="11"/>
      <c r="DJ202" s="11"/>
      <c r="DK202" s="11"/>
      <c r="DL202" s="11"/>
      <c r="DM202" s="11"/>
      <c r="DN202" s="11"/>
      <c r="DO202" s="11"/>
      <c r="DP202" s="11"/>
      <c r="DQ202" s="11"/>
      <c r="DR202" s="11"/>
      <c r="DS202" s="11"/>
      <c r="DT202" s="11"/>
      <c r="DU202" s="11"/>
      <c r="DV202" s="11"/>
      <c r="DW202" s="11"/>
      <c r="DX202" s="11"/>
      <c r="DY202" s="11"/>
      <c r="DZ202" s="11"/>
      <c r="EA202" s="11"/>
      <c r="EB202" s="11"/>
      <c r="EC202" s="11"/>
      <c r="ED202" s="11"/>
      <c r="EE202" s="11"/>
      <c r="EF202" s="11"/>
      <c r="EG202" s="11"/>
      <c r="EH202" s="11"/>
      <c r="EI202" s="11"/>
      <c r="EJ202" s="11"/>
      <c r="EK202" s="11"/>
      <c r="EL202" s="11"/>
      <c r="EM202" s="11"/>
      <c r="EN202" s="11"/>
      <c r="EO202" s="11"/>
      <c r="EP202" s="11"/>
      <c r="EQ202" s="11"/>
      <c r="ER202" s="11"/>
      <c r="ES202" s="11"/>
      <c r="ET202" s="11"/>
      <c r="EU202" s="11"/>
      <c r="EV202" s="11"/>
      <c r="EW202" s="11"/>
      <c r="EX202" s="11"/>
      <c r="EY202" s="11"/>
      <c r="EZ202" s="11"/>
      <c r="FA202" s="11"/>
      <c r="FB202" s="11"/>
      <c r="FC202" s="11"/>
      <c r="FD202" s="11"/>
      <c r="FE202" s="11"/>
      <c r="FF202" s="11"/>
      <c r="FG202" s="11"/>
      <c r="FH202" s="11"/>
      <c r="FI202" s="11"/>
      <c r="FJ202" s="11"/>
      <c r="FK202" s="11"/>
      <c r="FL202" s="11"/>
      <c r="FM202" s="11"/>
      <c r="FN202" s="11"/>
      <c r="FO202" s="11"/>
      <c r="FP202" s="11"/>
      <c r="FQ202" s="11"/>
      <c r="FR202" s="11"/>
      <c r="FS202" s="11"/>
      <c r="FT202" s="11"/>
      <c r="FU202" s="11"/>
      <c r="FV202" s="11"/>
      <c r="FW202" s="11"/>
      <c r="FX202" s="11"/>
      <c r="FY202" s="11"/>
      <c r="FZ202" s="11"/>
      <c r="GA202" s="11"/>
      <c r="GB202" s="11"/>
      <c r="GC202" s="11"/>
      <c r="GD202" s="11"/>
      <c r="GE202" s="11"/>
      <c r="GF202" s="11"/>
      <c r="GG202" s="11"/>
      <c r="GH202" s="11"/>
      <c r="GI202" s="11"/>
      <c r="GJ202" s="11"/>
      <c r="GK202" s="11"/>
      <c r="GL202" s="11"/>
      <c r="GM202" s="11"/>
      <c r="GN202" s="11"/>
      <c r="GO202" s="11"/>
      <c r="GP202" s="11"/>
      <c r="GQ202" s="11"/>
      <c r="GR202" s="11"/>
    </row>
    <row r="203" spans="2:200" x14ac:dyDescent="0.15"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</row>
    <row r="204" spans="2:200" x14ac:dyDescent="0.15"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11"/>
      <c r="CW204" s="11"/>
      <c r="CX204" s="11"/>
      <c r="CY204" s="11"/>
      <c r="CZ204" s="11"/>
      <c r="DA204" s="11"/>
      <c r="DB204" s="11"/>
      <c r="DC204" s="11"/>
      <c r="DD204" s="11"/>
      <c r="DE204" s="11"/>
      <c r="DF204" s="11"/>
      <c r="DG204" s="11"/>
      <c r="DH204" s="11"/>
      <c r="DI204" s="11"/>
      <c r="DJ204" s="11"/>
      <c r="DK204" s="11"/>
      <c r="DL204" s="11"/>
      <c r="DM204" s="11"/>
      <c r="DN204" s="11"/>
      <c r="DO204" s="11"/>
      <c r="DP204" s="11"/>
      <c r="DQ204" s="11"/>
      <c r="DR204" s="11"/>
      <c r="DS204" s="11"/>
      <c r="DT204" s="11"/>
      <c r="DU204" s="11"/>
      <c r="DV204" s="11"/>
      <c r="DW204" s="11"/>
      <c r="DX204" s="11"/>
      <c r="DY204" s="11"/>
      <c r="DZ204" s="11"/>
      <c r="EA204" s="11"/>
      <c r="EB204" s="11"/>
      <c r="EC204" s="11"/>
      <c r="ED204" s="11"/>
      <c r="EE204" s="11"/>
      <c r="EF204" s="11"/>
      <c r="EG204" s="11"/>
      <c r="EH204" s="11"/>
      <c r="EI204" s="11"/>
      <c r="EJ204" s="11"/>
      <c r="EK204" s="11"/>
      <c r="EL204" s="11"/>
      <c r="EM204" s="11"/>
      <c r="EN204" s="11"/>
      <c r="EO204" s="11"/>
      <c r="EP204" s="11"/>
      <c r="EQ204" s="11"/>
      <c r="ER204" s="11"/>
      <c r="ES204" s="11"/>
      <c r="ET204" s="11"/>
      <c r="EU204" s="11"/>
      <c r="EV204" s="11"/>
      <c r="EW204" s="11"/>
      <c r="EX204" s="11"/>
      <c r="EY204" s="11"/>
      <c r="EZ204" s="11"/>
      <c r="FA204" s="11"/>
      <c r="FB204" s="11"/>
      <c r="FC204" s="11"/>
      <c r="FD204" s="11"/>
      <c r="FE204" s="11"/>
      <c r="FF204" s="11"/>
      <c r="FG204" s="11"/>
      <c r="FH204" s="11"/>
      <c r="FI204" s="11"/>
      <c r="FJ204" s="11"/>
      <c r="FK204" s="11"/>
      <c r="FL204" s="11"/>
      <c r="FM204" s="11"/>
      <c r="FN204" s="11"/>
      <c r="FO204" s="11"/>
      <c r="FP204" s="11"/>
      <c r="FQ204" s="11"/>
      <c r="FR204" s="11"/>
      <c r="FS204" s="11"/>
      <c r="FT204" s="11"/>
      <c r="FU204" s="11"/>
      <c r="FV204" s="11"/>
      <c r="FW204" s="11"/>
      <c r="FX204" s="11"/>
      <c r="FY204" s="11"/>
      <c r="FZ204" s="11"/>
      <c r="GA204" s="11"/>
      <c r="GB204" s="11"/>
      <c r="GC204" s="11"/>
      <c r="GD204" s="11"/>
      <c r="GE204" s="11"/>
      <c r="GF204" s="11"/>
      <c r="GG204" s="11"/>
      <c r="GH204" s="11"/>
      <c r="GI204" s="11"/>
      <c r="GJ204" s="11"/>
      <c r="GK204" s="11"/>
      <c r="GL204" s="11"/>
      <c r="GM204" s="11"/>
      <c r="GN204" s="11"/>
      <c r="GO204" s="11"/>
      <c r="GP204" s="11"/>
      <c r="GQ204" s="11"/>
      <c r="GR204" s="11"/>
    </row>
    <row r="205" spans="2:200" x14ac:dyDescent="0.15"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11"/>
      <c r="CW205" s="11"/>
      <c r="CX205" s="11"/>
      <c r="CY205" s="11"/>
      <c r="CZ205" s="11"/>
      <c r="DA205" s="11"/>
      <c r="DB205" s="11"/>
      <c r="DC205" s="11"/>
      <c r="DD205" s="11"/>
      <c r="DE205" s="11"/>
      <c r="DF205" s="11"/>
      <c r="DG205" s="11"/>
      <c r="DH205" s="11"/>
      <c r="DI205" s="11"/>
      <c r="DJ205" s="11"/>
      <c r="DK205" s="11"/>
      <c r="DL205" s="11"/>
      <c r="DM205" s="11"/>
      <c r="DN205" s="11"/>
      <c r="DO205" s="11"/>
      <c r="DP205" s="11"/>
      <c r="DQ205" s="11"/>
      <c r="DR205" s="11"/>
      <c r="DS205" s="11"/>
      <c r="DT205" s="11"/>
      <c r="DU205" s="11"/>
      <c r="DV205" s="11"/>
      <c r="DW205" s="11"/>
      <c r="DX205" s="11"/>
      <c r="DY205" s="11"/>
      <c r="DZ205" s="11"/>
      <c r="EA205" s="11"/>
      <c r="EB205" s="11"/>
      <c r="EC205" s="11"/>
      <c r="ED205" s="11"/>
      <c r="EE205" s="11"/>
      <c r="EF205" s="11"/>
      <c r="EG205" s="11"/>
      <c r="EH205" s="11"/>
      <c r="EI205" s="11"/>
      <c r="EJ205" s="11"/>
      <c r="EK205" s="11"/>
      <c r="EL205" s="11"/>
      <c r="EM205" s="11"/>
      <c r="EN205" s="11"/>
      <c r="EO205" s="11"/>
      <c r="EP205" s="11"/>
      <c r="EQ205" s="11"/>
      <c r="ER205" s="11"/>
      <c r="ES205" s="11"/>
      <c r="ET205" s="11"/>
      <c r="EU205" s="11"/>
      <c r="EV205" s="11"/>
      <c r="EW205" s="11"/>
      <c r="EX205" s="11"/>
      <c r="EY205" s="11"/>
      <c r="EZ205" s="11"/>
      <c r="FA205" s="11"/>
      <c r="FB205" s="11"/>
      <c r="FC205" s="11"/>
      <c r="FD205" s="11"/>
      <c r="FE205" s="11"/>
      <c r="FF205" s="11"/>
      <c r="FG205" s="11"/>
      <c r="FH205" s="11"/>
      <c r="FI205" s="11"/>
      <c r="FJ205" s="11"/>
      <c r="FK205" s="11"/>
      <c r="FL205" s="11"/>
      <c r="FM205" s="11"/>
      <c r="FN205" s="11"/>
      <c r="FO205" s="11"/>
      <c r="FP205" s="11"/>
      <c r="FQ205" s="11"/>
      <c r="FR205" s="11"/>
      <c r="FS205" s="11"/>
      <c r="FT205" s="11"/>
      <c r="FU205" s="11"/>
      <c r="FV205" s="11"/>
      <c r="FW205" s="11"/>
      <c r="FX205" s="11"/>
      <c r="FY205" s="11"/>
      <c r="FZ205" s="11"/>
      <c r="GA205" s="11"/>
      <c r="GB205" s="11"/>
      <c r="GC205" s="11"/>
      <c r="GD205" s="11"/>
      <c r="GE205" s="11"/>
      <c r="GF205" s="11"/>
      <c r="GG205" s="11"/>
      <c r="GH205" s="11"/>
      <c r="GI205" s="11"/>
      <c r="GJ205" s="11"/>
      <c r="GK205" s="11"/>
      <c r="GL205" s="11"/>
      <c r="GM205" s="11"/>
      <c r="GN205" s="11"/>
      <c r="GO205" s="11"/>
      <c r="GP205" s="11"/>
      <c r="GQ205" s="11"/>
      <c r="GR205" s="11"/>
    </row>
    <row r="206" spans="2:200" x14ac:dyDescent="0.15"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  <c r="CW206" s="11"/>
      <c r="CX206" s="11"/>
      <c r="CY206" s="11"/>
      <c r="CZ206" s="11"/>
      <c r="DA206" s="11"/>
      <c r="DB206" s="11"/>
      <c r="DC206" s="11"/>
      <c r="DD206" s="11"/>
      <c r="DE206" s="11"/>
      <c r="DF206" s="11"/>
      <c r="DG206" s="11"/>
      <c r="DH206" s="11"/>
      <c r="DI206" s="11"/>
      <c r="DJ206" s="11"/>
      <c r="DK206" s="11"/>
      <c r="DL206" s="11"/>
      <c r="DM206" s="11"/>
      <c r="DN206" s="11"/>
      <c r="DO206" s="11"/>
      <c r="DP206" s="11"/>
      <c r="DQ206" s="11"/>
      <c r="DR206" s="11"/>
      <c r="DS206" s="11"/>
      <c r="DT206" s="11"/>
      <c r="DU206" s="11"/>
      <c r="DV206" s="11"/>
      <c r="DW206" s="11"/>
      <c r="DX206" s="11"/>
      <c r="DY206" s="11"/>
      <c r="DZ206" s="11"/>
      <c r="EA206" s="11"/>
      <c r="EB206" s="11"/>
      <c r="EC206" s="11"/>
      <c r="ED206" s="11"/>
      <c r="EE206" s="11"/>
      <c r="EF206" s="11"/>
      <c r="EG206" s="11"/>
      <c r="EH206" s="11"/>
      <c r="EI206" s="11"/>
      <c r="EJ206" s="11"/>
      <c r="EK206" s="11"/>
      <c r="EL206" s="11"/>
      <c r="EM206" s="11"/>
      <c r="EN206" s="11"/>
      <c r="EO206" s="11"/>
      <c r="EP206" s="11"/>
      <c r="EQ206" s="11"/>
      <c r="ER206" s="11"/>
      <c r="ES206" s="11"/>
      <c r="ET206" s="11"/>
      <c r="EU206" s="11"/>
      <c r="EV206" s="11"/>
      <c r="EW206" s="11"/>
      <c r="EX206" s="11"/>
      <c r="EY206" s="11"/>
      <c r="EZ206" s="11"/>
      <c r="FA206" s="11"/>
      <c r="FB206" s="11"/>
      <c r="FC206" s="11"/>
      <c r="FD206" s="11"/>
      <c r="FE206" s="11"/>
      <c r="FF206" s="11"/>
      <c r="FG206" s="11"/>
      <c r="FH206" s="11"/>
      <c r="FI206" s="11"/>
      <c r="FJ206" s="11"/>
      <c r="FK206" s="11"/>
      <c r="FL206" s="11"/>
      <c r="FM206" s="11"/>
      <c r="FN206" s="11"/>
      <c r="FO206" s="11"/>
      <c r="FP206" s="11"/>
      <c r="FQ206" s="11"/>
      <c r="FR206" s="11"/>
      <c r="FS206" s="11"/>
      <c r="FT206" s="11"/>
      <c r="FU206" s="11"/>
      <c r="FV206" s="11"/>
      <c r="FW206" s="11"/>
      <c r="FX206" s="11"/>
      <c r="FY206" s="11"/>
      <c r="FZ206" s="11"/>
      <c r="GA206" s="11"/>
      <c r="GB206" s="11"/>
      <c r="GC206" s="11"/>
      <c r="GD206" s="11"/>
      <c r="GE206" s="11"/>
      <c r="GF206" s="11"/>
      <c r="GG206" s="11"/>
      <c r="GH206" s="11"/>
      <c r="GI206" s="11"/>
      <c r="GJ206" s="11"/>
      <c r="GK206" s="11"/>
      <c r="GL206" s="11"/>
      <c r="GM206" s="11"/>
      <c r="GN206" s="11"/>
      <c r="GO206" s="11"/>
      <c r="GP206" s="11"/>
      <c r="GQ206" s="11"/>
      <c r="GR206" s="11"/>
    </row>
    <row r="207" spans="2:200" x14ac:dyDescent="0.15"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  <c r="CW207" s="11"/>
      <c r="CX207" s="11"/>
      <c r="CY207" s="11"/>
      <c r="CZ207" s="11"/>
      <c r="DA207" s="11"/>
      <c r="DB207" s="11"/>
      <c r="DC207" s="11"/>
      <c r="DD207" s="11"/>
      <c r="DE207" s="11"/>
      <c r="DF207" s="11"/>
      <c r="DG207" s="11"/>
      <c r="DH207" s="11"/>
      <c r="DI207" s="11"/>
      <c r="DJ207" s="11"/>
      <c r="DK207" s="11"/>
      <c r="DL207" s="11"/>
      <c r="DM207" s="11"/>
      <c r="DN207" s="11"/>
      <c r="DO207" s="11"/>
      <c r="DP207" s="11"/>
      <c r="DQ207" s="11"/>
      <c r="DR207" s="11"/>
      <c r="DS207" s="11"/>
      <c r="DT207" s="11"/>
      <c r="DU207" s="11"/>
      <c r="DV207" s="11"/>
      <c r="DW207" s="11"/>
      <c r="DX207" s="11"/>
      <c r="DY207" s="11"/>
      <c r="DZ207" s="11"/>
      <c r="EA207" s="11"/>
      <c r="EB207" s="11"/>
      <c r="EC207" s="11"/>
      <c r="ED207" s="11"/>
      <c r="EE207" s="11"/>
      <c r="EF207" s="11"/>
      <c r="EG207" s="11"/>
      <c r="EH207" s="11"/>
      <c r="EI207" s="11"/>
      <c r="EJ207" s="11"/>
      <c r="EK207" s="11"/>
      <c r="EL207" s="11"/>
      <c r="EM207" s="11"/>
      <c r="EN207" s="11"/>
      <c r="EO207" s="11"/>
      <c r="EP207" s="11"/>
      <c r="EQ207" s="11"/>
      <c r="ER207" s="11"/>
      <c r="ES207" s="11"/>
      <c r="ET207" s="11"/>
      <c r="EU207" s="11"/>
      <c r="EV207" s="11"/>
      <c r="EW207" s="11"/>
      <c r="EX207" s="11"/>
      <c r="EY207" s="11"/>
      <c r="EZ207" s="11"/>
      <c r="FA207" s="11"/>
      <c r="FB207" s="11"/>
      <c r="FC207" s="11"/>
      <c r="FD207" s="11"/>
      <c r="FE207" s="11"/>
      <c r="FF207" s="11"/>
      <c r="FG207" s="11"/>
      <c r="FH207" s="11"/>
      <c r="FI207" s="11"/>
      <c r="FJ207" s="11"/>
      <c r="FK207" s="11"/>
      <c r="FL207" s="11"/>
      <c r="FM207" s="11"/>
      <c r="FN207" s="11"/>
      <c r="FO207" s="11"/>
      <c r="FP207" s="11"/>
      <c r="FQ207" s="11"/>
      <c r="FR207" s="11"/>
      <c r="FS207" s="11"/>
      <c r="FT207" s="11"/>
      <c r="FU207" s="11"/>
      <c r="FV207" s="11"/>
      <c r="FW207" s="11"/>
      <c r="FX207" s="11"/>
      <c r="FY207" s="11"/>
      <c r="FZ207" s="11"/>
      <c r="GA207" s="11"/>
      <c r="GB207" s="11"/>
      <c r="GC207" s="11"/>
      <c r="GD207" s="11"/>
      <c r="GE207" s="11"/>
      <c r="GF207" s="11"/>
      <c r="GG207" s="11"/>
      <c r="GH207" s="11"/>
      <c r="GI207" s="11"/>
      <c r="GJ207" s="11"/>
      <c r="GK207" s="11"/>
      <c r="GL207" s="11"/>
      <c r="GM207" s="11"/>
      <c r="GN207" s="11"/>
      <c r="GO207" s="11"/>
      <c r="GP207" s="11"/>
      <c r="GQ207" s="11"/>
      <c r="GR207" s="11"/>
    </row>
    <row r="208" spans="2:200" x14ac:dyDescent="0.15"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11"/>
      <c r="CW208" s="11"/>
      <c r="CX208" s="11"/>
      <c r="CY208" s="11"/>
      <c r="CZ208" s="11"/>
      <c r="DA208" s="11"/>
      <c r="DB208" s="11"/>
      <c r="DC208" s="11"/>
      <c r="DD208" s="11"/>
      <c r="DE208" s="11"/>
      <c r="DF208" s="11"/>
      <c r="DG208" s="11"/>
      <c r="DH208" s="11"/>
      <c r="DI208" s="11"/>
      <c r="DJ208" s="11"/>
      <c r="DK208" s="11"/>
      <c r="DL208" s="11"/>
      <c r="DM208" s="11"/>
      <c r="DN208" s="11"/>
      <c r="DO208" s="11"/>
      <c r="DP208" s="11"/>
      <c r="DQ208" s="11"/>
      <c r="DR208" s="11"/>
      <c r="DS208" s="11"/>
      <c r="DT208" s="11"/>
      <c r="DU208" s="11"/>
      <c r="DV208" s="11"/>
      <c r="DW208" s="11"/>
      <c r="DX208" s="11"/>
      <c r="DY208" s="11"/>
      <c r="DZ208" s="11"/>
      <c r="EA208" s="11"/>
      <c r="EB208" s="11"/>
      <c r="EC208" s="11"/>
      <c r="ED208" s="11"/>
      <c r="EE208" s="11"/>
      <c r="EF208" s="11"/>
      <c r="EG208" s="11"/>
      <c r="EH208" s="11"/>
      <c r="EI208" s="11"/>
      <c r="EJ208" s="11"/>
      <c r="EK208" s="11"/>
      <c r="EL208" s="11"/>
      <c r="EM208" s="11"/>
      <c r="EN208" s="11"/>
      <c r="EO208" s="11"/>
      <c r="EP208" s="11"/>
      <c r="EQ208" s="11"/>
      <c r="ER208" s="11"/>
      <c r="ES208" s="11"/>
      <c r="ET208" s="11"/>
      <c r="EU208" s="11"/>
      <c r="EV208" s="11"/>
      <c r="EW208" s="11"/>
      <c r="EX208" s="11"/>
      <c r="EY208" s="11"/>
      <c r="EZ208" s="11"/>
      <c r="FA208" s="11"/>
      <c r="FB208" s="11"/>
      <c r="FC208" s="11"/>
      <c r="FD208" s="11"/>
      <c r="FE208" s="11"/>
      <c r="FF208" s="11"/>
      <c r="FG208" s="11"/>
      <c r="FH208" s="11"/>
      <c r="FI208" s="11"/>
      <c r="FJ208" s="11"/>
      <c r="FK208" s="11"/>
      <c r="FL208" s="11"/>
      <c r="FM208" s="11"/>
      <c r="FN208" s="11"/>
      <c r="FO208" s="11"/>
      <c r="FP208" s="11"/>
      <c r="FQ208" s="11"/>
      <c r="FR208" s="11"/>
      <c r="FS208" s="11"/>
      <c r="FT208" s="11"/>
      <c r="FU208" s="11"/>
      <c r="FV208" s="11"/>
      <c r="FW208" s="11"/>
      <c r="FX208" s="11"/>
      <c r="FY208" s="11"/>
      <c r="FZ208" s="11"/>
      <c r="GA208" s="11"/>
      <c r="GB208" s="11"/>
      <c r="GC208" s="11"/>
      <c r="GD208" s="11"/>
      <c r="GE208" s="11"/>
      <c r="GF208" s="11"/>
      <c r="GG208" s="11"/>
      <c r="GH208" s="11"/>
      <c r="GI208" s="11"/>
      <c r="GJ208" s="11"/>
      <c r="GK208" s="11"/>
      <c r="GL208" s="11"/>
      <c r="GM208" s="11"/>
      <c r="GN208" s="11"/>
      <c r="GO208" s="11"/>
      <c r="GP208" s="11"/>
      <c r="GQ208" s="11"/>
      <c r="GR208" s="11"/>
    </row>
    <row r="209" spans="2:200" x14ac:dyDescent="0.15"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11"/>
      <c r="CW209" s="11"/>
      <c r="CX209" s="11"/>
      <c r="CY209" s="11"/>
      <c r="CZ209" s="11"/>
      <c r="DA209" s="11"/>
      <c r="DB209" s="11"/>
      <c r="DC209" s="11"/>
      <c r="DD209" s="11"/>
      <c r="DE209" s="11"/>
      <c r="DF209" s="11"/>
      <c r="DG209" s="11"/>
      <c r="DH209" s="11"/>
      <c r="DI209" s="11"/>
      <c r="DJ209" s="11"/>
      <c r="DK209" s="11"/>
      <c r="DL209" s="11"/>
      <c r="DM209" s="11"/>
      <c r="DN209" s="11"/>
      <c r="DO209" s="11"/>
      <c r="DP209" s="11"/>
      <c r="DQ209" s="11"/>
      <c r="DR209" s="11"/>
      <c r="DS209" s="11"/>
      <c r="DT209" s="11"/>
      <c r="DU209" s="11"/>
      <c r="DV209" s="11"/>
      <c r="DW209" s="11"/>
      <c r="DX209" s="11"/>
      <c r="DY209" s="11"/>
      <c r="DZ209" s="11"/>
      <c r="EA209" s="11"/>
      <c r="EB209" s="11"/>
      <c r="EC209" s="11"/>
      <c r="ED209" s="11"/>
      <c r="EE209" s="11"/>
      <c r="EF209" s="11"/>
      <c r="EG209" s="11"/>
      <c r="EH209" s="11"/>
      <c r="EI209" s="11"/>
      <c r="EJ209" s="11"/>
      <c r="EK209" s="11"/>
      <c r="EL209" s="11"/>
      <c r="EM209" s="11"/>
      <c r="EN209" s="11"/>
      <c r="EO209" s="11"/>
      <c r="EP209" s="11"/>
      <c r="EQ209" s="11"/>
      <c r="ER209" s="11"/>
      <c r="ES209" s="11"/>
      <c r="ET209" s="11"/>
      <c r="EU209" s="11"/>
      <c r="EV209" s="11"/>
      <c r="EW209" s="11"/>
      <c r="EX209" s="11"/>
      <c r="EY209" s="11"/>
      <c r="EZ209" s="11"/>
      <c r="FA209" s="11"/>
      <c r="FB209" s="11"/>
      <c r="FC209" s="11"/>
      <c r="FD209" s="11"/>
      <c r="FE209" s="11"/>
      <c r="FF209" s="11"/>
      <c r="FG209" s="11"/>
      <c r="FH209" s="11"/>
      <c r="FI209" s="11"/>
      <c r="FJ209" s="11"/>
      <c r="FK209" s="11"/>
      <c r="FL209" s="11"/>
      <c r="FM209" s="11"/>
      <c r="FN209" s="11"/>
      <c r="FO209" s="11"/>
      <c r="FP209" s="11"/>
      <c r="FQ209" s="11"/>
      <c r="FR209" s="11"/>
      <c r="FS209" s="11"/>
      <c r="FT209" s="11"/>
      <c r="FU209" s="11"/>
      <c r="FV209" s="11"/>
      <c r="FW209" s="11"/>
      <c r="FX209" s="11"/>
      <c r="FY209" s="11"/>
      <c r="FZ209" s="11"/>
      <c r="GA209" s="11"/>
      <c r="GB209" s="11"/>
      <c r="GC209" s="11"/>
      <c r="GD209" s="11"/>
      <c r="GE209" s="11"/>
      <c r="GF209" s="11"/>
      <c r="GG209" s="11"/>
      <c r="GH209" s="11"/>
      <c r="GI209" s="11"/>
      <c r="GJ209" s="11"/>
      <c r="GK209" s="11"/>
      <c r="GL209" s="11"/>
      <c r="GM209" s="11"/>
      <c r="GN209" s="11"/>
      <c r="GO209" s="11"/>
      <c r="GP209" s="11"/>
      <c r="GQ209" s="11"/>
      <c r="GR209" s="11"/>
    </row>
    <row r="210" spans="2:200" x14ac:dyDescent="0.15"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11"/>
      <c r="CW210" s="11"/>
      <c r="CX210" s="11"/>
      <c r="CY210" s="11"/>
      <c r="CZ210" s="11"/>
      <c r="DA210" s="11"/>
      <c r="DB210" s="11"/>
      <c r="DC210" s="11"/>
      <c r="DD210" s="11"/>
      <c r="DE210" s="11"/>
      <c r="DF210" s="11"/>
      <c r="DG210" s="11"/>
      <c r="DH210" s="11"/>
      <c r="DI210" s="11"/>
      <c r="DJ210" s="11"/>
      <c r="DK210" s="11"/>
      <c r="DL210" s="11"/>
      <c r="DM210" s="11"/>
      <c r="DN210" s="11"/>
      <c r="DO210" s="11"/>
      <c r="DP210" s="11"/>
      <c r="DQ210" s="11"/>
      <c r="DR210" s="11"/>
      <c r="DS210" s="11"/>
      <c r="DT210" s="11"/>
      <c r="DU210" s="11"/>
      <c r="DV210" s="11"/>
      <c r="DW210" s="11"/>
      <c r="DX210" s="11"/>
      <c r="DY210" s="11"/>
      <c r="DZ210" s="11"/>
      <c r="EA210" s="11"/>
      <c r="EB210" s="11"/>
      <c r="EC210" s="11"/>
      <c r="ED210" s="11"/>
      <c r="EE210" s="11"/>
      <c r="EF210" s="11"/>
      <c r="EG210" s="11"/>
      <c r="EH210" s="11"/>
      <c r="EI210" s="11"/>
      <c r="EJ210" s="11"/>
      <c r="EK210" s="11"/>
      <c r="EL210" s="11"/>
      <c r="EM210" s="11"/>
      <c r="EN210" s="11"/>
      <c r="EO210" s="11"/>
      <c r="EP210" s="11"/>
      <c r="EQ210" s="11"/>
      <c r="ER210" s="11"/>
      <c r="ES210" s="11"/>
      <c r="ET210" s="11"/>
      <c r="EU210" s="11"/>
      <c r="EV210" s="11"/>
      <c r="EW210" s="11"/>
      <c r="EX210" s="11"/>
      <c r="EY210" s="11"/>
      <c r="EZ210" s="11"/>
      <c r="FA210" s="11"/>
      <c r="FB210" s="11"/>
      <c r="FC210" s="11"/>
      <c r="FD210" s="11"/>
      <c r="FE210" s="11"/>
      <c r="FF210" s="11"/>
      <c r="FG210" s="11"/>
      <c r="FH210" s="11"/>
      <c r="FI210" s="11"/>
      <c r="FJ210" s="11"/>
      <c r="FK210" s="11"/>
      <c r="FL210" s="11"/>
      <c r="FM210" s="11"/>
      <c r="FN210" s="11"/>
      <c r="FO210" s="11"/>
      <c r="FP210" s="11"/>
      <c r="FQ210" s="11"/>
      <c r="FR210" s="11"/>
      <c r="FS210" s="11"/>
      <c r="FT210" s="11"/>
      <c r="FU210" s="11"/>
      <c r="FV210" s="11"/>
      <c r="FW210" s="11"/>
      <c r="FX210" s="11"/>
      <c r="FY210" s="11"/>
      <c r="FZ210" s="11"/>
      <c r="GA210" s="11"/>
      <c r="GB210" s="11"/>
      <c r="GC210" s="11"/>
      <c r="GD210" s="11"/>
      <c r="GE210" s="11"/>
      <c r="GF210" s="11"/>
      <c r="GG210" s="11"/>
      <c r="GH210" s="11"/>
      <c r="GI210" s="11"/>
      <c r="GJ210" s="11"/>
      <c r="GK210" s="11"/>
      <c r="GL210" s="11"/>
      <c r="GM210" s="11"/>
      <c r="GN210" s="11"/>
      <c r="GO210" s="11"/>
      <c r="GP210" s="11"/>
      <c r="GQ210" s="11"/>
      <c r="GR210" s="11"/>
    </row>
    <row r="211" spans="2:200" x14ac:dyDescent="0.15"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11"/>
      <c r="CW211" s="11"/>
      <c r="CX211" s="11"/>
      <c r="CY211" s="11"/>
      <c r="CZ211" s="11"/>
      <c r="DA211" s="11"/>
      <c r="DB211" s="11"/>
      <c r="DC211" s="11"/>
      <c r="DD211" s="11"/>
      <c r="DE211" s="11"/>
      <c r="DF211" s="11"/>
      <c r="DG211" s="11"/>
      <c r="DH211" s="11"/>
      <c r="DI211" s="11"/>
      <c r="DJ211" s="11"/>
      <c r="DK211" s="11"/>
      <c r="DL211" s="11"/>
      <c r="DM211" s="11"/>
      <c r="DN211" s="11"/>
      <c r="DO211" s="11"/>
      <c r="DP211" s="11"/>
      <c r="DQ211" s="11"/>
      <c r="DR211" s="11"/>
      <c r="DS211" s="11"/>
      <c r="DT211" s="11"/>
      <c r="DU211" s="11"/>
      <c r="DV211" s="11"/>
      <c r="DW211" s="11"/>
      <c r="DX211" s="11"/>
      <c r="DY211" s="11"/>
      <c r="DZ211" s="11"/>
      <c r="EA211" s="11"/>
      <c r="EB211" s="11"/>
      <c r="EC211" s="11"/>
      <c r="ED211" s="11"/>
      <c r="EE211" s="11"/>
      <c r="EF211" s="11"/>
      <c r="EG211" s="11"/>
      <c r="EH211" s="11"/>
      <c r="EI211" s="11"/>
      <c r="EJ211" s="11"/>
      <c r="EK211" s="11"/>
      <c r="EL211" s="11"/>
      <c r="EM211" s="11"/>
      <c r="EN211" s="11"/>
      <c r="EO211" s="11"/>
      <c r="EP211" s="11"/>
      <c r="EQ211" s="11"/>
      <c r="ER211" s="11"/>
      <c r="ES211" s="11"/>
      <c r="ET211" s="11"/>
      <c r="EU211" s="11"/>
      <c r="EV211" s="11"/>
      <c r="EW211" s="11"/>
      <c r="EX211" s="11"/>
      <c r="EY211" s="11"/>
      <c r="EZ211" s="11"/>
      <c r="FA211" s="11"/>
      <c r="FB211" s="11"/>
      <c r="FC211" s="11"/>
      <c r="FD211" s="11"/>
      <c r="FE211" s="11"/>
      <c r="FF211" s="11"/>
      <c r="FG211" s="11"/>
      <c r="FH211" s="11"/>
      <c r="FI211" s="11"/>
      <c r="FJ211" s="11"/>
      <c r="FK211" s="11"/>
      <c r="FL211" s="11"/>
      <c r="FM211" s="11"/>
      <c r="FN211" s="11"/>
      <c r="FO211" s="11"/>
      <c r="FP211" s="11"/>
      <c r="FQ211" s="11"/>
      <c r="FR211" s="11"/>
      <c r="FS211" s="11"/>
      <c r="FT211" s="11"/>
      <c r="FU211" s="11"/>
      <c r="FV211" s="11"/>
      <c r="FW211" s="11"/>
      <c r="FX211" s="11"/>
      <c r="FY211" s="11"/>
      <c r="FZ211" s="11"/>
      <c r="GA211" s="11"/>
      <c r="GB211" s="11"/>
      <c r="GC211" s="11"/>
      <c r="GD211" s="11"/>
      <c r="GE211" s="11"/>
      <c r="GF211" s="11"/>
      <c r="GG211" s="11"/>
      <c r="GH211" s="11"/>
      <c r="GI211" s="11"/>
      <c r="GJ211" s="11"/>
      <c r="GK211" s="11"/>
      <c r="GL211" s="11"/>
      <c r="GM211" s="11"/>
      <c r="GN211" s="11"/>
      <c r="GO211" s="11"/>
      <c r="GP211" s="11"/>
      <c r="GQ211" s="11"/>
      <c r="GR211" s="11"/>
    </row>
    <row r="212" spans="2:200" x14ac:dyDescent="0.15"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1"/>
      <c r="CL212" s="11"/>
      <c r="CM212" s="11"/>
      <c r="CN212" s="11"/>
      <c r="CO212" s="11"/>
      <c r="CP212" s="11"/>
      <c r="CQ212" s="11"/>
      <c r="CR212" s="11"/>
      <c r="CS212" s="11"/>
      <c r="CT212" s="11"/>
      <c r="CU212" s="11"/>
      <c r="CV212" s="11"/>
      <c r="CW212" s="11"/>
      <c r="CX212" s="11"/>
      <c r="CY212" s="11"/>
      <c r="CZ212" s="11"/>
      <c r="DA212" s="11"/>
      <c r="DB212" s="11"/>
      <c r="DC212" s="11"/>
      <c r="DD212" s="11"/>
      <c r="DE212" s="11"/>
      <c r="DF212" s="11"/>
      <c r="DG212" s="11"/>
      <c r="DH212" s="11"/>
      <c r="DI212" s="11"/>
      <c r="DJ212" s="11"/>
      <c r="DK212" s="11"/>
      <c r="DL212" s="11"/>
      <c r="DM212" s="11"/>
      <c r="DN212" s="11"/>
      <c r="DO212" s="11"/>
      <c r="DP212" s="11"/>
      <c r="DQ212" s="11"/>
      <c r="DR212" s="11"/>
      <c r="DS212" s="11"/>
      <c r="DT212" s="11"/>
      <c r="DU212" s="11"/>
      <c r="DV212" s="11"/>
      <c r="DW212" s="11"/>
      <c r="DX212" s="11"/>
      <c r="DY212" s="11"/>
      <c r="DZ212" s="11"/>
      <c r="EA212" s="11"/>
      <c r="EB212" s="11"/>
      <c r="EC212" s="11"/>
      <c r="ED212" s="11"/>
      <c r="EE212" s="11"/>
      <c r="EF212" s="11"/>
      <c r="EG212" s="11"/>
      <c r="EH212" s="11"/>
      <c r="EI212" s="11"/>
      <c r="EJ212" s="11"/>
      <c r="EK212" s="11"/>
      <c r="EL212" s="11"/>
      <c r="EM212" s="11"/>
      <c r="EN212" s="11"/>
      <c r="EO212" s="11"/>
      <c r="EP212" s="11"/>
      <c r="EQ212" s="11"/>
      <c r="ER212" s="11"/>
      <c r="ES212" s="11"/>
      <c r="ET212" s="11"/>
      <c r="EU212" s="11"/>
      <c r="EV212" s="11"/>
      <c r="EW212" s="11"/>
      <c r="EX212" s="11"/>
      <c r="EY212" s="11"/>
      <c r="EZ212" s="11"/>
      <c r="FA212" s="11"/>
      <c r="FB212" s="11"/>
      <c r="FC212" s="11"/>
      <c r="FD212" s="11"/>
      <c r="FE212" s="11"/>
      <c r="FF212" s="11"/>
      <c r="FG212" s="11"/>
      <c r="FH212" s="11"/>
      <c r="FI212" s="11"/>
      <c r="FJ212" s="11"/>
      <c r="FK212" s="11"/>
      <c r="FL212" s="11"/>
      <c r="FM212" s="11"/>
      <c r="FN212" s="11"/>
      <c r="FO212" s="11"/>
      <c r="FP212" s="11"/>
      <c r="FQ212" s="11"/>
      <c r="FR212" s="11"/>
      <c r="FS212" s="11"/>
      <c r="FT212" s="11"/>
      <c r="FU212" s="11"/>
      <c r="FV212" s="11"/>
      <c r="FW212" s="11"/>
      <c r="FX212" s="11"/>
      <c r="FY212" s="11"/>
      <c r="FZ212" s="11"/>
      <c r="GA212" s="11"/>
      <c r="GB212" s="11"/>
      <c r="GC212" s="11"/>
      <c r="GD212" s="11"/>
      <c r="GE212" s="11"/>
      <c r="GF212" s="11"/>
      <c r="GG212" s="11"/>
      <c r="GH212" s="11"/>
      <c r="GI212" s="11"/>
      <c r="GJ212" s="11"/>
      <c r="GK212" s="11"/>
      <c r="GL212" s="11"/>
      <c r="GM212" s="11"/>
      <c r="GN212" s="11"/>
      <c r="GO212" s="11"/>
      <c r="GP212" s="11"/>
      <c r="GQ212" s="11"/>
      <c r="GR212" s="11"/>
    </row>
    <row r="213" spans="2:200" x14ac:dyDescent="0.15"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11"/>
      <c r="CW213" s="11"/>
      <c r="CX213" s="11"/>
      <c r="CY213" s="11"/>
      <c r="CZ213" s="11"/>
      <c r="DA213" s="11"/>
      <c r="DB213" s="11"/>
      <c r="DC213" s="11"/>
      <c r="DD213" s="11"/>
      <c r="DE213" s="11"/>
      <c r="DF213" s="11"/>
      <c r="DG213" s="11"/>
      <c r="DH213" s="11"/>
      <c r="DI213" s="11"/>
      <c r="DJ213" s="11"/>
      <c r="DK213" s="11"/>
      <c r="DL213" s="11"/>
      <c r="DM213" s="11"/>
      <c r="DN213" s="11"/>
      <c r="DO213" s="11"/>
      <c r="DP213" s="11"/>
      <c r="DQ213" s="11"/>
      <c r="DR213" s="11"/>
      <c r="DS213" s="11"/>
      <c r="DT213" s="11"/>
      <c r="DU213" s="11"/>
      <c r="DV213" s="11"/>
      <c r="DW213" s="11"/>
      <c r="DX213" s="11"/>
      <c r="DY213" s="11"/>
      <c r="DZ213" s="11"/>
      <c r="EA213" s="11"/>
      <c r="EB213" s="11"/>
      <c r="EC213" s="11"/>
      <c r="ED213" s="11"/>
      <c r="EE213" s="11"/>
      <c r="EF213" s="11"/>
      <c r="EG213" s="11"/>
      <c r="EH213" s="11"/>
      <c r="EI213" s="11"/>
      <c r="EJ213" s="11"/>
      <c r="EK213" s="11"/>
      <c r="EL213" s="11"/>
      <c r="EM213" s="11"/>
      <c r="EN213" s="11"/>
      <c r="EO213" s="11"/>
      <c r="EP213" s="11"/>
      <c r="EQ213" s="11"/>
      <c r="ER213" s="11"/>
      <c r="ES213" s="11"/>
      <c r="ET213" s="11"/>
      <c r="EU213" s="11"/>
      <c r="EV213" s="11"/>
      <c r="EW213" s="11"/>
      <c r="EX213" s="11"/>
      <c r="EY213" s="11"/>
      <c r="EZ213" s="11"/>
      <c r="FA213" s="11"/>
      <c r="FB213" s="11"/>
      <c r="FC213" s="11"/>
      <c r="FD213" s="11"/>
      <c r="FE213" s="11"/>
      <c r="FF213" s="11"/>
      <c r="FG213" s="11"/>
      <c r="FH213" s="11"/>
      <c r="FI213" s="11"/>
      <c r="FJ213" s="11"/>
      <c r="FK213" s="11"/>
      <c r="FL213" s="11"/>
      <c r="FM213" s="11"/>
      <c r="FN213" s="11"/>
      <c r="FO213" s="11"/>
      <c r="FP213" s="11"/>
      <c r="FQ213" s="11"/>
      <c r="FR213" s="11"/>
      <c r="FS213" s="11"/>
      <c r="FT213" s="11"/>
      <c r="FU213" s="11"/>
      <c r="FV213" s="11"/>
      <c r="FW213" s="11"/>
      <c r="FX213" s="11"/>
      <c r="FY213" s="11"/>
      <c r="FZ213" s="11"/>
      <c r="GA213" s="11"/>
      <c r="GB213" s="11"/>
      <c r="GC213" s="11"/>
      <c r="GD213" s="11"/>
      <c r="GE213" s="11"/>
      <c r="GF213" s="11"/>
      <c r="GG213" s="11"/>
      <c r="GH213" s="11"/>
      <c r="GI213" s="11"/>
      <c r="GJ213" s="11"/>
      <c r="GK213" s="11"/>
      <c r="GL213" s="11"/>
      <c r="GM213" s="11"/>
      <c r="GN213" s="11"/>
      <c r="GO213" s="11"/>
      <c r="GP213" s="11"/>
      <c r="GQ213" s="11"/>
      <c r="GR213" s="11"/>
    </row>
    <row r="214" spans="2:200" x14ac:dyDescent="0.15"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11"/>
      <c r="CW214" s="11"/>
      <c r="CX214" s="11"/>
      <c r="CY214" s="11"/>
      <c r="CZ214" s="11"/>
      <c r="DA214" s="11"/>
      <c r="DB214" s="11"/>
      <c r="DC214" s="11"/>
      <c r="DD214" s="11"/>
      <c r="DE214" s="11"/>
      <c r="DF214" s="11"/>
      <c r="DG214" s="11"/>
      <c r="DH214" s="11"/>
      <c r="DI214" s="11"/>
      <c r="DJ214" s="11"/>
      <c r="DK214" s="11"/>
      <c r="DL214" s="11"/>
      <c r="DM214" s="11"/>
      <c r="DN214" s="11"/>
      <c r="DO214" s="11"/>
      <c r="DP214" s="11"/>
      <c r="DQ214" s="11"/>
      <c r="DR214" s="11"/>
      <c r="DS214" s="11"/>
      <c r="DT214" s="11"/>
      <c r="DU214" s="11"/>
      <c r="DV214" s="11"/>
      <c r="DW214" s="11"/>
      <c r="DX214" s="11"/>
      <c r="DY214" s="11"/>
      <c r="DZ214" s="11"/>
      <c r="EA214" s="11"/>
      <c r="EB214" s="11"/>
      <c r="EC214" s="11"/>
      <c r="ED214" s="11"/>
      <c r="EE214" s="11"/>
      <c r="EF214" s="11"/>
      <c r="EG214" s="11"/>
      <c r="EH214" s="11"/>
      <c r="EI214" s="11"/>
      <c r="EJ214" s="11"/>
      <c r="EK214" s="11"/>
      <c r="EL214" s="11"/>
      <c r="EM214" s="11"/>
      <c r="EN214" s="11"/>
      <c r="EO214" s="11"/>
      <c r="EP214" s="11"/>
      <c r="EQ214" s="11"/>
      <c r="ER214" s="11"/>
      <c r="ES214" s="11"/>
      <c r="ET214" s="11"/>
      <c r="EU214" s="11"/>
      <c r="EV214" s="11"/>
      <c r="EW214" s="11"/>
      <c r="EX214" s="11"/>
      <c r="EY214" s="11"/>
      <c r="EZ214" s="11"/>
      <c r="FA214" s="11"/>
      <c r="FB214" s="11"/>
      <c r="FC214" s="11"/>
      <c r="FD214" s="11"/>
      <c r="FE214" s="11"/>
      <c r="FF214" s="11"/>
      <c r="FG214" s="11"/>
      <c r="FH214" s="11"/>
      <c r="FI214" s="11"/>
      <c r="FJ214" s="11"/>
      <c r="FK214" s="11"/>
      <c r="FL214" s="11"/>
      <c r="FM214" s="11"/>
      <c r="FN214" s="11"/>
      <c r="FO214" s="11"/>
      <c r="FP214" s="11"/>
      <c r="FQ214" s="11"/>
      <c r="FR214" s="11"/>
      <c r="FS214" s="11"/>
      <c r="FT214" s="11"/>
      <c r="FU214" s="11"/>
      <c r="FV214" s="11"/>
      <c r="FW214" s="11"/>
      <c r="FX214" s="11"/>
      <c r="FY214" s="11"/>
      <c r="FZ214" s="11"/>
      <c r="GA214" s="11"/>
      <c r="GB214" s="11"/>
      <c r="GC214" s="11"/>
      <c r="GD214" s="11"/>
      <c r="GE214" s="11"/>
      <c r="GF214" s="11"/>
      <c r="GG214" s="11"/>
      <c r="GH214" s="11"/>
      <c r="GI214" s="11"/>
      <c r="GJ214" s="11"/>
      <c r="GK214" s="11"/>
      <c r="GL214" s="11"/>
      <c r="GM214" s="11"/>
      <c r="GN214" s="11"/>
      <c r="GO214" s="11"/>
      <c r="GP214" s="11"/>
      <c r="GQ214" s="11"/>
      <c r="GR214" s="11"/>
    </row>
    <row r="215" spans="2:200" x14ac:dyDescent="0.15"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11"/>
      <c r="CV215" s="11"/>
      <c r="CW215" s="11"/>
      <c r="CX215" s="11"/>
      <c r="CY215" s="11"/>
      <c r="CZ215" s="11"/>
      <c r="DA215" s="11"/>
      <c r="DB215" s="11"/>
      <c r="DC215" s="11"/>
      <c r="DD215" s="11"/>
      <c r="DE215" s="11"/>
      <c r="DF215" s="11"/>
      <c r="DG215" s="11"/>
      <c r="DH215" s="11"/>
      <c r="DI215" s="11"/>
      <c r="DJ215" s="11"/>
      <c r="DK215" s="11"/>
      <c r="DL215" s="11"/>
      <c r="DM215" s="11"/>
      <c r="DN215" s="11"/>
      <c r="DO215" s="11"/>
      <c r="DP215" s="11"/>
      <c r="DQ215" s="11"/>
      <c r="DR215" s="11"/>
      <c r="DS215" s="11"/>
      <c r="DT215" s="11"/>
      <c r="DU215" s="11"/>
      <c r="DV215" s="11"/>
      <c r="DW215" s="11"/>
      <c r="DX215" s="11"/>
      <c r="DY215" s="11"/>
      <c r="DZ215" s="11"/>
      <c r="EA215" s="11"/>
      <c r="EB215" s="11"/>
      <c r="EC215" s="11"/>
      <c r="ED215" s="11"/>
      <c r="EE215" s="11"/>
      <c r="EF215" s="11"/>
      <c r="EG215" s="11"/>
      <c r="EH215" s="11"/>
      <c r="EI215" s="11"/>
      <c r="EJ215" s="11"/>
      <c r="EK215" s="11"/>
      <c r="EL215" s="11"/>
      <c r="EM215" s="11"/>
      <c r="EN215" s="11"/>
      <c r="EO215" s="11"/>
      <c r="EP215" s="11"/>
      <c r="EQ215" s="11"/>
      <c r="ER215" s="11"/>
      <c r="ES215" s="11"/>
      <c r="ET215" s="11"/>
      <c r="EU215" s="11"/>
      <c r="EV215" s="11"/>
      <c r="EW215" s="11"/>
      <c r="EX215" s="11"/>
      <c r="EY215" s="11"/>
      <c r="EZ215" s="11"/>
      <c r="FA215" s="11"/>
      <c r="FB215" s="11"/>
      <c r="FC215" s="11"/>
      <c r="FD215" s="11"/>
      <c r="FE215" s="11"/>
      <c r="FF215" s="11"/>
      <c r="FG215" s="11"/>
      <c r="FH215" s="11"/>
      <c r="FI215" s="11"/>
      <c r="FJ215" s="11"/>
      <c r="FK215" s="11"/>
      <c r="FL215" s="11"/>
      <c r="FM215" s="11"/>
      <c r="FN215" s="11"/>
      <c r="FO215" s="11"/>
      <c r="FP215" s="11"/>
      <c r="FQ215" s="11"/>
      <c r="FR215" s="11"/>
      <c r="FS215" s="11"/>
      <c r="FT215" s="11"/>
      <c r="FU215" s="11"/>
      <c r="FV215" s="11"/>
      <c r="FW215" s="11"/>
      <c r="FX215" s="11"/>
      <c r="FY215" s="11"/>
      <c r="FZ215" s="11"/>
      <c r="GA215" s="11"/>
      <c r="GB215" s="11"/>
      <c r="GC215" s="11"/>
      <c r="GD215" s="11"/>
      <c r="GE215" s="11"/>
      <c r="GF215" s="11"/>
      <c r="GG215" s="11"/>
      <c r="GH215" s="11"/>
      <c r="GI215" s="11"/>
      <c r="GJ215" s="11"/>
      <c r="GK215" s="11"/>
      <c r="GL215" s="11"/>
      <c r="GM215" s="11"/>
      <c r="GN215" s="11"/>
      <c r="GO215" s="11"/>
      <c r="GP215" s="11"/>
      <c r="GQ215" s="11"/>
      <c r="GR215" s="11"/>
    </row>
    <row r="216" spans="2:200" x14ac:dyDescent="0.15"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11"/>
      <c r="CW216" s="11"/>
      <c r="CX216" s="11"/>
      <c r="CY216" s="11"/>
      <c r="CZ216" s="11"/>
      <c r="DA216" s="11"/>
      <c r="DB216" s="11"/>
      <c r="DC216" s="11"/>
      <c r="DD216" s="11"/>
      <c r="DE216" s="11"/>
      <c r="DF216" s="11"/>
      <c r="DG216" s="11"/>
      <c r="DH216" s="11"/>
      <c r="DI216" s="11"/>
      <c r="DJ216" s="11"/>
      <c r="DK216" s="11"/>
      <c r="DL216" s="11"/>
      <c r="DM216" s="11"/>
      <c r="DN216" s="11"/>
      <c r="DO216" s="11"/>
      <c r="DP216" s="11"/>
      <c r="DQ216" s="11"/>
      <c r="DR216" s="11"/>
      <c r="DS216" s="11"/>
      <c r="DT216" s="11"/>
      <c r="DU216" s="11"/>
      <c r="DV216" s="11"/>
      <c r="DW216" s="11"/>
      <c r="DX216" s="11"/>
      <c r="DY216" s="11"/>
      <c r="DZ216" s="11"/>
      <c r="EA216" s="11"/>
      <c r="EB216" s="11"/>
      <c r="EC216" s="11"/>
      <c r="ED216" s="11"/>
      <c r="EE216" s="11"/>
      <c r="EF216" s="11"/>
      <c r="EG216" s="11"/>
      <c r="EH216" s="11"/>
      <c r="EI216" s="11"/>
      <c r="EJ216" s="11"/>
      <c r="EK216" s="11"/>
      <c r="EL216" s="11"/>
      <c r="EM216" s="11"/>
      <c r="EN216" s="11"/>
      <c r="EO216" s="11"/>
      <c r="EP216" s="11"/>
      <c r="EQ216" s="11"/>
      <c r="ER216" s="11"/>
      <c r="ES216" s="11"/>
      <c r="ET216" s="11"/>
      <c r="EU216" s="11"/>
      <c r="EV216" s="11"/>
      <c r="EW216" s="11"/>
      <c r="EX216" s="11"/>
      <c r="EY216" s="11"/>
      <c r="EZ216" s="11"/>
      <c r="FA216" s="11"/>
      <c r="FB216" s="11"/>
      <c r="FC216" s="11"/>
      <c r="FD216" s="11"/>
      <c r="FE216" s="11"/>
      <c r="FF216" s="11"/>
      <c r="FG216" s="11"/>
      <c r="FH216" s="11"/>
      <c r="FI216" s="11"/>
      <c r="FJ216" s="11"/>
      <c r="FK216" s="11"/>
      <c r="FL216" s="11"/>
      <c r="FM216" s="11"/>
      <c r="FN216" s="11"/>
      <c r="FO216" s="11"/>
      <c r="FP216" s="11"/>
      <c r="FQ216" s="11"/>
      <c r="FR216" s="11"/>
      <c r="FS216" s="11"/>
      <c r="FT216" s="11"/>
      <c r="FU216" s="11"/>
      <c r="FV216" s="11"/>
      <c r="FW216" s="11"/>
      <c r="FX216" s="11"/>
      <c r="FY216" s="11"/>
      <c r="FZ216" s="11"/>
      <c r="GA216" s="11"/>
      <c r="GB216" s="11"/>
      <c r="GC216" s="11"/>
      <c r="GD216" s="11"/>
      <c r="GE216" s="11"/>
      <c r="GF216" s="11"/>
      <c r="GG216" s="11"/>
      <c r="GH216" s="11"/>
      <c r="GI216" s="11"/>
      <c r="GJ216" s="11"/>
      <c r="GK216" s="11"/>
      <c r="GL216" s="11"/>
      <c r="GM216" s="11"/>
      <c r="GN216" s="11"/>
      <c r="GO216" s="11"/>
      <c r="GP216" s="11"/>
      <c r="GQ216" s="11"/>
      <c r="GR216" s="11"/>
    </row>
    <row r="217" spans="2:200" x14ac:dyDescent="0.15"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  <c r="CC217" s="11"/>
      <c r="CD217" s="11"/>
      <c r="CE217" s="11"/>
      <c r="CF217" s="11"/>
      <c r="CG217" s="11"/>
      <c r="CH217" s="11"/>
      <c r="CI217" s="11"/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11"/>
      <c r="CW217" s="11"/>
      <c r="CX217" s="11"/>
      <c r="CY217" s="11"/>
      <c r="CZ217" s="11"/>
      <c r="DA217" s="11"/>
      <c r="DB217" s="11"/>
      <c r="DC217" s="11"/>
      <c r="DD217" s="11"/>
      <c r="DE217" s="11"/>
      <c r="DF217" s="11"/>
      <c r="DG217" s="11"/>
      <c r="DH217" s="11"/>
      <c r="DI217" s="11"/>
      <c r="DJ217" s="11"/>
      <c r="DK217" s="11"/>
      <c r="DL217" s="11"/>
      <c r="DM217" s="11"/>
      <c r="DN217" s="11"/>
      <c r="DO217" s="11"/>
      <c r="DP217" s="11"/>
      <c r="DQ217" s="11"/>
      <c r="DR217" s="11"/>
      <c r="DS217" s="11"/>
      <c r="DT217" s="11"/>
      <c r="DU217" s="11"/>
      <c r="DV217" s="11"/>
      <c r="DW217" s="11"/>
      <c r="DX217" s="11"/>
      <c r="DY217" s="11"/>
      <c r="DZ217" s="11"/>
      <c r="EA217" s="11"/>
      <c r="EB217" s="11"/>
      <c r="EC217" s="11"/>
      <c r="ED217" s="11"/>
      <c r="EE217" s="11"/>
      <c r="EF217" s="11"/>
      <c r="EG217" s="11"/>
      <c r="EH217" s="11"/>
      <c r="EI217" s="11"/>
      <c r="EJ217" s="11"/>
      <c r="EK217" s="11"/>
      <c r="EL217" s="11"/>
      <c r="EM217" s="11"/>
      <c r="EN217" s="11"/>
      <c r="EO217" s="11"/>
      <c r="EP217" s="11"/>
      <c r="EQ217" s="11"/>
      <c r="ER217" s="11"/>
      <c r="ES217" s="11"/>
      <c r="ET217" s="11"/>
      <c r="EU217" s="11"/>
      <c r="EV217" s="11"/>
      <c r="EW217" s="11"/>
      <c r="EX217" s="11"/>
      <c r="EY217" s="11"/>
      <c r="EZ217" s="11"/>
      <c r="FA217" s="11"/>
      <c r="FB217" s="11"/>
      <c r="FC217" s="11"/>
      <c r="FD217" s="11"/>
      <c r="FE217" s="11"/>
      <c r="FF217" s="11"/>
      <c r="FG217" s="11"/>
      <c r="FH217" s="11"/>
      <c r="FI217" s="11"/>
      <c r="FJ217" s="11"/>
      <c r="FK217" s="11"/>
      <c r="FL217" s="11"/>
      <c r="FM217" s="11"/>
      <c r="FN217" s="11"/>
      <c r="FO217" s="11"/>
      <c r="FP217" s="11"/>
      <c r="FQ217" s="11"/>
      <c r="FR217" s="11"/>
      <c r="FS217" s="11"/>
      <c r="FT217" s="11"/>
      <c r="FU217" s="11"/>
      <c r="FV217" s="11"/>
      <c r="FW217" s="11"/>
      <c r="FX217" s="11"/>
      <c r="FY217" s="11"/>
      <c r="FZ217" s="11"/>
      <c r="GA217" s="11"/>
      <c r="GB217" s="11"/>
      <c r="GC217" s="11"/>
      <c r="GD217" s="11"/>
      <c r="GE217" s="11"/>
      <c r="GF217" s="11"/>
      <c r="GG217" s="11"/>
      <c r="GH217" s="11"/>
      <c r="GI217" s="11"/>
      <c r="GJ217" s="11"/>
      <c r="GK217" s="11"/>
      <c r="GL217" s="11"/>
      <c r="GM217" s="11"/>
      <c r="GN217" s="11"/>
      <c r="GO217" s="11"/>
      <c r="GP217" s="11"/>
      <c r="GQ217" s="11"/>
      <c r="GR217" s="11"/>
    </row>
    <row r="218" spans="2:200" x14ac:dyDescent="0.15"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  <c r="CC218" s="11"/>
      <c r="CD218" s="11"/>
      <c r="CE218" s="11"/>
      <c r="CF218" s="11"/>
      <c r="CG218" s="11"/>
      <c r="CH218" s="11"/>
      <c r="CI218" s="11"/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11"/>
      <c r="CW218" s="11"/>
      <c r="CX218" s="11"/>
      <c r="CY218" s="11"/>
      <c r="CZ218" s="11"/>
      <c r="DA218" s="11"/>
      <c r="DB218" s="11"/>
      <c r="DC218" s="11"/>
      <c r="DD218" s="11"/>
      <c r="DE218" s="11"/>
      <c r="DF218" s="11"/>
      <c r="DG218" s="11"/>
      <c r="DH218" s="11"/>
      <c r="DI218" s="11"/>
      <c r="DJ218" s="11"/>
      <c r="DK218" s="11"/>
      <c r="DL218" s="11"/>
      <c r="DM218" s="11"/>
      <c r="DN218" s="11"/>
      <c r="DO218" s="11"/>
      <c r="DP218" s="11"/>
      <c r="DQ218" s="11"/>
      <c r="DR218" s="11"/>
      <c r="DS218" s="11"/>
      <c r="DT218" s="11"/>
      <c r="DU218" s="11"/>
      <c r="DV218" s="11"/>
      <c r="DW218" s="11"/>
      <c r="DX218" s="11"/>
      <c r="DY218" s="11"/>
      <c r="DZ218" s="11"/>
      <c r="EA218" s="11"/>
      <c r="EB218" s="11"/>
      <c r="EC218" s="11"/>
      <c r="ED218" s="11"/>
      <c r="EE218" s="11"/>
      <c r="EF218" s="11"/>
      <c r="EG218" s="11"/>
      <c r="EH218" s="11"/>
      <c r="EI218" s="11"/>
      <c r="EJ218" s="11"/>
      <c r="EK218" s="11"/>
      <c r="EL218" s="11"/>
      <c r="EM218" s="11"/>
      <c r="EN218" s="11"/>
      <c r="EO218" s="11"/>
      <c r="EP218" s="11"/>
      <c r="EQ218" s="11"/>
      <c r="ER218" s="11"/>
      <c r="ES218" s="11"/>
      <c r="ET218" s="11"/>
      <c r="EU218" s="11"/>
      <c r="EV218" s="11"/>
      <c r="EW218" s="11"/>
      <c r="EX218" s="11"/>
      <c r="EY218" s="11"/>
      <c r="EZ218" s="11"/>
      <c r="FA218" s="11"/>
      <c r="FB218" s="11"/>
      <c r="FC218" s="11"/>
      <c r="FD218" s="11"/>
      <c r="FE218" s="11"/>
      <c r="FF218" s="11"/>
      <c r="FG218" s="11"/>
      <c r="FH218" s="11"/>
      <c r="FI218" s="11"/>
      <c r="FJ218" s="11"/>
      <c r="FK218" s="11"/>
      <c r="FL218" s="11"/>
      <c r="FM218" s="11"/>
      <c r="FN218" s="11"/>
      <c r="FO218" s="11"/>
      <c r="FP218" s="11"/>
      <c r="FQ218" s="11"/>
      <c r="FR218" s="11"/>
      <c r="FS218" s="11"/>
      <c r="FT218" s="11"/>
      <c r="FU218" s="11"/>
      <c r="FV218" s="11"/>
      <c r="FW218" s="11"/>
      <c r="FX218" s="11"/>
      <c r="FY218" s="11"/>
      <c r="FZ218" s="11"/>
      <c r="GA218" s="11"/>
      <c r="GB218" s="11"/>
      <c r="GC218" s="11"/>
      <c r="GD218" s="11"/>
      <c r="GE218" s="11"/>
      <c r="GF218" s="11"/>
      <c r="GG218" s="11"/>
      <c r="GH218" s="11"/>
      <c r="GI218" s="11"/>
      <c r="GJ218" s="11"/>
      <c r="GK218" s="11"/>
      <c r="GL218" s="11"/>
      <c r="GM218" s="11"/>
      <c r="GN218" s="11"/>
      <c r="GO218" s="11"/>
      <c r="GP218" s="11"/>
      <c r="GQ218" s="11"/>
      <c r="GR218" s="11"/>
    </row>
    <row r="219" spans="2:200" x14ac:dyDescent="0.15"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  <c r="CC219" s="11"/>
      <c r="CD219" s="11"/>
      <c r="CE219" s="11"/>
      <c r="CF219" s="11"/>
      <c r="CG219" s="11"/>
      <c r="CH219" s="11"/>
      <c r="CI219" s="11"/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11"/>
      <c r="CW219" s="11"/>
      <c r="CX219" s="11"/>
      <c r="CY219" s="11"/>
      <c r="CZ219" s="11"/>
      <c r="DA219" s="11"/>
      <c r="DB219" s="11"/>
      <c r="DC219" s="11"/>
      <c r="DD219" s="11"/>
      <c r="DE219" s="11"/>
      <c r="DF219" s="11"/>
      <c r="DG219" s="11"/>
      <c r="DH219" s="11"/>
      <c r="DI219" s="11"/>
      <c r="DJ219" s="11"/>
      <c r="DK219" s="11"/>
      <c r="DL219" s="11"/>
      <c r="DM219" s="11"/>
      <c r="DN219" s="11"/>
      <c r="DO219" s="11"/>
      <c r="DP219" s="11"/>
      <c r="DQ219" s="11"/>
      <c r="DR219" s="11"/>
      <c r="DS219" s="11"/>
      <c r="DT219" s="11"/>
      <c r="DU219" s="11"/>
      <c r="DV219" s="11"/>
      <c r="DW219" s="11"/>
      <c r="DX219" s="11"/>
      <c r="DY219" s="11"/>
      <c r="DZ219" s="11"/>
      <c r="EA219" s="11"/>
      <c r="EB219" s="11"/>
      <c r="EC219" s="11"/>
      <c r="ED219" s="11"/>
      <c r="EE219" s="11"/>
      <c r="EF219" s="11"/>
      <c r="EG219" s="11"/>
      <c r="EH219" s="11"/>
      <c r="EI219" s="11"/>
      <c r="EJ219" s="11"/>
      <c r="EK219" s="11"/>
      <c r="EL219" s="11"/>
      <c r="EM219" s="11"/>
      <c r="EN219" s="11"/>
      <c r="EO219" s="11"/>
      <c r="EP219" s="11"/>
      <c r="EQ219" s="11"/>
      <c r="ER219" s="11"/>
      <c r="ES219" s="11"/>
      <c r="ET219" s="11"/>
      <c r="EU219" s="11"/>
      <c r="EV219" s="11"/>
      <c r="EW219" s="11"/>
      <c r="EX219" s="11"/>
      <c r="EY219" s="11"/>
      <c r="EZ219" s="11"/>
      <c r="FA219" s="11"/>
      <c r="FB219" s="11"/>
      <c r="FC219" s="11"/>
      <c r="FD219" s="11"/>
      <c r="FE219" s="11"/>
      <c r="FF219" s="11"/>
      <c r="FG219" s="11"/>
      <c r="FH219" s="11"/>
      <c r="FI219" s="11"/>
      <c r="FJ219" s="11"/>
      <c r="FK219" s="11"/>
      <c r="FL219" s="11"/>
      <c r="FM219" s="11"/>
      <c r="FN219" s="11"/>
      <c r="FO219" s="11"/>
      <c r="FP219" s="11"/>
      <c r="FQ219" s="11"/>
      <c r="FR219" s="11"/>
      <c r="FS219" s="11"/>
      <c r="FT219" s="11"/>
      <c r="FU219" s="11"/>
      <c r="FV219" s="11"/>
      <c r="FW219" s="11"/>
      <c r="FX219" s="11"/>
      <c r="FY219" s="11"/>
      <c r="FZ219" s="11"/>
      <c r="GA219" s="11"/>
      <c r="GB219" s="11"/>
      <c r="GC219" s="11"/>
      <c r="GD219" s="11"/>
      <c r="GE219" s="11"/>
      <c r="GF219" s="11"/>
      <c r="GG219" s="11"/>
      <c r="GH219" s="11"/>
      <c r="GI219" s="11"/>
      <c r="GJ219" s="11"/>
      <c r="GK219" s="11"/>
      <c r="GL219" s="11"/>
      <c r="GM219" s="11"/>
      <c r="GN219" s="11"/>
      <c r="GO219" s="11"/>
      <c r="GP219" s="11"/>
      <c r="GQ219" s="11"/>
      <c r="GR219" s="11"/>
    </row>
    <row r="220" spans="2:200" x14ac:dyDescent="0.15"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11"/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11"/>
      <c r="CW220" s="11"/>
      <c r="CX220" s="11"/>
      <c r="CY220" s="11"/>
      <c r="CZ220" s="11"/>
      <c r="DA220" s="11"/>
      <c r="DB220" s="11"/>
      <c r="DC220" s="11"/>
      <c r="DD220" s="11"/>
      <c r="DE220" s="11"/>
      <c r="DF220" s="11"/>
      <c r="DG220" s="11"/>
      <c r="DH220" s="11"/>
      <c r="DI220" s="11"/>
      <c r="DJ220" s="11"/>
      <c r="DK220" s="11"/>
      <c r="DL220" s="11"/>
      <c r="DM220" s="11"/>
      <c r="DN220" s="11"/>
      <c r="DO220" s="11"/>
      <c r="DP220" s="11"/>
      <c r="DQ220" s="11"/>
      <c r="DR220" s="11"/>
      <c r="DS220" s="11"/>
      <c r="DT220" s="11"/>
      <c r="DU220" s="11"/>
      <c r="DV220" s="11"/>
      <c r="DW220" s="11"/>
      <c r="DX220" s="11"/>
      <c r="DY220" s="11"/>
      <c r="DZ220" s="11"/>
      <c r="EA220" s="11"/>
      <c r="EB220" s="11"/>
      <c r="EC220" s="11"/>
      <c r="ED220" s="11"/>
      <c r="EE220" s="11"/>
      <c r="EF220" s="11"/>
      <c r="EG220" s="11"/>
      <c r="EH220" s="11"/>
      <c r="EI220" s="11"/>
      <c r="EJ220" s="11"/>
      <c r="EK220" s="11"/>
      <c r="EL220" s="11"/>
      <c r="EM220" s="11"/>
      <c r="EN220" s="11"/>
      <c r="EO220" s="11"/>
      <c r="EP220" s="11"/>
      <c r="EQ220" s="11"/>
      <c r="ER220" s="11"/>
      <c r="ES220" s="11"/>
      <c r="ET220" s="11"/>
      <c r="EU220" s="11"/>
      <c r="EV220" s="11"/>
      <c r="EW220" s="11"/>
      <c r="EX220" s="11"/>
      <c r="EY220" s="11"/>
      <c r="EZ220" s="11"/>
      <c r="FA220" s="11"/>
      <c r="FB220" s="11"/>
      <c r="FC220" s="11"/>
      <c r="FD220" s="11"/>
      <c r="FE220" s="11"/>
      <c r="FF220" s="11"/>
      <c r="FG220" s="11"/>
      <c r="FH220" s="11"/>
      <c r="FI220" s="11"/>
      <c r="FJ220" s="11"/>
      <c r="FK220" s="11"/>
      <c r="FL220" s="11"/>
      <c r="FM220" s="11"/>
      <c r="FN220" s="11"/>
      <c r="FO220" s="11"/>
      <c r="FP220" s="11"/>
      <c r="FQ220" s="11"/>
      <c r="FR220" s="11"/>
      <c r="FS220" s="11"/>
      <c r="FT220" s="11"/>
      <c r="FU220" s="11"/>
      <c r="FV220" s="11"/>
      <c r="FW220" s="11"/>
      <c r="FX220" s="11"/>
      <c r="FY220" s="11"/>
      <c r="FZ220" s="11"/>
      <c r="GA220" s="11"/>
      <c r="GB220" s="11"/>
      <c r="GC220" s="11"/>
      <c r="GD220" s="11"/>
      <c r="GE220" s="11"/>
      <c r="GF220" s="11"/>
      <c r="GG220" s="11"/>
      <c r="GH220" s="11"/>
      <c r="GI220" s="11"/>
      <c r="GJ220" s="11"/>
      <c r="GK220" s="11"/>
      <c r="GL220" s="11"/>
      <c r="GM220" s="11"/>
      <c r="GN220" s="11"/>
      <c r="GO220" s="11"/>
      <c r="GP220" s="11"/>
      <c r="GQ220" s="11"/>
      <c r="GR220" s="11"/>
    </row>
    <row r="221" spans="2:200" x14ac:dyDescent="0.15"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11"/>
      <c r="CI221" s="11"/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11"/>
      <c r="CW221" s="11"/>
      <c r="CX221" s="11"/>
      <c r="CY221" s="11"/>
      <c r="CZ221" s="11"/>
      <c r="DA221" s="11"/>
      <c r="DB221" s="11"/>
      <c r="DC221" s="11"/>
      <c r="DD221" s="11"/>
      <c r="DE221" s="11"/>
      <c r="DF221" s="11"/>
      <c r="DG221" s="11"/>
      <c r="DH221" s="11"/>
      <c r="DI221" s="11"/>
      <c r="DJ221" s="11"/>
      <c r="DK221" s="11"/>
      <c r="DL221" s="11"/>
      <c r="DM221" s="11"/>
      <c r="DN221" s="11"/>
      <c r="DO221" s="11"/>
      <c r="DP221" s="11"/>
      <c r="DQ221" s="11"/>
      <c r="DR221" s="11"/>
      <c r="DS221" s="11"/>
      <c r="DT221" s="11"/>
      <c r="DU221" s="11"/>
      <c r="DV221" s="11"/>
      <c r="DW221" s="11"/>
      <c r="DX221" s="11"/>
      <c r="DY221" s="11"/>
      <c r="DZ221" s="11"/>
      <c r="EA221" s="11"/>
      <c r="EB221" s="11"/>
      <c r="EC221" s="11"/>
      <c r="ED221" s="11"/>
      <c r="EE221" s="11"/>
      <c r="EF221" s="11"/>
      <c r="EG221" s="11"/>
      <c r="EH221" s="11"/>
      <c r="EI221" s="11"/>
      <c r="EJ221" s="11"/>
      <c r="EK221" s="11"/>
      <c r="EL221" s="11"/>
      <c r="EM221" s="11"/>
      <c r="EN221" s="11"/>
      <c r="EO221" s="11"/>
      <c r="EP221" s="11"/>
      <c r="EQ221" s="11"/>
      <c r="ER221" s="11"/>
      <c r="ES221" s="11"/>
      <c r="ET221" s="11"/>
      <c r="EU221" s="11"/>
      <c r="EV221" s="11"/>
      <c r="EW221" s="11"/>
      <c r="EX221" s="11"/>
      <c r="EY221" s="11"/>
      <c r="EZ221" s="11"/>
      <c r="FA221" s="11"/>
      <c r="FB221" s="11"/>
      <c r="FC221" s="11"/>
      <c r="FD221" s="11"/>
      <c r="FE221" s="11"/>
      <c r="FF221" s="11"/>
      <c r="FG221" s="11"/>
      <c r="FH221" s="11"/>
      <c r="FI221" s="11"/>
      <c r="FJ221" s="11"/>
      <c r="FK221" s="11"/>
      <c r="FL221" s="11"/>
      <c r="FM221" s="11"/>
      <c r="FN221" s="11"/>
      <c r="FO221" s="11"/>
      <c r="FP221" s="11"/>
      <c r="FQ221" s="11"/>
      <c r="FR221" s="11"/>
      <c r="FS221" s="11"/>
      <c r="FT221" s="11"/>
      <c r="FU221" s="11"/>
      <c r="FV221" s="11"/>
      <c r="FW221" s="11"/>
      <c r="FX221" s="11"/>
      <c r="FY221" s="11"/>
      <c r="FZ221" s="11"/>
      <c r="GA221" s="11"/>
      <c r="GB221" s="11"/>
      <c r="GC221" s="11"/>
      <c r="GD221" s="11"/>
      <c r="GE221" s="11"/>
      <c r="GF221" s="11"/>
      <c r="GG221" s="11"/>
      <c r="GH221" s="11"/>
      <c r="GI221" s="11"/>
      <c r="GJ221" s="11"/>
      <c r="GK221" s="11"/>
      <c r="GL221" s="11"/>
      <c r="GM221" s="11"/>
      <c r="GN221" s="11"/>
      <c r="GO221" s="11"/>
      <c r="GP221" s="11"/>
      <c r="GQ221" s="11"/>
      <c r="GR221" s="11"/>
    </row>
    <row r="222" spans="2:200" x14ac:dyDescent="0.15"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11"/>
      <c r="CF222" s="11"/>
      <c r="CG222" s="11"/>
      <c r="CH222" s="11"/>
      <c r="CI222" s="11"/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11"/>
      <c r="CW222" s="11"/>
      <c r="CX222" s="11"/>
      <c r="CY222" s="11"/>
      <c r="CZ222" s="11"/>
      <c r="DA222" s="11"/>
      <c r="DB222" s="11"/>
      <c r="DC222" s="11"/>
      <c r="DD222" s="11"/>
      <c r="DE222" s="11"/>
      <c r="DF222" s="11"/>
      <c r="DG222" s="11"/>
      <c r="DH222" s="11"/>
      <c r="DI222" s="11"/>
      <c r="DJ222" s="11"/>
      <c r="DK222" s="11"/>
      <c r="DL222" s="11"/>
      <c r="DM222" s="11"/>
      <c r="DN222" s="11"/>
      <c r="DO222" s="11"/>
      <c r="DP222" s="11"/>
      <c r="DQ222" s="11"/>
      <c r="DR222" s="11"/>
      <c r="DS222" s="11"/>
      <c r="DT222" s="11"/>
      <c r="DU222" s="11"/>
      <c r="DV222" s="11"/>
      <c r="DW222" s="11"/>
      <c r="DX222" s="11"/>
      <c r="DY222" s="11"/>
      <c r="DZ222" s="11"/>
      <c r="EA222" s="11"/>
      <c r="EB222" s="11"/>
      <c r="EC222" s="11"/>
      <c r="ED222" s="11"/>
      <c r="EE222" s="11"/>
      <c r="EF222" s="11"/>
      <c r="EG222" s="11"/>
      <c r="EH222" s="11"/>
      <c r="EI222" s="11"/>
      <c r="EJ222" s="11"/>
      <c r="EK222" s="11"/>
      <c r="EL222" s="11"/>
      <c r="EM222" s="11"/>
      <c r="EN222" s="11"/>
      <c r="EO222" s="11"/>
      <c r="EP222" s="11"/>
      <c r="EQ222" s="11"/>
      <c r="ER222" s="11"/>
      <c r="ES222" s="11"/>
      <c r="ET222" s="11"/>
      <c r="EU222" s="11"/>
      <c r="EV222" s="11"/>
      <c r="EW222" s="11"/>
      <c r="EX222" s="11"/>
      <c r="EY222" s="11"/>
      <c r="EZ222" s="11"/>
      <c r="FA222" s="11"/>
      <c r="FB222" s="11"/>
      <c r="FC222" s="11"/>
      <c r="FD222" s="11"/>
      <c r="FE222" s="11"/>
      <c r="FF222" s="11"/>
      <c r="FG222" s="11"/>
      <c r="FH222" s="11"/>
      <c r="FI222" s="11"/>
      <c r="FJ222" s="11"/>
      <c r="FK222" s="11"/>
      <c r="FL222" s="11"/>
      <c r="FM222" s="11"/>
      <c r="FN222" s="11"/>
      <c r="FO222" s="11"/>
      <c r="FP222" s="11"/>
      <c r="FQ222" s="11"/>
      <c r="FR222" s="11"/>
      <c r="FS222" s="11"/>
      <c r="FT222" s="11"/>
      <c r="FU222" s="11"/>
      <c r="FV222" s="11"/>
      <c r="FW222" s="11"/>
      <c r="FX222" s="11"/>
      <c r="FY222" s="11"/>
      <c r="FZ222" s="11"/>
      <c r="GA222" s="11"/>
      <c r="GB222" s="11"/>
      <c r="GC222" s="11"/>
      <c r="GD222" s="11"/>
      <c r="GE222" s="11"/>
      <c r="GF222" s="11"/>
      <c r="GG222" s="11"/>
      <c r="GH222" s="11"/>
      <c r="GI222" s="11"/>
      <c r="GJ222" s="11"/>
      <c r="GK222" s="11"/>
      <c r="GL222" s="11"/>
      <c r="GM222" s="11"/>
      <c r="GN222" s="11"/>
      <c r="GO222" s="11"/>
      <c r="GP222" s="11"/>
      <c r="GQ222" s="11"/>
      <c r="GR222" s="11"/>
    </row>
    <row r="223" spans="2:200" x14ac:dyDescent="0.15"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11"/>
      <c r="CF223" s="11"/>
      <c r="CG223" s="11"/>
      <c r="CH223" s="11"/>
      <c r="CI223" s="11"/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11"/>
      <c r="CW223" s="11"/>
      <c r="CX223" s="11"/>
      <c r="CY223" s="11"/>
      <c r="CZ223" s="11"/>
      <c r="DA223" s="11"/>
      <c r="DB223" s="11"/>
      <c r="DC223" s="11"/>
      <c r="DD223" s="11"/>
      <c r="DE223" s="11"/>
      <c r="DF223" s="11"/>
      <c r="DG223" s="11"/>
      <c r="DH223" s="11"/>
      <c r="DI223" s="11"/>
      <c r="DJ223" s="11"/>
      <c r="DK223" s="11"/>
      <c r="DL223" s="11"/>
      <c r="DM223" s="11"/>
      <c r="DN223" s="11"/>
      <c r="DO223" s="11"/>
      <c r="DP223" s="11"/>
      <c r="DQ223" s="11"/>
      <c r="DR223" s="11"/>
      <c r="DS223" s="11"/>
      <c r="DT223" s="11"/>
      <c r="DU223" s="11"/>
      <c r="DV223" s="11"/>
      <c r="DW223" s="11"/>
      <c r="DX223" s="11"/>
      <c r="DY223" s="11"/>
      <c r="DZ223" s="11"/>
      <c r="EA223" s="11"/>
      <c r="EB223" s="11"/>
      <c r="EC223" s="11"/>
      <c r="ED223" s="11"/>
      <c r="EE223" s="11"/>
      <c r="EF223" s="11"/>
      <c r="EG223" s="11"/>
      <c r="EH223" s="11"/>
      <c r="EI223" s="11"/>
      <c r="EJ223" s="11"/>
      <c r="EK223" s="11"/>
      <c r="EL223" s="11"/>
      <c r="EM223" s="11"/>
      <c r="EN223" s="11"/>
      <c r="EO223" s="11"/>
      <c r="EP223" s="11"/>
      <c r="EQ223" s="11"/>
      <c r="ER223" s="11"/>
      <c r="ES223" s="11"/>
      <c r="ET223" s="11"/>
      <c r="EU223" s="11"/>
      <c r="EV223" s="11"/>
      <c r="EW223" s="11"/>
      <c r="EX223" s="11"/>
      <c r="EY223" s="11"/>
      <c r="EZ223" s="11"/>
      <c r="FA223" s="11"/>
      <c r="FB223" s="11"/>
      <c r="FC223" s="11"/>
      <c r="FD223" s="11"/>
      <c r="FE223" s="11"/>
      <c r="FF223" s="11"/>
      <c r="FG223" s="11"/>
      <c r="FH223" s="11"/>
      <c r="FI223" s="11"/>
      <c r="FJ223" s="11"/>
      <c r="FK223" s="11"/>
      <c r="FL223" s="11"/>
      <c r="FM223" s="11"/>
      <c r="FN223" s="11"/>
      <c r="FO223" s="11"/>
      <c r="FP223" s="11"/>
      <c r="FQ223" s="11"/>
      <c r="FR223" s="11"/>
      <c r="FS223" s="11"/>
      <c r="FT223" s="11"/>
      <c r="FU223" s="11"/>
      <c r="FV223" s="11"/>
      <c r="FW223" s="11"/>
      <c r="FX223" s="11"/>
      <c r="FY223" s="11"/>
      <c r="FZ223" s="11"/>
      <c r="GA223" s="11"/>
      <c r="GB223" s="11"/>
      <c r="GC223" s="11"/>
      <c r="GD223" s="11"/>
      <c r="GE223" s="11"/>
      <c r="GF223" s="11"/>
      <c r="GG223" s="11"/>
      <c r="GH223" s="11"/>
      <c r="GI223" s="11"/>
      <c r="GJ223" s="11"/>
      <c r="GK223" s="11"/>
      <c r="GL223" s="11"/>
      <c r="GM223" s="11"/>
      <c r="GN223" s="11"/>
      <c r="GO223" s="11"/>
      <c r="GP223" s="11"/>
      <c r="GQ223" s="11"/>
      <c r="GR223" s="11"/>
    </row>
    <row r="224" spans="2:200" x14ac:dyDescent="0.15"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  <c r="CE224" s="11"/>
      <c r="CF224" s="11"/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11"/>
      <c r="CV224" s="11"/>
      <c r="CW224" s="11"/>
      <c r="CX224" s="11"/>
      <c r="CY224" s="11"/>
      <c r="CZ224" s="11"/>
      <c r="DA224" s="11"/>
      <c r="DB224" s="11"/>
      <c r="DC224" s="11"/>
      <c r="DD224" s="11"/>
      <c r="DE224" s="11"/>
      <c r="DF224" s="11"/>
      <c r="DG224" s="11"/>
      <c r="DH224" s="11"/>
      <c r="DI224" s="11"/>
      <c r="DJ224" s="11"/>
      <c r="DK224" s="11"/>
      <c r="DL224" s="11"/>
      <c r="DM224" s="11"/>
      <c r="DN224" s="11"/>
      <c r="DO224" s="11"/>
      <c r="DP224" s="11"/>
      <c r="DQ224" s="11"/>
      <c r="DR224" s="11"/>
      <c r="DS224" s="11"/>
      <c r="DT224" s="11"/>
      <c r="DU224" s="11"/>
      <c r="DV224" s="11"/>
      <c r="DW224" s="11"/>
      <c r="DX224" s="11"/>
      <c r="DY224" s="11"/>
      <c r="DZ224" s="11"/>
      <c r="EA224" s="11"/>
      <c r="EB224" s="11"/>
      <c r="EC224" s="11"/>
      <c r="ED224" s="11"/>
      <c r="EE224" s="11"/>
      <c r="EF224" s="11"/>
      <c r="EG224" s="11"/>
      <c r="EH224" s="11"/>
      <c r="EI224" s="11"/>
      <c r="EJ224" s="11"/>
      <c r="EK224" s="11"/>
      <c r="EL224" s="11"/>
      <c r="EM224" s="11"/>
      <c r="EN224" s="11"/>
      <c r="EO224" s="11"/>
      <c r="EP224" s="11"/>
      <c r="EQ224" s="11"/>
      <c r="ER224" s="11"/>
      <c r="ES224" s="11"/>
      <c r="ET224" s="11"/>
      <c r="EU224" s="11"/>
      <c r="EV224" s="11"/>
      <c r="EW224" s="11"/>
      <c r="EX224" s="11"/>
      <c r="EY224" s="11"/>
      <c r="EZ224" s="11"/>
      <c r="FA224" s="11"/>
      <c r="FB224" s="11"/>
      <c r="FC224" s="11"/>
      <c r="FD224" s="11"/>
      <c r="FE224" s="11"/>
      <c r="FF224" s="11"/>
      <c r="FG224" s="11"/>
      <c r="FH224" s="11"/>
      <c r="FI224" s="11"/>
      <c r="FJ224" s="11"/>
      <c r="FK224" s="11"/>
      <c r="FL224" s="11"/>
      <c r="FM224" s="11"/>
      <c r="FN224" s="11"/>
      <c r="FO224" s="11"/>
      <c r="FP224" s="11"/>
      <c r="FQ224" s="11"/>
      <c r="FR224" s="11"/>
      <c r="FS224" s="11"/>
      <c r="FT224" s="11"/>
      <c r="FU224" s="11"/>
      <c r="FV224" s="11"/>
      <c r="FW224" s="11"/>
      <c r="FX224" s="11"/>
      <c r="FY224" s="11"/>
      <c r="FZ224" s="11"/>
      <c r="GA224" s="11"/>
      <c r="GB224" s="11"/>
      <c r="GC224" s="11"/>
      <c r="GD224" s="11"/>
      <c r="GE224" s="11"/>
      <c r="GF224" s="11"/>
      <c r="GG224" s="11"/>
      <c r="GH224" s="11"/>
      <c r="GI224" s="11"/>
      <c r="GJ224" s="11"/>
      <c r="GK224" s="11"/>
      <c r="GL224" s="11"/>
      <c r="GM224" s="11"/>
      <c r="GN224" s="11"/>
      <c r="GO224" s="11"/>
      <c r="GP224" s="11"/>
      <c r="GQ224" s="11"/>
      <c r="GR224" s="11"/>
    </row>
    <row r="225" spans="2:200" x14ac:dyDescent="0.15"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11"/>
      <c r="CE225" s="11"/>
      <c r="CF225" s="11"/>
      <c r="CG225" s="11"/>
      <c r="CH225" s="11"/>
      <c r="CI225" s="11"/>
      <c r="CJ225" s="11"/>
      <c r="CK225" s="11"/>
      <c r="CL225" s="11"/>
      <c r="CM225" s="11"/>
      <c r="CN225" s="11"/>
      <c r="CO225" s="11"/>
      <c r="CP225" s="11"/>
      <c r="CQ225" s="11"/>
      <c r="CR225" s="11"/>
      <c r="CS225" s="11"/>
      <c r="CT225" s="11"/>
      <c r="CU225" s="11"/>
      <c r="CV225" s="11"/>
      <c r="CW225" s="11"/>
      <c r="CX225" s="11"/>
      <c r="CY225" s="11"/>
      <c r="CZ225" s="11"/>
      <c r="DA225" s="11"/>
      <c r="DB225" s="11"/>
      <c r="DC225" s="11"/>
      <c r="DD225" s="11"/>
      <c r="DE225" s="11"/>
      <c r="DF225" s="11"/>
      <c r="DG225" s="11"/>
      <c r="DH225" s="11"/>
      <c r="DI225" s="11"/>
      <c r="DJ225" s="11"/>
      <c r="DK225" s="11"/>
      <c r="DL225" s="11"/>
      <c r="DM225" s="11"/>
      <c r="DN225" s="11"/>
      <c r="DO225" s="11"/>
      <c r="DP225" s="11"/>
      <c r="DQ225" s="11"/>
      <c r="DR225" s="11"/>
      <c r="DS225" s="11"/>
      <c r="DT225" s="11"/>
      <c r="DU225" s="11"/>
      <c r="DV225" s="11"/>
      <c r="DW225" s="11"/>
      <c r="DX225" s="11"/>
      <c r="DY225" s="11"/>
      <c r="DZ225" s="11"/>
      <c r="EA225" s="11"/>
      <c r="EB225" s="11"/>
      <c r="EC225" s="11"/>
      <c r="ED225" s="11"/>
      <c r="EE225" s="11"/>
      <c r="EF225" s="11"/>
      <c r="EG225" s="11"/>
      <c r="EH225" s="11"/>
      <c r="EI225" s="11"/>
      <c r="EJ225" s="11"/>
      <c r="EK225" s="11"/>
      <c r="EL225" s="11"/>
      <c r="EM225" s="11"/>
      <c r="EN225" s="11"/>
      <c r="EO225" s="11"/>
      <c r="EP225" s="11"/>
      <c r="EQ225" s="11"/>
      <c r="ER225" s="11"/>
      <c r="ES225" s="11"/>
      <c r="ET225" s="11"/>
      <c r="EU225" s="11"/>
      <c r="EV225" s="11"/>
      <c r="EW225" s="11"/>
      <c r="EX225" s="11"/>
      <c r="EY225" s="11"/>
      <c r="EZ225" s="11"/>
      <c r="FA225" s="11"/>
      <c r="FB225" s="11"/>
      <c r="FC225" s="11"/>
      <c r="FD225" s="11"/>
      <c r="FE225" s="11"/>
      <c r="FF225" s="11"/>
      <c r="FG225" s="11"/>
      <c r="FH225" s="11"/>
      <c r="FI225" s="11"/>
      <c r="FJ225" s="11"/>
      <c r="FK225" s="11"/>
      <c r="FL225" s="11"/>
      <c r="FM225" s="11"/>
      <c r="FN225" s="11"/>
      <c r="FO225" s="11"/>
      <c r="FP225" s="11"/>
      <c r="FQ225" s="11"/>
      <c r="FR225" s="11"/>
      <c r="FS225" s="11"/>
      <c r="FT225" s="11"/>
      <c r="FU225" s="11"/>
      <c r="FV225" s="11"/>
      <c r="FW225" s="11"/>
      <c r="FX225" s="11"/>
      <c r="FY225" s="11"/>
      <c r="FZ225" s="11"/>
      <c r="GA225" s="11"/>
      <c r="GB225" s="11"/>
      <c r="GC225" s="11"/>
      <c r="GD225" s="11"/>
      <c r="GE225" s="11"/>
      <c r="GF225" s="11"/>
      <c r="GG225" s="11"/>
      <c r="GH225" s="11"/>
      <c r="GI225" s="11"/>
      <c r="GJ225" s="11"/>
      <c r="GK225" s="11"/>
      <c r="GL225" s="11"/>
      <c r="GM225" s="11"/>
      <c r="GN225" s="11"/>
      <c r="GO225" s="11"/>
      <c r="GP225" s="11"/>
      <c r="GQ225" s="11"/>
      <c r="GR225" s="11"/>
    </row>
    <row r="226" spans="2:200" x14ac:dyDescent="0.15"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  <c r="CE226" s="11"/>
      <c r="CF226" s="11"/>
      <c r="CG226" s="11"/>
      <c r="CH226" s="11"/>
      <c r="CI226" s="11"/>
      <c r="CJ226" s="11"/>
      <c r="CK226" s="11"/>
      <c r="CL226" s="11"/>
      <c r="CM226" s="11"/>
      <c r="CN226" s="11"/>
      <c r="CO226" s="11"/>
      <c r="CP226" s="11"/>
      <c r="CQ226" s="11"/>
      <c r="CR226" s="11"/>
      <c r="CS226" s="11"/>
      <c r="CT226" s="11"/>
      <c r="CU226" s="11"/>
      <c r="CV226" s="11"/>
      <c r="CW226" s="11"/>
      <c r="CX226" s="11"/>
      <c r="CY226" s="11"/>
      <c r="CZ226" s="11"/>
      <c r="DA226" s="11"/>
      <c r="DB226" s="11"/>
      <c r="DC226" s="11"/>
      <c r="DD226" s="11"/>
      <c r="DE226" s="11"/>
      <c r="DF226" s="11"/>
      <c r="DG226" s="11"/>
      <c r="DH226" s="11"/>
      <c r="DI226" s="11"/>
      <c r="DJ226" s="11"/>
      <c r="DK226" s="11"/>
      <c r="DL226" s="11"/>
      <c r="DM226" s="11"/>
      <c r="DN226" s="11"/>
      <c r="DO226" s="11"/>
      <c r="DP226" s="11"/>
      <c r="DQ226" s="11"/>
      <c r="DR226" s="11"/>
      <c r="DS226" s="11"/>
      <c r="DT226" s="11"/>
      <c r="DU226" s="11"/>
      <c r="DV226" s="11"/>
      <c r="DW226" s="11"/>
      <c r="DX226" s="11"/>
      <c r="DY226" s="11"/>
      <c r="DZ226" s="11"/>
      <c r="EA226" s="11"/>
      <c r="EB226" s="11"/>
      <c r="EC226" s="11"/>
      <c r="ED226" s="11"/>
      <c r="EE226" s="11"/>
      <c r="EF226" s="11"/>
      <c r="EG226" s="11"/>
      <c r="EH226" s="11"/>
      <c r="EI226" s="11"/>
      <c r="EJ226" s="11"/>
      <c r="EK226" s="11"/>
      <c r="EL226" s="11"/>
      <c r="EM226" s="11"/>
      <c r="EN226" s="11"/>
      <c r="EO226" s="11"/>
      <c r="EP226" s="11"/>
      <c r="EQ226" s="11"/>
      <c r="ER226" s="11"/>
      <c r="ES226" s="11"/>
      <c r="ET226" s="11"/>
      <c r="EU226" s="11"/>
      <c r="EV226" s="11"/>
      <c r="EW226" s="11"/>
      <c r="EX226" s="11"/>
      <c r="EY226" s="11"/>
      <c r="EZ226" s="11"/>
      <c r="FA226" s="11"/>
      <c r="FB226" s="11"/>
      <c r="FC226" s="11"/>
      <c r="FD226" s="11"/>
      <c r="FE226" s="11"/>
      <c r="FF226" s="11"/>
      <c r="FG226" s="11"/>
      <c r="FH226" s="11"/>
      <c r="FI226" s="11"/>
      <c r="FJ226" s="11"/>
      <c r="FK226" s="11"/>
      <c r="FL226" s="11"/>
      <c r="FM226" s="11"/>
      <c r="FN226" s="11"/>
      <c r="FO226" s="11"/>
      <c r="FP226" s="11"/>
      <c r="FQ226" s="11"/>
      <c r="FR226" s="11"/>
      <c r="FS226" s="11"/>
      <c r="FT226" s="11"/>
      <c r="FU226" s="11"/>
      <c r="FV226" s="11"/>
      <c r="FW226" s="11"/>
      <c r="FX226" s="11"/>
      <c r="FY226" s="11"/>
      <c r="FZ226" s="11"/>
      <c r="GA226" s="11"/>
      <c r="GB226" s="11"/>
      <c r="GC226" s="11"/>
      <c r="GD226" s="11"/>
      <c r="GE226" s="11"/>
      <c r="GF226" s="11"/>
      <c r="GG226" s="11"/>
      <c r="GH226" s="11"/>
      <c r="GI226" s="11"/>
      <c r="GJ226" s="11"/>
      <c r="GK226" s="11"/>
      <c r="GL226" s="11"/>
      <c r="GM226" s="11"/>
      <c r="GN226" s="11"/>
      <c r="GO226" s="11"/>
      <c r="GP226" s="11"/>
      <c r="GQ226" s="11"/>
      <c r="GR226" s="11"/>
    </row>
    <row r="227" spans="2:200" x14ac:dyDescent="0.15"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11"/>
      <c r="CE227" s="11"/>
      <c r="CF227" s="11"/>
      <c r="CG227" s="11"/>
      <c r="CH227" s="11"/>
      <c r="CI227" s="11"/>
      <c r="CJ227" s="11"/>
      <c r="CK227" s="11"/>
      <c r="CL227" s="11"/>
      <c r="CM227" s="11"/>
      <c r="CN227" s="11"/>
      <c r="CO227" s="11"/>
      <c r="CP227" s="11"/>
      <c r="CQ227" s="11"/>
      <c r="CR227" s="11"/>
      <c r="CS227" s="11"/>
      <c r="CT227" s="11"/>
      <c r="CU227" s="11"/>
      <c r="CV227" s="11"/>
      <c r="CW227" s="11"/>
      <c r="CX227" s="11"/>
      <c r="CY227" s="11"/>
      <c r="CZ227" s="11"/>
      <c r="DA227" s="11"/>
      <c r="DB227" s="11"/>
      <c r="DC227" s="11"/>
      <c r="DD227" s="11"/>
      <c r="DE227" s="11"/>
      <c r="DF227" s="11"/>
      <c r="DG227" s="11"/>
      <c r="DH227" s="11"/>
      <c r="DI227" s="11"/>
      <c r="DJ227" s="11"/>
      <c r="DK227" s="11"/>
      <c r="DL227" s="11"/>
      <c r="DM227" s="11"/>
      <c r="DN227" s="11"/>
      <c r="DO227" s="11"/>
      <c r="DP227" s="11"/>
      <c r="DQ227" s="11"/>
      <c r="DR227" s="11"/>
      <c r="DS227" s="11"/>
      <c r="DT227" s="11"/>
      <c r="DU227" s="11"/>
      <c r="DV227" s="11"/>
      <c r="DW227" s="11"/>
      <c r="DX227" s="11"/>
      <c r="DY227" s="11"/>
      <c r="DZ227" s="11"/>
      <c r="EA227" s="11"/>
      <c r="EB227" s="11"/>
      <c r="EC227" s="11"/>
      <c r="ED227" s="11"/>
      <c r="EE227" s="11"/>
      <c r="EF227" s="11"/>
      <c r="EG227" s="11"/>
      <c r="EH227" s="11"/>
      <c r="EI227" s="11"/>
      <c r="EJ227" s="11"/>
      <c r="EK227" s="11"/>
      <c r="EL227" s="11"/>
      <c r="EM227" s="11"/>
      <c r="EN227" s="11"/>
      <c r="EO227" s="11"/>
      <c r="EP227" s="11"/>
      <c r="EQ227" s="11"/>
      <c r="ER227" s="11"/>
      <c r="ES227" s="11"/>
      <c r="ET227" s="11"/>
      <c r="EU227" s="11"/>
      <c r="EV227" s="11"/>
      <c r="EW227" s="11"/>
      <c r="EX227" s="11"/>
      <c r="EY227" s="11"/>
      <c r="EZ227" s="11"/>
      <c r="FA227" s="11"/>
      <c r="FB227" s="11"/>
      <c r="FC227" s="11"/>
      <c r="FD227" s="11"/>
      <c r="FE227" s="11"/>
      <c r="FF227" s="11"/>
      <c r="FG227" s="11"/>
      <c r="FH227" s="11"/>
      <c r="FI227" s="11"/>
      <c r="FJ227" s="11"/>
      <c r="FK227" s="11"/>
      <c r="FL227" s="11"/>
      <c r="FM227" s="11"/>
      <c r="FN227" s="11"/>
      <c r="FO227" s="11"/>
      <c r="FP227" s="11"/>
      <c r="FQ227" s="11"/>
      <c r="FR227" s="11"/>
      <c r="FS227" s="11"/>
      <c r="FT227" s="11"/>
      <c r="FU227" s="11"/>
      <c r="FV227" s="11"/>
      <c r="FW227" s="11"/>
      <c r="FX227" s="11"/>
      <c r="FY227" s="11"/>
      <c r="FZ227" s="11"/>
      <c r="GA227" s="11"/>
      <c r="GB227" s="11"/>
      <c r="GC227" s="11"/>
      <c r="GD227" s="11"/>
      <c r="GE227" s="11"/>
      <c r="GF227" s="11"/>
      <c r="GG227" s="11"/>
      <c r="GH227" s="11"/>
      <c r="GI227" s="11"/>
      <c r="GJ227" s="11"/>
      <c r="GK227" s="11"/>
      <c r="GL227" s="11"/>
      <c r="GM227" s="11"/>
      <c r="GN227" s="11"/>
      <c r="GO227" s="11"/>
      <c r="GP227" s="11"/>
      <c r="GQ227" s="11"/>
      <c r="GR227" s="11"/>
    </row>
    <row r="228" spans="2:200" x14ac:dyDescent="0.15"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11"/>
      <c r="CE228" s="11"/>
      <c r="CF228" s="11"/>
      <c r="CG228" s="11"/>
      <c r="CH228" s="11"/>
      <c r="CI228" s="11"/>
      <c r="CJ228" s="11"/>
      <c r="CK228" s="11"/>
      <c r="CL228" s="11"/>
      <c r="CM228" s="11"/>
      <c r="CN228" s="11"/>
      <c r="CO228" s="11"/>
      <c r="CP228" s="11"/>
      <c r="CQ228" s="11"/>
      <c r="CR228" s="11"/>
      <c r="CS228" s="11"/>
      <c r="CT228" s="11"/>
      <c r="CU228" s="11"/>
      <c r="CV228" s="11"/>
      <c r="CW228" s="11"/>
      <c r="CX228" s="11"/>
      <c r="CY228" s="11"/>
      <c r="CZ228" s="11"/>
      <c r="DA228" s="11"/>
      <c r="DB228" s="11"/>
      <c r="DC228" s="11"/>
      <c r="DD228" s="11"/>
      <c r="DE228" s="11"/>
      <c r="DF228" s="11"/>
      <c r="DG228" s="11"/>
      <c r="DH228" s="11"/>
      <c r="DI228" s="11"/>
      <c r="DJ228" s="11"/>
      <c r="DK228" s="11"/>
      <c r="DL228" s="11"/>
      <c r="DM228" s="11"/>
      <c r="DN228" s="11"/>
      <c r="DO228" s="11"/>
      <c r="DP228" s="11"/>
      <c r="DQ228" s="11"/>
      <c r="DR228" s="11"/>
      <c r="DS228" s="11"/>
      <c r="DT228" s="11"/>
      <c r="DU228" s="11"/>
      <c r="DV228" s="11"/>
      <c r="DW228" s="11"/>
      <c r="DX228" s="11"/>
      <c r="DY228" s="11"/>
      <c r="DZ228" s="11"/>
      <c r="EA228" s="11"/>
      <c r="EB228" s="11"/>
      <c r="EC228" s="11"/>
      <c r="ED228" s="11"/>
      <c r="EE228" s="11"/>
      <c r="EF228" s="11"/>
      <c r="EG228" s="11"/>
      <c r="EH228" s="11"/>
      <c r="EI228" s="11"/>
      <c r="EJ228" s="11"/>
      <c r="EK228" s="11"/>
      <c r="EL228" s="11"/>
      <c r="EM228" s="11"/>
      <c r="EN228" s="11"/>
      <c r="EO228" s="11"/>
      <c r="EP228" s="11"/>
      <c r="EQ228" s="11"/>
      <c r="ER228" s="11"/>
      <c r="ES228" s="11"/>
      <c r="ET228" s="11"/>
      <c r="EU228" s="11"/>
      <c r="EV228" s="11"/>
      <c r="EW228" s="11"/>
      <c r="EX228" s="11"/>
      <c r="EY228" s="11"/>
      <c r="EZ228" s="11"/>
      <c r="FA228" s="11"/>
      <c r="FB228" s="11"/>
      <c r="FC228" s="11"/>
      <c r="FD228" s="11"/>
      <c r="FE228" s="11"/>
      <c r="FF228" s="11"/>
      <c r="FG228" s="11"/>
      <c r="FH228" s="11"/>
      <c r="FI228" s="11"/>
      <c r="FJ228" s="11"/>
      <c r="FK228" s="11"/>
      <c r="FL228" s="11"/>
      <c r="FM228" s="11"/>
      <c r="FN228" s="11"/>
      <c r="FO228" s="11"/>
      <c r="FP228" s="11"/>
      <c r="FQ228" s="11"/>
      <c r="FR228" s="11"/>
      <c r="FS228" s="11"/>
      <c r="FT228" s="11"/>
      <c r="FU228" s="11"/>
      <c r="FV228" s="11"/>
      <c r="FW228" s="11"/>
      <c r="FX228" s="11"/>
      <c r="FY228" s="11"/>
      <c r="FZ228" s="11"/>
      <c r="GA228" s="11"/>
      <c r="GB228" s="11"/>
      <c r="GC228" s="11"/>
      <c r="GD228" s="11"/>
      <c r="GE228" s="11"/>
      <c r="GF228" s="11"/>
      <c r="GG228" s="11"/>
      <c r="GH228" s="11"/>
      <c r="GI228" s="11"/>
      <c r="GJ228" s="11"/>
      <c r="GK228" s="11"/>
      <c r="GL228" s="11"/>
      <c r="GM228" s="11"/>
      <c r="GN228" s="11"/>
      <c r="GO228" s="11"/>
      <c r="GP228" s="11"/>
      <c r="GQ228" s="11"/>
      <c r="GR228" s="11"/>
    </row>
    <row r="229" spans="2:200" x14ac:dyDescent="0.15"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11"/>
      <c r="CE229" s="11"/>
      <c r="CF229" s="11"/>
      <c r="CG229" s="11"/>
      <c r="CH229" s="11"/>
      <c r="CI229" s="11"/>
      <c r="CJ229" s="11"/>
      <c r="CK229" s="11"/>
      <c r="CL229" s="11"/>
      <c r="CM229" s="11"/>
      <c r="CN229" s="11"/>
      <c r="CO229" s="11"/>
      <c r="CP229" s="11"/>
      <c r="CQ229" s="11"/>
      <c r="CR229" s="11"/>
      <c r="CS229" s="11"/>
      <c r="CT229" s="11"/>
      <c r="CU229" s="11"/>
      <c r="CV229" s="11"/>
      <c r="CW229" s="11"/>
      <c r="CX229" s="11"/>
      <c r="CY229" s="11"/>
      <c r="CZ229" s="11"/>
      <c r="DA229" s="11"/>
      <c r="DB229" s="11"/>
      <c r="DC229" s="11"/>
      <c r="DD229" s="11"/>
      <c r="DE229" s="11"/>
      <c r="DF229" s="11"/>
      <c r="DG229" s="11"/>
      <c r="DH229" s="11"/>
      <c r="DI229" s="11"/>
      <c r="DJ229" s="11"/>
      <c r="DK229" s="11"/>
      <c r="DL229" s="11"/>
      <c r="DM229" s="11"/>
      <c r="DN229" s="11"/>
      <c r="DO229" s="11"/>
      <c r="DP229" s="11"/>
      <c r="DQ229" s="11"/>
      <c r="DR229" s="11"/>
      <c r="DS229" s="11"/>
      <c r="DT229" s="11"/>
      <c r="DU229" s="11"/>
      <c r="DV229" s="11"/>
      <c r="DW229" s="11"/>
      <c r="DX229" s="11"/>
      <c r="DY229" s="11"/>
      <c r="DZ229" s="11"/>
      <c r="EA229" s="11"/>
      <c r="EB229" s="11"/>
      <c r="EC229" s="11"/>
      <c r="ED229" s="11"/>
      <c r="EE229" s="11"/>
      <c r="EF229" s="11"/>
      <c r="EG229" s="11"/>
      <c r="EH229" s="11"/>
      <c r="EI229" s="11"/>
      <c r="EJ229" s="11"/>
      <c r="EK229" s="11"/>
      <c r="EL229" s="11"/>
      <c r="EM229" s="11"/>
      <c r="EN229" s="11"/>
      <c r="EO229" s="11"/>
      <c r="EP229" s="11"/>
      <c r="EQ229" s="11"/>
      <c r="ER229" s="11"/>
      <c r="ES229" s="11"/>
      <c r="ET229" s="11"/>
      <c r="EU229" s="11"/>
      <c r="EV229" s="11"/>
      <c r="EW229" s="11"/>
      <c r="EX229" s="11"/>
      <c r="EY229" s="11"/>
      <c r="EZ229" s="11"/>
      <c r="FA229" s="11"/>
      <c r="FB229" s="11"/>
      <c r="FC229" s="11"/>
      <c r="FD229" s="11"/>
      <c r="FE229" s="11"/>
      <c r="FF229" s="11"/>
      <c r="FG229" s="11"/>
      <c r="FH229" s="11"/>
      <c r="FI229" s="11"/>
      <c r="FJ229" s="11"/>
      <c r="FK229" s="11"/>
      <c r="FL229" s="11"/>
      <c r="FM229" s="11"/>
      <c r="FN229" s="11"/>
      <c r="FO229" s="11"/>
      <c r="FP229" s="11"/>
      <c r="FQ229" s="11"/>
      <c r="FR229" s="11"/>
      <c r="FS229" s="11"/>
      <c r="FT229" s="11"/>
      <c r="FU229" s="11"/>
      <c r="FV229" s="11"/>
      <c r="FW229" s="11"/>
      <c r="FX229" s="11"/>
      <c r="FY229" s="11"/>
      <c r="FZ229" s="11"/>
      <c r="GA229" s="11"/>
      <c r="GB229" s="11"/>
      <c r="GC229" s="11"/>
      <c r="GD229" s="11"/>
      <c r="GE229" s="11"/>
      <c r="GF229" s="11"/>
      <c r="GG229" s="11"/>
      <c r="GH229" s="11"/>
      <c r="GI229" s="11"/>
      <c r="GJ229" s="11"/>
      <c r="GK229" s="11"/>
      <c r="GL229" s="11"/>
      <c r="GM229" s="11"/>
      <c r="GN229" s="11"/>
      <c r="GO229" s="11"/>
      <c r="GP229" s="11"/>
      <c r="GQ229" s="11"/>
      <c r="GR229" s="11"/>
    </row>
    <row r="230" spans="2:200" x14ac:dyDescent="0.15"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11"/>
      <c r="CE230" s="11"/>
      <c r="CF230" s="11"/>
      <c r="CG230" s="11"/>
      <c r="CH230" s="11"/>
      <c r="CI230" s="11"/>
      <c r="CJ230" s="11"/>
      <c r="CK230" s="11"/>
      <c r="CL230" s="11"/>
      <c r="CM230" s="11"/>
      <c r="CN230" s="11"/>
      <c r="CO230" s="11"/>
      <c r="CP230" s="11"/>
      <c r="CQ230" s="11"/>
      <c r="CR230" s="11"/>
      <c r="CS230" s="11"/>
      <c r="CT230" s="11"/>
      <c r="CU230" s="11"/>
      <c r="CV230" s="11"/>
      <c r="CW230" s="11"/>
      <c r="CX230" s="11"/>
      <c r="CY230" s="11"/>
      <c r="CZ230" s="11"/>
      <c r="DA230" s="11"/>
      <c r="DB230" s="11"/>
      <c r="DC230" s="11"/>
      <c r="DD230" s="11"/>
      <c r="DE230" s="11"/>
      <c r="DF230" s="11"/>
      <c r="DG230" s="11"/>
      <c r="DH230" s="11"/>
      <c r="DI230" s="11"/>
      <c r="DJ230" s="11"/>
      <c r="DK230" s="11"/>
      <c r="DL230" s="11"/>
      <c r="DM230" s="11"/>
      <c r="DN230" s="11"/>
      <c r="DO230" s="11"/>
      <c r="DP230" s="11"/>
      <c r="DQ230" s="11"/>
      <c r="DR230" s="11"/>
      <c r="DS230" s="11"/>
      <c r="DT230" s="11"/>
      <c r="DU230" s="11"/>
      <c r="DV230" s="11"/>
      <c r="DW230" s="11"/>
      <c r="DX230" s="11"/>
      <c r="DY230" s="11"/>
      <c r="DZ230" s="11"/>
      <c r="EA230" s="11"/>
      <c r="EB230" s="11"/>
      <c r="EC230" s="11"/>
      <c r="ED230" s="11"/>
      <c r="EE230" s="11"/>
      <c r="EF230" s="11"/>
      <c r="EG230" s="11"/>
      <c r="EH230" s="11"/>
      <c r="EI230" s="11"/>
      <c r="EJ230" s="11"/>
      <c r="EK230" s="11"/>
      <c r="EL230" s="11"/>
      <c r="EM230" s="11"/>
      <c r="EN230" s="11"/>
      <c r="EO230" s="11"/>
      <c r="EP230" s="11"/>
      <c r="EQ230" s="11"/>
      <c r="ER230" s="11"/>
      <c r="ES230" s="11"/>
      <c r="ET230" s="11"/>
      <c r="EU230" s="11"/>
      <c r="EV230" s="11"/>
      <c r="EW230" s="11"/>
      <c r="EX230" s="11"/>
      <c r="EY230" s="11"/>
      <c r="EZ230" s="11"/>
      <c r="FA230" s="11"/>
      <c r="FB230" s="11"/>
      <c r="FC230" s="11"/>
      <c r="FD230" s="11"/>
      <c r="FE230" s="11"/>
      <c r="FF230" s="11"/>
      <c r="FG230" s="11"/>
      <c r="FH230" s="11"/>
      <c r="FI230" s="11"/>
      <c r="FJ230" s="11"/>
      <c r="FK230" s="11"/>
      <c r="FL230" s="11"/>
      <c r="FM230" s="11"/>
      <c r="FN230" s="11"/>
      <c r="FO230" s="11"/>
      <c r="FP230" s="11"/>
      <c r="FQ230" s="11"/>
      <c r="FR230" s="11"/>
      <c r="FS230" s="11"/>
      <c r="FT230" s="11"/>
      <c r="FU230" s="11"/>
      <c r="FV230" s="11"/>
      <c r="FW230" s="11"/>
      <c r="FX230" s="11"/>
      <c r="FY230" s="11"/>
      <c r="FZ230" s="11"/>
      <c r="GA230" s="11"/>
      <c r="GB230" s="11"/>
      <c r="GC230" s="11"/>
      <c r="GD230" s="11"/>
      <c r="GE230" s="11"/>
      <c r="GF230" s="11"/>
      <c r="GG230" s="11"/>
      <c r="GH230" s="11"/>
      <c r="GI230" s="11"/>
      <c r="GJ230" s="11"/>
      <c r="GK230" s="11"/>
      <c r="GL230" s="11"/>
      <c r="GM230" s="11"/>
      <c r="GN230" s="11"/>
      <c r="GO230" s="11"/>
      <c r="GP230" s="11"/>
      <c r="GQ230" s="11"/>
      <c r="GR230" s="11"/>
    </row>
    <row r="231" spans="2:200" x14ac:dyDescent="0.15"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11"/>
      <c r="CE231" s="11"/>
      <c r="CF231" s="11"/>
      <c r="CG231" s="11"/>
      <c r="CH231" s="11"/>
      <c r="CI231" s="11"/>
      <c r="CJ231" s="11"/>
      <c r="CK231" s="11"/>
      <c r="CL231" s="11"/>
      <c r="CM231" s="11"/>
      <c r="CN231" s="11"/>
      <c r="CO231" s="11"/>
      <c r="CP231" s="11"/>
      <c r="CQ231" s="11"/>
      <c r="CR231" s="11"/>
      <c r="CS231" s="11"/>
      <c r="CT231" s="11"/>
      <c r="CU231" s="11"/>
      <c r="CV231" s="11"/>
      <c r="CW231" s="11"/>
      <c r="CX231" s="11"/>
      <c r="CY231" s="11"/>
      <c r="CZ231" s="11"/>
      <c r="DA231" s="11"/>
      <c r="DB231" s="11"/>
      <c r="DC231" s="11"/>
      <c r="DD231" s="11"/>
      <c r="DE231" s="11"/>
      <c r="DF231" s="11"/>
      <c r="DG231" s="11"/>
      <c r="DH231" s="11"/>
      <c r="DI231" s="11"/>
      <c r="DJ231" s="11"/>
      <c r="DK231" s="11"/>
      <c r="DL231" s="11"/>
      <c r="DM231" s="11"/>
      <c r="DN231" s="11"/>
      <c r="DO231" s="11"/>
      <c r="DP231" s="11"/>
      <c r="DQ231" s="11"/>
      <c r="DR231" s="11"/>
      <c r="DS231" s="11"/>
      <c r="DT231" s="11"/>
      <c r="DU231" s="11"/>
      <c r="DV231" s="11"/>
      <c r="DW231" s="11"/>
      <c r="DX231" s="11"/>
      <c r="DY231" s="11"/>
      <c r="DZ231" s="11"/>
      <c r="EA231" s="11"/>
      <c r="EB231" s="11"/>
      <c r="EC231" s="11"/>
      <c r="ED231" s="11"/>
      <c r="EE231" s="11"/>
      <c r="EF231" s="11"/>
      <c r="EG231" s="11"/>
      <c r="EH231" s="11"/>
      <c r="EI231" s="11"/>
      <c r="EJ231" s="11"/>
      <c r="EK231" s="11"/>
      <c r="EL231" s="11"/>
      <c r="EM231" s="11"/>
      <c r="EN231" s="11"/>
      <c r="EO231" s="11"/>
      <c r="EP231" s="11"/>
      <c r="EQ231" s="11"/>
      <c r="ER231" s="11"/>
      <c r="ES231" s="11"/>
      <c r="ET231" s="11"/>
      <c r="EU231" s="11"/>
      <c r="EV231" s="11"/>
      <c r="EW231" s="11"/>
      <c r="EX231" s="11"/>
      <c r="EY231" s="11"/>
      <c r="EZ231" s="11"/>
      <c r="FA231" s="11"/>
      <c r="FB231" s="11"/>
      <c r="FC231" s="11"/>
      <c r="FD231" s="11"/>
      <c r="FE231" s="11"/>
      <c r="FF231" s="11"/>
      <c r="FG231" s="11"/>
      <c r="FH231" s="11"/>
      <c r="FI231" s="11"/>
      <c r="FJ231" s="11"/>
      <c r="FK231" s="11"/>
      <c r="FL231" s="11"/>
      <c r="FM231" s="11"/>
      <c r="FN231" s="11"/>
      <c r="FO231" s="11"/>
      <c r="FP231" s="11"/>
      <c r="FQ231" s="11"/>
      <c r="FR231" s="11"/>
      <c r="FS231" s="11"/>
      <c r="FT231" s="11"/>
      <c r="FU231" s="11"/>
      <c r="FV231" s="11"/>
      <c r="FW231" s="11"/>
      <c r="FX231" s="11"/>
      <c r="FY231" s="11"/>
      <c r="FZ231" s="11"/>
      <c r="GA231" s="11"/>
      <c r="GB231" s="11"/>
      <c r="GC231" s="11"/>
      <c r="GD231" s="11"/>
      <c r="GE231" s="11"/>
      <c r="GF231" s="11"/>
      <c r="GG231" s="11"/>
      <c r="GH231" s="11"/>
      <c r="GI231" s="11"/>
      <c r="GJ231" s="11"/>
      <c r="GK231" s="11"/>
      <c r="GL231" s="11"/>
      <c r="GM231" s="11"/>
      <c r="GN231" s="11"/>
      <c r="GO231" s="11"/>
      <c r="GP231" s="11"/>
      <c r="GQ231" s="11"/>
      <c r="GR231" s="11"/>
    </row>
    <row r="232" spans="2:200" x14ac:dyDescent="0.15"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11"/>
      <c r="CE232" s="11"/>
      <c r="CF232" s="11"/>
      <c r="CG232" s="11"/>
      <c r="CH232" s="11"/>
      <c r="CI232" s="11"/>
      <c r="CJ232" s="11"/>
      <c r="CK232" s="11"/>
      <c r="CL232" s="11"/>
      <c r="CM232" s="11"/>
      <c r="CN232" s="11"/>
      <c r="CO232" s="11"/>
      <c r="CP232" s="11"/>
      <c r="CQ232" s="11"/>
      <c r="CR232" s="11"/>
      <c r="CS232" s="11"/>
      <c r="CT232" s="11"/>
      <c r="CU232" s="11"/>
      <c r="CV232" s="11"/>
      <c r="CW232" s="11"/>
      <c r="CX232" s="11"/>
      <c r="CY232" s="11"/>
      <c r="CZ232" s="11"/>
      <c r="DA232" s="11"/>
      <c r="DB232" s="11"/>
      <c r="DC232" s="11"/>
      <c r="DD232" s="11"/>
      <c r="DE232" s="11"/>
      <c r="DF232" s="11"/>
      <c r="DG232" s="11"/>
      <c r="DH232" s="11"/>
      <c r="DI232" s="11"/>
      <c r="DJ232" s="11"/>
      <c r="DK232" s="11"/>
      <c r="DL232" s="11"/>
      <c r="DM232" s="11"/>
      <c r="DN232" s="11"/>
      <c r="DO232" s="11"/>
      <c r="DP232" s="11"/>
      <c r="DQ232" s="11"/>
      <c r="DR232" s="11"/>
      <c r="DS232" s="11"/>
      <c r="DT232" s="11"/>
      <c r="DU232" s="11"/>
      <c r="DV232" s="11"/>
      <c r="DW232" s="11"/>
      <c r="DX232" s="11"/>
      <c r="DY232" s="11"/>
      <c r="DZ232" s="11"/>
      <c r="EA232" s="11"/>
      <c r="EB232" s="11"/>
      <c r="EC232" s="11"/>
      <c r="ED232" s="11"/>
      <c r="EE232" s="11"/>
      <c r="EF232" s="11"/>
      <c r="EG232" s="11"/>
      <c r="EH232" s="11"/>
      <c r="EI232" s="11"/>
      <c r="EJ232" s="11"/>
      <c r="EK232" s="11"/>
      <c r="EL232" s="11"/>
      <c r="EM232" s="11"/>
      <c r="EN232" s="11"/>
      <c r="EO232" s="11"/>
      <c r="EP232" s="11"/>
      <c r="EQ232" s="11"/>
      <c r="ER232" s="11"/>
      <c r="ES232" s="11"/>
      <c r="ET232" s="11"/>
      <c r="EU232" s="11"/>
      <c r="EV232" s="11"/>
      <c r="EW232" s="11"/>
      <c r="EX232" s="11"/>
      <c r="EY232" s="11"/>
      <c r="EZ232" s="11"/>
      <c r="FA232" s="11"/>
      <c r="FB232" s="11"/>
      <c r="FC232" s="11"/>
      <c r="FD232" s="11"/>
      <c r="FE232" s="11"/>
      <c r="FF232" s="11"/>
      <c r="FG232" s="11"/>
      <c r="FH232" s="11"/>
      <c r="FI232" s="11"/>
      <c r="FJ232" s="11"/>
      <c r="FK232" s="11"/>
      <c r="FL232" s="11"/>
      <c r="FM232" s="11"/>
      <c r="FN232" s="11"/>
      <c r="FO232" s="11"/>
      <c r="FP232" s="11"/>
      <c r="FQ232" s="11"/>
      <c r="FR232" s="11"/>
      <c r="FS232" s="11"/>
      <c r="FT232" s="11"/>
      <c r="FU232" s="11"/>
      <c r="FV232" s="11"/>
      <c r="FW232" s="11"/>
      <c r="FX232" s="11"/>
      <c r="FY232" s="11"/>
      <c r="FZ232" s="11"/>
      <c r="GA232" s="11"/>
      <c r="GB232" s="11"/>
      <c r="GC232" s="11"/>
      <c r="GD232" s="11"/>
      <c r="GE232" s="11"/>
      <c r="GF232" s="11"/>
      <c r="GG232" s="11"/>
      <c r="GH232" s="11"/>
      <c r="GI232" s="11"/>
      <c r="GJ232" s="11"/>
      <c r="GK232" s="11"/>
      <c r="GL232" s="11"/>
      <c r="GM232" s="11"/>
      <c r="GN232" s="11"/>
      <c r="GO232" s="11"/>
      <c r="GP232" s="11"/>
      <c r="GQ232" s="11"/>
      <c r="GR232" s="11"/>
    </row>
    <row r="233" spans="2:200" x14ac:dyDescent="0.15"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11"/>
      <c r="CF233" s="11"/>
      <c r="CG233" s="11"/>
      <c r="CH233" s="11"/>
      <c r="CI233" s="11"/>
      <c r="CJ233" s="11"/>
      <c r="CK233" s="11"/>
      <c r="CL233" s="11"/>
      <c r="CM233" s="11"/>
      <c r="CN233" s="11"/>
      <c r="CO233" s="11"/>
      <c r="CP233" s="11"/>
      <c r="CQ233" s="11"/>
      <c r="CR233" s="11"/>
      <c r="CS233" s="11"/>
      <c r="CT233" s="11"/>
      <c r="CU233" s="11"/>
      <c r="CV233" s="11"/>
      <c r="CW233" s="11"/>
      <c r="CX233" s="11"/>
      <c r="CY233" s="11"/>
      <c r="CZ233" s="11"/>
      <c r="DA233" s="11"/>
      <c r="DB233" s="11"/>
      <c r="DC233" s="11"/>
      <c r="DD233" s="11"/>
      <c r="DE233" s="11"/>
      <c r="DF233" s="11"/>
      <c r="DG233" s="11"/>
      <c r="DH233" s="11"/>
      <c r="DI233" s="11"/>
      <c r="DJ233" s="11"/>
      <c r="DK233" s="11"/>
      <c r="DL233" s="11"/>
      <c r="DM233" s="11"/>
      <c r="DN233" s="11"/>
      <c r="DO233" s="11"/>
      <c r="DP233" s="11"/>
      <c r="DQ233" s="11"/>
      <c r="DR233" s="11"/>
      <c r="DS233" s="11"/>
      <c r="DT233" s="11"/>
      <c r="DU233" s="11"/>
      <c r="DV233" s="11"/>
      <c r="DW233" s="11"/>
      <c r="DX233" s="11"/>
      <c r="DY233" s="11"/>
      <c r="DZ233" s="11"/>
      <c r="EA233" s="11"/>
      <c r="EB233" s="11"/>
      <c r="EC233" s="11"/>
      <c r="ED233" s="11"/>
      <c r="EE233" s="11"/>
      <c r="EF233" s="11"/>
      <c r="EG233" s="11"/>
      <c r="EH233" s="11"/>
      <c r="EI233" s="11"/>
      <c r="EJ233" s="11"/>
      <c r="EK233" s="11"/>
      <c r="EL233" s="11"/>
      <c r="EM233" s="11"/>
      <c r="EN233" s="11"/>
      <c r="EO233" s="11"/>
      <c r="EP233" s="11"/>
      <c r="EQ233" s="11"/>
      <c r="ER233" s="11"/>
      <c r="ES233" s="11"/>
      <c r="ET233" s="11"/>
      <c r="EU233" s="11"/>
      <c r="EV233" s="11"/>
      <c r="EW233" s="11"/>
      <c r="EX233" s="11"/>
      <c r="EY233" s="11"/>
      <c r="EZ233" s="11"/>
      <c r="FA233" s="11"/>
      <c r="FB233" s="11"/>
      <c r="FC233" s="11"/>
      <c r="FD233" s="11"/>
      <c r="FE233" s="11"/>
      <c r="FF233" s="11"/>
      <c r="FG233" s="11"/>
      <c r="FH233" s="11"/>
      <c r="FI233" s="11"/>
      <c r="FJ233" s="11"/>
      <c r="FK233" s="11"/>
      <c r="FL233" s="11"/>
      <c r="FM233" s="11"/>
      <c r="FN233" s="11"/>
      <c r="FO233" s="11"/>
      <c r="FP233" s="11"/>
      <c r="FQ233" s="11"/>
      <c r="FR233" s="11"/>
      <c r="FS233" s="11"/>
      <c r="FT233" s="11"/>
      <c r="FU233" s="11"/>
      <c r="FV233" s="11"/>
      <c r="FW233" s="11"/>
      <c r="FX233" s="11"/>
      <c r="FY233" s="11"/>
      <c r="FZ233" s="11"/>
      <c r="GA233" s="11"/>
      <c r="GB233" s="11"/>
      <c r="GC233" s="11"/>
      <c r="GD233" s="11"/>
      <c r="GE233" s="11"/>
      <c r="GF233" s="11"/>
      <c r="GG233" s="11"/>
      <c r="GH233" s="11"/>
      <c r="GI233" s="11"/>
      <c r="GJ233" s="11"/>
      <c r="GK233" s="11"/>
      <c r="GL233" s="11"/>
      <c r="GM233" s="11"/>
      <c r="GN233" s="11"/>
      <c r="GO233" s="11"/>
      <c r="GP233" s="11"/>
      <c r="GQ233" s="11"/>
      <c r="GR233" s="11"/>
    </row>
    <row r="234" spans="2:200" x14ac:dyDescent="0.15"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11"/>
      <c r="CE234" s="11"/>
      <c r="CF234" s="11"/>
      <c r="CG234" s="11"/>
      <c r="CH234" s="11"/>
      <c r="CI234" s="11"/>
      <c r="CJ234" s="11"/>
      <c r="CK234" s="11"/>
      <c r="CL234" s="11"/>
      <c r="CM234" s="11"/>
      <c r="CN234" s="11"/>
      <c r="CO234" s="11"/>
      <c r="CP234" s="11"/>
      <c r="CQ234" s="11"/>
      <c r="CR234" s="11"/>
      <c r="CS234" s="11"/>
      <c r="CT234" s="11"/>
      <c r="CU234" s="11"/>
      <c r="CV234" s="11"/>
      <c r="CW234" s="11"/>
      <c r="CX234" s="11"/>
      <c r="CY234" s="11"/>
      <c r="CZ234" s="11"/>
      <c r="DA234" s="11"/>
      <c r="DB234" s="11"/>
      <c r="DC234" s="11"/>
      <c r="DD234" s="11"/>
      <c r="DE234" s="11"/>
      <c r="DF234" s="11"/>
      <c r="DG234" s="11"/>
      <c r="DH234" s="11"/>
      <c r="DI234" s="11"/>
      <c r="DJ234" s="11"/>
      <c r="DK234" s="11"/>
      <c r="DL234" s="11"/>
      <c r="DM234" s="11"/>
      <c r="DN234" s="11"/>
      <c r="DO234" s="11"/>
      <c r="DP234" s="11"/>
      <c r="DQ234" s="11"/>
      <c r="DR234" s="11"/>
      <c r="DS234" s="11"/>
      <c r="DT234" s="11"/>
      <c r="DU234" s="11"/>
      <c r="DV234" s="11"/>
      <c r="DW234" s="11"/>
      <c r="DX234" s="11"/>
      <c r="DY234" s="11"/>
      <c r="DZ234" s="11"/>
      <c r="EA234" s="11"/>
      <c r="EB234" s="11"/>
      <c r="EC234" s="11"/>
      <c r="ED234" s="11"/>
      <c r="EE234" s="11"/>
      <c r="EF234" s="11"/>
      <c r="EG234" s="11"/>
      <c r="EH234" s="11"/>
      <c r="EI234" s="11"/>
      <c r="EJ234" s="11"/>
      <c r="EK234" s="11"/>
      <c r="EL234" s="11"/>
      <c r="EM234" s="11"/>
      <c r="EN234" s="11"/>
      <c r="EO234" s="11"/>
      <c r="EP234" s="11"/>
      <c r="EQ234" s="11"/>
      <c r="ER234" s="11"/>
      <c r="ES234" s="11"/>
      <c r="ET234" s="11"/>
      <c r="EU234" s="11"/>
      <c r="EV234" s="11"/>
      <c r="EW234" s="11"/>
      <c r="EX234" s="11"/>
      <c r="EY234" s="11"/>
      <c r="EZ234" s="11"/>
      <c r="FA234" s="11"/>
      <c r="FB234" s="11"/>
      <c r="FC234" s="11"/>
      <c r="FD234" s="11"/>
      <c r="FE234" s="11"/>
      <c r="FF234" s="11"/>
      <c r="FG234" s="11"/>
      <c r="FH234" s="11"/>
      <c r="FI234" s="11"/>
      <c r="FJ234" s="11"/>
      <c r="FK234" s="11"/>
      <c r="FL234" s="11"/>
      <c r="FM234" s="11"/>
      <c r="FN234" s="11"/>
      <c r="FO234" s="11"/>
      <c r="FP234" s="11"/>
      <c r="FQ234" s="11"/>
      <c r="FR234" s="11"/>
      <c r="FS234" s="11"/>
      <c r="FT234" s="11"/>
      <c r="FU234" s="11"/>
      <c r="FV234" s="11"/>
      <c r="FW234" s="11"/>
      <c r="FX234" s="11"/>
      <c r="FY234" s="11"/>
      <c r="FZ234" s="11"/>
      <c r="GA234" s="11"/>
      <c r="GB234" s="11"/>
      <c r="GC234" s="11"/>
      <c r="GD234" s="11"/>
      <c r="GE234" s="11"/>
      <c r="GF234" s="11"/>
      <c r="GG234" s="11"/>
      <c r="GH234" s="11"/>
      <c r="GI234" s="11"/>
      <c r="GJ234" s="11"/>
      <c r="GK234" s="11"/>
      <c r="GL234" s="11"/>
      <c r="GM234" s="11"/>
      <c r="GN234" s="11"/>
      <c r="GO234" s="11"/>
      <c r="GP234" s="11"/>
      <c r="GQ234" s="11"/>
      <c r="GR234" s="11"/>
    </row>
    <row r="235" spans="2:200" x14ac:dyDescent="0.15"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11"/>
      <c r="CE235" s="11"/>
      <c r="CF235" s="11"/>
      <c r="CG235" s="11"/>
      <c r="CH235" s="11"/>
      <c r="CI235" s="11"/>
      <c r="CJ235" s="11"/>
      <c r="CK235" s="11"/>
      <c r="CL235" s="11"/>
      <c r="CM235" s="11"/>
      <c r="CN235" s="11"/>
      <c r="CO235" s="11"/>
      <c r="CP235" s="11"/>
      <c r="CQ235" s="11"/>
      <c r="CR235" s="11"/>
      <c r="CS235" s="11"/>
      <c r="CT235" s="11"/>
      <c r="CU235" s="11"/>
      <c r="CV235" s="11"/>
      <c r="CW235" s="11"/>
      <c r="CX235" s="11"/>
      <c r="CY235" s="11"/>
      <c r="CZ235" s="11"/>
      <c r="DA235" s="11"/>
      <c r="DB235" s="11"/>
      <c r="DC235" s="11"/>
      <c r="DD235" s="11"/>
      <c r="DE235" s="11"/>
      <c r="DF235" s="11"/>
      <c r="DG235" s="11"/>
      <c r="DH235" s="11"/>
      <c r="DI235" s="11"/>
      <c r="DJ235" s="11"/>
      <c r="DK235" s="11"/>
      <c r="DL235" s="11"/>
      <c r="DM235" s="11"/>
      <c r="DN235" s="11"/>
      <c r="DO235" s="11"/>
      <c r="DP235" s="11"/>
      <c r="DQ235" s="11"/>
      <c r="DR235" s="11"/>
      <c r="DS235" s="11"/>
      <c r="DT235" s="11"/>
      <c r="DU235" s="11"/>
      <c r="DV235" s="11"/>
      <c r="DW235" s="11"/>
      <c r="DX235" s="11"/>
      <c r="DY235" s="11"/>
      <c r="DZ235" s="11"/>
      <c r="EA235" s="11"/>
      <c r="EB235" s="11"/>
      <c r="EC235" s="11"/>
      <c r="ED235" s="11"/>
      <c r="EE235" s="11"/>
      <c r="EF235" s="11"/>
      <c r="EG235" s="11"/>
      <c r="EH235" s="11"/>
      <c r="EI235" s="11"/>
      <c r="EJ235" s="11"/>
      <c r="EK235" s="11"/>
      <c r="EL235" s="11"/>
      <c r="EM235" s="11"/>
      <c r="EN235" s="11"/>
      <c r="EO235" s="11"/>
      <c r="EP235" s="11"/>
      <c r="EQ235" s="11"/>
      <c r="ER235" s="11"/>
      <c r="ES235" s="11"/>
      <c r="ET235" s="11"/>
      <c r="EU235" s="11"/>
      <c r="EV235" s="11"/>
      <c r="EW235" s="11"/>
      <c r="EX235" s="11"/>
      <c r="EY235" s="11"/>
      <c r="EZ235" s="11"/>
      <c r="FA235" s="11"/>
      <c r="FB235" s="11"/>
      <c r="FC235" s="11"/>
      <c r="FD235" s="11"/>
      <c r="FE235" s="11"/>
      <c r="FF235" s="11"/>
      <c r="FG235" s="11"/>
      <c r="FH235" s="11"/>
      <c r="FI235" s="11"/>
      <c r="FJ235" s="11"/>
      <c r="FK235" s="11"/>
      <c r="FL235" s="11"/>
      <c r="FM235" s="11"/>
      <c r="FN235" s="11"/>
      <c r="FO235" s="11"/>
      <c r="FP235" s="11"/>
      <c r="FQ235" s="11"/>
      <c r="FR235" s="11"/>
      <c r="FS235" s="11"/>
      <c r="FT235" s="11"/>
      <c r="FU235" s="11"/>
      <c r="FV235" s="11"/>
      <c r="FW235" s="11"/>
      <c r="FX235" s="11"/>
      <c r="FY235" s="11"/>
      <c r="FZ235" s="11"/>
      <c r="GA235" s="11"/>
      <c r="GB235" s="11"/>
      <c r="GC235" s="11"/>
      <c r="GD235" s="11"/>
      <c r="GE235" s="11"/>
      <c r="GF235" s="11"/>
      <c r="GG235" s="11"/>
      <c r="GH235" s="11"/>
      <c r="GI235" s="11"/>
      <c r="GJ235" s="11"/>
      <c r="GK235" s="11"/>
      <c r="GL235" s="11"/>
      <c r="GM235" s="11"/>
      <c r="GN235" s="11"/>
      <c r="GO235" s="11"/>
      <c r="GP235" s="11"/>
      <c r="GQ235" s="11"/>
      <c r="GR235" s="11"/>
    </row>
    <row r="236" spans="2:200" x14ac:dyDescent="0.15"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11"/>
      <c r="CE236" s="11"/>
      <c r="CF236" s="11"/>
      <c r="CG236" s="11"/>
      <c r="CH236" s="11"/>
      <c r="CI236" s="11"/>
      <c r="CJ236" s="11"/>
      <c r="CK236" s="11"/>
      <c r="CL236" s="11"/>
      <c r="CM236" s="11"/>
      <c r="CN236" s="11"/>
      <c r="CO236" s="11"/>
      <c r="CP236" s="11"/>
      <c r="CQ236" s="11"/>
      <c r="CR236" s="11"/>
      <c r="CS236" s="11"/>
      <c r="CT236" s="11"/>
      <c r="CU236" s="11"/>
      <c r="CV236" s="11"/>
      <c r="CW236" s="11"/>
      <c r="CX236" s="11"/>
      <c r="CY236" s="11"/>
      <c r="CZ236" s="11"/>
      <c r="DA236" s="11"/>
      <c r="DB236" s="11"/>
      <c r="DC236" s="11"/>
      <c r="DD236" s="11"/>
      <c r="DE236" s="11"/>
      <c r="DF236" s="11"/>
      <c r="DG236" s="11"/>
      <c r="DH236" s="11"/>
      <c r="DI236" s="11"/>
      <c r="DJ236" s="11"/>
      <c r="DK236" s="11"/>
      <c r="DL236" s="11"/>
      <c r="DM236" s="11"/>
      <c r="DN236" s="11"/>
      <c r="DO236" s="11"/>
      <c r="DP236" s="11"/>
      <c r="DQ236" s="11"/>
      <c r="DR236" s="11"/>
      <c r="DS236" s="11"/>
      <c r="DT236" s="11"/>
      <c r="DU236" s="11"/>
      <c r="DV236" s="11"/>
      <c r="DW236" s="11"/>
      <c r="DX236" s="11"/>
      <c r="DY236" s="11"/>
      <c r="DZ236" s="11"/>
      <c r="EA236" s="11"/>
      <c r="EB236" s="11"/>
      <c r="EC236" s="11"/>
      <c r="ED236" s="11"/>
      <c r="EE236" s="11"/>
      <c r="EF236" s="11"/>
      <c r="EG236" s="11"/>
      <c r="EH236" s="11"/>
      <c r="EI236" s="11"/>
      <c r="EJ236" s="11"/>
      <c r="EK236" s="11"/>
      <c r="EL236" s="11"/>
      <c r="EM236" s="11"/>
      <c r="EN236" s="11"/>
      <c r="EO236" s="11"/>
      <c r="EP236" s="11"/>
      <c r="EQ236" s="11"/>
      <c r="ER236" s="11"/>
      <c r="ES236" s="11"/>
      <c r="ET236" s="11"/>
      <c r="EU236" s="11"/>
      <c r="EV236" s="11"/>
      <c r="EW236" s="11"/>
      <c r="EX236" s="11"/>
      <c r="EY236" s="11"/>
      <c r="EZ236" s="11"/>
      <c r="FA236" s="11"/>
      <c r="FB236" s="11"/>
      <c r="FC236" s="11"/>
      <c r="FD236" s="11"/>
      <c r="FE236" s="11"/>
      <c r="FF236" s="11"/>
      <c r="FG236" s="11"/>
      <c r="FH236" s="11"/>
      <c r="FI236" s="11"/>
      <c r="FJ236" s="11"/>
      <c r="FK236" s="11"/>
      <c r="FL236" s="11"/>
      <c r="FM236" s="11"/>
      <c r="FN236" s="11"/>
      <c r="FO236" s="11"/>
      <c r="FP236" s="11"/>
      <c r="FQ236" s="11"/>
      <c r="FR236" s="11"/>
      <c r="FS236" s="11"/>
      <c r="FT236" s="11"/>
      <c r="FU236" s="11"/>
      <c r="FV236" s="11"/>
      <c r="FW236" s="11"/>
      <c r="FX236" s="11"/>
      <c r="FY236" s="11"/>
      <c r="FZ236" s="11"/>
      <c r="GA236" s="11"/>
      <c r="GB236" s="11"/>
      <c r="GC236" s="11"/>
      <c r="GD236" s="11"/>
      <c r="GE236" s="11"/>
      <c r="GF236" s="11"/>
      <c r="GG236" s="11"/>
      <c r="GH236" s="11"/>
      <c r="GI236" s="11"/>
      <c r="GJ236" s="11"/>
      <c r="GK236" s="11"/>
      <c r="GL236" s="11"/>
      <c r="GM236" s="11"/>
      <c r="GN236" s="11"/>
      <c r="GO236" s="11"/>
      <c r="GP236" s="11"/>
      <c r="GQ236" s="11"/>
      <c r="GR236" s="11"/>
    </row>
    <row r="237" spans="2:200" x14ac:dyDescent="0.15"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11"/>
      <c r="CE237" s="11"/>
      <c r="CF237" s="11"/>
      <c r="CG237" s="11"/>
      <c r="CH237" s="11"/>
      <c r="CI237" s="11"/>
      <c r="CJ237" s="11"/>
      <c r="CK237" s="11"/>
      <c r="CL237" s="11"/>
      <c r="CM237" s="11"/>
      <c r="CN237" s="11"/>
      <c r="CO237" s="11"/>
      <c r="CP237" s="11"/>
      <c r="CQ237" s="11"/>
      <c r="CR237" s="11"/>
      <c r="CS237" s="11"/>
      <c r="CT237" s="11"/>
      <c r="CU237" s="11"/>
      <c r="CV237" s="11"/>
      <c r="CW237" s="11"/>
      <c r="CX237" s="11"/>
      <c r="CY237" s="11"/>
      <c r="CZ237" s="11"/>
      <c r="DA237" s="11"/>
      <c r="DB237" s="11"/>
      <c r="DC237" s="11"/>
      <c r="DD237" s="11"/>
      <c r="DE237" s="11"/>
      <c r="DF237" s="11"/>
      <c r="DG237" s="11"/>
      <c r="DH237" s="11"/>
      <c r="DI237" s="11"/>
      <c r="DJ237" s="11"/>
      <c r="DK237" s="11"/>
      <c r="DL237" s="11"/>
      <c r="DM237" s="11"/>
      <c r="DN237" s="11"/>
      <c r="DO237" s="11"/>
      <c r="DP237" s="11"/>
      <c r="DQ237" s="11"/>
      <c r="DR237" s="11"/>
      <c r="DS237" s="11"/>
      <c r="DT237" s="11"/>
      <c r="DU237" s="11"/>
      <c r="DV237" s="11"/>
      <c r="DW237" s="11"/>
      <c r="DX237" s="11"/>
      <c r="DY237" s="11"/>
      <c r="DZ237" s="11"/>
      <c r="EA237" s="11"/>
      <c r="EB237" s="11"/>
      <c r="EC237" s="11"/>
      <c r="ED237" s="11"/>
      <c r="EE237" s="11"/>
      <c r="EF237" s="11"/>
      <c r="EG237" s="11"/>
      <c r="EH237" s="11"/>
      <c r="EI237" s="11"/>
      <c r="EJ237" s="11"/>
      <c r="EK237" s="11"/>
      <c r="EL237" s="11"/>
      <c r="EM237" s="11"/>
      <c r="EN237" s="11"/>
      <c r="EO237" s="11"/>
      <c r="EP237" s="11"/>
      <c r="EQ237" s="11"/>
      <c r="ER237" s="11"/>
      <c r="ES237" s="11"/>
      <c r="ET237" s="11"/>
      <c r="EU237" s="11"/>
      <c r="EV237" s="11"/>
      <c r="EW237" s="11"/>
      <c r="EX237" s="11"/>
      <c r="EY237" s="11"/>
      <c r="EZ237" s="11"/>
      <c r="FA237" s="11"/>
      <c r="FB237" s="11"/>
      <c r="FC237" s="11"/>
      <c r="FD237" s="11"/>
      <c r="FE237" s="11"/>
      <c r="FF237" s="11"/>
      <c r="FG237" s="11"/>
      <c r="FH237" s="11"/>
      <c r="FI237" s="11"/>
      <c r="FJ237" s="11"/>
      <c r="FK237" s="11"/>
      <c r="FL237" s="11"/>
      <c r="FM237" s="11"/>
      <c r="FN237" s="11"/>
      <c r="FO237" s="11"/>
      <c r="FP237" s="11"/>
      <c r="FQ237" s="11"/>
      <c r="FR237" s="11"/>
      <c r="FS237" s="11"/>
      <c r="FT237" s="11"/>
      <c r="FU237" s="11"/>
      <c r="FV237" s="11"/>
      <c r="FW237" s="11"/>
      <c r="FX237" s="11"/>
      <c r="FY237" s="11"/>
      <c r="FZ237" s="11"/>
      <c r="GA237" s="11"/>
      <c r="GB237" s="11"/>
      <c r="GC237" s="11"/>
      <c r="GD237" s="11"/>
      <c r="GE237" s="11"/>
      <c r="GF237" s="11"/>
      <c r="GG237" s="11"/>
      <c r="GH237" s="11"/>
      <c r="GI237" s="11"/>
      <c r="GJ237" s="11"/>
      <c r="GK237" s="11"/>
      <c r="GL237" s="11"/>
      <c r="GM237" s="11"/>
      <c r="GN237" s="11"/>
      <c r="GO237" s="11"/>
      <c r="GP237" s="11"/>
      <c r="GQ237" s="11"/>
      <c r="GR237" s="11"/>
    </row>
    <row r="238" spans="2:200" x14ac:dyDescent="0.15"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11"/>
      <c r="CE238" s="11"/>
      <c r="CF238" s="11"/>
      <c r="CG238" s="11"/>
      <c r="CH238" s="11"/>
      <c r="CI238" s="11"/>
      <c r="CJ238" s="11"/>
      <c r="CK238" s="11"/>
      <c r="CL238" s="11"/>
      <c r="CM238" s="11"/>
      <c r="CN238" s="11"/>
      <c r="CO238" s="11"/>
      <c r="CP238" s="11"/>
      <c r="CQ238" s="11"/>
      <c r="CR238" s="11"/>
      <c r="CS238" s="11"/>
      <c r="CT238" s="11"/>
      <c r="CU238" s="11"/>
      <c r="CV238" s="11"/>
      <c r="CW238" s="11"/>
      <c r="CX238" s="11"/>
      <c r="CY238" s="11"/>
      <c r="CZ238" s="11"/>
      <c r="DA238" s="11"/>
      <c r="DB238" s="11"/>
      <c r="DC238" s="11"/>
      <c r="DD238" s="11"/>
      <c r="DE238" s="11"/>
      <c r="DF238" s="11"/>
      <c r="DG238" s="11"/>
      <c r="DH238" s="11"/>
      <c r="DI238" s="11"/>
      <c r="DJ238" s="11"/>
      <c r="DK238" s="11"/>
      <c r="DL238" s="11"/>
      <c r="DM238" s="11"/>
      <c r="DN238" s="11"/>
      <c r="DO238" s="11"/>
      <c r="DP238" s="11"/>
      <c r="DQ238" s="11"/>
      <c r="DR238" s="11"/>
      <c r="DS238" s="11"/>
      <c r="DT238" s="11"/>
      <c r="DU238" s="11"/>
      <c r="DV238" s="11"/>
      <c r="DW238" s="11"/>
      <c r="DX238" s="11"/>
      <c r="DY238" s="11"/>
      <c r="DZ238" s="11"/>
      <c r="EA238" s="11"/>
      <c r="EB238" s="11"/>
      <c r="EC238" s="11"/>
      <c r="ED238" s="11"/>
      <c r="EE238" s="11"/>
      <c r="EF238" s="11"/>
      <c r="EG238" s="11"/>
      <c r="EH238" s="11"/>
      <c r="EI238" s="11"/>
      <c r="EJ238" s="11"/>
      <c r="EK238" s="11"/>
      <c r="EL238" s="11"/>
      <c r="EM238" s="11"/>
      <c r="EN238" s="11"/>
      <c r="EO238" s="11"/>
      <c r="EP238" s="11"/>
      <c r="EQ238" s="11"/>
      <c r="ER238" s="11"/>
      <c r="ES238" s="11"/>
      <c r="ET238" s="11"/>
      <c r="EU238" s="11"/>
      <c r="EV238" s="11"/>
      <c r="EW238" s="11"/>
      <c r="EX238" s="11"/>
      <c r="EY238" s="11"/>
      <c r="EZ238" s="11"/>
      <c r="FA238" s="11"/>
      <c r="FB238" s="11"/>
      <c r="FC238" s="11"/>
      <c r="FD238" s="11"/>
      <c r="FE238" s="11"/>
      <c r="FF238" s="11"/>
      <c r="FG238" s="11"/>
      <c r="FH238" s="11"/>
      <c r="FI238" s="11"/>
      <c r="FJ238" s="11"/>
      <c r="FK238" s="11"/>
      <c r="FL238" s="11"/>
      <c r="FM238" s="11"/>
      <c r="FN238" s="11"/>
      <c r="FO238" s="11"/>
      <c r="FP238" s="11"/>
      <c r="FQ238" s="11"/>
      <c r="FR238" s="11"/>
      <c r="FS238" s="11"/>
      <c r="FT238" s="11"/>
      <c r="FU238" s="11"/>
      <c r="FV238" s="11"/>
      <c r="FW238" s="11"/>
      <c r="FX238" s="11"/>
      <c r="FY238" s="11"/>
      <c r="FZ238" s="11"/>
      <c r="GA238" s="11"/>
      <c r="GB238" s="11"/>
      <c r="GC238" s="11"/>
      <c r="GD238" s="11"/>
      <c r="GE238" s="11"/>
      <c r="GF238" s="11"/>
      <c r="GG238" s="11"/>
      <c r="GH238" s="11"/>
      <c r="GI238" s="11"/>
      <c r="GJ238" s="11"/>
      <c r="GK238" s="11"/>
      <c r="GL238" s="11"/>
      <c r="GM238" s="11"/>
      <c r="GN238" s="11"/>
      <c r="GO238" s="11"/>
      <c r="GP238" s="11"/>
      <c r="GQ238" s="11"/>
      <c r="GR238" s="11"/>
    </row>
    <row r="239" spans="2:200" x14ac:dyDescent="0.15"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11"/>
      <c r="CE239" s="11"/>
      <c r="CF239" s="11"/>
      <c r="CG239" s="11"/>
      <c r="CH239" s="11"/>
      <c r="CI239" s="11"/>
      <c r="CJ239" s="11"/>
      <c r="CK239" s="11"/>
      <c r="CL239" s="11"/>
      <c r="CM239" s="11"/>
      <c r="CN239" s="11"/>
      <c r="CO239" s="11"/>
      <c r="CP239" s="11"/>
      <c r="CQ239" s="11"/>
      <c r="CR239" s="11"/>
      <c r="CS239" s="11"/>
      <c r="CT239" s="11"/>
      <c r="CU239" s="11"/>
      <c r="CV239" s="11"/>
      <c r="CW239" s="11"/>
      <c r="CX239" s="11"/>
      <c r="CY239" s="11"/>
      <c r="CZ239" s="11"/>
      <c r="DA239" s="11"/>
      <c r="DB239" s="11"/>
      <c r="DC239" s="11"/>
      <c r="DD239" s="11"/>
      <c r="DE239" s="11"/>
      <c r="DF239" s="11"/>
      <c r="DG239" s="11"/>
      <c r="DH239" s="11"/>
      <c r="DI239" s="11"/>
      <c r="DJ239" s="11"/>
      <c r="DK239" s="11"/>
      <c r="DL239" s="11"/>
      <c r="DM239" s="11"/>
      <c r="DN239" s="11"/>
      <c r="DO239" s="11"/>
      <c r="DP239" s="11"/>
      <c r="DQ239" s="11"/>
      <c r="DR239" s="11"/>
      <c r="DS239" s="11"/>
      <c r="DT239" s="11"/>
      <c r="DU239" s="11"/>
      <c r="DV239" s="11"/>
      <c r="DW239" s="11"/>
      <c r="DX239" s="11"/>
      <c r="DY239" s="11"/>
      <c r="DZ239" s="11"/>
      <c r="EA239" s="11"/>
      <c r="EB239" s="11"/>
      <c r="EC239" s="11"/>
      <c r="ED239" s="11"/>
      <c r="EE239" s="11"/>
      <c r="EF239" s="11"/>
      <c r="EG239" s="11"/>
      <c r="EH239" s="11"/>
      <c r="EI239" s="11"/>
      <c r="EJ239" s="11"/>
      <c r="EK239" s="11"/>
      <c r="EL239" s="11"/>
      <c r="EM239" s="11"/>
      <c r="EN239" s="11"/>
      <c r="EO239" s="11"/>
      <c r="EP239" s="11"/>
      <c r="EQ239" s="11"/>
      <c r="ER239" s="11"/>
      <c r="ES239" s="11"/>
      <c r="ET239" s="11"/>
      <c r="EU239" s="11"/>
      <c r="EV239" s="11"/>
      <c r="EW239" s="11"/>
      <c r="EX239" s="11"/>
      <c r="EY239" s="11"/>
      <c r="EZ239" s="11"/>
      <c r="FA239" s="11"/>
      <c r="FB239" s="11"/>
      <c r="FC239" s="11"/>
      <c r="FD239" s="11"/>
      <c r="FE239" s="11"/>
      <c r="FF239" s="11"/>
      <c r="FG239" s="11"/>
      <c r="FH239" s="11"/>
      <c r="FI239" s="11"/>
      <c r="FJ239" s="11"/>
      <c r="FK239" s="11"/>
      <c r="FL239" s="11"/>
      <c r="FM239" s="11"/>
      <c r="FN239" s="11"/>
      <c r="FO239" s="11"/>
      <c r="FP239" s="11"/>
      <c r="FQ239" s="11"/>
      <c r="FR239" s="11"/>
      <c r="FS239" s="11"/>
      <c r="FT239" s="11"/>
      <c r="FU239" s="11"/>
      <c r="FV239" s="11"/>
      <c r="FW239" s="11"/>
      <c r="FX239" s="11"/>
      <c r="FY239" s="11"/>
      <c r="FZ239" s="11"/>
      <c r="GA239" s="11"/>
      <c r="GB239" s="11"/>
      <c r="GC239" s="11"/>
      <c r="GD239" s="11"/>
      <c r="GE239" s="11"/>
      <c r="GF239" s="11"/>
      <c r="GG239" s="11"/>
      <c r="GH239" s="11"/>
      <c r="GI239" s="11"/>
      <c r="GJ239" s="11"/>
      <c r="GK239" s="11"/>
      <c r="GL239" s="11"/>
      <c r="GM239" s="11"/>
      <c r="GN239" s="11"/>
      <c r="GO239" s="11"/>
      <c r="GP239" s="11"/>
      <c r="GQ239" s="11"/>
      <c r="GR239" s="11"/>
    </row>
    <row r="240" spans="2:200" x14ac:dyDescent="0.15"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  <c r="CW240" s="11"/>
      <c r="CX240" s="11"/>
      <c r="CY240" s="11"/>
      <c r="CZ240" s="11"/>
      <c r="DA240" s="11"/>
      <c r="DB240" s="11"/>
      <c r="DC240" s="11"/>
      <c r="DD240" s="11"/>
      <c r="DE240" s="11"/>
      <c r="DF240" s="11"/>
      <c r="DG240" s="11"/>
      <c r="DH240" s="11"/>
      <c r="DI240" s="11"/>
      <c r="DJ240" s="11"/>
      <c r="DK240" s="11"/>
      <c r="DL240" s="11"/>
      <c r="DM240" s="11"/>
      <c r="DN240" s="11"/>
      <c r="DO240" s="11"/>
      <c r="DP240" s="11"/>
      <c r="DQ240" s="11"/>
      <c r="DR240" s="11"/>
      <c r="DS240" s="11"/>
      <c r="DT240" s="11"/>
      <c r="DU240" s="11"/>
      <c r="DV240" s="11"/>
      <c r="DW240" s="11"/>
      <c r="DX240" s="11"/>
      <c r="DY240" s="11"/>
      <c r="DZ240" s="11"/>
      <c r="EA240" s="11"/>
      <c r="EB240" s="11"/>
      <c r="EC240" s="11"/>
      <c r="ED240" s="11"/>
      <c r="EE240" s="11"/>
      <c r="EF240" s="11"/>
      <c r="EG240" s="11"/>
      <c r="EH240" s="11"/>
      <c r="EI240" s="11"/>
      <c r="EJ240" s="11"/>
      <c r="EK240" s="11"/>
      <c r="EL240" s="11"/>
      <c r="EM240" s="11"/>
      <c r="EN240" s="11"/>
      <c r="EO240" s="11"/>
      <c r="EP240" s="11"/>
      <c r="EQ240" s="11"/>
      <c r="ER240" s="11"/>
      <c r="ES240" s="11"/>
      <c r="ET240" s="11"/>
      <c r="EU240" s="11"/>
      <c r="EV240" s="11"/>
      <c r="EW240" s="11"/>
      <c r="EX240" s="11"/>
      <c r="EY240" s="11"/>
      <c r="EZ240" s="11"/>
      <c r="FA240" s="11"/>
      <c r="FB240" s="11"/>
      <c r="FC240" s="11"/>
      <c r="FD240" s="11"/>
      <c r="FE240" s="11"/>
      <c r="FF240" s="11"/>
      <c r="FG240" s="11"/>
      <c r="FH240" s="11"/>
      <c r="FI240" s="11"/>
      <c r="FJ240" s="11"/>
      <c r="FK240" s="11"/>
      <c r="FL240" s="11"/>
      <c r="FM240" s="11"/>
      <c r="FN240" s="11"/>
      <c r="FO240" s="11"/>
      <c r="FP240" s="11"/>
      <c r="FQ240" s="11"/>
      <c r="FR240" s="11"/>
      <c r="FS240" s="11"/>
      <c r="FT240" s="11"/>
      <c r="FU240" s="11"/>
      <c r="FV240" s="11"/>
      <c r="FW240" s="11"/>
      <c r="FX240" s="11"/>
      <c r="FY240" s="11"/>
      <c r="FZ240" s="11"/>
      <c r="GA240" s="11"/>
      <c r="GB240" s="11"/>
      <c r="GC240" s="11"/>
      <c r="GD240" s="11"/>
      <c r="GE240" s="11"/>
      <c r="GF240" s="11"/>
      <c r="GG240" s="11"/>
      <c r="GH240" s="11"/>
      <c r="GI240" s="11"/>
      <c r="GJ240" s="11"/>
      <c r="GK240" s="11"/>
      <c r="GL240" s="11"/>
      <c r="GM240" s="11"/>
      <c r="GN240" s="11"/>
      <c r="GO240" s="11"/>
      <c r="GP240" s="11"/>
      <c r="GQ240" s="11"/>
      <c r="GR240" s="11"/>
    </row>
    <row r="241" spans="2:200" x14ac:dyDescent="0.15"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11"/>
      <c r="CE241" s="11"/>
      <c r="CF241" s="11"/>
      <c r="CG241" s="11"/>
      <c r="CH241" s="11"/>
      <c r="CI241" s="11"/>
      <c r="CJ241" s="11"/>
      <c r="CK241" s="11"/>
      <c r="CL241" s="11"/>
      <c r="CM241" s="11"/>
      <c r="CN241" s="11"/>
      <c r="CO241" s="11"/>
      <c r="CP241" s="11"/>
      <c r="CQ241" s="11"/>
      <c r="CR241" s="11"/>
      <c r="CS241" s="11"/>
      <c r="CT241" s="11"/>
      <c r="CU241" s="11"/>
      <c r="CV241" s="11"/>
      <c r="CW241" s="11"/>
      <c r="CX241" s="11"/>
      <c r="CY241" s="11"/>
      <c r="CZ241" s="11"/>
      <c r="DA241" s="11"/>
      <c r="DB241" s="11"/>
      <c r="DC241" s="11"/>
      <c r="DD241" s="11"/>
      <c r="DE241" s="11"/>
      <c r="DF241" s="11"/>
      <c r="DG241" s="11"/>
      <c r="DH241" s="11"/>
      <c r="DI241" s="11"/>
      <c r="DJ241" s="11"/>
      <c r="DK241" s="11"/>
      <c r="DL241" s="11"/>
      <c r="DM241" s="11"/>
      <c r="DN241" s="11"/>
      <c r="DO241" s="11"/>
      <c r="DP241" s="11"/>
      <c r="DQ241" s="11"/>
      <c r="DR241" s="11"/>
      <c r="DS241" s="11"/>
      <c r="DT241" s="11"/>
      <c r="DU241" s="11"/>
      <c r="DV241" s="11"/>
      <c r="DW241" s="11"/>
      <c r="DX241" s="11"/>
      <c r="DY241" s="11"/>
      <c r="DZ241" s="11"/>
      <c r="EA241" s="11"/>
      <c r="EB241" s="11"/>
      <c r="EC241" s="11"/>
      <c r="ED241" s="11"/>
      <c r="EE241" s="11"/>
      <c r="EF241" s="11"/>
      <c r="EG241" s="11"/>
      <c r="EH241" s="11"/>
      <c r="EI241" s="11"/>
      <c r="EJ241" s="11"/>
      <c r="EK241" s="11"/>
      <c r="EL241" s="11"/>
      <c r="EM241" s="11"/>
      <c r="EN241" s="11"/>
      <c r="EO241" s="11"/>
      <c r="EP241" s="11"/>
      <c r="EQ241" s="11"/>
      <c r="ER241" s="11"/>
      <c r="ES241" s="11"/>
      <c r="ET241" s="11"/>
      <c r="EU241" s="11"/>
      <c r="EV241" s="11"/>
      <c r="EW241" s="11"/>
      <c r="EX241" s="11"/>
      <c r="EY241" s="11"/>
      <c r="EZ241" s="11"/>
      <c r="FA241" s="11"/>
      <c r="FB241" s="11"/>
      <c r="FC241" s="11"/>
      <c r="FD241" s="11"/>
      <c r="FE241" s="11"/>
      <c r="FF241" s="11"/>
      <c r="FG241" s="11"/>
      <c r="FH241" s="11"/>
      <c r="FI241" s="11"/>
      <c r="FJ241" s="11"/>
      <c r="FK241" s="11"/>
      <c r="FL241" s="11"/>
      <c r="FM241" s="11"/>
      <c r="FN241" s="11"/>
      <c r="FO241" s="11"/>
      <c r="FP241" s="11"/>
      <c r="FQ241" s="11"/>
      <c r="FR241" s="11"/>
      <c r="FS241" s="11"/>
      <c r="FT241" s="11"/>
      <c r="FU241" s="11"/>
      <c r="FV241" s="11"/>
      <c r="FW241" s="11"/>
      <c r="FX241" s="11"/>
      <c r="FY241" s="11"/>
      <c r="FZ241" s="11"/>
      <c r="GA241" s="11"/>
      <c r="GB241" s="11"/>
      <c r="GC241" s="11"/>
      <c r="GD241" s="11"/>
      <c r="GE241" s="11"/>
      <c r="GF241" s="11"/>
      <c r="GG241" s="11"/>
      <c r="GH241" s="11"/>
      <c r="GI241" s="11"/>
      <c r="GJ241" s="11"/>
      <c r="GK241" s="11"/>
      <c r="GL241" s="11"/>
      <c r="GM241" s="11"/>
      <c r="GN241" s="11"/>
      <c r="GO241" s="11"/>
      <c r="GP241" s="11"/>
      <c r="GQ241" s="11"/>
      <c r="GR241" s="11"/>
    </row>
    <row r="242" spans="2:200" x14ac:dyDescent="0.15"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1"/>
      <c r="CL242" s="11"/>
      <c r="CM242" s="11"/>
      <c r="CN242" s="11"/>
      <c r="CO242" s="11"/>
      <c r="CP242" s="11"/>
      <c r="CQ242" s="11"/>
      <c r="CR242" s="11"/>
      <c r="CS242" s="11"/>
      <c r="CT242" s="11"/>
      <c r="CU242" s="11"/>
      <c r="CV242" s="11"/>
      <c r="CW242" s="11"/>
      <c r="CX242" s="11"/>
      <c r="CY242" s="11"/>
      <c r="CZ242" s="11"/>
      <c r="DA242" s="11"/>
      <c r="DB242" s="11"/>
      <c r="DC242" s="11"/>
      <c r="DD242" s="11"/>
      <c r="DE242" s="11"/>
      <c r="DF242" s="11"/>
      <c r="DG242" s="11"/>
      <c r="DH242" s="11"/>
      <c r="DI242" s="11"/>
      <c r="DJ242" s="11"/>
      <c r="DK242" s="11"/>
      <c r="DL242" s="11"/>
      <c r="DM242" s="11"/>
      <c r="DN242" s="11"/>
      <c r="DO242" s="11"/>
      <c r="DP242" s="11"/>
      <c r="DQ242" s="11"/>
      <c r="DR242" s="11"/>
      <c r="DS242" s="11"/>
      <c r="DT242" s="11"/>
      <c r="DU242" s="11"/>
      <c r="DV242" s="11"/>
      <c r="DW242" s="11"/>
      <c r="DX242" s="11"/>
      <c r="DY242" s="11"/>
      <c r="DZ242" s="11"/>
      <c r="EA242" s="11"/>
      <c r="EB242" s="11"/>
      <c r="EC242" s="11"/>
      <c r="ED242" s="11"/>
      <c r="EE242" s="11"/>
      <c r="EF242" s="11"/>
      <c r="EG242" s="11"/>
      <c r="EH242" s="11"/>
      <c r="EI242" s="11"/>
      <c r="EJ242" s="11"/>
      <c r="EK242" s="11"/>
      <c r="EL242" s="11"/>
      <c r="EM242" s="11"/>
      <c r="EN242" s="11"/>
      <c r="EO242" s="11"/>
      <c r="EP242" s="11"/>
      <c r="EQ242" s="11"/>
      <c r="ER242" s="11"/>
      <c r="ES242" s="11"/>
      <c r="ET242" s="11"/>
      <c r="EU242" s="11"/>
      <c r="EV242" s="11"/>
      <c r="EW242" s="11"/>
      <c r="EX242" s="11"/>
      <c r="EY242" s="11"/>
      <c r="EZ242" s="11"/>
      <c r="FA242" s="11"/>
      <c r="FB242" s="11"/>
      <c r="FC242" s="11"/>
      <c r="FD242" s="11"/>
      <c r="FE242" s="11"/>
      <c r="FF242" s="11"/>
      <c r="FG242" s="11"/>
      <c r="FH242" s="11"/>
      <c r="FI242" s="11"/>
      <c r="FJ242" s="11"/>
      <c r="FK242" s="11"/>
      <c r="FL242" s="11"/>
      <c r="FM242" s="11"/>
      <c r="FN242" s="11"/>
      <c r="FO242" s="11"/>
      <c r="FP242" s="11"/>
      <c r="FQ242" s="11"/>
      <c r="FR242" s="11"/>
      <c r="FS242" s="11"/>
      <c r="FT242" s="11"/>
      <c r="FU242" s="11"/>
      <c r="FV242" s="11"/>
      <c r="FW242" s="11"/>
      <c r="FX242" s="11"/>
      <c r="FY242" s="11"/>
      <c r="FZ242" s="11"/>
      <c r="GA242" s="11"/>
      <c r="GB242" s="11"/>
      <c r="GC242" s="11"/>
      <c r="GD242" s="11"/>
      <c r="GE242" s="11"/>
      <c r="GF242" s="11"/>
      <c r="GG242" s="11"/>
      <c r="GH242" s="11"/>
      <c r="GI242" s="11"/>
      <c r="GJ242" s="11"/>
      <c r="GK242" s="11"/>
      <c r="GL242" s="11"/>
      <c r="GM242" s="11"/>
      <c r="GN242" s="11"/>
      <c r="GO242" s="11"/>
      <c r="GP242" s="11"/>
      <c r="GQ242" s="11"/>
      <c r="GR242" s="11"/>
    </row>
    <row r="243" spans="2:200" x14ac:dyDescent="0.15"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11"/>
      <c r="CE243" s="11"/>
      <c r="CF243" s="11"/>
      <c r="CG243" s="11"/>
      <c r="CH243" s="11"/>
      <c r="CI243" s="11"/>
      <c r="CJ243" s="11"/>
      <c r="CK243" s="11"/>
      <c r="CL243" s="11"/>
      <c r="CM243" s="11"/>
      <c r="CN243" s="11"/>
      <c r="CO243" s="11"/>
      <c r="CP243" s="11"/>
      <c r="CQ243" s="11"/>
      <c r="CR243" s="11"/>
      <c r="CS243" s="11"/>
      <c r="CT243" s="11"/>
      <c r="CU243" s="11"/>
      <c r="CV243" s="11"/>
      <c r="CW243" s="11"/>
      <c r="CX243" s="11"/>
      <c r="CY243" s="11"/>
      <c r="CZ243" s="11"/>
      <c r="DA243" s="11"/>
      <c r="DB243" s="11"/>
      <c r="DC243" s="11"/>
      <c r="DD243" s="11"/>
      <c r="DE243" s="11"/>
      <c r="DF243" s="11"/>
      <c r="DG243" s="11"/>
      <c r="DH243" s="11"/>
      <c r="DI243" s="11"/>
      <c r="DJ243" s="11"/>
      <c r="DK243" s="11"/>
      <c r="DL243" s="11"/>
      <c r="DM243" s="11"/>
      <c r="DN243" s="11"/>
      <c r="DO243" s="11"/>
      <c r="DP243" s="11"/>
      <c r="DQ243" s="11"/>
      <c r="DR243" s="11"/>
      <c r="DS243" s="11"/>
      <c r="DT243" s="11"/>
      <c r="DU243" s="11"/>
      <c r="DV243" s="11"/>
      <c r="DW243" s="11"/>
      <c r="DX243" s="11"/>
      <c r="DY243" s="11"/>
      <c r="DZ243" s="11"/>
      <c r="EA243" s="11"/>
      <c r="EB243" s="11"/>
      <c r="EC243" s="11"/>
      <c r="ED243" s="11"/>
      <c r="EE243" s="11"/>
      <c r="EF243" s="11"/>
      <c r="EG243" s="11"/>
      <c r="EH243" s="11"/>
      <c r="EI243" s="11"/>
      <c r="EJ243" s="11"/>
      <c r="EK243" s="11"/>
      <c r="EL243" s="11"/>
      <c r="EM243" s="11"/>
      <c r="EN243" s="11"/>
      <c r="EO243" s="11"/>
      <c r="EP243" s="11"/>
      <c r="EQ243" s="11"/>
      <c r="ER243" s="11"/>
      <c r="ES243" s="11"/>
      <c r="ET243" s="11"/>
      <c r="EU243" s="11"/>
      <c r="EV243" s="11"/>
      <c r="EW243" s="11"/>
      <c r="EX243" s="11"/>
      <c r="EY243" s="11"/>
      <c r="EZ243" s="11"/>
      <c r="FA243" s="11"/>
      <c r="FB243" s="11"/>
      <c r="FC243" s="11"/>
      <c r="FD243" s="11"/>
      <c r="FE243" s="11"/>
      <c r="FF243" s="11"/>
      <c r="FG243" s="11"/>
      <c r="FH243" s="11"/>
      <c r="FI243" s="11"/>
      <c r="FJ243" s="11"/>
      <c r="FK243" s="11"/>
      <c r="FL243" s="11"/>
      <c r="FM243" s="11"/>
      <c r="FN243" s="11"/>
      <c r="FO243" s="11"/>
      <c r="FP243" s="11"/>
      <c r="FQ243" s="11"/>
      <c r="FR243" s="11"/>
      <c r="FS243" s="11"/>
      <c r="FT243" s="11"/>
      <c r="FU243" s="11"/>
      <c r="FV243" s="11"/>
      <c r="FW243" s="11"/>
      <c r="FX243" s="11"/>
      <c r="FY243" s="11"/>
      <c r="FZ243" s="11"/>
      <c r="GA243" s="11"/>
      <c r="GB243" s="11"/>
      <c r="GC243" s="11"/>
      <c r="GD243" s="11"/>
      <c r="GE243" s="11"/>
      <c r="GF243" s="11"/>
      <c r="GG243" s="11"/>
      <c r="GH243" s="11"/>
      <c r="GI243" s="11"/>
      <c r="GJ243" s="11"/>
      <c r="GK243" s="11"/>
      <c r="GL243" s="11"/>
      <c r="GM243" s="11"/>
      <c r="GN243" s="11"/>
      <c r="GO243" s="11"/>
      <c r="GP243" s="11"/>
      <c r="GQ243" s="11"/>
      <c r="GR243" s="11"/>
    </row>
    <row r="244" spans="2:200" x14ac:dyDescent="0.15"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11"/>
      <c r="CE244" s="11"/>
      <c r="CF244" s="11"/>
      <c r="CG244" s="11"/>
      <c r="CH244" s="11"/>
      <c r="CI244" s="11"/>
      <c r="CJ244" s="11"/>
      <c r="CK244" s="11"/>
      <c r="CL244" s="11"/>
      <c r="CM244" s="11"/>
      <c r="CN244" s="11"/>
      <c r="CO244" s="11"/>
      <c r="CP244" s="11"/>
      <c r="CQ244" s="11"/>
      <c r="CR244" s="11"/>
      <c r="CS244" s="11"/>
      <c r="CT244" s="11"/>
      <c r="CU244" s="11"/>
      <c r="CV244" s="11"/>
      <c r="CW244" s="11"/>
      <c r="CX244" s="11"/>
      <c r="CY244" s="11"/>
      <c r="CZ244" s="11"/>
      <c r="DA244" s="11"/>
      <c r="DB244" s="11"/>
      <c r="DC244" s="11"/>
      <c r="DD244" s="11"/>
      <c r="DE244" s="11"/>
      <c r="DF244" s="11"/>
      <c r="DG244" s="11"/>
      <c r="DH244" s="11"/>
      <c r="DI244" s="11"/>
      <c r="DJ244" s="11"/>
      <c r="DK244" s="11"/>
      <c r="DL244" s="11"/>
      <c r="DM244" s="11"/>
      <c r="DN244" s="11"/>
      <c r="DO244" s="11"/>
      <c r="DP244" s="11"/>
      <c r="DQ244" s="11"/>
      <c r="DR244" s="11"/>
      <c r="DS244" s="11"/>
      <c r="DT244" s="11"/>
      <c r="DU244" s="11"/>
      <c r="DV244" s="11"/>
      <c r="DW244" s="11"/>
      <c r="DX244" s="11"/>
      <c r="DY244" s="11"/>
      <c r="DZ244" s="11"/>
      <c r="EA244" s="11"/>
      <c r="EB244" s="11"/>
      <c r="EC244" s="11"/>
      <c r="ED244" s="11"/>
      <c r="EE244" s="11"/>
      <c r="EF244" s="11"/>
      <c r="EG244" s="11"/>
      <c r="EH244" s="11"/>
      <c r="EI244" s="11"/>
      <c r="EJ244" s="11"/>
      <c r="EK244" s="11"/>
      <c r="EL244" s="11"/>
      <c r="EM244" s="11"/>
      <c r="EN244" s="11"/>
      <c r="EO244" s="11"/>
      <c r="EP244" s="11"/>
      <c r="EQ244" s="11"/>
      <c r="ER244" s="11"/>
      <c r="ES244" s="11"/>
      <c r="ET244" s="11"/>
      <c r="EU244" s="11"/>
      <c r="EV244" s="11"/>
      <c r="EW244" s="11"/>
      <c r="EX244" s="11"/>
      <c r="EY244" s="11"/>
      <c r="EZ244" s="11"/>
      <c r="FA244" s="11"/>
      <c r="FB244" s="11"/>
      <c r="FC244" s="11"/>
      <c r="FD244" s="11"/>
      <c r="FE244" s="11"/>
      <c r="FF244" s="11"/>
      <c r="FG244" s="11"/>
      <c r="FH244" s="11"/>
      <c r="FI244" s="11"/>
      <c r="FJ244" s="11"/>
      <c r="FK244" s="11"/>
      <c r="FL244" s="11"/>
      <c r="FM244" s="11"/>
      <c r="FN244" s="11"/>
      <c r="FO244" s="11"/>
      <c r="FP244" s="11"/>
      <c r="FQ244" s="11"/>
      <c r="FR244" s="11"/>
      <c r="FS244" s="11"/>
      <c r="FT244" s="11"/>
      <c r="FU244" s="11"/>
      <c r="FV244" s="11"/>
      <c r="FW244" s="11"/>
      <c r="FX244" s="11"/>
      <c r="FY244" s="11"/>
      <c r="FZ244" s="11"/>
      <c r="GA244" s="11"/>
      <c r="GB244" s="11"/>
      <c r="GC244" s="11"/>
      <c r="GD244" s="11"/>
      <c r="GE244" s="11"/>
      <c r="GF244" s="11"/>
      <c r="GG244" s="11"/>
      <c r="GH244" s="11"/>
      <c r="GI244" s="11"/>
      <c r="GJ244" s="11"/>
      <c r="GK244" s="11"/>
      <c r="GL244" s="11"/>
      <c r="GM244" s="11"/>
      <c r="GN244" s="11"/>
      <c r="GO244" s="11"/>
      <c r="GP244" s="11"/>
      <c r="GQ244" s="11"/>
      <c r="GR244" s="11"/>
    </row>
    <row r="245" spans="2:200" x14ac:dyDescent="0.15"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11"/>
      <c r="CE245" s="11"/>
      <c r="CF245" s="11"/>
      <c r="CG245" s="11"/>
      <c r="CH245" s="11"/>
      <c r="CI245" s="11"/>
      <c r="CJ245" s="11"/>
      <c r="CK245" s="11"/>
      <c r="CL245" s="11"/>
      <c r="CM245" s="11"/>
      <c r="CN245" s="11"/>
      <c r="CO245" s="11"/>
      <c r="CP245" s="11"/>
      <c r="CQ245" s="11"/>
      <c r="CR245" s="11"/>
      <c r="CS245" s="11"/>
      <c r="CT245" s="11"/>
      <c r="CU245" s="11"/>
      <c r="CV245" s="11"/>
      <c r="CW245" s="11"/>
      <c r="CX245" s="11"/>
      <c r="CY245" s="11"/>
      <c r="CZ245" s="11"/>
      <c r="DA245" s="11"/>
      <c r="DB245" s="11"/>
      <c r="DC245" s="11"/>
      <c r="DD245" s="11"/>
      <c r="DE245" s="11"/>
      <c r="DF245" s="11"/>
      <c r="DG245" s="11"/>
      <c r="DH245" s="11"/>
      <c r="DI245" s="11"/>
      <c r="DJ245" s="11"/>
      <c r="DK245" s="11"/>
      <c r="DL245" s="11"/>
      <c r="DM245" s="11"/>
      <c r="DN245" s="11"/>
      <c r="DO245" s="11"/>
      <c r="DP245" s="11"/>
      <c r="DQ245" s="11"/>
      <c r="DR245" s="11"/>
      <c r="DS245" s="11"/>
      <c r="DT245" s="11"/>
      <c r="DU245" s="11"/>
      <c r="DV245" s="11"/>
      <c r="DW245" s="11"/>
      <c r="DX245" s="11"/>
      <c r="DY245" s="11"/>
      <c r="DZ245" s="11"/>
      <c r="EA245" s="11"/>
      <c r="EB245" s="11"/>
      <c r="EC245" s="11"/>
      <c r="ED245" s="11"/>
      <c r="EE245" s="11"/>
      <c r="EF245" s="11"/>
      <c r="EG245" s="11"/>
      <c r="EH245" s="11"/>
      <c r="EI245" s="11"/>
      <c r="EJ245" s="11"/>
      <c r="EK245" s="11"/>
      <c r="EL245" s="11"/>
      <c r="EM245" s="11"/>
      <c r="EN245" s="11"/>
      <c r="EO245" s="11"/>
      <c r="EP245" s="11"/>
      <c r="EQ245" s="11"/>
      <c r="ER245" s="11"/>
      <c r="ES245" s="11"/>
      <c r="ET245" s="11"/>
      <c r="EU245" s="11"/>
      <c r="EV245" s="11"/>
      <c r="EW245" s="11"/>
      <c r="EX245" s="11"/>
      <c r="EY245" s="11"/>
      <c r="EZ245" s="11"/>
      <c r="FA245" s="11"/>
      <c r="FB245" s="11"/>
      <c r="FC245" s="11"/>
      <c r="FD245" s="11"/>
      <c r="FE245" s="11"/>
      <c r="FF245" s="11"/>
      <c r="FG245" s="11"/>
      <c r="FH245" s="11"/>
      <c r="FI245" s="11"/>
      <c r="FJ245" s="11"/>
      <c r="FK245" s="11"/>
      <c r="FL245" s="11"/>
      <c r="FM245" s="11"/>
      <c r="FN245" s="11"/>
      <c r="FO245" s="11"/>
      <c r="FP245" s="11"/>
      <c r="FQ245" s="11"/>
      <c r="FR245" s="11"/>
      <c r="FS245" s="11"/>
      <c r="FT245" s="11"/>
      <c r="FU245" s="11"/>
      <c r="FV245" s="11"/>
      <c r="FW245" s="11"/>
      <c r="FX245" s="11"/>
      <c r="FY245" s="11"/>
      <c r="FZ245" s="11"/>
      <c r="GA245" s="11"/>
      <c r="GB245" s="11"/>
      <c r="GC245" s="11"/>
      <c r="GD245" s="11"/>
      <c r="GE245" s="11"/>
      <c r="GF245" s="11"/>
      <c r="GG245" s="11"/>
      <c r="GH245" s="11"/>
      <c r="GI245" s="11"/>
      <c r="GJ245" s="11"/>
      <c r="GK245" s="11"/>
      <c r="GL245" s="11"/>
      <c r="GM245" s="11"/>
      <c r="GN245" s="11"/>
      <c r="GO245" s="11"/>
      <c r="GP245" s="11"/>
      <c r="GQ245" s="11"/>
      <c r="GR245" s="11"/>
    </row>
    <row r="246" spans="2:200" x14ac:dyDescent="0.15"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11"/>
      <c r="CE246" s="11"/>
      <c r="CF246" s="11"/>
      <c r="CG246" s="11"/>
      <c r="CH246" s="11"/>
      <c r="CI246" s="11"/>
      <c r="CJ246" s="11"/>
      <c r="CK246" s="11"/>
      <c r="CL246" s="11"/>
      <c r="CM246" s="11"/>
      <c r="CN246" s="11"/>
      <c r="CO246" s="11"/>
      <c r="CP246" s="11"/>
      <c r="CQ246" s="11"/>
      <c r="CR246" s="11"/>
      <c r="CS246" s="11"/>
      <c r="CT246" s="11"/>
      <c r="CU246" s="11"/>
      <c r="CV246" s="11"/>
      <c r="CW246" s="11"/>
      <c r="CX246" s="11"/>
      <c r="CY246" s="11"/>
      <c r="CZ246" s="11"/>
      <c r="DA246" s="11"/>
      <c r="DB246" s="11"/>
      <c r="DC246" s="11"/>
      <c r="DD246" s="11"/>
      <c r="DE246" s="11"/>
      <c r="DF246" s="11"/>
      <c r="DG246" s="11"/>
      <c r="DH246" s="11"/>
      <c r="DI246" s="11"/>
      <c r="DJ246" s="11"/>
      <c r="DK246" s="11"/>
      <c r="DL246" s="11"/>
      <c r="DM246" s="11"/>
      <c r="DN246" s="11"/>
      <c r="DO246" s="11"/>
      <c r="DP246" s="11"/>
      <c r="DQ246" s="11"/>
      <c r="DR246" s="11"/>
      <c r="DS246" s="11"/>
      <c r="DT246" s="11"/>
      <c r="DU246" s="11"/>
      <c r="DV246" s="11"/>
      <c r="DW246" s="11"/>
      <c r="DX246" s="11"/>
      <c r="DY246" s="11"/>
      <c r="DZ246" s="11"/>
      <c r="EA246" s="11"/>
      <c r="EB246" s="11"/>
      <c r="EC246" s="11"/>
      <c r="ED246" s="11"/>
      <c r="EE246" s="11"/>
      <c r="EF246" s="11"/>
      <c r="EG246" s="11"/>
      <c r="EH246" s="11"/>
      <c r="EI246" s="11"/>
      <c r="EJ246" s="11"/>
      <c r="EK246" s="11"/>
      <c r="EL246" s="11"/>
      <c r="EM246" s="11"/>
      <c r="EN246" s="11"/>
      <c r="EO246" s="11"/>
      <c r="EP246" s="11"/>
      <c r="EQ246" s="11"/>
      <c r="ER246" s="11"/>
      <c r="ES246" s="11"/>
      <c r="ET246" s="11"/>
      <c r="EU246" s="11"/>
      <c r="EV246" s="11"/>
      <c r="EW246" s="11"/>
      <c r="EX246" s="11"/>
      <c r="EY246" s="11"/>
      <c r="EZ246" s="11"/>
      <c r="FA246" s="11"/>
      <c r="FB246" s="11"/>
      <c r="FC246" s="11"/>
      <c r="FD246" s="11"/>
      <c r="FE246" s="11"/>
      <c r="FF246" s="11"/>
      <c r="FG246" s="11"/>
      <c r="FH246" s="11"/>
      <c r="FI246" s="11"/>
      <c r="FJ246" s="11"/>
      <c r="FK246" s="11"/>
      <c r="FL246" s="11"/>
      <c r="FM246" s="11"/>
      <c r="FN246" s="11"/>
      <c r="FO246" s="11"/>
      <c r="FP246" s="11"/>
      <c r="FQ246" s="11"/>
      <c r="FR246" s="11"/>
      <c r="FS246" s="11"/>
      <c r="FT246" s="11"/>
      <c r="FU246" s="11"/>
      <c r="FV246" s="11"/>
      <c r="FW246" s="11"/>
      <c r="FX246" s="11"/>
      <c r="FY246" s="11"/>
      <c r="FZ246" s="11"/>
      <c r="GA246" s="11"/>
      <c r="GB246" s="11"/>
      <c r="GC246" s="11"/>
      <c r="GD246" s="11"/>
      <c r="GE246" s="11"/>
      <c r="GF246" s="11"/>
      <c r="GG246" s="11"/>
      <c r="GH246" s="11"/>
      <c r="GI246" s="11"/>
      <c r="GJ246" s="11"/>
      <c r="GK246" s="11"/>
      <c r="GL246" s="11"/>
      <c r="GM246" s="11"/>
      <c r="GN246" s="11"/>
      <c r="GO246" s="11"/>
      <c r="GP246" s="11"/>
      <c r="GQ246" s="11"/>
      <c r="GR246" s="11"/>
    </row>
    <row r="247" spans="2:200" x14ac:dyDescent="0.15"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11"/>
      <c r="CE247" s="11"/>
      <c r="CF247" s="11"/>
      <c r="CG247" s="11"/>
      <c r="CH247" s="11"/>
      <c r="CI247" s="11"/>
      <c r="CJ247" s="11"/>
      <c r="CK247" s="11"/>
      <c r="CL247" s="11"/>
      <c r="CM247" s="11"/>
      <c r="CN247" s="11"/>
      <c r="CO247" s="11"/>
      <c r="CP247" s="11"/>
      <c r="CQ247" s="11"/>
      <c r="CR247" s="11"/>
      <c r="CS247" s="11"/>
      <c r="CT247" s="11"/>
      <c r="CU247" s="11"/>
      <c r="CV247" s="11"/>
      <c r="CW247" s="11"/>
      <c r="CX247" s="11"/>
      <c r="CY247" s="11"/>
      <c r="CZ247" s="11"/>
      <c r="DA247" s="11"/>
      <c r="DB247" s="11"/>
      <c r="DC247" s="11"/>
      <c r="DD247" s="11"/>
      <c r="DE247" s="11"/>
      <c r="DF247" s="11"/>
      <c r="DG247" s="11"/>
      <c r="DH247" s="11"/>
      <c r="DI247" s="11"/>
      <c r="DJ247" s="11"/>
      <c r="DK247" s="11"/>
      <c r="DL247" s="11"/>
      <c r="DM247" s="11"/>
      <c r="DN247" s="11"/>
      <c r="DO247" s="11"/>
      <c r="DP247" s="11"/>
      <c r="DQ247" s="11"/>
      <c r="DR247" s="11"/>
      <c r="DS247" s="11"/>
      <c r="DT247" s="11"/>
      <c r="DU247" s="11"/>
      <c r="DV247" s="11"/>
      <c r="DW247" s="11"/>
      <c r="DX247" s="11"/>
      <c r="DY247" s="11"/>
      <c r="DZ247" s="11"/>
      <c r="EA247" s="11"/>
      <c r="EB247" s="11"/>
      <c r="EC247" s="11"/>
      <c r="ED247" s="11"/>
      <c r="EE247" s="11"/>
      <c r="EF247" s="11"/>
      <c r="EG247" s="11"/>
      <c r="EH247" s="11"/>
      <c r="EI247" s="11"/>
      <c r="EJ247" s="11"/>
      <c r="EK247" s="11"/>
      <c r="EL247" s="11"/>
      <c r="EM247" s="11"/>
      <c r="EN247" s="11"/>
      <c r="EO247" s="11"/>
      <c r="EP247" s="11"/>
      <c r="EQ247" s="11"/>
      <c r="ER247" s="11"/>
      <c r="ES247" s="11"/>
      <c r="ET247" s="11"/>
      <c r="EU247" s="11"/>
      <c r="EV247" s="11"/>
      <c r="EW247" s="11"/>
      <c r="EX247" s="11"/>
      <c r="EY247" s="11"/>
      <c r="EZ247" s="11"/>
      <c r="FA247" s="11"/>
      <c r="FB247" s="11"/>
      <c r="FC247" s="11"/>
      <c r="FD247" s="11"/>
      <c r="FE247" s="11"/>
      <c r="FF247" s="11"/>
      <c r="FG247" s="11"/>
      <c r="FH247" s="11"/>
      <c r="FI247" s="11"/>
      <c r="FJ247" s="11"/>
      <c r="FK247" s="11"/>
      <c r="FL247" s="11"/>
      <c r="FM247" s="11"/>
      <c r="FN247" s="11"/>
      <c r="FO247" s="11"/>
      <c r="FP247" s="11"/>
      <c r="FQ247" s="11"/>
      <c r="FR247" s="11"/>
      <c r="FS247" s="11"/>
      <c r="FT247" s="11"/>
      <c r="FU247" s="11"/>
      <c r="FV247" s="11"/>
      <c r="FW247" s="11"/>
      <c r="FX247" s="11"/>
      <c r="FY247" s="11"/>
      <c r="FZ247" s="11"/>
      <c r="GA247" s="11"/>
      <c r="GB247" s="11"/>
      <c r="GC247" s="11"/>
      <c r="GD247" s="11"/>
      <c r="GE247" s="11"/>
      <c r="GF247" s="11"/>
      <c r="GG247" s="11"/>
      <c r="GH247" s="11"/>
      <c r="GI247" s="11"/>
      <c r="GJ247" s="11"/>
      <c r="GK247" s="11"/>
      <c r="GL247" s="11"/>
      <c r="GM247" s="11"/>
      <c r="GN247" s="11"/>
      <c r="GO247" s="11"/>
      <c r="GP247" s="11"/>
      <c r="GQ247" s="11"/>
      <c r="GR247" s="11"/>
    </row>
    <row r="248" spans="2:200" x14ac:dyDescent="0.15"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11"/>
      <c r="CH248" s="11"/>
      <c r="CI248" s="11"/>
      <c r="CJ248" s="11"/>
      <c r="CK248" s="11"/>
      <c r="CL248" s="11"/>
      <c r="CM248" s="11"/>
      <c r="CN248" s="11"/>
      <c r="CO248" s="11"/>
      <c r="CP248" s="11"/>
      <c r="CQ248" s="11"/>
      <c r="CR248" s="11"/>
      <c r="CS248" s="11"/>
      <c r="CT248" s="11"/>
      <c r="CU248" s="11"/>
      <c r="CV248" s="11"/>
      <c r="CW248" s="11"/>
      <c r="CX248" s="11"/>
      <c r="CY248" s="11"/>
      <c r="CZ248" s="11"/>
      <c r="DA248" s="11"/>
      <c r="DB248" s="11"/>
      <c r="DC248" s="11"/>
      <c r="DD248" s="11"/>
      <c r="DE248" s="11"/>
      <c r="DF248" s="11"/>
      <c r="DG248" s="11"/>
      <c r="DH248" s="11"/>
      <c r="DI248" s="11"/>
      <c r="DJ248" s="11"/>
      <c r="DK248" s="11"/>
      <c r="DL248" s="11"/>
      <c r="DM248" s="11"/>
      <c r="DN248" s="11"/>
      <c r="DO248" s="11"/>
      <c r="DP248" s="11"/>
      <c r="DQ248" s="11"/>
      <c r="DR248" s="11"/>
      <c r="DS248" s="11"/>
      <c r="DT248" s="11"/>
      <c r="DU248" s="11"/>
      <c r="DV248" s="11"/>
      <c r="DW248" s="11"/>
      <c r="DX248" s="11"/>
      <c r="DY248" s="11"/>
      <c r="DZ248" s="11"/>
      <c r="EA248" s="11"/>
      <c r="EB248" s="11"/>
      <c r="EC248" s="11"/>
      <c r="ED248" s="11"/>
      <c r="EE248" s="11"/>
      <c r="EF248" s="11"/>
      <c r="EG248" s="11"/>
      <c r="EH248" s="11"/>
      <c r="EI248" s="11"/>
      <c r="EJ248" s="11"/>
      <c r="EK248" s="11"/>
      <c r="EL248" s="11"/>
      <c r="EM248" s="11"/>
      <c r="EN248" s="11"/>
      <c r="EO248" s="11"/>
      <c r="EP248" s="11"/>
      <c r="EQ248" s="11"/>
      <c r="ER248" s="11"/>
      <c r="ES248" s="11"/>
      <c r="ET248" s="11"/>
      <c r="EU248" s="11"/>
      <c r="EV248" s="11"/>
      <c r="EW248" s="11"/>
      <c r="EX248" s="11"/>
      <c r="EY248" s="11"/>
      <c r="EZ248" s="11"/>
      <c r="FA248" s="11"/>
      <c r="FB248" s="11"/>
      <c r="FC248" s="11"/>
      <c r="FD248" s="11"/>
      <c r="FE248" s="11"/>
      <c r="FF248" s="11"/>
      <c r="FG248" s="11"/>
      <c r="FH248" s="11"/>
      <c r="FI248" s="11"/>
      <c r="FJ248" s="11"/>
      <c r="FK248" s="11"/>
      <c r="FL248" s="11"/>
      <c r="FM248" s="11"/>
      <c r="FN248" s="11"/>
      <c r="FO248" s="11"/>
      <c r="FP248" s="11"/>
      <c r="FQ248" s="11"/>
      <c r="FR248" s="11"/>
      <c r="FS248" s="11"/>
      <c r="FT248" s="11"/>
      <c r="FU248" s="11"/>
      <c r="FV248" s="11"/>
      <c r="FW248" s="11"/>
      <c r="FX248" s="11"/>
      <c r="FY248" s="11"/>
      <c r="FZ248" s="11"/>
      <c r="GA248" s="11"/>
      <c r="GB248" s="11"/>
      <c r="GC248" s="11"/>
      <c r="GD248" s="11"/>
      <c r="GE248" s="11"/>
      <c r="GF248" s="11"/>
      <c r="GG248" s="11"/>
      <c r="GH248" s="11"/>
      <c r="GI248" s="11"/>
      <c r="GJ248" s="11"/>
      <c r="GK248" s="11"/>
      <c r="GL248" s="11"/>
      <c r="GM248" s="11"/>
      <c r="GN248" s="11"/>
      <c r="GO248" s="11"/>
      <c r="GP248" s="11"/>
      <c r="GQ248" s="11"/>
      <c r="GR248" s="11"/>
    </row>
    <row r="249" spans="2:200" x14ac:dyDescent="0.15"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11"/>
      <c r="CH249" s="11"/>
      <c r="CI249" s="11"/>
      <c r="CJ249" s="11"/>
      <c r="CK249" s="11"/>
      <c r="CL249" s="11"/>
      <c r="CM249" s="11"/>
      <c r="CN249" s="11"/>
      <c r="CO249" s="11"/>
      <c r="CP249" s="11"/>
      <c r="CQ249" s="11"/>
      <c r="CR249" s="11"/>
      <c r="CS249" s="11"/>
      <c r="CT249" s="11"/>
      <c r="CU249" s="11"/>
      <c r="CV249" s="11"/>
      <c r="CW249" s="11"/>
      <c r="CX249" s="11"/>
      <c r="CY249" s="11"/>
      <c r="CZ249" s="11"/>
      <c r="DA249" s="11"/>
      <c r="DB249" s="11"/>
      <c r="DC249" s="11"/>
      <c r="DD249" s="11"/>
      <c r="DE249" s="11"/>
      <c r="DF249" s="11"/>
      <c r="DG249" s="11"/>
      <c r="DH249" s="11"/>
      <c r="DI249" s="11"/>
      <c r="DJ249" s="11"/>
      <c r="DK249" s="11"/>
      <c r="DL249" s="11"/>
      <c r="DM249" s="11"/>
      <c r="DN249" s="11"/>
      <c r="DO249" s="11"/>
      <c r="DP249" s="11"/>
      <c r="DQ249" s="11"/>
      <c r="DR249" s="11"/>
      <c r="DS249" s="11"/>
      <c r="DT249" s="11"/>
      <c r="DU249" s="11"/>
      <c r="DV249" s="11"/>
      <c r="DW249" s="11"/>
      <c r="DX249" s="11"/>
      <c r="DY249" s="11"/>
      <c r="DZ249" s="11"/>
      <c r="EA249" s="11"/>
      <c r="EB249" s="11"/>
      <c r="EC249" s="11"/>
      <c r="ED249" s="11"/>
      <c r="EE249" s="11"/>
      <c r="EF249" s="11"/>
      <c r="EG249" s="11"/>
      <c r="EH249" s="11"/>
      <c r="EI249" s="11"/>
      <c r="EJ249" s="11"/>
      <c r="EK249" s="11"/>
      <c r="EL249" s="11"/>
      <c r="EM249" s="11"/>
      <c r="EN249" s="11"/>
      <c r="EO249" s="11"/>
      <c r="EP249" s="11"/>
      <c r="EQ249" s="11"/>
      <c r="ER249" s="11"/>
      <c r="ES249" s="11"/>
      <c r="ET249" s="11"/>
      <c r="EU249" s="11"/>
      <c r="EV249" s="11"/>
      <c r="EW249" s="11"/>
      <c r="EX249" s="11"/>
      <c r="EY249" s="11"/>
      <c r="EZ249" s="11"/>
      <c r="FA249" s="11"/>
      <c r="FB249" s="11"/>
      <c r="FC249" s="11"/>
      <c r="FD249" s="11"/>
      <c r="FE249" s="11"/>
      <c r="FF249" s="11"/>
      <c r="FG249" s="11"/>
      <c r="FH249" s="11"/>
      <c r="FI249" s="11"/>
      <c r="FJ249" s="11"/>
      <c r="FK249" s="11"/>
      <c r="FL249" s="11"/>
      <c r="FM249" s="11"/>
      <c r="FN249" s="11"/>
      <c r="FO249" s="11"/>
      <c r="FP249" s="11"/>
      <c r="FQ249" s="11"/>
      <c r="FR249" s="11"/>
      <c r="FS249" s="11"/>
      <c r="FT249" s="11"/>
      <c r="FU249" s="11"/>
      <c r="FV249" s="11"/>
      <c r="FW249" s="11"/>
      <c r="FX249" s="11"/>
      <c r="FY249" s="11"/>
      <c r="FZ249" s="11"/>
      <c r="GA249" s="11"/>
      <c r="GB249" s="11"/>
      <c r="GC249" s="11"/>
      <c r="GD249" s="11"/>
      <c r="GE249" s="11"/>
      <c r="GF249" s="11"/>
      <c r="GG249" s="11"/>
      <c r="GH249" s="11"/>
      <c r="GI249" s="11"/>
      <c r="GJ249" s="11"/>
      <c r="GK249" s="11"/>
      <c r="GL249" s="11"/>
      <c r="GM249" s="11"/>
      <c r="GN249" s="11"/>
      <c r="GO249" s="11"/>
      <c r="GP249" s="11"/>
      <c r="GQ249" s="11"/>
      <c r="GR249" s="11"/>
    </row>
    <row r="250" spans="2:200" x14ac:dyDescent="0.15"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11"/>
      <c r="CW250" s="11"/>
      <c r="CX250" s="11"/>
      <c r="CY250" s="11"/>
      <c r="CZ250" s="11"/>
      <c r="DA250" s="11"/>
      <c r="DB250" s="11"/>
      <c r="DC250" s="11"/>
      <c r="DD250" s="11"/>
      <c r="DE250" s="11"/>
      <c r="DF250" s="11"/>
      <c r="DG250" s="11"/>
      <c r="DH250" s="11"/>
      <c r="DI250" s="11"/>
      <c r="DJ250" s="11"/>
      <c r="DK250" s="11"/>
      <c r="DL250" s="11"/>
      <c r="DM250" s="11"/>
      <c r="DN250" s="11"/>
      <c r="DO250" s="11"/>
      <c r="DP250" s="11"/>
      <c r="DQ250" s="11"/>
      <c r="DR250" s="11"/>
      <c r="DS250" s="11"/>
      <c r="DT250" s="11"/>
      <c r="DU250" s="11"/>
      <c r="DV250" s="11"/>
      <c r="DW250" s="11"/>
      <c r="DX250" s="11"/>
      <c r="DY250" s="11"/>
      <c r="DZ250" s="11"/>
      <c r="EA250" s="11"/>
      <c r="EB250" s="11"/>
      <c r="EC250" s="11"/>
      <c r="ED250" s="11"/>
      <c r="EE250" s="11"/>
      <c r="EF250" s="11"/>
      <c r="EG250" s="11"/>
      <c r="EH250" s="11"/>
      <c r="EI250" s="11"/>
      <c r="EJ250" s="11"/>
      <c r="EK250" s="11"/>
      <c r="EL250" s="11"/>
      <c r="EM250" s="11"/>
      <c r="EN250" s="11"/>
      <c r="EO250" s="11"/>
      <c r="EP250" s="11"/>
      <c r="EQ250" s="11"/>
      <c r="ER250" s="11"/>
      <c r="ES250" s="11"/>
      <c r="ET250" s="11"/>
      <c r="EU250" s="11"/>
      <c r="EV250" s="11"/>
      <c r="EW250" s="11"/>
      <c r="EX250" s="11"/>
      <c r="EY250" s="11"/>
      <c r="EZ250" s="11"/>
      <c r="FA250" s="11"/>
      <c r="FB250" s="11"/>
      <c r="FC250" s="11"/>
      <c r="FD250" s="11"/>
      <c r="FE250" s="11"/>
      <c r="FF250" s="11"/>
      <c r="FG250" s="11"/>
      <c r="FH250" s="11"/>
      <c r="FI250" s="11"/>
      <c r="FJ250" s="11"/>
      <c r="FK250" s="11"/>
      <c r="FL250" s="11"/>
      <c r="FM250" s="11"/>
      <c r="FN250" s="11"/>
      <c r="FO250" s="11"/>
      <c r="FP250" s="11"/>
      <c r="FQ250" s="11"/>
      <c r="FR250" s="11"/>
      <c r="FS250" s="11"/>
      <c r="FT250" s="11"/>
      <c r="FU250" s="11"/>
      <c r="FV250" s="11"/>
      <c r="FW250" s="11"/>
      <c r="FX250" s="11"/>
      <c r="FY250" s="11"/>
      <c r="FZ250" s="11"/>
      <c r="GA250" s="11"/>
      <c r="GB250" s="11"/>
      <c r="GC250" s="11"/>
      <c r="GD250" s="11"/>
      <c r="GE250" s="11"/>
      <c r="GF250" s="11"/>
      <c r="GG250" s="11"/>
      <c r="GH250" s="11"/>
      <c r="GI250" s="11"/>
      <c r="GJ250" s="11"/>
      <c r="GK250" s="11"/>
      <c r="GL250" s="11"/>
      <c r="GM250" s="11"/>
      <c r="GN250" s="11"/>
      <c r="GO250" s="11"/>
      <c r="GP250" s="11"/>
      <c r="GQ250" s="11"/>
      <c r="GR250" s="11"/>
    </row>
    <row r="251" spans="2:200" x14ac:dyDescent="0.15"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P251" s="11"/>
      <c r="BQ251" s="11"/>
      <c r="BR251" s="11"/>
      <c r="BS251" s="11"/>
      <c r="BT251" s="11"/>
      <c r="BU251" s="11"/>
      <c r="BV251" s="11"/>
      <c r="BW251" s="11"/>
      <c r="BX251" s="11"/>
      <c r="BY251" s="11"/>
      <c r="BZ251" s="11"/>
      <c r="CA251" s="11"/>
      <c r="CB251" s="11"/>
      <c r="CC251" s="11"/>
      <c r="CD251" s="11"/>
      <c r="CE251" s="11"/>
      <c r="CF251" s="11"/>
      <c r="CG251" s="11"/>
      <c r="CH251" s="11"/>
      <c r="CI251" s="11"/>
      <c r="CJ251" s="11"/>
      <c r="CK251" s="11"/>
      <c r="CL251" s="11"/>
      <c r="CM251" s="11"/>
      <c r="CN251" s="11"/>
      <c r="CO251" s="11"/>
      <c r="CP251" s="11"/>
      <c r="CQ251" s="11"/>
      <c r="CR251" s="11"/>
      <c r="CS251" s="11"/>
      <c r="CT251" s="11"/>
      <c r="CU251" s="11"/>
      <c r="CV251" s="11"/>
      <c r="CW251" s="11"/>
      <c r="CX251" s="11"/>
      <c r="CY251" s="11"/>
      <c r="CZ251" s="11"/>
      <c r="DA251" s="11"/>
      <c r="DB251" s="11"/>
      <c r="DC251" s="11"/>
      <c r="DD251" s="11"/>
      <c r="DE251" s="11"/>
      <c r="DF251" s="11"/>
      <c r="DG251" s="11"/>
      <c r="DH251" s="11"/>
      <c r="DI251" s="11"/>
      <c r="DJ251" s="11"/>
      <c r="DK251" s="11"/>
      <c r="DL251" s="11"/>
      <c r="DM251" s="11"/>
      <c r="DN251" s="11"/>
      <c r="DO251" s="11"/>
      <c r="DP251" s="11"/>
      <c r="DQ251" s="11"/>
      <c r="DR251" s="11"/>
      <c r="DS251" s="11"/>
      <c r="DT251" s="11"/>
      <c r="DU251" s="11"/>
      <c r="DV251" s="11"/>
      <c r="DW251" s="11"/>
      <c r="DX251" s="11"/>
      <c r="DY251" s="11"/>
      <c r="DZ251" s="11"/>
      <c r="EA251" s="11"/>
      <c r="EB251" s="11"/>
      <c r="EC251" s="11"/>
      <c r="ED251" s="11"/>
      <c r="EE251" s="11"/>
      <c r="EF251" s="11"/>
      <c r="EG251" s="11"/>
      <c r="EH251" s="11"/>
      <c r="EI251" s="11"/>
      <c r="EJ251" s="11"/>
      <c r="EK251" s="11"/>
      <c r="EL251" s="11"/>
      <c r="EM251" s="11"/>
      <c r="EN251" s="11"/>
      <c r="EO251" s="11"/>
      <c r="EP251" s="11"/>
      <c r="EQ251" s="11"/>
      <c r="ER251" s="11"/>
      <c r="ES251" s="11"/>
      <c r="ET251" s="11"/>
      <c r="EU251" s="11"/>
      <c r="EV251" s="11"/>
      <c r="EW251" s="11"/>
      <c r="EX251" s="11"/>
      <c r="EY251" s="11"/>
      <c r="EZ251" s="11"/>
      <c r="FA251" s="11"/>
      <c r="FB251" s="11"/>
      <c r="FC251" s="11"/>
      <c r="FD251" s="11"/>
      <c r="FE251" s="11"/>
      <c r="FF251" s="11"/>
      <c r="FG251" s="11"/>
      <c r="FH251" s="11"/>
      <c r="FI251" s="11"/>
      <c r="FJ251" s="11"/>
      <c r="FK251" s="11"/>
      <c r="FL251" s="11"/>
      <c r="FM251" s="11"/>
      <c r="FN251" s="11"/>
      <c r="FO251" s="11"/>
      <c r="FP251" s="11"/>
      <c r="FQ251" s="11"/>
      <c r="FR251" s="11"/>
      <c r="FS251" s="11"/>
      <c r="FT251" s="11"/>
      <c r="FU251" s="11"/>
      <c r="FV251" s="11"/>
      <c r="FW251" s="11"/>
      <c r="FX251" s="11"/>
      <c r="FY251" s="11"/>
      <c r="FZ251" s="11"/>
      <c r="GA251" s="11"/>
      <c r="GB251" s="11"/>
      <c r="GC251" s="11"/>
      <c r="GD251" s="11"/>
      <c r="GE251" s="11"/>
      <c r="GF251" s="11"/>
      <c r="GG251" s="11"/>
      <c r="GH251" s="11"/>
      <c r="GI251" s="11"/>
      <c r="GJ251" s="11"/>
      <c r="GK251" s="11"/>
      <c r="GL251" s="11"/>
      <c r="GM251" s="11"/>
      <c r="GN251" s="11"/>
      <c r="GO251" s="11"/>
      <c r="GP251" s="11"/>
      <c r="GQ251" s="11"/>
      <c r="GR251" s="11"/>
    </row>
    <row r="252" spans="2:200" x14ac:dyDescent="0.15"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P252" s="11"/>
      <c r="BQ252" s="11"/>
      <c r="BR252" s="11"/>
      <c r="BS252" s="11"/>
      <c r="BT252" s="11"/>
      <c r="BU252" s="11"/>
      <c r="BV252" s="11"/>
      <c r="BW252" s="11"/>
      <c r="BX252" s="11"/>
      <c r="BY252" s="11"/>
      <c r="BZ252" s="11"/>
      <c r="CA252" s="11"/>
      <c r="CB252" s="11"/>
      <c r="CC252" s="11"/>
      <c r="CD252" s="11"/>
      <c r="CE252" s="11"/>
      <c r="CF252" s="11"/>
      <c r="CG252" s="11"/>
      <c r="CH252" s="11"/>
      <c r="CI252" s="11"/>
      <c r="CJ252" s="11"/>
      <c r="CK252" s="11"/>
      <c r="CL252" s="11"/>
      <c r="CM252" s="11"/>
      <c r="CN252" s="11"/>
      <c r="CO252" s="11"/>
      <c r="CP252" s="11"/>
      <c r="CQ252" s="11"/>
      <c r="CR252" s="11"/>
      <c r="CS252" s="11"/>
      <c r="CT252" s="11"/>
      <c r="CU252" s="11"/>
      <c r="CV252" s="11"/>
      <c r="CW252" s="11"/>
      <c r="CX252" s="11"/>
      <c r="CY252" s="11"/>
      <c r="CZ252" s="11"/>
      <c r="DA252" s="11"/>
      <c r="DB252" s="11"/>
      <c r="DC252" s="11"/>
      <c r="DD252" s="11"/>
      <c r="DE252" s="11"/>
      <c r="DF252" s="11"/>
      <c r="DG252" s="11"/>
      <c r="DH252" s="11"/>
      <c r="DI252" s="11"/>
      <c r="DJ252" s="11"/>
      <c r="DK252" s="11"/>
      <c r="DL252" s="11"/>
      <c r="DM252" s="11"/>
      <c r="DN252" s="11"/>
      <c r="DO252" s="11"/>
      <c r="DP252" s="11"/>
      <c r="DQ252" s="11"/>
      <c r="DR252" s="11"/>
      <c r="DS252" s="11"/>
      <c r="DT252" s="11"/>
      <c r="DU252" s="11"/>
      <c r="DV252" s="11"/>
      <c r="DW252" s="11"/>
      <c r="DX252" s="11"/>
      <c r="DY252" s="11"/>
      <c r="DZ252" s="11"/>
      <c r="EA252" s="11"/>
      <c r="EB252" s="11"/>
      <c r="EC252" s="11"/>
      <c r="ED252" s="11"/>
      <c r="EE252" s="11"/>
      <c r="EF252" s="11"/>
      <c r="EG252" s="11"/>
      <c r="EH252" s="11"/>
      <c r="EI252" s="11"/>
      <c r="EJ252" s="11"/>
      <c r="EK252" s="11"/>
      <c r="EL252" s="11"/>
      <c r="EM252" s="11"/>
      <c r="EN252" s="11"/>
      <c r="EO252" s="11"/>
      <c r="EP252" s="11"/>
      <c r="EQ252" s="11"/>
      <c r="ER252" s="11"/>
      <c r="ES252" s="11"/>
      <c r="ET252" s="11"/>
      <c r="EU252" s="11"/>
      <c r="EV252" s="11"/>
      <c r="EW252" s="11"/>
      <c r="EX252" s="11"/>
      <c r="EY252" s="11"/>
      <c r="EZ252" s="11"/>
      <c r="FA252" s="11"/>
      <c r="FB252" s="11"/>
      <c r="FC252" s="11"/>
      <c r="FD252" s="11"/>
      <c r="FE252" s="11"/>
      <c r="FF252" s="11"/>
      <c r="FG252" s="11"/>
      <c r="FH252" s="11"/>
      <c r="FI252" s="11"/>
      <c r="FJ252" s="11"/>
      <c r="FK252" s="11"/>
      <c r="FL252" s="11"/>
      <c r="FM252" s="11"/>
      <c r="FN252" s="11"/>
      <c r="FO252" s="11"/>
      <c r="FP252" s="11"/>
      <c r="FQ252" s="11"/>
      <c r="FR252" s="11"/>
      <c r="FS252" s="11"/>
      <c r="FT252" s="11"/>
      <c r="FU252" s="11"/>
      <c r="FV252" s="11"/>
      <c r="FW252" s="11"/>
      <c r="FX252" s="11"/>
      <c r="FY252" s="11"/>
      <c r="FZ252" s="11"/>
      <c r="GA252" s="11"/>
      <c r="GB252" s="11"/>
      <c r="GC252" s="11"/>
      <c r="GD252" s="11"/>
      <c r="GE252" s="11"/>
      <c r="GF252" s="11"/>
      <c r="GG252" s="11"/>
      <c r="GH252" s="11"/>
      <c r="GI252" s="11"/>
      <c r="GJ252" s="11"/>
      <c r="GK252" s="11"/>
      <c r="GL252" s="11"/>
      <c r="GM252" s="11"/>
      <c r="GN252" s="11"/>
      <c r="GO252" s="11"/>
      <c r="GP252" s="11"/>
      <c r="GQ252" s="11"/>
      <c r="GR252" s="11"/>
    </row>
    <row r="253" spans="2:200" x14ac:dyDescent="0.15"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P253" s="11"/>
      <c r="BQ253" s="11"/>
      <c r="BR253" s="11"/>
      <c r="BS253" s="11"/>
      <c r="BT253" s="11"/>
      <c r="BU253" s="11"/>
      <c r="BV253" s="11"/>
      <c r="BW253" s="11"/>
      <c r="BX253" s="11"/>
      <c r="BY253" s="11"/>
      <c r="BZ253" s="11"/>
      <c r="CA253" s="11"/>
      <c r="CB253" s="11"/>
      <c r="CC253" s="11"/>
      <c r="CD253" s="11"/>
      <c r="CE253" s="11"/>
      <c r="CF253" s="11"/>
      <c r="CG253" s="11"/>
      <c r="CH253" s="11"/>
      <c r="CI253" s="11"/>
      <c r="CJ253" s="11"/>
      <c r="CK253" s="11"/>
      <c r="CL253" s="11"/>
      <c r="CM253" s="11"/>
      <c r="CN253" s="11"/>
      <c r="CO253" s="11"/>
      <c r="CP253" s="11"/>
      <c r="CQ253" s="11"/>
      <c r="CR253" s="11"/>
      <c r="CS253" s="11"/>
      <c r="CT253" s="11"/>
      <c r="CU253" s="11"/>
      <c r="CV253" s="11"/>
      <c r="CW253" s="11"/>
      <c r="CX253" s="11"/>
      <c r="CY253" s="11"/>
      <c r="CZ253" s="11"/>
      <c r="DA253" s="11"/>
      <c r="DB253" s="11"/>
      <c r="DC253" s="11"/>
      <c r="DD253" s="11"/>
      <c r="DE253" s="11"/>
      <c r="DF253" s="11"/>
      <c r="DG253" s="11"/>
      <c r="DH253" s="11"/>
      <c r="DI253" s="11"/>
      <c r="DJ253" s="11"/>
      <c r="DK253" s="11"/>
      <c r="DL253" s="11"/>
      <c r="DM253" s="11"/>
      <c r="DN253" s="11"/>
      <c r="DO253" s="11"/>
      <c r="DP253" s="11"/>
      <c r="DQ253" s="11"/>
      <c r="DR253" s="11"/>
      <c r="DS253" s="11"/>
      <c r="DT253" s="11"/>
      <c r="DU253" s="11"/>
      <c r="DV253" s="11"/>
      <c r="DW253" s="11"/>
      <c r="DX253" s="11"/>
      <c r="DY253" s="11"/>
      <c r="DZ253" s="11"/>
      <c r="EA253" s="11"/>
      <c r="EB253" s="11"/>
      <c r="EC253" s="11"/>
      <c r="ED253" s="11"/>
      <c r="EE253" s="11"/>
      <c r="EF253" s="11"/>
      <c r="EG253" s="11"/>
      <c r="EH253" s="11"/>
      <c r="EI253" s="11"/>
      <c r="EJ253" s="11"/>
      <c r="EK253" s="11"/>
      <c r="EL253" s="11"/>
      <c r="EM253" s="11"/>
      <c r="EN253" s="11"/>
      <c r="EO253" s="11"/>
      <c r="EP253" s="11"/>
      <c r="EQ253" s="11"/>
      <c r="ER253" s="11"/>
      <c r="ES253" s="11"/>
      <c r="ET253" s="11"/>
      <c r="EU253" s="11"/>
      <c r="EV253" s="11"/>
      <c r="EW253" s="11"/>
      <c r="EX253" s="11"/>
      <c r="EY253" s="11"/>
      <c r="EZ253" s="11"/>
      <c r="FA253" s="11"/>
      <c r="FB253" s="11"/>
      <c r="FC253" s="11"/>
      <c r="FD253" s="11"/>
      <c r="FE253" s="11"/>
      <c r="FF253" s="11"/>
      <c r="FG253" s="11"/>
      <c r="FH253" s="11"/>
      <c r="FI253" s="11"/>
      <c r="FJ253" s="11"/>
      <c r="FK253" s="11"/>
      <c r="FL253" s="11"/>
      <c r="FM253" s="11"/>
      <c r="FN253" s="11"/>
      <c r="FO253" s="11"/>
      <c r="FP253" s="11"/>
      <c r="FQ253" s="11"/>
      <c r="FR253" s="11"/>
      <c r="FS253" s="11"/>
      <c r="FT253" s="11"/>
      <c r="FU253" s="11"/>
      <c r="FV253" s="11"/>
      <c r="FW253" s="11"/>
      <c r="FX253" s="11"/>
      <c r="FY253" s="11"/>
      <c r="FZ253" s="11"/>
      <c r="GA253" s="11"/>
      <c r="GB253" s="11"/>
      <c r="GC253" s="11"/>
      <c r="GD253" s="11"/>
      <c r="GE253" s="11"/>
      <c r="GF253" s="11"/>
      <c r="GG253" s="11"/>
      <c r="GH253" s="11"/>
      <c r="GI253" s="11"/>
      <c r="GJ253" s="11"/>
      <c r="GK253" s="11"/>
      <c r="GL253" s="11"/>
      <c r="GM253" s="11"/>
      <c r="GN253" s="11"/>
      <c r="GO253" s="11"/>
      <c r="GP253" s="11"/>
      <c r="GQ253" s="11"/>
      <c r="GR253" s="11"/>
    </row>
    <row r="254" spans="2:200" x14ac:dyDescent="0.15"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11"/>
      <c r="CJ254" s="11"/>
      <c r="CK254" s="11"/>
      <c r="CL254" s="11"/>
      <c r="CM254" s="11"/>
      <c r="CN254" s="11"/>
      <c r="CO254" s="11"/>
      <c r="CP254" s="11"/>
      <c r="CQ254" s="11"/>
      <c r="CR254" s="11"/>
      <c r="CS254" s="11"/>
      <c r="CT254" s="11"/>
      <c r="CU254" s="11"/>
      <c r="CV254" s="11"/>
      <c r="CW254" s="11"/>
      <c r="CX254" s="11"/>
      <c r="CY254" s="11"/>
      <c r="CZ254" s="11"/>
      <c r="DA254" s="11"/>
      <c r="DB254" s="11"/>
      <c r="DC254" s="11"/>
      <c r="DD254" s="11"/>
      <c r="DE254" s="11"/>
      <c r="DF254" s="11"/>
      <c r="DG254" s="11"/>
      <c r="DH254" s="11"/>
      <c r="DI254" s="11"/>
      <c r="DJ254" s="11"/>
      <c r="DK254" s="11"/>
      <c r="DL254" s="11"/>
      <c r="DM254" s="11"/>
      <c r="DN254" s="11"/>
      <c r="DO254" s="11"/>
      <c r="DP254" s="11"/>
      <c r="DQ254" s="11"/>
      <c r="DR254" s="11"/>
      <c r="DS254" s="11"/>
      <c r="DT254" s="11"/>
      <c r="DU254" s="11"/>
      <c r="DV254" s="11"/>
      <c r="DW254" s="11"/>
      <c r="DX254" s="11"/>
      <c r="DY254" s="11"/>
      <c r="DZ254" s="11"/>
      <c r="EA254" s="11"/>
      <c r="EB254" s="11"/>
      <c r="EC254" s="11"/>
      <c r="ED254" s="11"/>
      <c r="EE254" s="11"/>
      <c r="EF254" s="11"/>
      <c r="EG254" s="11"/>
      <c r="EH254" s="11"/>
      <c r="EI254" s="11"/>
      <c r="EJ254" s="11"/>
      <c r="EK254" s="11"/>
      <c r="EL254" s="11"/>
      <c r="EM254" s="11"/>
      <c r="EN254" s="11"/>
      <c r="EO254" s="11"/>
      <c r="EP254" s="11"/>
      <c r="EQ254" s="11"/>
      <c r="ER254" s="11"/>
      <c r="ES254" s="11"/>
      <c r="ET254" s="11"/>
      <c r="EU254" s="11"/>
      <c r="EV254" s="11"/>
      <c r="EW254" s="11"/>
      <c r="EX254" s="11"/>
      <c r="EY254" s="11"/>
      <c r="EZ254" s="11"/>
      <c r="FA254" s="11"/>
      <c r="FB254" s="11"/>
      <c r="FC254" s="11"/>
      <c r="FD254" s="11"/>
      <c r="FE254" s="11"/>
      <c r="FF254" s="11"/>
      <c r="FG254" s="11"/>
      <c r="FH254" s="11"/>
      <c r="FI254" s="11"/>
      <c r="FJ254" s="11"/>
      <c r="FK254" s="11"/>
      <c r="FL254" s="11"/>
      <c r="FM254" s="11"/>
      <c r="FN254" s="11"/>
      <c r="FO254" s="11"/>
      <c r="FP254" s="11"/>
      <c r="FQ254" s="11"/>
      <c r="FR254" s="11"/>
      <c r="FS254" s="11"/>
      <c r="FT254" s="11"/>
      <c r="FU254" s="11"/>
      <c r="FV254" s="11"/>
      <c r="FW254" s="11"/>
      <c r="FX254" s="11"/>
      <c r="FY254" s="11"/>
      <c r="FZ254" s="11"/>
      <c r="GA254" s="11"/>
      <c r="GB254" s="11"/>
      <c r="GC254" s="11"/>
      <c r="GD254" s="11"/>
      <c r="GE254" s="11"/>
      <c r="GF254" s="11"/>
      <c r="GG254" s="11"/>
      <c r="GH254" s="11"/>
      <c r="GI254" s="11"/>
      <c r="GJ254" s="11"/>
      <c r="GK254" s="11"/>
      <c r="GL254" s="11"/>
      <c r="GM254" s="11"/>
      <c r="GN254" s="11"/>
      <c r="GO254" s="11"/>
      <c r="GP254" s="11"/>
      <c r="GQ254" s="11"/>
      <c r="GR254" s="11"/>
    </row>
    <row r="255" spans="2:200" x14ac:dyDescent="0.15"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11"/>
      <c r="CJ255" s="11"/>
      <c r="CK255" s="11"/>
      <c r="CL255" s="11"/>
      <c r="CM255" s="11"/>
      <c r="CN255" s="11"/>
      <c r="CO255" s="11"/>
      <c r="CP255" s="11"/>
      <c r="CQ255" s="11"/>
      <c r="CR255" s="11"/>
      <c r="CS255" s="11"/>
      <c r="CT255" s="11"/>
      <c r="CU255" s="11"/>
      <c r="CV255" s="11"/>
      <c r="CW255" s="11"/>
      <c r="CX255" s="11"/>
      <c r="CY255" s="11"/>
      <c r="CZ255" s="11"/>
      <c r="DA255" s="11"/>
      <c r="DB255" s="11"/>
      <c r="DC255" s="11"/>
      <c r="DD255" s="11"/>
      <c r="DE255" s="11"/>
      <c r="DF255" s="11"/>
      <c r="DG255" s="11"/>
      <c r="DH255" s="11"/>
      <c r="DI255" s="11"/>
      <c r="DJ255" s="11"/>
      <c r="DK255" s="11"/>
      <c r="DL255" s="11"/>
      <c r="DM255" s="11"/>
      <c r="DN255" s="11"/>
      <c r="DO255" s="11"/>
      <c r="DP255" s="11"/>
      <c r="DQ255" s="11"/>
      <c r="DR255" s="11"/>
      <c r="DS255" s="11"/>
      <c r="DT255" s="11"/>
      <c r="DU255" s="11"/>
      <c r="DV255" s="11"/>
      <c r="DW255" s="11"/>
      <c r="DX255" s="11"/>
      <c r="DY255" s="11"/>
      <c r="DZ255" s="11"/>
      <c r="EA255" s="11"/>
      <c r="EB255" s="11"/>
      <c r="EC255" s="11"/>
      <c r="ED255" s="11"/>
      <c r="EE255" s="11"/>
      <c r="EF255" s="11"/>
      <c r="EG255" s="11"/>
      <c r="EH255" s="11"/>
      <c r="EI255" s="11"/>
      <c r="EJ255" s="11"/>
      <c r="EK255" s="11"/>
      <c r="EL255" s="11"/>
      <c r="EM255" s="11"/>
      <c r="EN255" s="11"/>
      <c r="EO255" s="11"/>
      <c r="EP255" s="11"/>
      <c r="EQ255" s="11"/>
      <c r="ER255" s="11"/>
      <c r="ES255" s="11"/>
      <c r="ET255" s="11"/>
      <c r="EU255" s="11"/>
      <c r="EV255" s="11"/>
      <c r="EW255" s="11"/>
      <c r="EX255" s="11"/>
      <c r="EY255" s="11"/>
      <c r="EZ255" s="11"/>
      <c r="FA255" s="11"/>
      <c r="FB255" s="11"/>
      <c r="FC255" s="11"/>
      <c r="FD255" s="11"/>
      <c r="FE255" s="11"/>
      <c r="FF255" s="11"/>
      <c r="FG255" s="11"/>
      <c r="FH255" s="11"/>
      <c r="FI255" s="11"/>
      <c r="FJ255" s="11"/>
      <c r="FK255" s="11"/>
      <c r="FL255" s="11"/>
      <c r="FM255" s="11"/>
      <c r="FN255" s="11"/>
      <c r="FO255" s="11"/>
      <c r="FP255" s="11"/>
      <c r="FQ255" s="11"/>
      <c r="FR255" s="11"/>
      <c r="FS255" s="11"/>
      <c r="FT255" s="11"/>
      <c r="FU255" s="11"/>
      <c r="FV255" s="11"/>
      <c r="FW255" s="11"/>
      <c r="FX255" s="11"/>
      <c r="FY255" s="11"/>
      <c r="FZ255" s="11"/>
      <c r="GA255" s="11"/>
      <c r="GB255" s="11"/>
      <c r="GC255" s="11"/>
      <c r="GD255" s="11"/>
      <c r="GE255" s="11"/>
      <c r="GF255" s="11"/>
      <c r="GG255" s="11"/>
      <c r="GH255" s="11"/>
      <c r="GI255" s="11"/>
      <c r="GJ255" s="11"/>
      <c r="GK255" s="11"/>
      <c r="GL255" s="11"/>
      <c r="GM255" s="11"/>
      <c r="GN255" s="11"/>
      <c r="GO255" s="11"/>
      <c r="GP255" s="11"/>
      <c r="GQ255" s="11"/>
      <c r="GR255" s="11"/>
    </row>
    <row r="256" spans="2:200" x14ac:dyDescent="0.15"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11"/>
      <c r="CJ256" s="11"/>
      <c r="CK256" s="11"/>
      <c r="CL256" s="11"/>
      <c r="CM256" s="11"/>
      <c r="CN256" s="11"/>
      <c r="CO256" s="11"/>
      <c r="CP256" s="11"/>
      <c r="CQ256" s="11"/>
      <c r="CR256" s="11"/>
      <c r="CS256" s="11"/>
      <c r="CT256" s="11"/>
      <c r="CU256" s="11"/>
      <c r="CV256" s="11"/>
      <c r="CW256" s="11"/>
      <c r="CX256" s="11"/>
      <c r="CY256" s="11"/>
      <c r="CZ256" s="11"/>
      <c r="DA256" s="11"/>
      <c r="DB256" s="11"/>
      <c r="DC256" s="11"/>
      <c r="DD256" s="11"/>
      <c r="DE256" s="11"/>
      <c r="DF256" s="11"/>
      <c r="DG256" s="11"/>
      <c r="DH256" s="11"/>
      <c r="DI256" s="11"/>
      <c r="DJ256" s="11"/>
      <c r="DK256" s="11"/>
      <c r="DL256" s="11"/>
      <c r="DM256" s="11"/>
      <c r="DN256" s="11"/>
      <c r="DO256" s="11"/>
      <c r="DP256" s="11"/>
      <c r="DQ256" s="11"/>
      <c r="DR256" s="11"/>
      <c r="DS256" s="11"/>
      <c r="DT256" s="11"/>
      <c r="DU256" s="11"/>
      <c r="DV256" s="11"/>
      <c r="DW256" s="11"/>
      <c r="DX256" s="11"/>
      <c r="DY256" s="11"/>
      <c r="DZ256" s="11"/>
      <c r="EA256" s="11"/>
      <c r="EB256" s="11"/>
      <c r="EC256" s="11"/>
      <c r="ED256" s="11"/>
      <c r="EE256" s="11"/>
      <c r="EF256" s="11"/>
      <c r="EG256" s="11"/>
      <c r="EH256" s="11"/>
      <c r="EI256" s="11"/>
      <c r="EJ256" s="11"/>
      <c r="EK256" s="11"/>
      <c r="EL256" s="11"/>
      <c r="EM256" s="11"/>
      <c r="EN256" s="11"/>
      <c r="EO256" s="11"/>
      <c r="EP256" s="11"/>
      <c r="EQ256" s="11"/>
      <c r="ER256" s="11"/>
      <c r="ES256" s="11"/>
      <c r="ET256" s="11"/>
      <c r="EU256" s="11"/>
      <c r="EV256" s="11"/>
      <c r="EW256" s="11"/>
      <c r="EX256" s="11"/>
      <c r="EY256" s="11"/>
      <c r="EZ256" s="11"/>
      <c r="FA256" s="11"/>
      <c r="FB256" s="11"/>
      <c r="FC256" s="11"/>
      <c r="FD256" s="11"/>
      <c r="FE256" s="11"/>
      <c r="FF256" s="11"/>
      <c r="FG256" s="11"/>
      <c r="FH256" s="11"/>
      <c r="FI256" s="11"/>
      <c r="FJ256" s="11"/>
      <c r="FK256" s="11"/>
      <c r="FL256" s="11"/>
      <c r="FM256" s="11"/>
      <c r="FN256" s="11"/>
      <c r="FO256" s="11"/>
      <c r="FP256" s="11"/>
      <c r="FQ256" s="11"/>
      <c r="FR256" s="11"/>
      <c r="FS256" s="11"/>
      <c r="FT256" s="11"/>
      <c r="FU256" s="11"/>
      <c r="FV256" s="11"/>
      <c r="FW256" s="11"/>
      <c r="FX256" s="11"/>
      <c r="FY256" s="11"/>
      <c r="FZ256" s="11"/>
      <c r="GA256" s="11"/>
      <c r="GB256" s="11"/>
      <c r="GC256" s="11"/>
      <c r="GD256" s="11"/>
      <c r="GE256" s="11"/>
      <c r="GF256" s="11"/>
      <c r="GG256" s="11"/>
      <c r="GH256" s="11"/>
      <c r="GI256" s="11"/>
      <c r="GJ256" s="11"/>
      <c r="GK256" s="11"/>
      <c r="GL256" s="11"/>
      <c r="GM256" s="11"/>
      <c r="GN256" s="11"/>
      <c r="GO256" s="11"/>
      <c r="GP256" s="11"/>
      <c r="GQ256" s="11"/>
      <c r="GR256" s="11"/>
    </row>
    <row r="257" spans="2:200" x14ac:dyDescent="0.15"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11"/>
      <c r="CJ257" s="11"/>
      <c r="CK257" s="11"/>
      <c r="CL257" s="11"/>
      <c r="CM257" s="11"/>
      <c r="CN257" s="11"/>
      <c r="CO257" s="11"/>
      <c r="CP257" s="11"/>
      <c r="CQ257" s="11"/>
      <c r="CR257" s="11"/>
      <c r="CS257" s="11"/>
      <c r="CT257" s="11"/>
      <c r="CU257" s="11"/>
      <c r="CV257" s="11"/>
      <c r="CW257" s="11"/>
      <c r="CX257" s="11"/>
      <c r="CY257" s="11"/>
      <c r="CZ257" s="11"/>
      <c r="DA257" s="11"/>
      <c r="DB257" s="11"/>
      <c r="DC257" s="11"/>
      <c r="DD257" s="11"/>
      <c r="DE257" s="11"/>
      <c r="DF257" s="11"/>
      <c r="DG257" s="11"/>
      <c r="DH257" s="11"/>
      <c r="DI257" s="11"/>
      <c r="DJ257" s="11"/>
      <c r="DK257" s="11"/>
      <c r="DL257" s="11"/>
      <c r="DM257" s="11"/>
      <c r="DN257" s="11"/>
      <c r="DO257" s="11"/>
      <c r="DP257" s="11"/>
      <c r="DQ257" s="11"/>
      <c r="DR257" s="11"/>
      <c r="DS257" s="11"/>
      <c r="DT257" s="11"/>
      <c r="DU257" s="11"/>
      <c r="DV257" s="11"/>
      <c r="DW257" s="11"/>
      <c r="DX257" s="11"/>
      <c r="DY257" s="11"/>
      <c r="DZ257" s="11"/>
      <c r="EA257" s="11"/>
      <c r="EB257" s="11"/>
      <c r="EC257" s="11"/>
      <c r="ED257" s="11"/>
      <c r="EE257" s="11"/>
      <c r="EF257" s="11"/>
      <c r="EG257" s="11"/>
      <c r="EH257" s="11"/>
      <c r="EI257" s="11"/>
      <c r="EJ257" s="11"/>
      <c r="EK257" s="11"/>
      <c r="EL257" s="11"/>
      <c r="EM257" s="11"/>
      <c r="EN257" s="11"/>
      <c r="EO257" s="11"/>
      <c r="EP257" s="11"/>
      <c r="EQ257" s="11"/>
      <c r="ER257" s="11"/>
      <c r="ES257" s="11"/>
      <c r="ET257" s="11"/>
      <c r="EU257" s="11"/>
      <c r="EV257" s="11"/>
      <c r="EW257" s="11"/>
      <c r="EX257" s="11"/>
      <c r="EY257" s="11"/>
      <c r="EZ257" s="11"/>
      <c r="FA257" s="11"/>
      <c r="FB257" s="11"/>
      <c r="FC257" s="11"/>
      <c r="FD257" s="11"/>
      <c r="FE257" s="11"/>
      <c r="FF257" s="11"/>
      <c r="FG257" s="11"/>
      <c r="FH257" s="11"/>
      <c r="FI257" s="11"/>
      <c r="FJ257" s="11"/>
      <c r="FK257" s="11"/>
      <c r="FL257" s="11"/>
      <c r="FM257" s="11"/>
      <c r="FN257" s="11"/>
      <c r="FO257" s="11"/>
      <c r="FP257" s="11"/>
      <c r="FQ257" s="11"/>
      <c r="FR257" s="11"/>
      <c r="FS257" s="11"/>
      <c r="FT257" s="11"/>
      <c r="FU257" s="11"/>
      <c r="FV257" s="11"/>
      <c r="FW257" s="11"/>
      <c r="FX257" s="11"/>
      <c r="FY257" s="11"/>
      <c r="FZ257" s="11"/>
      <c r="GA257" s="11"/>
      <c r="GB257" s="11"/>
      <c r="GC257" s="11"/>
      <c r="GD257" s="11"/>
      <c r="GE257" s="11"/>
      <c r="GF257" s="11"/>
      <c r="GG257" s="11"/>
      <c r="GH257" s="11"/>
      <c r="GI257" s="11"/>
      <c r="GJ257" s="11"/>
      <c r="GK257" s="11"/>
      <c r="GL257" s="11"/>
      <c r="GM257" s="11"/>
      <c r="GN257" s="11"/>
      <c r="GO257" s="11"/>
      <c r="GP257" s="11"/>
      <c r="GQ257" s="11"/>
      <c r="GR257" s="11"/>
    </row>
    <row r="258" spans="2:200" x14ac:dyDescent="0.15"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11"/>
      <c r="CJ258" s="11"/>
      <c r="CK258" s="11"/>
      <c r="CL258" s="11"/>
      <c r="CM258" s="11"/>
      <c r="CN258" s="11"/>
      <c r="CO258" s="11"/>
      <c r="CP258" s="11"/>
      <c r="CQ258" s="11"/>
      <c r="CR258" s="11"/>
      <c r="CS258" s="11"/>
      <c r="CT258" s="11"/>
      <c r="CU258" s="11"/>
      <c r="CV258" s="11"/>
      <c r="CW258" s="11"/>
      <c r="CX258" s="11"/>
      <c r="CY258" s="11"/>
      <c r="CZ258" s="11"/>
      <c r="DA258" s="11"/>
      <c r="DB258" s="11"/>
      <c r="DC258" s="11"/>
      <c r="DD258" s="11"/>
      <c r="DE258" s="11"/>
      <c r="DF258" s="11"/>
      <c r="DG258" s="11"/>
      <c r="DH258" s="11"/>
      <c r="DI258" s="11"/>
      <c r="DJ258" s="11"/>
      <c r="DK258" s="11"/>
      <c r="DL258" s="11"/>
      <c r="DM258" s="11"/>
      <c r="DN258" s="11"/>
      <c r="DO258" s="11"/>
      <c r="DP258" s="11"/>
      <c r="DQ258" s="11"/>
      <c r="DR258" s="11"/>
      <c r="DS258" s="11"/>
      <c r="DT258" s="11"/>
      <c r="DU258" s="11"/>
      <c r="DV258" s="11"/>
      <c r="DW258" s="11"/>
      <c r="DX258" s="11"/>
      <c r="DY258" s="11"/>
      <c r="DZ258" s="11"/>
      <c r="EA258" s="11"/>
      <c r="EB258" s="11"/>
      <c r="EC258" s="11"/>
      <c r="ED258" s="11"/>
      <c r="EE258" s="11"/>
      <c r="EF258" s="11"/>
      <c r="EG258" s="11"/>
      <c r="EH258" s="11"/>
      <c r="EI258" s="11"/>
      <c r="EJ258" s="11"/>
      <c r="EK258" s="11"/>
      <c r="EL258" s="11"/>
      <c r="EM258" s="11"/>
      <c r="EN258" s="11"/>
      <c r="EO258" s="11"/>
      <c r="EP258" s="11"/>
      <c r="EQ258" s="11"/>
      <c r="ER258" s="11"/>
      <c r="ES258" s="11"/>
      <c r="ET258" s="11"/>
      <c r="EU258" s="11"/>
      <c r="EV258" s="11"/>
      <c r="EW258" s="11"/>
      <c r="EX258" s="11"/>
      <c r="EY258" s="11"/>
      <c r="EZ258" s="11"/>
      <c r="FA258" s="11"/>
      <c r="FB258" s="11"/>
      <c r="FC258" s="11"/>
      <c r="FD258" s="11"/>
      <c r="FE258" s="11"/>
      <c r="FF258" s="11"/>
      <c r="FG258" s="11"/>
      <c r="FH258" s="11"/>
      <c r="FI258" s="11"/>
      <c r="FJ258" s="11"/>
      <c r="FK258" s="11"/>
      <c r="FL258" s="11"/>
      <c r="FM258" s="11"/>
      <c r="FN258" s="11"/>
      <c r="FO258" s="11"/>
      <c r="FP258" s="11"/>
      <c r="FQ258" s="11"/>
      <c r="FR258" s="11"/>
      <c r="FS258" s="11"/>
      <c r="FT258" s="11"/>
      <c r="FU258" s="11"/>
      <c r="FV258" s="11"/>
      <c r="FW258" s="11"/>
      <c r="FX258" s="11"/>
      <c r="FY258" s="11"/>
      <c r="FZ258" s="11"/>
      <c r="GA258" s="11"/>
      <c r="GB258" s="11"/>
      <c r="GC258" s="11"/>
      <c r="GD258" s="11"/>
      <c r="GE258" s="11"/>
      <c r="GF258" s="11"/>
      <c r="GG258" s="11"/>
      <c r="GH258" s="11"/>
      <c r="GI258" s="11"/>
      <c r="GJ258" s="11"/>
      <c r="GK258" s="11"/>
      <c r="GL258" s="11"/>
      <c r="GM258" s="11"/>
      <c r="GN258" s="11"/>
      <c r="GO258" s="11"/>
      <c r="GP258" s="11"/>
      <c r="GQ258" s="11"/>
      <c r="GR258" s="11"/>
    </row>
    <row r="259" spans="2:200" x14ac:dyDescent="0.15"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11"/>
      <c r="CJ259" s="11"/>
      <c r="CK259" s="11"/>
      <c r="CL259" s="11"/>
      <c r="CM259" s="11"/>
      <c r="CN259" s="11"/>
      <c r="CO259" s="11"/>
      <c r="CP259" s="11"/>
      <c r="CQ259" s="11"/>
      <c r="CR259" s="11"/>
      <c r="CS259" s="11"/>
      <c r="CT259" s="11"/>
      <c r="CU259" s="11"/>
      <c r="CV259" s="11"/>
      <c r="CW259" s="11"/>
      <c r="CX259" s="11"/>
      <c r="CY259" s="11"/>
      <c r="CZ259" s="11"/>
      <c r="DA259" s="11"/>
      <c r="DB259" s="11"/>
      <c r="DC259" s="11"/>
      <c r="DD259" s="11"/>
      <c r="DE259" s="11"/>
      <c r="DF259" s="11"/>
      <c r="DG259" s="11"/>
      <c r="DH259" s="11"/>
      <c r="DI259" s="11"/>
      <c r="DJ259" s="11"/>
      <c r="DK259" s="11"/>
      <c r="DL259" s="11"/>
      <c r="DM259" s="11"/>
      <c r="DN259" s="11"/>
      <c r="DO259" s="11"/>
      <c r="DP259" s="11"/>
      <c r="DQ259" s="11"/>
      <c r="DR259" s="11"/>
      <c r="DS259" s="11"/>
      <c r="DT259" s="11"/>
      <c r="DU259" s="11"/>
      <c r="DV259" s="11"/>
      <c r="DW259" s="11"/>
      <c r="DX259" s="11"/>
      <c r="DY259" s="11"/>
      <c r="DZ259" s="11"/>
      <c r="EA259" s="11"/>
      <c r="EB259" s="11"/>
      <c r="EC259" s="11"/>
      <c r="ED259" s="11"/>
      <c r="EE259" s="11"/>
      <c r="EF259" s="11"/>
      <c r="EG259" s="11"/>
      <c r="EH259" s="11"/>
      <c r="EI259" s="11"/>
      <c r="EJ259" s="11"/>
      <c r="EK259" s="11"/>
      <c r="EL259" s="11"/>
      <c r="EM259" s="11"/>
      <c r="EN259" s="11"/>
      <c r="EO259" s="11"/>
      <c r="EP259" s="11"/>
      <c r="EQ259" s="11"/>
      <c r="ER259" s="11"/>
      <c r="ES259" s="11"/>
      <c r="ET259" s="11"/>
      <c r="EU259" s="11"/>
      <c r="EV259" s="11"/>
      <c r="EW259" s="11"/>
      <c r="EX259" s="11"/>
      <c r="EY259" s="11"/>
      <c r="EZ259" s="11"/>
      <c r="FA259" s="11"/>
      <c r="FB259" s="11"/>
      <c r="FC259" s="11"/>
      <c r="FD259" s="11"/>
      <c r="FE259" s="11"/>
      <c r="FF259" s="11"/>
      <c r="FG259" s="11"/>
      <c r="FH259" s="11"/>
      <c r="FI259" s="11"/>
      <c r="FJ259" s="11"/>
      <c r="FK259" s="11"/>
      <c r="FL259" s="11"/>
      <c r="FM259" s="11"/>
      <c r="FN259" s="11"/>
      <c r="FO259" s="11"/>
      <c r="FP259" s="11"/>
      <c r="FQ259" s="11"/>
      <c r="FR259" s="11"/>
      <c r="FS259" s="11"/>
      <c r="FT259" s="11"/>
      <c r="FU259" s="11"/>
      <c r="FV259" s="11"/>
      <c r="FW259" s="11"/>
      <c r="FX259" s="11"/>
      <c r="FY259" s="11"/>
      <c r="FZ259" s="11"/>
      <c r="GA259" s="11"/>
      <c r="GB259" s="11"/>
      <c r="GC259" s="11"/>
      <c r="GD259" s="11"/>
      <c r="GE259" s="11"/>
      <c r="GF259" s="11"/>
      <c r="GG259" s="11"/>
      <c r="GH259" s="11"/>
      <c r="GI259" s="11"/>
      <c r="GJ259" s="11"/>
      <c r="GK259" s="11"/>
      <c r="GL259" s="11"/>
      <c r="GM259" s="11"/>
      <c r="GN259" s="11"/>
      <c r="GO259" s="11"/>
      <c r="GP259" s="11"/>
      <c r="GQ259" s="11"/>
      <c r="GR259" s="11"/>
    </row>
    <row r="260" spans="2:200" x14ac:dyDescent="0.15"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P260" s="11"/>
      <c r="BQ260" s="11"/>
      <c r="BR260" s="11"/>
      <c r="BS260" s="11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11"/>
      <c r="CJ260" s="11"/>
      <c r="CK260" s="11"/>
      <c r="CL260" s="11"/>
      <c r="CM260" s="11"/>
      <c r="CN260" s="11"/>
      <c r="CO260" s="11"/>
      <c r="CP260" s="11"/>
      <c r="CQ260" s="11"/>
      <c r="CR260" s="11"/>
      <c r="CS260" s="11"/>
      <c r="CT260" s="11"/>
      <c r="CU260" s="11"/>
      <c r="CV260" s="11"/>
      <c r="CW260" s="11"/>
      <c r="CX260" s="11"/>
      <c r="CY260" s="11"/>
      <c r="CZ260" s="11"/>
      <c r="DA260" s="11"/>
      <c r="DB260" s="11"/>
      <c r="DC260" s="11"/>
      <c r="DD260" s="11"/>
      <c r="DE260" s="11"/>
      <c r="DF260" s="11"/>
      <c r="DG260" s="11"/>
      <c r="DH260" s="11"/>
      <c r="DI260" s="11"/>
      <c r="DJ260" s="11"/>
      <c r="DK260" s="11"/>
      <c r="DL260" s="11"/>
      <c r="DM260" s="11"/>
      <c r="DN260" s="11"/>
      <c r="DO260" s="11"/>
      <c r="DP260" s="11"/>
      <c r="DQ260" s="11"/>
      <c r="DR260" s="11"/>
      <c r="DS260" s="11"/>
      <c r="DT260" s="11"/>
      <c r="DU260" s="11"/>
      <c r="DV260" s="11"/>
      <c r="DW260" s="11"/>
      <c r="DX260" s="11"/>
      <c r="DY260" s="11"/>
      <c r="DZ260" s="11"/>
      <c r="EA260" s="11"/>
      <c r="EB260" s="11"/>
      <c r="EC260" s="11"/>
      <c r="ED260" s="11"/>
      <c r="EE260" s="11"/>
      <c r="EF260" s="11"/>
      <c r="EG260" s="11"/>
      <c r="EH260" s="11"/>
      <c r="EI260" s="11"/>
      <c r="EJ260" s="11"/>
      <c r="EK260" s="11"/>
      <c r="EL260" s="11"/>
      <c r="EM260" s="11"/>
      <c r="EN260" s="11"/>
      <c r="EO260" s="11"/>
      <c r="EP260" s="11"/>
      <c r="EQ260" s="11"/>
      <c r="ER260" s="11"/>
      <c r="ES260" s="11"/>
      <c r="ET260" s="11"/>
      <c r="EU260" s="11"/>
      <c r="EV260" s="11"/>
      <c r="EW260" s="11"/>
      <c r="EX260" s="11"/>
      <c r="EY260" s="11"/>
      <c r="EZ260" s="11"/>
      <c r="FA260" s="11"/>
      <c r="FB260" s="11"/>
      <c r="FC260" s="11"/>
      <c r="FD260" s="11"/>
      <c r="FE260" s="11"/>
      <c r="FF260" s="11"/>
      <c r="FG260" s="11"/>
      <c r="FH260" s="11"/>
      <c r="FI260" s="11"/>
      <c r="FJ260" s="11"/>
      <c r="FK260" s="11"/>
      <c r="FL260" s="11"/>
      <c r="FM260" s="11"/>
      <c r="FN260" s="11"/>
      <c r="FO260" s="11"/>
      <c r="FP260" s="11"/>
      <c r="FQ260" s="11"/>
      <c r="FR260" s="11"/>
      <c r="FS260" s="11"/>
      <c r="FT260" s="11"/>
      <c r="FU260" s="11"/>
      <c r="FV260" s="11"/>
      <c r="FW260" s="11"/>
      <c r="FX260" s="11"/>
      <c r="FY260" s="11"/>
      <c r="FZ260" s="11"/>
      <c r="GA260" s="11"/>
      <c r="GB260" s="11"/>
      <c r="GC260" s="11"/>
      <c r="GD260" s="11"/>
      <c r="GE260" s="11"/>
      <c r="GF260" s="11"/>
      <c r="GG260" s="11"/>
      <c r="GH260" s="11"/>
      <c r="GI260" s="11"/>
      <c r="GJ260" s="11"/>
      <c r="GK260" s="11"/>
      <c r="GL260" s="11"/>
      <c r="GM260" s="11"/>
      <c r="GN260" s="11"/>
      <c r="GO260" s="11"/>
      <c r="GP260" s="11"/>
      <c r="GQ260" s="11"/>
      <c r="GR260" s="11"/>
    </row>
    <row r="261" spans="2:200" x14ac:dyDescent="0.15"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P261" s="11"/>
      <c r="BQ261" s="11"/>
      <c r="BR261" s="11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11"/>
      <c r="CI261" s="11"/>
      <c r="CJ261" s="11"/>
      <c r="CK261" s="11"/>
      <c r="CL261" s="11"/>
      <c r="CM261" s="11"/>
      <c r="CN261" s="11"/>
      <c r="CO261" s="11"/>
      <c r="CP261" s="11"/>
      <c r="CQ261" s="11"/>
      <c r="CR261" s="11"/>
      <c r="CS261" s="11"/>
      <c r="CT261" s="11"/>
      <c r="CU261" s="11"/>
      <c r="CV261" s="11"/>
      <c r="CW261" s="11"/>
      <c r="CX261" s="11"/>
      <c r="CY261" s="11"/>
      <c r="CZ261" s="11"/>
      <c r="DA261" s="11"/>
      <c r="DB261" s="11"/>
      <c r="DC261" s="11"/>
      <c r="DD261" s="11"/>
      <c r="DE261" s="11"/>
      <c r="DF261" s="11"/>
      <c r="DG261" s="11"/>
      <c r="DH261" s="11"/>
      <c r="DI261" s="11"/>
      <c r="DJ261" s="11"/>
      <c r="DK261" s="11"/>
      <c r="DL261" s="11"/>
      <c r="DM261" s="11"/>
      <c r="DN261" s="11"/>
      <c r="DO261" s="11"/>
      <c r="DP261" s="11"/>
      <c r="DQ261" s="11"/>
      <c r="DR261" s="11"/>
      <c r="DS261" s="11"/>
      <c r="DT261" s="11"/>
      <c r="DU261" s="11"/>
      <c r="DV261" s="11"/>
      <c r="DW261" s="11"/>
      <c r="DX261" s="11"/>
      <c r="DY261" s="11"/>
      <c r="DZ261" s="11"/>
      <c r="EA261" s="11"/>
      <c r="EB261" s="11"/>
      <c r="EC261" s="11"/>
      <c r="ED261" s="11"/>
      <c r="EE261" s="11"/>
      <c r="EF261" s="11"/>
      <c r="EG261" s="11"/>
      <c r="EH261" s="11"/>
      <c r="EI261" s="11"/>
      <c r="EJ261" s="11"/>
      <c r="EK261" s="11"/>
      <c r="EL261" s="11"/>
      <c r="EM261" s="11"/>
      <c r="EN261" s="11"/>
      <c r="EO261" s="11"/>
      <c r="EP261" s="11"/>
      <c r="EQ261" s="11"/>
      <c r="ER261" s="11"/>
      <c r="ES261" s="11"/>
      <c r="ET261" s="11"/>
      <c r="EU261" s="11"/>
      <c r="EV261" s="11"/>
      <c r="EW261" s="11"/>
      <c r="EX261" s="11"/>
      <c r="EY261" s="11"/>
      <c r="EZ261" s="11"/>
      <c r="FA261" s="11"/>
      <c r="FB261" s="11"/>
      <c r="FC261" s="11"/>
      <c r="FD261" s="11"/>
      <c r="FE261" s="11"/>
      <c r="FF261" s="11"/>
      <c r="FG261" s="11"/>
      <c r="FH261" s="11"/>
      <c r="FI261" s="11"/>
      <c r="FJ261" s="11"/>
      <c r="FK261" s="11"/>
      <c r="FL261" s="11"/>
      <c r="FM261" s="11"/>
      <c r="FN261" s="11"/>
      <c r="FO261" s="11"/>
      <c r="FP261" s="11"/>
      <c r="FQ261" s="11"/>
      <c r="FR261" s="11"/>
      <c r="FS261" s="11"/>
      <c r="FT261" s="11"/>
      <c r="FU261" s="11"/>
      <c r="FV261" s="11"/>
      <c r="FW261" s="11"/>
      <c r="FX261" s="11"/>
      <c r="FY261" s="11"/>
      <c r="FZ261" s="11"/>
      <c r="GA261" s="11"/>
      <c r="GB261" s="11"/>
      <c r="GC261" s="11"/>
      <c r="GD261" s="11"/>
      <c r="GE261" s="11"/>
      <c r="GF261" s="11"/>
      <c r="GG261" s="11"/>
      <c r="GH261" s="11"/>
      <c r="GI261" s="11"/>
      <c r="GJ261" s="11"/>
      <c r="GK261" s="11"/>
      <c r="GL261" s="11"/>
      <c r="GM261" s="11"/>
      <c r="GN261" s="11"/>
      <c r="GO261" s="11"/>
      <c r="GP261" s="11"/>
      <c r="GQ261" s="11"/>
      <c r="GR261" s="11"/>
    </row>
    <row r="262" spans="2:200" x14ac:dyDescent="0.15"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P262" s="11"/>
      <c r="BQ262" s="11"/>
      <c r="BR262" s="11"/>
      <c r="BS262" s="11"/>
      <c r="BT262" s="11"/>
      <c r="BU262" s="11"/>
      <c r="BV262" s="11"/>
      <c r="BW262" s="11"/>
      <c r="BX262" s="11"/>
      <c r="BY262" s="11"/>
      <c r="BZ262" s="11"/>
      <c r="CA262" s="11"/>
      <c r="CB262" s="11"/>
      <c r="CC262" s="11"/>
      <c r="CD262" s="11"/>
      <c r="CE262" s="11"/>
      <c r="CF262" s="11"/>
      <c r="CG262" s="11"/>
      <c r="CH262" s="11"/>
      <c r="CI262" s="11"/>
      <c r="CJ262" s="11"/>
      <c r="CK262" s="11"/>
      <c r="CL262" s="11"/>
      <c r="CM262" s="11"/>
      <c r="CN262" s="11"/>
      <c r="CO262" s="11"/>
      <c r="CP262" s="11"/>
      <c r="CQ262" s="11"/>
      <c r="CR262" s="11"/>
      <c r="CS262" s="11"/>
      <c r="CT262" s="11"/>
      <c r="CU262" s="11"/>
      <c r="CV262" s="11"/>
      <c r="CW262" s="11"/>
      <c r="CX262" s="11"/>
      <c r="CY262" s="11"/>
      <c r="CZ262" s="11"/>
      <c r="DA262" s="11"/>
      <c r="DB262" s="11"/>
      <c r="DC262" s="11"/>
      <c r="DD262" s="11"/>
      <c r="DE262" s="11"/>
      <c r="DF262" s="11"/>
      <c r="DG262" s="11"/>
      <c r="DH262" s="11"/>
      <c r="DI262" s="11"/>
      <c r="DJ262" s="11"/>
      <c r="DK262" s="11"/>
      <c r="DL262" s="11"/>
      <c r="DM262" s="11"/>
      <c r="DN262" s="11"/>
      <c r="DO262" s="11"/>
      <c r="DP262" s="11"/>
      <c r="DQ262" s="11"/>
      <c r="DR262" s="11"/>
      <c r="DS262" s="11"/>
      <c r="DT262" s="11"/>
      <c r="DU262" s="11"/>
      <c r="DV262" s="11"/>
      <c r="DW262" s="11"/>
      <c r="DX262" s="11"/>
      <c r="DY262" s="11"/>
      <c r="DZ262" s="11"/>
      <c r="EA262" s="11"/>
      <c r="EB262" s="11"/>
      <c r="EC262" s="11"/>
      <c r="ED262" s="11"/>
      <c r="EE262" s="11"/>
      <c r="EF262" s="11"/>
      <c r="EG262" s="11"/>
      <c r="EH262" s="11"/>
      <c r="EI262" s="11"/>
      <c r="EJ262" s="11"/>
      <c r="EK262" s="11"/>
      <c r="EL262" s="11"/>
      <c r="EM262" s="11"/>
      <c r="EN262" s="11"/>
      <c r="EO262" s="11"/>
      <c r="EP262" s="11"/>
      <c r="EQ262" s="11"/>
      <c r="ER262" s="11"/>
      <c r="ES262" s="11"/>
      <c r="ET262" s="11"/>
      <c r="EU262" s="11"/>
      <c r="EV262" s="11"/>
      <c r="EW262" s="11"/>
      <c r="EX262" s="11"/>
      <c r="EY262" s="11"/>
      <c r="EZ262" s="11"/>
      <c r="FA262" s="11"/>
      <c r="FB262" s="11"/>
      <c r="FC262" s="11"/>
      <c r="FD262" s="11"/>
      <c r="FE262" s="11"/>
      <c r="FF262" s="11"/>
      <c r="FG262" s="11"/>
      <c r="FH262" s="11"/>
      <c r="FI262" s="11"/>
      <c r="FJ262" s="11"/>
      <c r="FK262" s="11"/>
      <c r="FL262" s="11"/>
      <c r="FM262" s="11"/>
      <c r="FN262" s="11"/>
      <c r="FO262" s="11"/>
      <c r="FP262" s="11"/>
      <c r="FQ262" s="11"/>
      <c r="FR262" s="11"/>
      <c r="FS262" s="11"/>
      <c r="FT262" s="11"/>
      <c r="FU262" s="11"/>
      <c r="FV262" s="11"/>
      <c r="FW262" s="11"/>
      <c r="FX262" s="11"/>
      <c r="FY262" s="11"/>
      <c r="FZ262" s="11"/>
      <c r="GA262" s="11"/>
      <c r="GB262" s="11"/>
      <c r="GC262" s="11"/>
      <c r="GD262" s="11"/>
      <c r="GE262" s="11"/>
      <c r="GF262" s="11"/>
      <c r="GG262" s="11"/>
      <c r="GH262" s="11"/>
      <c r="GI262" s="11"/>
      <c r="GJ262" s="11"/>
      <c r="GK262" s="11"/>
      <c r="GL262" s="11"/>
      <c r="GM262" s="11"/>
      <c r="GN262" s="11"/>
      <c r="GO262" s="11"/>
      <c r="GP262" s="11"/>
      <c r="GQ262" s="11"/>
      <c r="GR262" s="11"/>
    </row>
    <row r="263" spans="2:200" x14ac:dyDescent="0.15"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P263" s="11"/>
      <c r="BQ263" s="11"/>
      <c r="BR263" s="11"/>
      <c r="BS263" s="11"/>
      <c r="BT263" s="11"/>
      <c r="BU263" s="11"/>
      <c r="BV263" s="11"/>
      <c r="BW263" s="11"/>
      <c r="BX263" s="11"/>
      <c r="BY263" s="11"/>
      <c r="BZ263" s="11"/>
      <c r="CA263" s="11"/>
      <c r="CB263" s="11"/>
      <c r="CC263" s="11"/>
      <c r="CD263" s="11"/>
      <c r="CE263" s="11"/>
      <c r="CF263" s="11"/>
      <c r="CG263" s="11"/>
      <c r="CH263" s="11"/>
      <c r="CI263" s="11"/>
      <c r="CJ263" s="11"/>
      <c r="CK263" s="11"/>
      <c r="CL263" s="11"/>
      <c r="CM263" s="11"/>
      <c r="CN263" s="11"/>
      <c r="CO263" s="11"/>
      <c r="CP263" s="11"/>
      <c r="CQ263" s="11"/>
      <c r="CR263" s="11"/>
      <c r="CS263" s="11"/>
      <c r="CT263" s="11"/>
      <c r="CU263" s="11"/>
      <c r="CV263" s="11"/>
      <c r="CW263" s="11"/>
      <c r="CX263" s="11"/>
      <c r="CY263" s="11"/>
      <c r="CZ263" s="11"/>
      <c r="DA263" s="11"/>
      <c r="DB263" s="11"/>
      <c r="DC263" s="11"/>
      <c r="DD263" s="11"/>
      <c r="DE263" s="11"/>
      <c r="DF263" s="11"/>
      <c r="DG263" s="11"/>
      <c r="DH263" s="11"/>
      <c r="DI263" s="11"/>
      <c r="DJ263" s="11"/>
      <c r="DK263" s="11"/>
      <c r="DL263" s="11"/>
      <c r="DM263" s="11"/>
      <c r="DN263" s="11"/>
      <c r="DO263" s="11"/>
      <c r="DP263" s="11"/>
      <c r="DQ263" s="11"/>
      <c r="DR263" s="11"/>
      <c r="DS263" s="11"/>
      <c r="DT263" s="11"/>
      <c r="DU263" s="11"/>
      <c r="DV263" s="11"/>
      <c r="DW263" s="11"/>
      <c r="DX263" s="11"/>
      <c r="DY263" s="11"/>
      <c r="DZ263" s="11"/>
      <c r="EA263" s="11"/>
      <c r="EB263" s="11"/>
      <c r="EC263" s="11"/>
      <c r="ED263" s="11"/>
      <c r="EE263" s="11"/>
      <c r="EF263" s="11"/>
      <c r="EG263" s="11"/>
      <c r="EH263" s="11"/>
      <c r="EI263" s="11"/>
      <c r="EJ263" s="11"/>
      <c r="EK263" s="11"/>
      <c r="EL263" s="11"/>
      <c r="EM263" s="11"/>
      <c r="EN263" s="11"/>
      <c r="EO263" s="11"/>
      <c r="EP263" s="11"/>
      <c r="EQ263" s="11"/>
      <c r="ER263" s="11"/>
      <c r="ES263" s="11"/>
      <c r="ET263" s="11"/>
      <c r="EU263" s="11"/>
      <c r="EV263" s="11"/>
      <c r="EW263" s="11"/>
      <c r="EX263" s="11"/>
      <c r="EY263" s="11"/>
      <c r="EZ263" s="11"/>
      <c r="FA263" s="11"/>
      <c r="FB263" s="11"/>
      <c r="FC263" s="11"/>
      <c r="FD263" s="11"/>
      <c r="FE263" s="11"/>
      <c r="FF263" s="11"/>
      <c r="FG263" s="11"/>
      <c r="FH263" s="11"/>
      <c r="FI263" s="11"/>
      <c r="FJ263" s="11"/>
      <c r="FK263" s="11"/>
      <c r="FL263" s="11"/>
      <c r="FM263" s="11"/>
      <c r="FN263" s="11"/>
      <c r="FO263" s="11"/>
      <c r="FP263" s="11"/>
      <c r="FQ263" s="11"/>
      <c r="FR263" s="11"/>
      <c r="FS263" s="11"/>
      <c r="FT263" s="11"/>
      <c r="FU263" s="11"/>
      <c r="FV263" s="11"/>
      <c r="FW263" s="11"/>
      <c r="FX263" s="11"/>
      <c r="FY263" s="11"/>
      <c r="FZ263" s="11"/>
      <c r="GA263" s="11"/>
      <c r="GB263" s="11"/>
      <c r="GC263" s="11"/>
      <c r="GD263" s="11"/>
      <c r="GE263" s="11"/>
      <c r="GF263" s="11"/>
      <c r="GG263" s="11"/>
      <c r="GH263" s="11"/>
      <c r="GI263" s="11"/>
      <c r="GJ263" s="11"/>
      <c r="GK263" s="11"/>
      <c r="GL263" s="11"/>
      <c r="GM263" s="11"/>
      <c r="GN263" s="11"/>
      <c r="GO263" s="11"/>
      <c r="GP263" s="11"/>
      <c r="GQ263" s="11"/>
      <c r="GR263" s="11"/>
    </row>
    <row r="264" spans="2:200" x14ac:dyDescent="0.15"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P264" s="11"/>
      <c r="BQ264" s="11"/>
      <c r="BR264" s="11"/>
      <c r="BS264" s="11"/>
      <c r="BT264" s="11"/>
      <c r="BU264" s="11"/>
      <c r="BV264" s="11"/>
      <c r="BW264" s="11"/>
      <c r="BX264" s="11"/>
      <c r="BY264" s="11"/>
      <c r="BZ264" s="11"/>
      <c r="CA264" s="11"/>
      <c r="CB264" s="11"/>
      <c r="CC264" s="11"/>
      <c r="CD264" s="11"/>
      <c r="CE264" s="11"/>
      <c r="CF264" s="11"/>
      <c r="CG264" s="11"/>
      <c r="CH264" s="11"/>
      <c r="CI264" s="11"/>
      <c r="CJ264" s="11"/>
      <c r="CK264" s="11"/>
      <c r="CL264" s="11"/>
      <c r="CM264" s="11"/>
      <c r="CN264" s="11"/>
      <c r="CO264" s="11"/>
      <c r="CP264" s="11"/>
      <c r="CQ264" s="11"/>
      <c r="CR264" s="11"/>
      <c r="CS264" s="11"/>
      <c r="CT264" s="11"/>
      <c r="CU264" s="11"/>
      <c r="CV264" s="11"/>
      <c r="CW264" s="11"/>
      <c r="CX264" s="11"/>
      <c r="CY264" s="11"/>
      <c r="CZ264" s="11"/>
      <c r="DA264" s="11"/>
      <c r="DB264" s="11"/>
      <c r="DC264" s="11"/>
      <c r="DD264" s="11"/>
      <c r="DE264" s="11"/>
      <c r="DF264" s="11"/>
      <c r="DG264" s="11"/>
      <c r="DH264" s="11"/>
      <c r="DI264" s="11"/>
      <c r="DJ264" s="11"/>
      <c r="DK264" s="11"/>
      <c r="DL264" s="11"/>
      <c r="DM264" s="11"/>
      <c r="DN264" s="11"/>
      <c r="DO264" s="11"/>
      <c r="DP264" s="11"/>
      <c r="DQ264" s="11"/>
      <c r="DR264" s="11"/>
      <c r="DS264" s="11"/>
      <c r="DT264" s="11"/>
      <c r="DU264" s="11"/>
      <c r="DV264" s="11"/>
      <c r="DW264" s="11"/>
      <c r="DX264" s="11"/>
      <c r="DY264" s="11"/>
      <c r="DZ264" s="11"/>
      <c r="EA264" s="11"/>
      <c r="EB264" s="11"/>
      <c r="EC264" s="11"/>
      <c r="ED264" s="11"/>
      <c r="EE264" s="11"/>
      <c r="EF264" s="11"/>
      <c r="EG264" s="11"/>
      <c r="EH264" s="11"/>
      <c r="EI264" s="11"/>
      <c r="EJ264" s="11"/>
      <c r="EK264" s="11"/>
      <c r="EL264" s="11"/>
      <c r="EM264" s="11"/>
      <c r="EN264" s="11"/>
      <c r="EO264" s="11"/>
      <c r="EP264" s="11"/>
      <c r="EQ264" s="11"/>
      <c r="ER264" s="11"/>
      <c r="ES264" s="11"/>
      <c r="ET264" s="11"/>
      <c r="EU264" s="11"/>
      <c r="EV264" s="11"/>
      <c r="EW264" s="11"/>
      <c r="EX264" s="11"/>
      <c r="EY264" s="11"/>
      <c r="EZ264" s="11"/>
      <c r="FA264" s="11"/>
      <c r="FB264" s="11"/>
      <c r="FC264" s="11"/>
      <c r="FD264" s="11"/>
      <c r="FE264" s="11"/>
      <c r="FF264" s="11"/>
      <c r="FG264" s="11"/>
      <c r="FH264" s="11"/>
      <c r="FI264" s="11"/>
      <c r="FJ264" s="11"/>
      <c r="FK264" s="11"/>
      <c r="FL264" s="11"/>
      <c r="FM264" s="11"/>
      <c r="FN264" s="11"/>
      <c r="FO264" s="11"/>
      <c r="FP264" s="11"/>
      <c r="FQ264" s="11"/>
      <c r="FR264" s="11"/>
      <c r="FS264" s="11"/>
      <c r="FT264" s="11"/>
      <c r="FU264" s="11"/>
      <c r="FV264" s="11"/>
      <c r="FW264" s="11"/>
      <c r="FX264" s="11"/>
      <c r="FY264" s="11"/>
      <c r="FZ264" s="11"/>
      <c r="GA264" s="11"/>
      <c r="GB264" s="11"/>
      <c r="GC264" s="11"/>
      <c r="GD264" s="11"/>
      <c r="GE264" s="11"/>
      <c r="GF264" s="11"/>
      <c r="GG264" s="11"/>
      <c r="GH264" s="11"/>
      <c r="GI264" s="11"/>
      <c r="GJ264" s="11"/>
      <c r="GK264" s="11"/>
      <c r="GL264" s="11"/>
      <c r="GM264" s="11"/>
      <c r="GN264" s="11"/>
      <c r="GO264" s="11"/>
      <c r="GP264" s="11"/>
      <c r="GQ264" s="11"/>
      <c r="GR264" s="11"/>
    </row>
    <row r="265" spans="2:200" x14ac:dyDescent="0.15"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P265" s="11"/>
      <c r="BQ265" s="11"/>
      <c r="BR265" s="11"/>
      <c r="BS265" s="11"/>
      <c r="BT265" s="11"/>
      <c r="BU265" s="11"/>
      <c r="BV265" s="11"/>
      <c r="BW265" s="11"/>
      <c r="BX265" s="11"/>
      <c r="BY265" s="11"/>
      <c r="BZ265" s="11"/>
      <c r="CA265" s="11"/>
      <c r="CB265" s="11"/>
      <c r="CC265" s="11"/>
      <c r="CD265" s="11"/>
      <c r="CE265" s="11"/>
      <c r="CF265" s="11"/>
      <c r="CG265" s="11"/>
      <c r="CH265" s="11"/>
      <c r="CI265" s="11"/>
      <c r="CJ265" s="11"/>
      <c r="CK265" s="11"/>
      <c r="CL265" s="11"/>
      <c r="CM265" s="11"/>
      <c r="CN265" s="11"/>
      <c r="CO265" s="11"/>
      <c r="CP265" s="11"/>
      <c r="CQ265" s="11"/>
      <c r="CR265" s="11"/>
      <c r="CS265" s="11"/>
      <c r="CT265" s="11"/>
      <c r="CU265" s="11"/>
      <c r="CV265" s="11"/>
      <c r="CW265" s="11"/>
      <c r="CX265" s="11"/>
      <c r="CY265" s="11"/>
      <c r="CZ265" s="11"/>
      <c r="DA265" s="11"/>
      <c r="DB265" s="11"/>
      <c r="DC265" s="11"/>
      <c r="DD265" s="11"/>
      <c r="DE265" s="11"/>
      <c r="DF265" s="11"/>
      <c r="DG265" s="11"/>
      <c r="DH265" s="11"/>
      <c r="DI265" s="11"/>
      <c r="DJ265" s="11"/>
      <c r="DK265" s="11"/>
      <c r="DL265" s="11"/>
      <c r="DM265" s="11"/>
      <c r="DN265" s="11"/>
      <c r="DO265" s="11"/>
      <c r="DP265" s="11"/>
      <c r="DQ265" s="11"/>
      <c r="DR265" s="11"/>
      <c r="DS265" s="11"/>
      <c r="DT265" s="11"/>
      <c r="DU265" s="11"/>
      <c r="DV265" s="11"/>
      <c r="DW265" s="11"/>
      <c r="DX265" s="11"/>
      <c r="DY265" s="11"/>
      <c r="DZ265" s="11"/>
      <c r="EA265" s="11"/>
      <c r="EB265" s="11"/>
      <c r="EC265" s="11"/>
      <c r="ED265" s="11"/>
      <c r="EE265" s="11"/>
      <c r="EF265" s="11"/>
      <c r="EG265" s="11"/>
      <c r="EH265" s="11"/>
      <c r="EI265" s="11"/>
      <c r="EJ265" s="11"/>
      <c r="EK265" s="11"/>
      <c r="EL265" s="11"/>
      <c r="EM265" s="11"/>
      <c r="EN265" s="11"/>
      <c r="EO265" s="11"/>
      <c r="EP265" s="11"/>
      <c r="EQ265" s="11"/>
      <c r="ER265" s="11"/>
      <c r="ES265" s="11"/>
      <c r="ET265" s="11"/>
      <c r="EU265" s="11"/>
      <c r="EV265" s="11"/>
      <c r="EW265" s="11"/>
      <c r="EX265" s="11"/>
      <c r="EY265" s="11"/>
      <c r="EZ265" s="11"/>
      <c r="FA265" s="11"/>
      <c r="FB265" s="11"/>
      <c r="FC265" s="11"/>
      <c r="FD265" s="11"/>
      <c r="FE265" s="11"/>
      <c r="FF265" s="11"/>
      <c r="FG265" s="11"/>
      <c r="FH265" s="11"/>
      <c r="FI265" s="11"/>
      <c r="FJ265" s="11"/>
      <c r="FK265" s="11"/>
      <c r="FL265" s="11"/>
      <c r="FM265" s="11"/>
      <c r="FN265" s="11"/>
      <c r="FO265" s="11"/>
      <c r="FP265" s="11"/>
      <c r="FQ265" s="11"/>
      <c r="FR265" s="11"/>
      <c r="FS265" s="11"/>
      <c r="FT265" s="11"/>
      <c r="FU265" s="11"/>
      <c r="FV265" s="11"/>
      <c r="FW265" s="11"/>
      <c r="FX265" s="11"/>
      <c r="FY265" s="11"/>
      <c r="FZ265" s="11"/>
      <c r="GA265" s="11"/>
      <c r="GB265" s="11"/>
      <c r="GC265" s="11"/>
      <c r="GD265" s="11"/>
      <c r="GE265" s="11"/>
      <c r="GF265" s="11"/>
      <c r="GG265" s="11"/>
      <c r="GH265" s="11"/>
      <c r="GI265" s="11"/>
      <c r="GJ265" s="11"/>
      <c r="GK265" s="11"/>
      <c r="GL265" s="11"/>
      <c r="GM265" s="11"/>
      <c r="GN265" s="11"/>
      <c r="GO265" s="11"/>
      <c r="GP265" s="11"/>
      <c r="GQ265" s="11"/>
      <c r="GR265" s="11"/>
    </row>
    <row r="266" spans="2:200" x14ac:dyDescent="0.15"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P266" s="11"/>
      <c r="BQ266" s="11"/>
      <c r="BR266" s="11"/>
      <c r="BS266" s="11"/>
      <c r="BT266" s="11"/>
      <c r="BU266" s="11"/>
      <c r="BV266" s="11"/>
      <c r="BW266" s="11"/>
      <c r="BX266" s="11"/>
      <c r="BY266" s="11"/>
      <c r="BZ266" s="11"/>
      <c r="CA266" s="11"/>
      <c r="CB266" s="11"/>
      <c r="CC266" s="11"/>
      <c r="CD266" s="11"/>
      <c r="CE266" s="11"/>
      <c r="CF266" s="11"/>
      <c r="CG266" s="11"/>
      <c r="CH266" s="11"/>
      <c r="CI266" s="11"/>
      <c r="CJ266" s="11"/>
      <c r="CK266" s="11"/>
      <c r="CL266" s="11"/>
      <c r="CM266" s="11"/>
      <c r="CN266" s="11"/>
      <c r="CO266" s="11"/>
      <c r="CP266" s="11"/>
      <c r="CQ266" s="11"/>
      <c r="CR266" s="11"/>
      <c r="CS266" s="11"/>
      <c r="CT266" s="11"/>
      <c r="CU266" s="11"/>
      <c r="CV266" s="11"/>
      <c r="CW266" s="11"/>
      <c r="CX266" s="11"/>
      <c r="CY266" s="11"/>
      <c r="CZ266" s="11"/>
      <c r="DA266" s="11"/>
      <c r="DB266" s="11"/>
      <c r="DC266" s="11"/>
      <c r="DD266" s="11"/>
      <c r="DE266" s="11"/>
      <c r="DF266" s="11"/>
      <c r="DG266" s="11"/>
      <c r="DH266" s="11"/>
      <c r="DI266" s="11"/>
      <c r="DJ266" s="11"/>
      <c r="DK266" s="11"/>
      <c r="DL266" s="11"/>
      <c r="DM266" s="11"/>
      <c r="DN266" s="11"/>
      <c r="DO266" s="11"/>
      <c r="DP266" s="11"/>
      <c r="DQ266" s="11"/>
      <c r="DR266" s="11"/>
      <c r="DS266" s="11"/>
      <c r="DT266" s="11"/>
      <c r="DU266" s="11"/>
      <c r="DV266" s="11"/>
      <c r="DW266" s="11"/>
      <c r="DX266" s="11"/>
      <c r="DY266" s="11"/>
      <c r="DZ266" s="11"/>
      <c r="EA266" s="11"/>
      <c r="EB266" s="11"/>
      <c r="EC266" s="11"/>
      <c r="ED266" s="11"/>
      <c r="EE266" s="11"/>
      <c r="EF266" s="11"/>
      <c r="EG266" s="11"/>
      <c r="EH266" s="11"/>
      <c r="EI266" s="11"/>
      <c r="EJ266" s="11"/>
      <c r="EK266" s="11"/>
      <c r="EL266" s="11"/>
      <c r="EM266" s="11"/>
      <c r="EN266" s="11"/>
      <c r="EO266" s="11"/>
      <c r="EP266" s="11"/>
      <c r="EQ266" s="11"/>
      <c r="ER266" s="11"/>
      <c r="ES266" s="11"/>
      <c r="ET266" s="11"/>
      <c r="EU266" s="11"/>
      <c r="EV266" s="11"/>
      <c r="EW266" s="11"/>
      <c r="EX266" s="11"/>
      <c r="EY266" s="11"/>
      <c r="EZ266" s="11"/>
      <c r="FA266" s="11"/>
      <c r="FB266" s="11"/>
      <c r="FC266" s="11"/>
      <c r="FD266" s="11"/>
      <c r="FE266" s="11"/>
      <c r="FF266" s="11"/>
      <c r="FG266" s="11"/>
      <c r="FH266" s="11"/>
      <c r="FI266" s="11"/>
      <c r="FJ266" s="11"/>
      <c r="FK266" s="11"/>
      <c r="FL266" s="11"/>
      <c r="FM266" s="11"/>
      <c r="FN266" s="11"/>
      <c r="FO266" s="11"/>
      <c r="FP266" s="11"/>
      <c r="FQ266" s="11"/>
      <c r="FR266" s="11"/>
      <c r="FS266" s="11"/>
      <c r="FT266" s="11"/>
      <c r="FU266" s="11"/>
      <c r="FV266" s="11"/>
      <c r="FW266" s="11"/>
      <c r="FX266" s="11"/>
      <c r="FY266" s="11"/>
      <c r="FZ266" s="11"/>
      <c r="GA266" s="11"/>
      <c r="GB266" s="11"/>
      <c r="GC266" s="11"/>
      <c r="GD266" s="11"/>
      <c r="GE266" s="11"/>
      <c r="GF266" s="11"/>
      <c r="GG266" s="11"/>
      <c r="GH266" s="11"/>
      <c r="GI266" s="11"/>
      <c r="GJ266" s="11"/>
      <c r="GK266" s="11"/>
      <c r="GL266" s="11"/>
      <c r="GM266" s="11"/>
      <c r="GN266" s="11"/>
      <c r="GO266" s="11"/>
      <c r="GP266" s="11"/>
      <c r="GQ266" s="11"/>
      <c r="GR266" s="11"/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4182-5A82-4699-9196-EC8217F4542A}">
  <sheetPr codeName="Sheet2"/>
  <dimension ref="A1:AA100"/>
  <sheetViews>
    <sheetView workbookViewId="0">
      <selection activeCell="H7" sqref="H7"/>
    </sheetView>
  </sheetViews>
  <sheetFormatPr defaultRowHeight="14.25" x14ac:dyDescent="0.15"/>
  <cols>
    <col min="1" max="7" width="9.140625" style="11"/>
    <col min="8" max="8" width="9.85546875" style="11" bestFit="1" customWidth="1"/>
    <col min="9" max="12" width="9.140625" style="11"/>
    <col min="13" max="22" width="8.7109375" style="11" customWidth="1"/>
    <col min="23" max="16384" width="9.140625" style="11"/>
  </cols>
  <sheetData>
    <row r="1" spans="1:22" x14ac:dyDescent="0.15">
      <c r="A1" s="11">
        <v>1</v>
      </c>
      <c r="B1" s="11">
        <v>2</v>
      </c>
      <c r="C1" s="11">
        <v>3</v>
      </c>
      <c r="D1" s="11">
        <v>4</v>
      </c>
      <c r="E1" s="11">
        <v>5</v>
      </c>
      <c r="F1" s="11">
        <v>6</v>
      </c>
      <c r="G1" s="11">
        <v>7</v>
      </c>
      <c r="H1" s="11">
        <v>8</v>
      </c>
      <c r="I1" s="11">
        <v>9</v>
      </c>
      <c r="J1" s="11">
        <v>10</v>
      </c>
      <c r="K1" s="11">
        <v>11</v>
      </c>
      <c r="L1" s="11">
        <v>12</v>
      </c>
    </row>
    <row r="2" spans="1:22" x14ac:dyDescent="0.15">
      <c r="E2" s="54" t="s">
        <v>24</v>
      </c>
      <c r="F2" s="54" t="s">
        <v>25</v>
      </c>
      <c r="J2" s="42"/>
    </row>
    <row r="3" spans="1:22" x14ac:dyDescent="0.15">
      <c r="D3" s="54" t="s">
        <v>154</v>
      </c>
      <c r="E3">
        <v>1.2359999418258667</v>
      </c>
      <c r="F3">
        <v>1.3940000534057617</v>
      </c>
      <c r="G3" s="42" t="s">
        <v>352</v>
      </c>
      <c r="H3" s="43" t="str" cm="1">
        <f t="array" ref="H3">pdi_cal(1,E3)</f>
        <v>Pdi=(1.024*mi*Bdi*Z*Gs)/Td ,Td&gt;0.64</v>
      </c>
      <c r="I3" s="22"/>
    </row>
    <row r="4" spans="1:22" ht="15.75" x14ac:dyDescent="0.15">
      <c r="D4" s="42" t="s">
        <v>171</v>
      </c>
      <c r="E4">
        <v>3826</v>
      </c>
      <c r="F4">
        <v>4001</v>
      </c>
      <c r="H4" s="43"/>
      <c r="I4" s="22"/>
      <c r="N4" s="45"/>
      <c r="O4" s="45"/>
      <c r="P4" s="45"/>
      <c r="Q4" s="45"/>
      <c r="R4" s="45"/>
      <c r="S4" s="45"/>
      <c r="T4" s="45"/>
      <c r="U4" s="45"/>
      <c r="V4" s="45"/>
    </row>
    <row r="5" spans="1:22" x14ac:dyDescent="0.15">
      <c r="D5" s="42" t="s">
        <v>172</v>
      </c>
      <c r="E5">
        <v>0.75</v>
      </c>
      <c r="F5">
        <v>0.7850000262260437</v>
      </c>
      <c r="H5" s="43"/>
      <c r="K5" s="42"/>
    </row>
    <row r="6" spans="1:22" x14ac:dyDescent="0.15">
      <c r="D6" s="54" t="s">
        <v>156</v>
      </c>
      <c r="E6">
        <v>7057</v>
      </c>
      <c r="F6">
        <v>6444</v>
      </c>
      <c r="G6" s="42" t="s">
        <v>353</v>
      </c>
      <c r="H6" s="43" t="str" cm="1">
        <f t="array" ref="H6">pdi_cal(1,F3)</f>
        <v>Pdi=(1.024*mi*Bdi*Z*Gs)/Td ,Td&gt;0.64</v>
      </c>
      <c r="I6" s="79"/>
      <c r="J6" s="55"/>
      <c r="K6" s="42"/>
    </row>
    <row r="7" spans="1:22" x14ac:dyDescent="0.15">
      <c r="D7" s="54" t="s">
        <v>168</v>
      </c>
      <c r="E7">
        <v>6419</v>
      </c>
      <c r="F7">
        <v>5952</v>
      </c>
      <c r="H7" s="42"/>
      <c r="I7" s="79"/>
      <c r="J7" s="55"/>
    </row>
    <row r="8" spans="1:22" x14ac:dyDescent="0.15">
      <c r="D8" s="54" t="s">
        <v>155</v>
      </c>
      <c r="E8">
        <v>1.0989999771118164</v>
      </c>
      <c r="F8">
        <v>1.0829999446868896</v>
      </c>
      <c r="J8" s="55"/>
      <c r="O8" s="42"/>
      <c r="P8" s="42"/>
    </row>
    <row r="9" spans="1:22" x14ac:dyDescent="0.15">
      <c r="D9" s="54" t="s">
        <v>157</v>
      </c>
      <c r="H9" s="93">
        <v>1</v>
      </c>
      <c r="I9" s="93">
        <v>1</v>
      </c>
      <c r="J9" s="55"/>
      <c r="O9" s="42"/>
      <c r="P9" s="42"/>
    </row>
    <row r="10" spans="1:22" x14ac:dyDescent="0.15">
      <c r="O10" s="42"/>
      <c r="P10" s="42"/>
    </row>
    <row r="11" spans="1:22" x14ac:dyDescent="0.15">
      <c r="A11" s="11">
        <v>1</v>
      </c>
      <c r="B11" s="11">
        <v>2</v>
      </c>
      <c r="C11" s="11">
        <v>3</v>
      </c>
      <c r="D11" s="11">
        <v>4</v>
      </c>
      <c r="E11" s="11">
        <v>5</v>
      </c>
      <c r="F11" s="11">
        <v>6</v>
      </c>
      <c r="G11" s="11">
        <v>7</v>
      </c>
      <c r="H11" s="11">
        <v>8</v>
      </c>
      <c r="I11" s="11">
        <v>9</v>
      </c>
      <c r="J11" s="55"/>
      <c r="O11" s="42"/>
      <c r="P11" s="42"/>
    </row>
    <row r="12" spans="1:22" x14ac:dyDescent="0.15">
      <c r="B12" s="22" t="s">
        <v>115</v>
      </c>
      <c r="C12" s="22" t="s">
        <v>124</v>
      </c>
      <c r="D12" s="22" t="s">
        <v>125</v>
      </c>
      <c r="E12" s="22" t="s">
        <v>126</v>
      </c>
      <c r="F12" s="22" t="s">
        <v>129</v>
      </c>
      <c r="G12" s="22" t="s">
        <v>152</v>
      </c>
      <c r="H12" s="22" t="s">
        <v>153</v>
      </c>
      <c r="I12" s="22" t="s">
        <v>174</v>
      </c>
      <c r="J12" s="55"/>
      <c r="O12" s="42"/>
    </row>
    <row r="13" spans="1:22" x14ac:dyDescent="0.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2" x14ac:dyDescent="0.15">
      <c r="A14"/>
      <c r="B14">
        <v>11</v>
      </c>
      <c r="C14">
        <v>1</v>
      </c>
      <c r="D14">
        <v>1</v>
      </c>
      <c r="E14">
        <v>251</v>
      </c>
      <c r="F14">
        <v>3.372999906539917</v>
      </c>
      <c r="G14">
        <v>2.5299999713897705</v>
      </c>
      <c r="H14">
        <v>1066</v>
      </c>
      <c r="I14">
        <v>1066</v>
      </c>
      <c r="J14">
        <v>4.9215689301490784E-2</v>
      </c>
      <c r="K14"/>
      <c r="L14">
        <v>3.3730266094207764</v>
      </c>
      <c r="M14"/>
      <c r="N14"/>
      <c r="O14"/>
      <c r="P14"/>
      <c r="Q14"/>
      <c r="R14"/>
      <c r="S14"/>
      <c r="T14"/>
    </row>
    <row r="15" spans="1:22" x14ac:dyDescent="0.15">
      <c r="A15"/>
      <c r="B15">
        <v>10</v>
      </c>
      <c r="C15">
        <v>1</v>
      </c>
      <c r="D15">
        <v>1</v>
      </c>
      <c r="E15">
        <v>640</v>
      </c>
      <c r="F15">
        <v>1.7130000591278076</v>
      </c>
      <c r="G15">
        <v>1.2849999666213989</v>
      </c>
      <c r="H15">
        <v>1380</v>
      </c>
      <c r="I15">
        <v>2445</v>
      </c>
      <c r="J15">
        <v>0.1747058779001236</v>
      </c>
      <c r="K15"/>
      <c r="L15">
        <v>1.7126973867416382</v>
      </c>
      <c r="M15"/>
      <c r="N15"/>
      <c r="O15"/>
      <c r="P15"/>
      <c r="Q15"/>
      <c r="R15"/>
      <c r="S15"/>
      <c r="T15"/>
    </row>
    <row r="16" spans="1:22" x14ac:dyDescent="0.15">
      <c r="A16"/>
      <c r="B16">
        <v>9</v>
      </c>
      <c r="C16">
        <v>1</v>
      </c>
      <c r="D16">
        <v>1</v>
      </c>
      <c r="E16">
        <v>454</v>
      </c>
      <c r="F16">
        <v>1.3380000591278076</v>
      </c>
      <c r="G16">
        <v>1.0039999485015869</v>
      </c>
      <c r="H16">
        <v>765</v>
      </c>
      <c r="I16">
        <v>3210</v>
      </c>
      <c r="J16">
        <v>0.26372548937797546</v>
      </c>
      <c r="K16"/>
      <c r="L16">
        <v>1.3380277156829834</v>
      </c>
      <c r="M16"/>
      <c r="N16"/>
      <c r="O16"/>
      <c r="P16"/>
      <c r="Q16"/>
      <c r="R16"/>
      <c r="S16"/>
      <c r="T16"/>
    </row>
    <row r="17" spans="1:27" x14ac:dyDescent="0.15">
      <c r="A17"/>
      <c r="B17">
        <v>8</v>
      </c>
      <c r="C17">
        <v>1</v>
      </c>
      <c r="D17">
        <v>1</v>
      </c>
      <c r="E17">
        <v>455</v>
      </c>
      <c r="F17">
        <v>1.1519999504089355</v>
      </c>
      <c r="G17">
        <v>0.86400002241134644</v>
      </c>
      <c r="H17">
        <v>660</v>
      </c>
      <c r="I17">
        <v>3870</v>
      </c>
      <c r="J17">
        <v>0.35294118523597717</v>
      </c>
      <c r="K17"/>
      <c r="L17">
        <v>1.1523116827011108</v>
      </c>
      <c r="M17"/>
      <c r="N17"/>
      <c r="O17"/>
      <c r="P17"/>
      <c r="Q17"/>
      <c r="R17"/>
      <c r="S17"/>
      <c r="T17"/>
    </row>
    <row r="18" spans="1:27" x14ac:dyDescent="0.15">
      <c r="A18"/>
      <c r="B18">
        <v>7</v>
      </c>
      <c r="C18">
        <v>1</v>
      </c>
      <c r="D18">
        <v>1</v>
      </c>
      <c r="E18">
        <v>460</v>
      </c>
      <c r="F18">
        <v>0.99900001287460327</v>
      </c>
      <c r="G18">
        <v>0.74900001287460327</v>
      </c>
      <c r="H18">
        <v>578</v>
      </c>
      <c r="I18">
        <v>4448</v>
      </c>
      <c r="J18">
        <v>0.44313725829124451</v>
      </c>
      <c r="K18"/>
      <c r="L18">
        <v>0.99878358840942383</v>
      </c>
      <c r="M18"/>
      <c r="N18"/>
      <c r="O18"/>
      <c r="P18"/>
      <c r="Q18"/>
      <c r="R18"/>
      <c r="S18"/>
      <c r="T18"/>
    </row>
    <row r="19" spans="1:27" x14ac:dyDescent="0.15">
      <c r="A19"/>
      <c r="B19">
        <v>6</v>
      </c>
      <c r="C19">
        <v>1</v>
      </c>
      <c r="D19">
        <v>1</v>
      </c>
      <c r="E19">
        <v>467</v>
      </c>
      <c r="F19">
        <v>0.86100000143051147</v>
      </c>
      <c r="G19">
        <v>0.64600002765655518</v>
      </c>
      <c r="H19">
        <v>506</v>
      </c>
      <c r="I19">
        <v>4954</v>
      </c>
      <c r="J19">
        <v>0.53470587730407715</v>
      </c>
      <c r="K19"/>
      <c r="L19">
        <v>0.86055731773376465</v>
      </c>
      <c r="M19"/>
      <c r="N19"/>
      <c r="O19"/>
      <c r="P19"/>
      <c r="Q19"/>
      <c r="R19"/>
      <c r="S19"/>
      <c r="T19"/>
    </row>
    <row r="20" spans="1:27" x14ac:dyDescent="0.15">
      <c r="A20"/>
      <c r="B20">
        <v>5</v>
      </c>
      <c r="C20">
        <v>1</v>
      </c>
      <c r="D20">
        <v>1</v>
      </c>
      <c r="E20">
        <v>469</v>
      </c>
      <c r="F20">
        <v>0.73100000619888306</v>
      </c>
      <c r="G20">
        <v>0.54900002479553223</v>
      </c>
      <c r="H20">
        <v>432</v>
      </c>
      <c r="I20">
        <v>5385</v>
      </c>
      <c r="J20">
        <v>0.62666666507720947</v>
      </c>
      <c r="K20"/>
      <c r="L20">
        <v>0.73136252164840698</v>
      </c>
      <c r="M20"/>
      <c r="N20"/>
      <c r="O20"/>
      <c r="P20"/>
      <c r="Q20"/>
      <c r="R20"/>
      <c r="S20"/>
      <c r="T20"/>
    </row>
    <row r="21" spans="1:27" x14ac:dyDescent="0.15">
      <c r="A21"/>
      <c r="B21">
        <v>4</v>
      </c>
      <c r="C21">
        <v>1</v>
      </c>
      <c r="D21">
        <v>1</v>
      </c>
      <c r="E21">
        <v>471</v>
      </c>
      <c r="F21">
        <v>0.60799998044967651</v>
      </c>
      <c r="G21">
        <v>0.45600000023841858</v>
      </c>
      <c r="H21">
        <v>361</v>
      </c>
      <c r="I21">
        <v>5746</v>
      </c>
      <c r="J21">
        <v>0.71901959180831909</v>
      </c>
      <c r="K21"/>
      <c r="L21">
        <v>0.60837984085083008</v>
      </c>
      <c r="M21"/>
      <c r="N21"/>
      <c r="O21"/>
      <c r="P21"/>
      <c r="Q21"/>
      <c r="R21"/>
      <c r="S21"/>
      <c r="T21"/>
    </row>
    <row r="22" spans="1:27" x14ac:dyDescent="0.15">
      <c r="A22"/>
      <c r="B22">
        <v>3</v>
      </c>
      <c r="C22">
        <v>1</v>
      </c>
      <c r="D22">
        <v>1</v>
      </c>
      <c r="E22">
        <v>475</v>
      </c>
      <c r="F22">
        <v>0.48899999260902405</v>
      </c>
      <c r="G22">
        <v>0.36700001358985901</v>
      </c>
      <c r="H22">
        <v>293</v>
      </c>
      <c r="I22">
        <v>6038</v>
      </c>
      <c r="J22">
        <v>0.81215685606002808</v>
      </c>
      <c r="K22"/>
      <c r="L22">
        <v>0.48931461572647095</v>
      </c>
      <c r="M22"/>
      <c r="N22"/>
      <c r="O22"/>
      <c r="P22"/>
      <c r="Q22"/>
      <c r="R22"/>
      <c r="S22"/>
      <c r="T22"/>
    </row>
    <row r="23" spans="1:27" x14ac:dyDescent="0.15">
      <c r="A23"/>
      <c r="B23">
        <v>2</v>
      </c>
      <c r="C23">
        <v>1</v>
      </c>
      <c r="D23">
        <v>1</v>
      </c>
      <c r="E23">
        <v>477</v>
      </c>
      <c r="F23">
        <v>0.37299999594688416</v>
      </c>
      <c r="G23">
        <v>0.2800000011920929</v>
      </c>
      <c r="H23">
        <v>224</v>
      </c>
      <c r="I23">
        <v>6262</v>
      </c>
      <c r="J23">
        <v>0.90568625926971436</v>
      </c>
      <c r="K23"/>
      <c r="L23">
        <v>0.37292516231536865</v>
      </c>
      <c r="M23"/>
      <c r="N23"/>
      <c r="O23"/>
      <c r="P23"/>
      <c r="Q23"/>
      <c r="R23"/>
      <c r="S23"/>
      <c r="T23"/>
    </row>
    <row r="24" spans="1:27" x14ac:dyDescent="0.15">
      <c r="A24"/>
      <c r="B24">
        <v>1</v>
      </c>
      <c r="C24">
        <v>1</v>
      </c>
      <c r="D24">
        <v>1</v>
      </c>
      <c r="E24">
        <v>481</v>
      </c>
      <c r="F24">
        <v>0.25799998641014099</v>
      </c>
      <c r="G24">
        <v>0.1940000057220459</v>
      </c>
      <c r="H24">
        <v>156</v>
      </c>
      <c r="I24">
        <v>6419</v>
      </c>
      <c r="J24">
        <v>1</v>
      </c>
      <c r="K24"/>
      <c r="L24">
        <v>0.2584015429019928</v>
      </c>
      <c r="M24"/>
      <c r="N24"/>
      <c r="O24"/>
      <c r="P24"/>
      <c r="Q24"/>
      <c r="R24"/>
      <c r="S24"/>
      <c r="T24"/>
    </row>
    <row r="25" spans="1:27" x14ac:dyDescent="0.15">
      <c r="A25"/>
      <c r="B25"/>
      <c r="C25"/>
      <c r="D25"/>
      <c r="E25">
        <v>5100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7" x14ac:dyDescent="0.15">
      <c r="A26"/>
      <c r="B26" t="s">
        <v>319</v>
      </c>
      <c r="C26" t="s">
        <v>320</v>
      </c>
      <c r="D26" t="s">
        <v>321</v>
      </c>
      <c r="E26" t="s">
        <v>288</v>
      </c>
      <c r="F26" t="s">
        <v>322</v>
      </c>
      <c r="G26" t="s">
        <v>323</v>
      </c>
      <c r="H26" t="s">
        <v>324</v>
      </c>
      <c r="I26" t="s">
        <v>325</v>
      </c>
      <c r="J26"/>
      <c r="K26"/>
      <c r="L26"/>
      <c r="M26"/>
      <c r="N26"/>
      <c r="O26"/>
      <c r="P26"/>
      <c r="Q26"/>
      <c r="R26"/>
      <c r="S26"/>
      <c r="T26"/>
    </row>
    <row r="27" spans="1:27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7" x14ac:dyDescent="0.15">
      <c r="A28"/>
      <c r="B28">
        <v>11</v>
      </c>
      <c r="C28">
        <v>1</v>
      </c>
      <c r="D28">
        <v>1</v>
      </c>
      <c r="E28">
        <v>251</v>
      </c>
      <c r="F28">
        <v>3.372999906539917</v>
      </c>
      <c r="G28">
        <v>2.6459999084472656</v>
      </c>
      <c r="H28">
        <v>988</v>
      </c>
      <c r="I28">
        <v>988</v>
      </c>
      <c r="J28"/>
      <c r="K28"/>
      <c r="L28"/>
      <c r="M28"/>
      <c r="N28"/>
      <c r="O28"/>
      <c r="P28"/>
      <c r="Q28"/>
      <c r="R28"/>
      <c r="S28"/>
      <c r="T28"/>
      <c r="Z28" s="42"/>
      <c r="AA28" s="43"/>
    </row>
    <row r="29" spans="1:27" x14ac:dyDescent="0.15">
      <c r="A29"/>
      <c r="B29">
        <v>10</v>
      </c>
      <c r="C29">
        <v>1</v>
      </c>
      <c r="D29">
        <v>1</v>
      </c>
      <c r="E29">
        <v>640</v>
      </c>
      <c r="F29">
        <v>1.7130000591278076</v>
      </c>
      <c r="G29">
        <v>1.343999981880188</v>
      </c>
      <c r="H29">
        <v>1279</v>
      </c>
      <c r="I29">
        <v>2267</v>
      </c>
      <c r="J29"/>
      <c r="K29"/>
      <c r="L29"/>
      <c r="M29"/>
      <c r="N29"/>
      <c r="O29"/>
      <c r="P29"/>
      <c r="Q29"/>
      <c r="R29"/>
      <c r="S29"/>
      <c r="T29"/>
      <c r="Z29" s="42"/>
      <c r="AA29" s="43"/>
    </row>
    <row r="30" spans="1:27" x14ac:dyDescent="0.15">
      <c r="A30"/>
      <c r="B30">
        <v>9</v>
      </c>
      <c r="C30">
        <v>1</v>
      </c>
      <c r="D30">
        <v>1</v>
      </c>
      <c r="E30">
        <v>454</v>
      </c>
      <c r="F30">
        <v>1.3380000591278076</v>
      </c>
      <c r="G30">
        <v>1.0499999523162842</v>
      </c>
      <c r="H30">
        <v>709</v>
      </c>
      <c r="I30">
        <v>2976</v>
      </c>
      <c r="J30"/>
      <c r="K30"/>
      <c r="L30"/>
      <c r="M30"/>
      <c r="N30"/>
      <c r="O30"/>
      <c r="P30"/>
      <c r="Q30"/>
      <c r="R30"/>
      <c r="S30"/>
      <c r="T30"/>
      <c r="Z30" s="42"/>
      <c r="AA30" s="43"/>
    </row>
    <row r="31" spans="1:27" x14ac:dyDescent="0.15">
      <c r="A31"/>
      <c r="B31">
        <v>8</v>
      </c>
      <c r="C31">
        <v>1</v>
      </c>
      <c r="D31">
        <v>1</v>
      </c>
      <c r="E31">
        <v>455</v>
      </c>
      <c r="F31">
        <v>1.1519999504089355</v>
      </c>
      <c r="G31">
        <v>0.90399998426437378</v>
      </c>
      <c r="H31">
        <v>612</v>
      </c>
      <c r="I31">
        <v>3588</v>
      </c>
      <c r="J31"/>
      <c r="K31"/>
      <c r="L31"/>
      <c r="M31"/>
      <c r="N31"/>
      <c r="O31"/>
      <c r="P31"/>
      <c r="Q31"/>
      <c r="R31"/>
      <c r="S31"/>
      <c r="T31"/>
      <c r="Z31" s="42"/>
      <c r="AA31" s="43"/>
    </row>
    <row r="32" spans="1:27" x14ac:dyDescent="0.15">
      <c r="A32"/>
      <c r="B32">
        <v>7</v>
      </c>
      <c r="C32">
        <v>1</v>
      </c>
      <c r="D32">
        <v>1</v>
      </c>
      <c r="E32">
        <v>460</v>
      </c>
      <c r="F32">
        <v>0.99900001287460327</v>
      </c>
      <c r="G32">
        <v>0.7839999794960022</v>
      </c>
      <c r="H32">
        <v>536</v>
      </c>
      <c r="I32">
        <v>4124</v>
      </c>
      <c r="J32"/>
      <c r="K32"/>
      <c r="L32"/>
      <c r="M32"/>
      <c r="N32"/>
      <c r="O32"/>
      <c r="P32"/>
      <c r="Q32"/>
      <c r="R32"/>
      <c r="S32"/>
      <c r="T32"/>
    </row>
    <row r="33" spans="1:20" x14ac:dyDescent="0.15">
      <c r="A33"/>
      <c r="B33">
        <v>6</v>
      </c>
      <c r="C33">
        <v>1</v>
      </c>
      <c r="D33">
        <v>1</v>
      </c>
      <c r="E33">
        <v>467</v>
      </c>
      <c r="F33">
        <v>0.86100000143051147</v>
      </c>
      <c r="G33">
        <v>0.67500001192092896</v>
      </c>
      <c r="H33">
        <v>469</v>
      </c>
      <c r="I33">
        <v>4593</v>
      </c>
      <c r="J33"/>
      <c r="K33"/>
      <c r="L33"/>
      <c r="M33"/>
      <c r="N33"/>
      <c r="O33"/>
      <c r="P33"/>
      <c r="Q33"/>
      <c r="R33"/>
      <c r="S33"/>
      <c r="T33"/>
    </row>
    <row r="34" spans="1:20" x14ac:dyDescent="0.15">
      <c r="A34"/>
      <c r="B34">
        <v>5</v>
      </c>
      <c r="C34">
        <v>1</v>
      </c>
      <c r="D34">
        <v>1</v>
      </c>
      <c r="E34">
        <v>469</v>
      </c>
      <c r="F34">
        <v>0.73100000619888306</v>
      </c>
      <c r="G34">
        <v>0.57400000095367432</v>
      </c>
      <c r="H34">
        <v>400</v>
      </c>
      <c r="I34">
        <v>4993</v>
      </c>
      <c r="J34"/>
      <c r="K34"/>
      <c r="L34"/>
      <c r="M34"/>
      <c r="N34"/>
      <c r="O34"/>
      <c r="P34"/>
      <c r="Q34"/>
      <c r="R34"/>
      <c r="S34"/>
      <c r="T34"/>
    </row>
    <row r="35" spans="1:20" x14ac:dyDescent="0.15">
      <c r="A35"/>
      <c r="B35">
        <v>4</v>
      </c>
      <c r="C35">
        <v>1</v>
      </c>
      <c r="D35">
        <v>1</v>
      </c>
      <c r="E35">
        <v>471</v>
      </c>
      <c r="F35">
        <v>0.60799998044967651</v>
      </c>
      <c r="G35">
        <v>0.47699999809265137</v>
      </c>
      <c r="H35">
        <v>334</v>
      </c>
      <c r="I35">
        <v>5328</v>
      </c>
      <c r="J35"/>
      <c r="K35"/>
      <c r="L35"/>
      <c r="M35"/>
      <c r="N35"/>
      <c r="O35"/>
      <c r="P35"/>
      <c r="Q35"/>
      <c r="R35"/>
      <c r="S35"/>
      <c r="T35"/>
    </row>
    <row r="36" spans="1:20" x14ac:dyDescent="0.15">
      <c r="A36"/>
      <c r="B36">
        <v>3</v>
      </c>
      <c r="C36">
        <v>1</v>
      </c>
      <c r="D36">
        <v>1</v>
      </c>
      <c r="E36">
        <v>475</v>
      </c>
      <c r="F36">
        <v>0.48899999260902405</v>
      </c>
      <c r="G36">
        <v>0.38400000333786011</v>
      </c>
      <c r="H36">
        <v>271</v>
      </c>
      <c r="I36">
        <v>5599</v>
      </c>
      <c r="J36"/>
      <c r="K36"/>
      <c r="L36"/>
      <c r="M36"/>
      <c r="N36"/>
      <c r="O36"/>
      <c r="P36"/>
      <c r="Q36"/>
      <c r="R36"/>
      <c r="S36"/>
      <c r="T36"/>
    </row>
    <row r="37" spans="1:20" x14ac:dyDescent="0.15">
      <c r="A37"/>
      <c r="B37">
        <v>2</v>
      </c>
      <c r="C37">
        <v>1</v>
      </c>
      <c r="D37">
        <v>1</v>
      </c>
      <c r="E37">
        <v>477</v>
      </c>
      <c r="F37">
        <v>0.37299999594688416</v>
      </c>
      <c r="G37">
        <v>0.29300001263618469</v>
      </c>
      <c r="H37">
        <v>208</v>
      </c>
      <c r="I37">
        <v>5807</v>
      </c>
      <c r="J37"/>
      <c r="K37"/>
      <c r="L37"/>
      <c r="M37"/>
      <c r="N37"/>
      <c r="O37"/>
      <c r="P37"/>
      <c r="Q37"/>
      <c r="R37"/>
      <c r="S37"/>
      <c r="T37"/>
    </row>
    <row r="38" spans="1:20" x14ac:dyDescent="0.15">
      <c r="A38"/>
      <c r="B38">
        <v>1</v>
      </c>
      <c r="C38">
        <v>1</v>
      </c>
      <c r="D38">
        <v>1</v>
      </c>
      <c r="E38">
        <v>481</v>
      </c>
      <c r="F38">
        <v>0.25799998641014099</v>
      </c>
      <c r="G38">
        <v>0.20299999415874481</v>
      </c>
      <c r="H38">
        <v>145</v>
      </c>
      <c r="I38">
        <v>5952</v>
      </c>
      <c r="J38"/>
      <c r="K38"/>
      <c r="L38"/>
      <c r="M38"/>
      <c r="N38"/>
      <c r="O38"/>
      <c r="P38"/>
      <c r="Q38"/>
      <c r="R38"/>
      <c r="S38"/>
      <c r="T38"/>
    </row>
    <row r="39" spans="1:20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2"/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need_DQ">
                <anchor moveWithCells="1" sizeWithCells="1">
                  <from>
                    <xdr:col>0</xdr:col>
                    <xdr:colOff>133350</xdr:colOff>
                    <xdr:row>1</xdr:row>
                    <xdr:rowOff>85725</xdr:rowOff>
                  </from>
                  <to>
                    <xdr:col>1</xdr:col>
                    <xdr:colOff>228600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AC09-6B88-4301-915A-4EA863613DC4}">
  <sheetPr codeName="Sheet15"/>
  <dimension ref="A1:T100"/>
  <sheetViews>
    <sheetView topLeftCell="A28" workbookViewId="0">
      <selection activeCell="E3" sqref="E3"/>
    </sheetView>
  </sheetViews>
  <sheetFormatPr defaultRowHeight="14.25" x14ac:dyDescent="0.15"/>
  <cols>
    <col min="1" max="1" width="4.7109375" style="11" customWidth="1"/>
    <col min="2" max="2" width="9.7109375" style="12" customWidth="1"/>
    <col min="3" max="3" width="9.7109375" style="19" customWidth="1"/>
    <col min="4" max="4" width="9.7109375" style="11" customWidth="1"/>
    <col min="5" max="5" width="9.7109375" style="17" customWidth="1"/>
    <col min="6" max="6" width="9.7109375" style="11" customWidth="1"/>
    <col min="7" max="7" width="9.7109375" style="17" customWidth="1"/>
    <col min="8" max="9" width="9.7109375" style="11" customWidth="1"/>
    <col min="10" max="12" width="10.7109375" style="11" customWidth="1"/>
    <col min="13" max="16384" width="9.140625" style="11"/>
  </cols>
  <sheetData>
    <row r="1" spans="1:20" x14ac:dyDescent="0.15">
      <c r="A1" s="50">
        <v>1</v>
      </c>
      <c r="B1" s="51">
        <v>2</v>
      </c>
      <c r="C1" s="50">
        <v>3</v>
      </c>
      <c r="D1" s="51">
        <v>4</v>
      </c>
      <c r="E1" s="50">
        <v>5</v>
      </c>
      <c r="F1" s="51">
        <v>6</v>
      </c>
      <c r="G1" s="50">
        <v>7</v>
      </c>
      <c r="H1" s="51">
        <v>8</v>
      </c>
      <c r="I1" s="50">
        <v>9</v>
      </c>
      <c r="J1" s="51">
        <v>10</v>
      </c>
      <c r="K1" s="50">
        <v>11</v>
      </c>
    </row>
    <row r="2" spans="1:20" x14ac:dyDescent="0.15">
      <c r="B2" s="62" t="s">
        <v>166</v>
      </c>
    </row>
    <row r="4" spans="1:20" x14ac:dyDescent="0.15">
      <c r="C4" s="13"/>
      <c r="D4" s="14" t="s">
        <v>29</v>
      </c>
      <c r="E4" s="11">
        <v>43.999996185302734</v>
      </c>
      <c r="G4" s="11"/>
      <c r="H4" s="15" t="s">
        <v>135</v>
      </c>
      <c r="I4" s="11">
        <v>24088</v>
      </c>
      <c r="J4" s="16" t="s">
        <v>30</v>
      </c>
    </row>
    <row r="5" spans="1:20" x14ac:dyDescent="0.15">
      <c r="C5" s="13"/>
      <c r="D5" s="14" t="s">
        <v>28</v>
      </c>
      <c r="E5" s="11">
        <v>11</v>
      </c>
      <c r="H5" s="15" t="s">
        <v>136</v>
      </c>
      <c r="I5" s="11">
        <v>17532</v>
      </c>
      <c r="J5" s="16" t="s">
        <v>30</v>
      </c>
    </row>
    <row r="6" spans="1:20" x14ac:dyDescent="0.15">
      <c r="C6" s="13"/>
      <c r="D6" s="14" t="s">
        <v>27</v>
      </c>
      <c r="E6" s="11">
        <v>1</v>
      </c>
    </row>
    <row r="7" spans="1:20" x14ac:dyDescent="0.15">
      <c r="C7" s="13"/>
      <c r="D7" s="14" t="s">
        <v>12</v>
      </c>
      <c r="E7" s="11">
        <v>0.20000000298023224</v>
      </c>
    </row>
    <row r="8" spans="1:20" x14ac:dyDescent="0.15">
      <c r="C8" s="13"/>
      <c r="D8" s="14" t="s">
        <v>13</v>
      </c>
      <c r="E8" s="11">
        <v>0.60000002384185791</v>
      </c>
      <c r="F8" s="16"/>
      <c r="H8" s="18" t="s">
        <v>44</v>
      </c>
      <c r="I8" s="18" t="s">
        <v>43</v>
      </c>
      <c r="J8" s="18" t="s">
        <v>49</v>
      </c>
    </row>
    <row r="9" spans="1:20" x14ac:dyDescent="0.15">
      <c r="G9" s="20" t="s">
        <v>24</v>
      </c>
      <c r="H9" s="11">
        <v>1.5800000429153442</v>
      </c>
      <c r="I9" s="11">
        <v>0.60799999999999998</v>
      </c>
      <c r="L9" s="16"/>
    </row>
    <row r="10" spans="1:20" x14ac:dyDescent="0.15">
      <c r="D10" s="17" t="s">
        <v>186</v>
      </c>
      <c r="E10" s="22">
        <v>3845</v>
      </c>
      <c r="F10" s="12"/>
      <c r="G10" s="15" t="s">
        <v>25</v>
      </c>
      <c r="H10" s="11">
        <v>2.0350000858306885</v>
      </c>
      <c r="I10" s="11">
        <v>0.47199999999999998</v>
      </c>
    </row>
    <row r="11" spans="1:20" x14ac:dyDescent="0.15">
      <c r="D11" s="17" t="s">
        <v>187</v>
      </c>
      <c r="E11" s="22">
        <v>3917</v>
      </c>
      <c r="F11" s="22"/>
      <c r="G11" s="20" t="s">
        <v>122</v>
      </c>
      <c r="H11" s="11">
        <v>1.3199999332427979</v>
      </c>
      <c r="I11" s="11">
        <v>0.72727279295277991</v>
      </c>
      <c r="K11" s="18" t="s">
        <v>45</v>
      </c>
    </row>
    <row r="12" spans="1:20" x14ac:dyDescent="0.15">
      <c r="B12" s="23"/>
      <c r="C12" s="21"/>
      <c r="D12" s="24"/>
      <c r="E12" s="24"/>
      <c r="F12" s="25"/>
      <c r="G12" s="22"/>
      <c r="I12" s="26"/>
      <c r="J12" s="26"/>
    </row>
    <row r="13" spans="1:20" x14ac:dyDescent="0.15">
      <c r="B13" s="32" t="s">
        <v>0</v>
      </c>
      <c r="C13" s="27" t="s">
        <v>116</v>
      </c>
      <c r="D13" s="28" t="s">
        <v>117</v>
      </c>
      <c r="E13" s="29" t="s">
        <v>3</v>
      </c>
      <c r="F13" s="29" t="s">
        <v>118</v>
      </c>
      <c r="G13" s="18" t="s">
        <v>46</v>
      </c>
      <c r="H13" s="28" t="s">
        <v>47</v>
      </c>
      <c r="I13" s="28" t="s">
        <v>48</v>
      </c>
    </row>
    <row r="14" spans="1:20" x14ac:dyDescent="0.15">
      <c r="B14" s="23"/>
      <c r="C14" s="27" t="s">
        <v>6</v>
      </c>
      <c r="D14" s="28" t="s">
        <v>119</v>
      </c>
      <c r="E14" s="29" t="s">
        <v>2</v>
      </c>
      <c r="F14" s="30"/>
      <c r="G14" s="18" t="s">
        <v>7</v>
      </c>
      <c r="H14" s="18"/>
      <c r="I14" s="31"/>
      <c r="J14" s="31"/>
    </row>
    <row r="15" spans="1:20" x14ac:dyDescent="0.15">
      <c r="A15"/>
      <c r="B15">
        <v>11</v>
      </c>
      <c r="C15">
        <v>6.2E-2</v>
      </c>
      <c r="D15">
        <v>0.57699999999999996</v>
      </c>
      <c r="E15">
        <v>5.07</v>
      </c>
      <c r="F15" s="91" t="s">
        <v>326</v>
      </c>
      <c r="G15">
        <v>251</v>
      </c>
      <c r="H15">
        <v>144.83000000000001</v>
      </c>
      <c r="I15">
        <v>83.57</v>
      </c>
      <c r="J15"/>
      <c r="K15"/>
      <c r="L15"/>
      <c r="M15"/>
      <c r="N15"/>
      <c r="O15"/>
      <c r="P15"/>
      <c r="Q15"/>
      <c r="R15"/>
      <c r="S15"/>
      <c r="T15"/>
    </row>
    <row r="16" spans="1:20" x14ac:dyDescent="0.15">
      <c r="A16"/>
      <c r="B16">
        <v>10</v>
      </c>
      <c r="C16">
        <v>3.5999999999999997E-2</v>
      </c>
      <c r="D16">
        <v>0.51500000000000001</v>
      </c>
      <c r="E16">
        <v>3.8</v>
      </c>
      <c r="F16" s="91" t="s">
        <v>327</v>
      </c>
      <c r="G16">
        <v>640</v>
      </c>
      <c r="H16">
        <v>329.6</v>
      </c>
      <c r="I16">
        <v>169.74</v>
      </c>
      <c r="J16"/>
      <c r="K16"/>
      <c r="L16"/>
      <c r="M16"/>
      <c r="N16"/>
      <c r="O16"/>
      <c r="P16"/>
      <c r="Q16"/>
      <c r="R16"/>
      <c r="S16"/>
      <c r="T16"/>
    </row>
    <row r="17" spans="1:20" x14ac:dyDescent="0.15">
      <c r="A17"/>
      <c r="B17">
        <v>9</v>
      </c>
      <c r="C17">
        <v>0.05</v>
      </c>
      <c r="D17">
        <v>0.47899999999999998</v>
      </c>
      <c r="E17">
        <v>3.8</v>
      </c>
      <c r="F17" s="91" t="s">
        <v>328</v>
      </c>
      <c r="G17">
        <v>454</v>
      </c>
      <c r="H17">
        <v>217.47</v>
      </c>
      <c r="I17">
        <v>104.17</v>
      </c>
      <c r="J17"/>
      <c r="K17"/>
      <c r="L17"/>
      <c r="M17"/>
      <c r="N17"/>
      <c r="O17"/>
      <c r="P17"/>
      <c r="Q17"/>
      <c r="R17"/>
      <c r="S17"/>
      <c r="T17"/>
    </row>
    <row r="18" spans="1:20" x14ac:dyDescent="0.15">
      <c r="A18"/>
      <c r="B18">
        <v>8</v>
      </c>
      <c r="C18">
        <v>6.2E-2</v>
      </c>
      <c r="D18">
        <v>0.42899999999999999</v>
      </c>
      <c r="E18">
        <v>3.8</v>
      </c>
      <c r="F18" s="91" t="s">
        <v>329</v>
      </c>
      <c r="G18">
        <v>455</v>
      </c>
      <c r="H18">
        <v>195.2</v>
      </c>
      <c r="I18">
        <v>83.74</v>
      </c>
      <c r="J18"/>
      <c r="K18"/>
      <c r="L18"/>
      <c r="M18"/>
      <c r="N18"/>
      <c r="O18"/>
      <c r="P18"/>
      <c r="Q18"/>
      <c r="R18"/>
      <c r="S18"/>
      <c r="T18"/>
    </row>
    <row r="19" spans="1:20" x14ac:dyDescent="0.15">
      <c r="A19"/>
      <c r="B19">
        <v>7</v>
      </c>
      <c r="C19">
        <v>6.3E-2</v>
      </c>
      <c r="D19">
        <v>0.36699999999999999</v>
      </c>
      <c r="E19">
        <v>3.8</v>
      </c>
      <c r="F19" s="91" t="s">
        <v>330</v>
      </c>
      <c r="G19">
        <v>460</v>
      </c>
      <c r="H19">
        <v>168.82</v>
      </c>
      <c r="I19">
        <v>61.96</v>
      </c>
      <c r="J19"/>
      <c r="K19"/>
      <c r="L19"/>
      <c r="M19"/>
      <c r="N19"/>
      <c r="O19"/>
      <c r="P19"/>
      <c r="Q19"/>
      <c r="R19"/>
      <c r="S19"/>
      <c r="T19"/>
    </row>
    <row r="20" spans="1:20" x14ac:dyDescent="0.15">
      <c r="A20"/>
      <c r="B20">
        <v>6</v>
      </c>
      <c r="C20">
        <v>5.8000000000000003E-2</v>
      </c>
      <c r="D20">
        <v>0.30399999999999999</v>
      </c>
      <c r="E20">
        <v>3.8</v>
      </c>
      <c r="F20" s="91" t="s">
        <v>331</v>
      </c>
      <c r="G20">
        <v>467</v>
      </c>
      <c r="H20">
        <v>141.97</v>
      </c>
      <c r="I20">
        <v>43.16</v>
      </c>
      <c r="J20"/>
      <c r="K20"/>
      <c r="L20"/>
      <c r="M20"/>
      <c r="N20"/>
      <c r="O20"/>
      <c r="P20"/>
      <c r="Q20"/>
      <c r="R20"/>
      <c r="S20"/>
      <c r="T20"/>
    </row>
    <row r="21" spans="1:20" x14ac:dyDescent="0.15">
      <c r="A21"/>
      <c r="B21">
        <v>5</v>
      </c>
      <c r="C21">
        <v>5.8999999999999997E-2</v>
      </c>
      <c r="D21">
        <v>0.246</v>
      </c>
      <c r="E21">
        <v>3.8</v>
      </c>
      <c r="F21" s="91" t="s">
        <v>332</v>
      </c>
      <c r="G21">
        <v>469</v>
      </c>
      <c r="H21">
        <v>115.37</v>
      </c>
      <c r="I21">
        <v>28.38</v>
      </c>
      <c r="J21"/>
      <c r="K21"/>
      <c r="L21"/>
      <c r="M21"/>
      <c r="N21"/>
      <c r="O21"/>
      <c r="P21"/>
      <c r="Q21"/>
      <c r="R21"/>
      <c r="S21"/>
      <c r="T21"/>
    </row>
    <row r="22" spans="1:20" x14ac:dyDescent="0.15">
      <c r="A22"/>
      <c r="B22">
        <v>4</v>
      </c>
      <c r="C22">
        <v>5.6000000000000001E-2</v>
      </c>
      <c r="D22">
        <v>0.187</v>
      </c>
      <c r="E22">
        <v>3.8</v>
      </c>
      <c r="F22" s="91" t="s">
        <v>333</v>
      </c>
      <c r="G22">
        <v>471</v>
      </c>
      <c r="H22">
        <v>88.08</v>
      </c>
      <c r="I22">
        <v>16.47</v>
      </c>
      <c r="J22"/>
      <c r="K22"/>
      <c r="L22"/>
      <c r="M22"/>
      <c r="N22"/>
      <c r="O22"/>
      <c r="P22"/>
      <c r="Q22"/>
      <c r="R22"/>
      <c r="S22"/>
      <c r="T22"/>
    </row>
    <row r="23" spans="1:20" x14ac:dyDescent="0.15">
      <c r="A23"/>
      <c r="B23">
        <v>3</v>
      </c>
      <c r="C23">
        <v>4.7E-2</v>
      </c>
      <c r="D23">
        <v>0.13100000000000001</v>
      </c>
      <c r="E23">
        <v>3.8</v>
      </c>
      <c r="F23" s="91" t="s">
        <v>334</v>
      </c>
      <c r="G23">
        <v>475</v>
      </c>
      <c r="H23">
        <v>62.23</v>
      </c>
      <c r="I23">
        <v>8.15</v>
      </c>
      <c r="J23"/>
      <c r="K23"/>
      <c r="L23"/>
      <c r="M23"/>
      <c r="N23"/>
      <c r="O23"/>
      <c r="P23"/>
      <c r="Q23"/>
      <c r="R23"/>
      <c r="S23"/>
      <c r="T23"/>
    </row>
    <row r="24" spans="1:20" x14ac:dyDescent="0.15">
      <c r="A24"/>
      <c r="B24">
        <v>2</v>
      </c>
      <c r="C24">
        <v>4.2999999999999997E-2</v>
      </c>
      <c r="D24">
        <v>8.4000000000000005E-2</v>
      </c>
      <c r="E24">
        <v>3.8</v>
      </c>
      <c r="F24" s="91" t="s">
        <v>335</v>
      </c>
      <c r="G24">
        <v>477</v>
      </c>
      <c r="H24">
        <v>40.07</v>
      </c>
      <c r="I24">
        <v>3.37</v>
      </c>
      <c r="J24"/>
      <c r="K24"/>
      <c r="L24"/>
      <c r="M24"/>
      <c r="N24"/>
      <c r="O24"/>
      <c r="P24"/>
      <c r="Q24"/>
      <c r="R24"/>
      <c r="S24"/>
      <c r="T24"/>
    </row>
    <row r="25" spans="1:20" x14ac:dyDescent="0.15">
      <c r="A25"/>
      <c r="B25">
        <v>1</v>
      </c>
      <c r="C25">
        <v>4.1000000000000002E-2</v>
      </c>
      <c r="D25">
        <v>4.1000000000000002E-2</v>
      </c>
      <c r="E25">
        <v>4.7300000000000004</v>
      </c>
      <c r="F25" s="91" t="s">
        <v>336</v>
      </c>
      <c r="G25">
        <v>481</v>
      </c>
      <c r="H25">
        <v>19.72</v>
      </c>
      <c r="I25">
        <v>0.81</v>
      </c>
      <c r="J25"/>
      <c r="K25"/>
      <c r="L25"/>
      <c r="M25"/>
      <c r="N25"/>
      <c r="O25"/>
      <c r="P25"/>
      <c r="Q25"/>
      <c r="R25"/>
      <c r="S25"/>
      <c r="T25"/>
    </row>
    <row r="26" spans="1:20" x14ac:dyDescent="0.15">
      <c r="A26"/>
      <c r="B26"/>
      <c r="C26"/>
      <c r="D26"/>
      <c r="E26"/>
      <c r="F26"/>
      <c r="G26">
        <v>5100</v>
      </c>
      <c r="H26">
        <v>1523.34</v>
      </c>
      <c r="I26">
        <v>603.51</v>
      </c>
      <c r="J26"/>
      <c r="K26"/>
      <c r="L26"/>
      <c r="M26"/>
      <c r="N26"/>
      <c r="O26"/>
      <c r="P26"/>
      <c r="Q26"/>
      <c r="R26"/>
      <c r="S26"/>
      <c r="T26"/>
    </row>
    <row r="27" spans="1:20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x14ac:dyDescent="0.15">
      <c r="A28"/>
      <c r="B28"/>
      <c r="C28" t="s">
        <v>343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x14ac:dyDescent="0.15">
      <c r="A30"/>
      <c r="B30"/>
      <c r="C30" t="s">
        <v>344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x14ac:dyDescent="0.15">
      <c r="A32"/>
      <c r="B32"/>
      <c r="C32" t="s">
        <v>345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x14ac:dyDescent="0.15">
      <c r="A35"/>
      <c r="B35" t="s">
        <v>308</v>
      </c>
      <c r="C35" t="s">
        <v>309</v>
      </c>
      <c r="D35" t="s">
        <v>310</v>
      </c>
      <c r="E35" t="s">
        <v>9</v>
      </c>
      <c r="F35" t="s">
        <v>311</v>
      </c>
      <c r="G35" t="s">
        <v>312</v>
      </c>
      <c r="H35" t="s">
        <v>313</v>
      </c>
      <c r="I35" t="s">
        <v>314</v>
      </c>
      <c r="J35"/>
      <c r="K35"/>
      <c r="L35"/>
      <c r="M35"/>
      <c r="N35"/>
      <c r="O35"/>
      <c r="P35"/>
      <c r="Q35"/>
      <c r="R35"/>
      <c r="S35"/>
      <c r="T35"/>
    </row>
    <row r="36" spans="1:20" x14ac:dyDescent="0.15">
      <c r="A36"/>
      <c r="B36"/>
      <c r="C36" t="s">
        <v>315</v>
      </c>
      <c r="D36" t="s">
        <v>316</v>
      </c>
      <c r="E36" t="s">
        <v>317</v>
      </c>
      <c r="F36"/>
      <c r="G36" t="s">
        <v>318</v>
      </c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x14ac:dyDescent="0.15">
      <c r="A37"/>
      <c r="B37">
        <v>11</v>
      </c>
      <c r="C37">
        <v>3.7999999999999999E-2</v>
      </c>
      <c r="D37">
        <v>0.65800000000000003</v>
      </c>
      <c r="E37">
        <v>5.07</v>
      </c>
      <c r="F37" s="91" t="s">
        <v>337</v>
      </c>
      <c r="G37">
        <v>251</v>
      </c>
      <c r="H37">
        <v>165.16</v>
      </c>
      <c r="I37">
        <v>108.67</v>
      </c>
      <c r="J37"/>
      <c r="K37"/>
      <c r="L37"/>
      <c r="M37"/>
      <c r="N37"/>
      <c r="O37"/>
      <c r="P37"/>
      <c r="Q37"/>
      <c r="R37"/>
      <c r="S37"/>
      <c r="T37"/>
    </row>
    <row r="38" spans="1:20" x14ac:dyDescent="0.15">
      <c r="A38"/>
      <c r="B38">
        <v>10</v>
      </c>
      <c r="C38">
        <v>4.2999999999999997E-2</v>
      </c>
      <c r="D38">
        <v>0.62</v>
      </c>
      <c r="E38">
        <v>3.8</v>
      </c>
      <c r="F38" s="91" t="s">
        <v>335</v>
      </c>
      <c r="G38">
        <v>640</v>
      </c>
      <c r="H38">
        <v>396.8</v>
      </c>
      <c r="I38">
        <v>246.02</v>
      </c>
      <c r="J38"/>
      <c r="K38"/>
      <c r="L38"/>
      <c r="M38"/>
      <c r="N38"/>
      <c r="O38"/>
      <c r="P38"/>
      <c r="Q38"/>
      <c r="R38"/>
      <c r="S38"/>
      <c r="T38"/>
    </row>
    <row r="39" spans="1:20" x14ac:dyDescent="0.15">
      <c r="A39"/>
      <c r="B39">
        <v>9</v>
      </c>
      <c r="C39">
        <v>6.6000000000000003E-2</v>
      </c>
      <c r="D39">
        <v>0.57699999999999996</v>
      </c>
      <c r="E39">
        <v>3.8</v>
      </c>
      <c r="F39" s="91" t="s">
        <v>338</v>
      </c>
      <c r="G39">
        <v>454</v>
      </c>
      <c r="H39">
        <v>261.95999999999998</v>
      </c>
      <c r="I39">
        <v>151.15</v>
      </c>
      <c r="J39"/>
      <c r="K39"/>
      <c r="L39"/>
      <c r="M39"/>
      <c r="N39"/>
      <c r="O39"/>
      <c r="P39"/>
      <c r="Q39"/>
      <c r="R39"/>
      <c r="S39"/>
      <c r="T39"/>
    </row>
    <row r="40" spans="1:20" x14ac:dyDescent="0.15">
      <c r="A40"/>
      <c r="B40">
        <v>8</v>
      </c>
      <c r="C40">
        <v>7.5999999999999998E-2</v>
      </c>
      <c r="D40">
        <v>0.51100000000000001</v>
      </c>
      <c r="E40">
        <v>3.8</v>
      </c>
      <c r="F40" s="91" t="s">
        <v>339</v>
      </c>
      <c r="G40">
        <v>455</v>
      </c>
      <c r="H40">
        <v>232.51</v>
      </c>
      <c r="I40">
        <v>118.81</v>
      </c>
      <c r="J40"/>
      <c r="K40"/>
      <c r="L40"/>
      <c r="M40"/>
      <c r="N40"/>
      <c r="O40"/>
      <c r="P40"/>
      <c r="Q40"/>
      <c r="R40"/>
      <c r="S40"/>
      <c r="T40"/>
    </row>
    <row r="41" spans="1:20" x14ac:dyDescent="0.15">
      <c r="A41"/>
      <c r="B41">
        <v>7</v>
      </c>
      <c r="C41">
        <v>7.0999999999999994E-2</v>
      </c>
      <c r="D41">
        <v>0.435</v>
      </c>
      <c r="E41">
        <v>3.8</v>
      </c>
      <c r="F41" s="91" t="s">
        <v>340</v>
      </c>
      <c r="G41">
        <v>460</v>
      </c>
      <c r="H41">
        <v>200.1</v>
      </c>
      <c r="I41">
        <v>87.04</v>
      </c>
      <c r="J41"/>
      <c r="K41"/>
      <c r="L41"/>
      <c r="M41"/>
      <c r="N41"/>
      <c r="O41"/>
      <c r="P41"/>
      <c r="Q41"/>
      <c r="R41"/>
      <c r="S41"/>
      <c r="T41"/>
    </row>
    <row r="42" spans="1:20" x14ac:dyDescent="0.15">
      <c r="A42"/>
      <c r="B42">
        <v>6</v>
      </c>
      <c r="C42">
        <v>6.4000000000000001E-2</v>
      </c>
      <c r="D42">
        <v>0.36399999999999999</v>
      </c>
      <c r="E42">
        <v>3.8</v>
      </c>
      <c r="F42" s="91" t="s">
        <v>341</v>
      </c>
      <c r="G42">
        <v>467</v>
      </c>
      <c r="H42">
        <v>169.99</v>
      </c>
      <c r="I42">
        <v>61.88</v>
      </c>
      <c r="J42"/>
      <c r="K42"/>
      <c r="L42"/>
      <c r="M42"/>
      <c r="N42"/>
      <c r="O42"/>
      <c r="P42"/>
      <c r="Q42"/>
      <c r="R42"/>
      <c r="S42"/>
      <c r="T42"/>
    </row>
    <row r="43" spans="1:20" x14ac:dyDescent="0.15">
      <c r="A43"/>
      <c r="B43">
        <v>5</v>
      </c>
      <c r="C43">
        <v>6.3E-2</v>
      </c>
      <c r="D43">
        <v>0.3</v>
      </c>
      <c r="E43">
        <v>3.8</v>
      </c>
      <c r="F43" s="91" t="s">
        <v>330</v>
      </c>
      <c r="G43">
        <v>469</v>
      </c>
      <c r="H43">
        <v>140.69999999999999</v>
      </c>
      <c r="I43">
        <v>42.21</v>
      </c>
      <c r="J43"/>
      <c r="K43"/>
      <c r="L43"/>
      <c r="M43"/>
      <c r="N43"/>
      <c r="O43"/>
      <c r="P43"/>
      <c r="Q43"/>
      <c r="R43"/>
      <c r="S43"/>
      <c r="T43"/>
    </row>
    <row r="44" spans="1:20" x14ac:dyDescent="0.15">
      <c r="A44"/>
      <c r="B44">
        <v>4</v>
      </c>
      <c r="C44">
        <v>6.3E-2</v>
      </c>
      <c r="D44">
        <v>0.23699999999999999</v>
      </c>
      <c r="E44">
        <v>3.8</v>
      </c>
      <c r="F44" s="91" t="s">
        <v>330</v>
      </c>
      <c r="G44">
        <v>471</v>
      </c>
      <c r="H44">
        <v>111.63</v>
      </c>
      <c r="I44">
        <v>26.46</v>
      </c>
      <c r="J44"/>
      <c r="K44"/>
      <c r="L44"/>
      <c r="M44"/>
      <c r="N44"/>
      <c r="O44"/>
      <c r="P44"/>
      <c r="Q44"/>
      <c r="R44"/>
      <c r="S44"/>
      <c r="T44"/>
    </row>
    <row r="45" spans="1:20" x14ac:dyDescent="0.15">
      <c r="A45"/>
      <c r="B45">
        <v>3</v>
      </c>
      <c r="C45">
        <v>6.3E-2</v>
      </c>
      <c r="D45">
        <v>0.17399999999999999</v>
      </c>
      <c r="E45">
        <v>3.8</v>
      </c>
      <c r="F45" s="91" t="s">
        <v>330</v>
      </c>
      <c r="G45">
        <v>475</v>
      </c>
      <c r="H45">
        <v>82.65</v>
      </c>
      <c r="I45">
        <v>14.38</v>
      </c>
      <c r="J45"/>
      <c r="K45"/>
      <c r="L45"/>
      <c r="M45"/>
      <c r="N45"/>
      <c r="O45"/>
      <c r="P45"/>
      <c r="Q45"/>
      <c r="R45"/>
      <c r="S45"/>
      <c r="T45"/>
    </row>
    <row r="46" spans="1:20" x14ac:dyDescent="0.15">
      <c r="A46"/>
      <c r="B46">
        <v>2</v>
      </c>
      <c r="C46">
        <v>5.8999999999999997E-2</v>
      </c>
      <c r="D46">
        <v>0.111</v>
      </c>
      <c r="E46">
        <v>3.8</v>
      </c>
      <c r="F46" s="91" t="s">
        <v>332</v>
      </c>
      <c r="G46">
        <v>477</v>
      </c>
      <c r="H46">
        <v>52.95</v>
      </c>
      <c r="I46">
        <v>5.88</v>
      </c>
      <c r="J46"/>
      <c r="K46"/>
      <c r="L46"/>
      <c r="M46"/>
      <c r="N46"/>
      <c r="O46"/>
      <c r="P46"/>
      <c r="Q46"/>
      <c r="R46"/>
      <c r="S46"/>
      <c r="T46"/>
    </row>
    <row r="47" spans="1:20" x14ac:dyDescent="0.15">
      <c r="A47"/>
      <c r="B47">
        <v>1</v>
      </c>
      <c r="C47">
        <v>5.1999999999999998E-2</v>
      </c>
      <c r="D47">
        <v>5.1999999999999998E-2</v>
      </c>
      <c r="E47">
        <v>4.7300000000000004</v>
      </c>
      <c r="F47" s="91" t="s">
        <v>342</v>
      </c>
      <c r="G47">
        <v>481</v>
      </c>
      <c r="H47">
        <v>25.01</v>
      </c>
      <c r="I47">
        <v>1.3</v>
      </c>
      <c r="J47"/>
      <c r="K47"/>
      <c r="L47"/>
      <c r="M47"/>
      <c r="N47"/>
      <c r="O47"/>
      <c r="P47"/>
      <c r="Q47"/>
      <c r="R47"/>
      <c r="S47"/>
      <c r="T47"/>
    </row>
    <row r="48" spans="1:20" x14ac:dyDescent="0.15">
      <c r="A48"/>
      <c r="B48"/>
      <c r="C48"/>
      <c r="D48"/>
      <c r="E48"/>
      <c r="F48"/>
      <c r="G48">
        <v>5100</v>
      </c>
      <c r="H48">
        <v>1839.45</v>
      </c>
      <c r="I48">
        <v>863.79</v>
      </c>
      <c r="J48"/>
      <c r="K48"/>
      <c r="L48"/>
      <c r="M48"/>
      <c r="N48"/>
      <c r="O48"/>
      <c r="P48"/>
      <c r="Q48"/>
      <c r="R48"/>
      <c r="S48"/>
      <c r="T48"/>
    </row>
    <row r="49" spans="1:20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x14ac:dyDescent="0.15">
      <c r="A50"/>
      <c r="B50"/>
      <c r="C50" t="s">
        <v>346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x14ac:dyDescent="0.15">
      <c r="A52"/>
      <c r="B52"/>
      <c r="C52" t="s">
        <v>347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x14ac:dyDescent="0.15">
      <c r="A54"/>
      <c r="B54"/>
      <c r="C54" t="s">
        <v>348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2"/>
  <pageMargins left="0.25" right="0.25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s_period">
                <anchor moveWithCells="1" sizeWithCells="1">
                  <from>
                    <xdr:col>3</xdr:col>
                    <xdr:colOff>428625</xdr:colOff>
                    <xdr:row>1</xdr:row>
                    <xdr:rowOff>66675</xdr:rowOff>
                  </from>
                  <to>
                    <xdr:col>4</xdr:col>
                    <xdr:colOff>419100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88B-49A5-4F00-9624-099CD377FCA3}">
  <sheetPr codeName="Sheet24"/>
  <dimension ref="A1:GR266"/>
  <sheetViews>
    <sheetView topLeftCell="A33" zoomScaleNormal="100" workbookViewId="0">
      <selection activeCell="H12" sqref="H12"/>
    </sheetView>
  </sheetViews>
  <sheetFormatPr defaultColWidth="17.85546875" defaultRowHeight="14.25" x14ac:dyDescent="0.15"/>
  <cols>
    <col min="1" max="1" width="5.28515625" style="65" customWidth="1"/>
    <col min="2" max="3" width="9.85546875" style="65" customWidth="1"/>
    <col min="4" max="4" width="11" style="65" customWidth="1"/>
    <col min="5" max="8" width="9.85546875" style="65" customWidth="1"/>
    <col min="9" max="17" width="8.7109375" style="65" customWidth="1"/>
    <col min="18" max="18" width="11" style="65" customWidth="1"/>
    <col min="19" max="19" width="17.42578125" style="65" customWidth="1"/>
    <col min="20" max="54" width="11" style="65" customWidth="1"/>
    <col min="55" max="256" width="17.85546875" style="65"/>
    <col min="257" max="257" width="5.28515625" style="65" customWidth="1"/>
    <col min="258" max="310" width="11" style="65" customWidth="1"/>
    <col min="311" max="512" width="17.85546875" style="65"/>
    <col min="513" max="513" width="5.28515625" style="65" customWidth="1"/>
    <col min="514" max="566" width="11" style="65" customWidth="1"/>
    <col min="567" max="768" width="17.85546875" style="65"/>
    <col min="769" max="769" width="5.28515625" style="65" customWidth="1"/>
    <col min="770" max="822" width="11" style="65" customWidth="1"/>
    <col min="823" max="1024" width="17.85546875" style="65"/>
    <col min="1025" max="1025" width="5.28515625" style="65" customWidth="1"/>
    <col min="1026" max="1078" width="11" style="65" customWidth="1"/>
    <col min="1079" max="1280" width="17.85546875" style="65"/>
    <col min="1281" max="1281" width="5.28515625" style="65" customWidth="1"/>
    <col min="1282" max="1334" width="11" style="65" customWidth="1"/>
    <col min="1335" max="1536" width="17.85546875" style="65"/>
    <col min="1537" max="1537" width="5.28515625" style="65" customWidth="1"/>
    <col min="1538" max="1590" width="11" style="65" customWidth="1"/>
    <col min="1591" max="1792" width="17.85546875" style="65"/>
    <col min="1793" max="1793" width="5.28515625" style="65" customWidth="1"/>
    <col min="1794" max="1846" width="11" style="65" customWidth="1"/>
    <col min="1847" max="2048" width="17.85546875" style="65"/>
    <col min="2049" max="2049" width="5.28515625" style="65" customWidth="1"/>
    <col min="2050" max="2102" width="11" style="65" customWidth="1"/>
    <col min="2103" max="2304" width="17.85546875" style="65"/>
    <col min="2305" max="2305" width="5.28515625" style="65" customWidth="1"/>
    <col min="2306" max="2358" width="11" style="65" customWidth="1"/>
    <col min="2359" max="2560" width="17.85546875" style="65"/>
    <col min="2561" max="2561" width="5.28515625" style="65" customWidth="1"/>
    <col min="2562" max="2614" width="11" style="65" customWidth="1"/>
    <col min="2615" max="2816" width="17.85546875" style="65"/>
    <col min="2817" max="2817" width="5.28515625" style="65" customWidth="1"/>
    <col min="2818" max="2870" width="11" style="65" customWidth="1"/>
    <col min="2871" max="3072" width="17.85546875" style="65"/>
    <col min="3073" max="3073" width="5.28515625" style="65" customWidth="1"/>
    <col min="3074" max="3126" width="11" style="65" customWidth="1"/>
    <col min="3127" max="3328" width="17.85546875" style="65"/>
    <col min="3329" max="3329" width="5.28515625" style="65" customWidth="1"/>
    <col min="3330" max="3382" width="11" style="65" customWidth="1"/>
    <col min="3383" max="3584" width="17.85546875" style="65"/>
    <col min="3585" max="3585" width="5.28515625" style="65" customWidth="1"/>
    <col min="3586" max="3638" width="11" style="65" customWidth="1"/>
    <col min="3639" max="3840" width="17.85546875" style="65"/>
    <col min="3841" max="3841" width="5.28515625" style="65" customWidth="1"/>
    <col min="3842" max="3894" width="11" style="65" customWidth="1"/>
    <col min="3895" max="4096" width="17.85546875" style="65"/>
    <col min="4097" max="4097" width="5.28515625" style="65" customWidth="1"/>
    <col min="4098" max="4150" width="11" style="65" customWidth="1"/>
    <col min="4151" max="4352" width="17.85546875" style="65"/>
    <col min="4353" max="4353" width="5.28515625" style="65" customWidth="1"/>
    <col min="4354" max="4406" width="11" style="65" customWidth="1"/>
    <col min="4407" max="4608" width="17.85546875" style="65"/>
    <col min="4609" max="4609" width="5.28515625" style="65" customWidth="1"/>
    <col min="4610" max="4662" width="11" style="65" customWidth="1"/>
    <col min="4663" max="4864" width="17.85546875" style="65"/>
    <col min="4865" max="4865" width="5.28515625" style="65" customWidth="1"/>
    <col min="4866" max="4918" width="11" style="65" customWidth="1"/>
    <col min="4919" max="5120" width="17.85546875" style="65"/>
    <col min="5121" max="5121" width="5.28515625" style="65" customWidth="1"/>
    <col min="5122" max="5174" width="11" style="65" customWidth="1"/>
    <col min="5175" max="5376" width="17.85546875" style="65"/>
    <col min="5377" max="5377" width="5.28515625" style="65" customWidth="1"/>
    <col min="5378" max="5430" width="11" style="65" customWidth="1"/>
    <col min="5431" max="5632" width="17.85546875" style="65"/>
    <col min="5633" max="5633" width="5.28515625" style="65" customWidth="1"/>
    <col min="5634" max="5686" width="11" style="65" customWidth="1"/>
    <col min="5687" max="5888" width="17.85546875" style="65"/>
    <col min="5889" max="5889" width="5.28515625" style="65" customWidth="1"/>
    <col min="5890" max="5942" width="11" style="65" customWidth="1"/>
    <col min="5943" max="6144" width="17.85546875" style="65"/>
    <col min="6145" max="6145" width="5.28515625" style="65" customWidth="1"/>
    <col min="6146" max="6198" width="11" style="65" customWidth="1"/>
    <col min="6199" max="6400" width="17.85546875" style="65"/>
    <col min="6401" max="6401" width="5.28515625" style="65" customWidth="1"/>
    <col min="6402" max="6454" width="11" style="65" customWidth="1"/>
    <col min="6455" max="6656" width="17.85546875" style="65"/>
    <col min="6657" max="6657" width="5.28515625" style="65" customWidth="1"/>
    <col min="6658" max="6710" width="11" style="65" customWidth="1"/>
    <col min="6711" max="6912" width="17.85546875" style="65"/>
    <col min="6913" max="6913" width="5.28515625" style="65" customWidth="1"/>
    <col min="6914" max="6966" width="11" style="65" customWidth="1"/>
    <col min="6967" max="7168" width="17.85546875" style="65"/>
    <col min="7169" max="7169" width="5.28515625" style="65" customWidth="1"/>
    <col min="7170" max="7222" width="11" style="65" customWidth="1"/>
    <col min="7223" max="7424" width="17.85546875" style="65"/>
    <col min="7425" max="7425" width="5.28515625" style="65" customWidth="1"/>
    <col min="7426" max="7478" width="11" style="65" customWidth="1"/>
    <col min="7479" max="7680" width="17.85546875" style="65"/>
    <col min="7681" max="7681" width="5.28515625" style="65" customWidth="1"/>
    <col min="7682" max="7734" width="11" style="65" customWidth="1"/>
    <col min="7735" max="7936" width="17.85546875" style="65"/>
    <col min="7937" max="7937" width="5.28515625" style="65" customWidth="1"/>
    <col min="7938" max="7990" width="11" style="65" customWidth="1"/>
    <col min="7991" max="8192" width="17.85546875" style="65"/>
    <col min="8193" max="8193" width="5.28515625" style="65" customWidth="1"/>
    <col min="8194" max="8246" width="11" style="65" customWidth="1"/>
    <col min="8247" max="8448" width="17.85546875" style="65"/>
    <col min="8449" max="8449" width="5.28515625" style="65" customWidth="1"/>
    <col min="8450" max="8502" width="11" style="65" customWidth="1"/>
    <col min="8503" max="8704" width="17.85546875" style="65"/>
    <col min="8705" max="8705" width="5.28515625" style="65" customWidth="1"/>
    <col min="8706" max="8758" width="11" style="65" customWidth="1"/>
    <col min="8759" max="8960" width="17.85546875" style="65"/>
    <col min="8961" max="8961" width="5.28515625" style="65" customWidth="1"/>
    <col min="8962" max="9014" width="11" style="65" customWidth="1"/>
    <col min="9015" max="9216" width="17.85546875" style="65"/>
    <col min="9217" max="9217" width="5.28515625" style="65" customWidth="1"/>
    <col min="9218" max="9270" width="11" style="65" customWidth="1"/>
    <col min="9271" max="9472" width="17.85546875" style="65"/>
    <col min="9473" max="9473" width="5.28515625" style="65" customWidth="1"/>
    <col min="9474" max="9526" width="11" style="65" customWidth="1"/>
    <col min="9527" max="9728" width="17.85546875" style="65"/>
    <col min="9729" max="9729" width="5.28515625" style="65" customWidth="1"/>
    <col min="9730" max="9782" width="11" style="65" customWidth="1"/>
    <col min="9783" max="9984" width="17.85546875" style="65"/>
    <col min="9985" max="9985" width="5.28515625" style="65" customWidth="1"/>
    <col min="9986" max="10038" width="11" style="65" customWidth="1"/>
    <col min="10039" max="10240" width="17.85546875" style="65"/>
    <col min="10241" max="10241" width="5.28515625" style="65" customWidth="1"/>
    <col min="10242" max="10294" width="11" style="65" customWidth="1"/>
    <col min="10295" max="10496" width="17.85546875" style="65"/>
    <col min="10497" max="10497" width="5.28515625" style="65" customWidth="1"/>
    <col min="10498" max="10550" width="11" style="65" customWidth="1"/>
    <col min="10551" max="10752" width="17.85546875" style="65"/>
    <col min="10753" max="10753" width="5.28515625" style="65" customWidth="1"/>
    <col min="10754" max="10806" width="11" style="65" customWidth="1"/>
    <col min="10807" max="11008" width="17.85546875" style="65"/>
    <col min="11009" max="11009" width="5.28515625" style="65" customWidth="1"/>
    <col min="11010" max="11062" width="11" style="65" customWidth="1"/>
    <col min="11063" max="11264" width="17.85546875" style="65"/>
    <col min="11265" max="11265" width="5.28515625" style="65" customWidth="1"/>
    <col min="11266" max="11318" width="11" style="65" customWidth="1"/>
    <col min="11319" max="11520" width="17.85546875" style="65"/>
    <col min="11521" max="11521" width="5.28515625" style="65" customWidth="1"/>
    <col min="11522" max="11574" width="11" style="65" customWidth="1"/>
    <col min="11575" max="11776" width="17.85546875" style="65"/>
    <col min="11777" max="11777" width="5.28515625" style="65" customWidth="1"/>
    <col min="11778" max="11830" width="11" style="65" customWidth="1"/>
    <col min="11831" max="12032" width="17.85546875" style="65"/>
    <col min="12033" max="12033" width="5.28515625" style="65" customWidth="1"/>
    <col min="12034" max="12086" width="11" style="65" customWidth="1"/>
    <col min="12087" max="12288" width="17.85546875" style="65"/>
    <col min="12289" max="12289" width="5.28515625" style="65" customWidth="1"/>
    <col min="12290" max="12342" width="11" style="65" customWidth="1"/>
    <col min="12343" max="12544" width="17.85546875" style="65"/>
    <col min="12545" max="12545" width="5.28515625" style="65" customWidth="1"/>
    <col min="12546" max="12598" width="11" style="65" customWidth="1"/>
    <col min="12599" max="12800" width="17.85546875" style="65"/>
    <col min="12801" max="12801" width="5.28515625" style="65" customWidth="1"/>
    <col min="12802" max="12854" width="11" style="65" customWidth="1"/>
    <col min="12855" max="13056" width="17.85546875" style="65"/>
    <col min="13057" max="13057" width="5.28515625" style="65" customWidth="1"/>
    <col min="13058" max="13110" width="11" style="65" customWidth="1"/>
    <col min="13111" max="13312" width="17.85546875" style="65"/>
    <col min="13313" max="13313" width="5.28515625" style="65" customWidth="1"/>
    <col min="13314" max="13366" width="11" style="65" customWidth="1"/>
    <col min="13367" max="13568" width="17.85546875" style="65"/>
    <col min="13569" max="13569" width="5.28515625" style="65" customWidth="1"/>
    <col min="13570" max="13622" width="11" style="65" customWidth="1"/>
    <col min="13623" max="13824" width="17.85546875" style="65"/>
    <col min="13825" max="13825" width="5.28515625" style="65" customWidth="1"/>
    <col min="13826" max="13878" width="11" style="65" customWidth="1"/>
    <col min="13879" max="14080" width="17.85546875" style="65"/>
    <col min="14081" max="14081" width="5.28515625" style="65" customWidth="1"/>
    <col min="14082" max="14134" width="11" style="65" customWidth="1"/>
    <col min="14135" max="14336" width="17.85546875" style="65"/>
    <col min="14337" max="14337" width="5.28515625" style="65" customWidth="1"/>
    <col min="14338" max="14390" width="11" style="65" customWidth="1"/>
    <col min="14391" max="14592" width="17.85546875" style="65"/>
    <col min="14593" max="14593" width="5.28515625" style="65" customWidth="1"/>
    <col min="14594" max="14646" width="11" style="65" customWidth="1"/>
    <col min="14647" max="14848" width="17.85546875" style="65"/>
    <col min="14849" max="14849" width="5.28515625" style="65" customWidth="1"/>
    <col min="14850" max="14902" width="11" style="65" customWidth="1"/>
    <col min="14903" max="15104" width="17.85546875" style="65"/>
    <col min="15105" max="15105" width="5.28515625" style="65" customWidth="1"/>
    <col min="15106" max="15158" width="11" style="65" customWidth="1"/>
    <col min="15159" max="15360" width="17.85546875" style="65"/>
    <col min="15361" max="15361" width="5.28515625" style="65" customWidth="1"/>
    <col min="15362" max="15414" width="11" style="65" customWidth="1"/>
    <col min="15415" max="15616" width="17.85546875" style="65"/>
    <col min="15617" max="15617" width="5.28515625" style="65" customWidth="1"/>
    <col min="15618" max="15670" width="11" style="65" customWidth="1"/>
    <col min="15671" max="15872" width="17.85546875" style="65"/>
    <col min="15873" max="15873" width="5.28515625" style="65" customWidth="1"/>
    <col min="15874" max="15926" width="11" style="65" customWidth="1"/>
    <col min="15927" max="16128" width="17.85546875" style="65"/>
    <col min="16129" max="16129" width="5.28515625" style="65" customWidth="1"/>
    <col min="16130" max="16182" width="11" style="65" customWidth="1"/>
    <col min="16183" max="16384" width="17.85546875" style="65"/>
  </cols>
  <sheetData>
    <row r="1" spans="1:200" x14ac:dyDescent="0.15">
      <c r="A1" s="65">
        <v>1</v>
      </c>
      <c r="B1" s="65">
        <v>2</v>
      </c>
      <c r="C1" s="65">
        <v>3</v>
      </c>
      <c r="D1" s="65">
        <v>4</v>
      </c>
      <c r="E1" s="65">
        <v>5</v>
      </c>
      <c r="F1" s="65">
        <v>6</v>
      </c>
      <c r="G1" s="65">
        <v>7</v>
      </c>
    </row>
    <row r="2" spans="1:200" x14ac:dyDescent="0.15">
      <c r="B2" s="65" t="s">
        <v>252</v>
      </c>
      <c r="L2" s="65" t="s">
        <v>259</v>
      </c>
    </row>
    <row r="4" spans="1:200" x14ac:dyDescent="0.15">
      <c r="B4" s="75" t="s">
        <v>0</v>
      </c>
      <c r="C4" s="75" t="s">
        <v>216</v>
      </c>
      <c r="D4" s="75" t="s">
        <v>217</v>
      </c>
      <c r="E4" s="75" t="s">
        <v>253</v>
      </c>
      <c r="F4" s="75" t="s">
        <v>254</v>
      </c>
      <c r="G4" s="75" t="s">
        <v>140</v>
      </c>
      <c r="L4" s="80" t="s">
        <v>266</v>
      </c>
      <c r="M4" s="81">
        <f>+C5</f>
        <v>1.5800000429153442</v>
      </c>
    </row>
    <row r="5" spans="1:200" x14ac:dyDescent="0.15">
      <c r="B5" s="75">
        <f>損傷限界固有周期!E5</f>
        <v>11</v>
      </c>
      <c r="C5" s="76">
        <f>安全限界固有周期!H9</f>
        <v>1.5800000429153442</v>
      </c>
      <c r="D5" s="76">
        <f>安全限界固有周期!H10</f>
        <v>2.0350000858306885</v>
      </c>
      <c r="E5" s="75">
        <f>安全限界固有周期!E10</f>
        <v>3845</v>
      </c>
      <c r="F5" s="75">
        <f>安全限界固有周期!E11</f>
        <v>3917</v>
      </c>
      <c r="G5" s="75">
        <f>損傷限界固有周期!E9</f>
        <v>5100</v>
      </c>
      <c r="L5" s="65" t="str">
        <f>IF(C5&lt;=0.16,"Pdi=","")</f>
        <v/>
      </c>
      <c r="M5" s="65" t="s">
        <v>260</v>
      </c>
      <c r="R5" s="65" t="s">
        <v>263</v>
      </c>
    </row>
    <row r="6" spans="1:200" x14ac:dyDescent="0.15">
      <c r="L6" s="80" t="str">
        <f>IF(C5&lt;=0.64,IF(C5&gt;0.16,"Pdi=",""),"")</f>
        <v/>
      </c>
      <c r="M6" s="65" t="s">
        <v>261</v>
      </c>
      <c r="Q6" s="65">
        <v>0.16</v>
      </c>
      <c r="R6" s="65" t="s">
        <v>265</v>
      </c>
    </row>
    <row r="7" spans="1:200" x14ac:dyDescent="0.15">
      <c r="B7" s="65" t="s">
        <v>226</v>
      </c>
      <c r="L7" s="80" t="str">
        <f>IF(C5&gt;0.64,"Pdi=","")</f>
        <v>Pdi=</v>
      </c>
      <c r="M7" s="65" t="s">
        <v>267</v>
      </c>
      <c r="Q7" s="65">
        <v>0.64</v>
      </c>
      <c r="R7" s="65" t="s">
        <v>264</v>
      </c>
    </row>
    <row r="8" spans="1:200" x14ac:dyDescent="0.1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S8" s="11"/>
    </row>
    <row r="9" spans="1:200" x14ac:dyDescent="0.15">
      <c r="B9" s="22" t="s">
        <v>0</v>
      </c>
      <c r="C9" s="11" t="s">
        <v>224</v>
      </c>
      <c r="D9" s="11"/>
      <c r="E9" s="11" t="s">
        <v>225</v>
      </c>
      <c r="F9" s="11"/>
      <c r="G9" s="11"/>
      <c r="H9" s="11"/>
      <c r="I9" s="11"/>
      <c r="J9" s="11"/>
      <c r="K9" s="11"/>
      <c r="M9" s="82" t="s">
        <v>195</v>
      </c>
      <c r="N9" s="82" t="s">
        <v>123</v>
      </c>
      <c r="O9" s="82" t="s">
        <v>258</v>
      </c>
      <c r="P9" s="82" t="s">
        <v>268</v>
      </c>
      <c r="S9" s="11"/>
    </row>
    <row r="10" spans="1:200" x14ac:dyDescent="0.15">
      <c r="B10" s="22">
        <v>1</v>
      </c>
      <c r="C10" s="11" t="s">
        <v>106</v>
      </c>
      <c r="D10" s="11"/>
      <c r="E10" s="26">
        <v>0.8</v>
      </c>
      <c r="F10" s="11"/>
      <c r="G10" s="11"/>
      <c r="H10" s="11"/>
      <c r="I10" s="11"/>
      <c r="J10" s="11"/>
      <c r="K10" s="11"/>
      <c r="M10" s="82" cm="1">
        <f t="array" ref="M10">Pdi_alf(M4)</f>
        <v>0.64810124821931125</v>
      </c>
      <c r="N10" s="82">
        <f>損傷限界固有周期!E6</f>
        <v>1</v>
      </c>
      <c r="O10" s="82">
        <f>C52</f>
        <v>1.360379695892334</v>
      </c>
      <c r="P10" s="82">
        <f>M10*N10*O10</f>
        <v>0.88166377896002868</v>
      </c>
      <c r="S10" s="11"/>
    </row>
    <row r="11" spans="1:200" x14ac:dyDescent="0.15">
      <c r="B11" s="22">
        <v>2</v>
      </c>
      <c r="C11" s="11" t="s">
        <v>107</v>
      </c>
      <c r="D11" s="11"/>
      <c r="E11" s="26">
        <v>0.85</v>
      </c>
      <c r="F11" s="11"/>
      <c r="G11" s="11"/>
      <c r="H11" s="11"/>
      <c r="I11" s="11"/>
      <c r="J11" s="11"/>
      <c r="K11" s="11"/>
      <c r="S11" s="11"/>
    </row>
    <row r="12" spans="1:200" x14ac:dyDescent="0.15">
      <c r="B12" s="22">
        <v>3</v>
      </c>
      <c r="C12" s="11" t="s">
        <v>108</v>
      </c>
      <c r="D12" s="11"/>
      <c r="E12" s="26">
        <v>0.9</v>
      </c>
      <c r="F12" s="11"/>
      <c r="G12" s="11"/>
      <c r="H12" s="11"/>
      <c r="I12" s="11"/>
      <c r="J12" s="11"/>
      <c r="K12" s="11"/>
      <c r="L12" s="80"/>
      <c r="M12" s="81"/>
      <c r="S12" s="11"/>
    </row>
    <row r="13" spans="1:200" x14ac:dyDescent="0.15">
      <c r="B13" s="22">
        <v>4</v>
      </c>
      <c r="C13" s="11" t="s">
        <v>109</v>
      </c>
      <c r="D13" s="11"/>
      <c r="E13" s="26">
        <v>0.95</v>
      </c>
      <c r="F13" s="11"/>
      <c r="G13" s="11"/>
      <c r="H13" s="11"/>
      <c r="I13" s="11"/>
      <c r="J13" s="11"/>
      <c r="K13" s="11"/>
      <c r="L13" s="80" t="s">
        <v>269</v>
      </c>
      <c r="M13" s="78">
        <f>D5</f>
        <v>2.0350000858306885</v>
      </c>
      <c r="S13" s="11"/>
    </row>
    <row r="14" spans="1:200" x14ac:dyDescent="0.15">
      <c r="B14" s="22" t="s">
        <v>105</v>
      </c>
      <c r="C14" s="43">
        <v>1</v>
      </c>
      <c r="D14" s="11"/>
      <c r="E14" s="26">
        <v>1</v>
      </c>
      <c r="F14" s="11"/>
      <c r="G14" s="11"/>
      <c r="H14" s="11"/>
      <c r="I14" s="11"/>
      <c r="J14" s="11"/>
      <c r="K14" s="11"/>
      <c r="L14" s="65" t="str">
        <f>IF(C10&lt;=0.16,"Pdi=","")</f>
        <v/>
      </c>
      <c r="M14" s="65" t="s">
        <v>260</v>
      </c>
      <c r="R14" s="65" t="s">
        <v>263</v>
      </c>
      <c r="S14" s="11"/>
    </row>
    <row r="15" spans="1:200" x14ac:dyDescent="0.15">
      <c r="H15" s="11"/>
      <c r="I15" s="11"/>
      <c r="J15" s="11"/>
      <c r="K15" s="11"/>
      <c r="L15" s="80" t="str">
        <f>IF(C10&lt;=0.64,IF(C10&gt;0.16,"Pdi=",""),"")</f>
        <v/>
      </c>
      <c r="M15" s="65" t="s">
        <v>261</v>
      </c>
      <c r="Q15" s="65">
        <v>0.16</v>
      </c>
      <c r="R15" s="65" t="s">
        <v>265</v>
      </c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</row>
    <row r="16" spans="1:200" x14ac:dyDescent="0.15">
      <c r="B16" s="75"/>
      <c r="C16" s="75" t="s">
        <v>24</v>
      </c>
      <c r="D16" s="75" t="s">
        <v>1</v>
      </c>
      <c r="H16" s="11"/>
      <c r="I16" s="11"/>
      <c r="J16" s="11"/>
      <c r="K16" s="11"/>
      <c r="L16" s="80" t="str">
        <f>IF(C10&gt;0.64,"Pdi=","")</f>
        <v>Pdi=</v>
      </c>
      <c r="M16" s="65" t="s">
        <v>262</v>
      </c>
      <c r="Q16" s="65">
        <v>0.64</v>
      </c>
      <c r="R16" s="65" t="s">
        <v>264</v>
      </c>
      <c r="S16" s="68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</row>
    <row r="17" spans="2:199" x14ac:dyDescent="0.15">
      <c r="B17" s="75" t="s">
        <v>124</v>
      </c>
      <c r="C17" s="77" cm="1">
        <f t="array" ref="C17">bdi_p(B5,C5)</f>
        <v>1</v>
      </c>
      <c r="D17" s="77" cm="1">
        <f t="array" ref="D17">bdi_p(C5,D5)</f>
        <v>1</v>
      </c>
      <c r="G17" s="11"/>
      <c r="H17" s="11"/>
      <c r="I17" s="11"/>
      <c r="J17" s="11"/>
      <c r="K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</row>
    <row r="18" spans="2:199" x14ac:dyDescent="0.15">
      <c r="H18" s="11"/>
      <c r="I18" s="11"/>
      <c r="J18" s="11"/>
      <c r="K18" s="11"/>
      <c r="L18" s="68"/>
      <c r="M18" s="82" t="s">
        <v>195</v>
      </c>
      <c r="N18" s="82" t="s">
        <v>123</v>
      </c>
      <c r="O18" s="82" t="s">
        <v>258</v>
      </c>
      <c r="P18" s="82" t="s">
        <v>268</v>
      </c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</row>
    <row r="19" spans="2:199" x14ac:dyDescent="0.15">
      <c r="B19" s="65" t="s">
        <v>227</v>
      </c>
      <c r="I19" s="11"/>
      <c r="J19" s="11"/>
      <c r="K19" s="11"/>
      <c r="L19" s="68"/>
      <c r="M19" s="82" cm="1">
        <f t="array" ref="M19">Pdi_alf(M13)</f>
        <v>0.50319408197076443</v>
      </c>
      <c r="N19" s="82">
        <f>N10</f>
        <v>1</v>
      </c>
      <c r="O19" s="82">
        <f>D52</f>
        <v>1.2641522884368896</v>
      </c>
      <c r="P19" s="82">
        <f>M19*N19*O19</f>
        <v>0.63611395025124173</v>
      </c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</row>
    <row r="20" spans="2:199" x14ac:dyDescent="0.15">
      <c r="I20" s="11"/>
      <c r="J20" s="11"/>
      <c r="K20" s="11"/>
      <c r="L20" s="68"/>
      <c r="M20" s="69"/>
      <c r="N20" s="70"/>
      <c r="O20" s="71"/>
      <c r="P20" s="7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</row>
    <row r="21" spans="2:199" x14ac:dyDescent="0.15">
      <c r="C21" s="42" t="s">
        <v>110</v>
      </c>
      <c r="D21" s="42" t="s">
        <v>111</v>
      </c>
      <c r="F21" s="42" t="s">
        <v>223</v>
      </c>
      <c r="I21" s="11"/>
      <c r="J21" s="11"/>
      <c r="K21" s="11"/>
      <c r="L21" s="68"/>
      <c r="M21" s="69"/>
      <c r="N21" s="70"/>
      <c r="O21" s="71"/>
      <c r="P21" s="7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</row>
    <row r="22" spans="2:199" x14ac:dyDescent="0.15">
      <c r="C22" s="42"/>
      <c r="D22" s="42" t="s">
        <v>112</v>
      </c>
      <c r="E22" s="11">
        <v>1</v>
      </c>
      <c r="F22" s="11"/>
      <c r="I22" s="11"/>
      <c r="J22" s="11"/>
      <c r="K22" s="11"/>
      <c r="L22" s="68"/>
      <c r="M22" s="69"/>
      <c r="N22" s="70"/>
      <c r="O22" s="71"/>
      <c r="P22" s="7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</row>
    <row r="23" spans="2:199" x14ac:dyDescent="0.15">
      <c r="I23" s="11"/>
      <c r="J23" s="11"/>
      <c r="K23" s="11"/>
      <c r="L23" s="68"/>
      <c r="M23" s="69"/>
      <c r="N23" s="70"/>
      <c r="O23" s="71"/>
      <c r="P23" s="7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</row>
    <row r="24" spans="2:199" x14ac:dyDescent="0.15">
      <c r="C24" s="75" t="s">
        <v>24</v>
      </c>
      <c r="D24" s="75" t="s">
        <v>1</v>
      </c>
      <c r="I24" s="11"/>
      <c r="J24" s="11"/>
      <c r="K24" s="11"/>
      <c r="L24" s="68"/>
      <c r="M24" s="69"/>
      <c r="N24" s="70"/>
      <c r="O24" s="71"/>
      <c r="P24" s="7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</row>
    <row r="25" spans="2:199" x14ac:dyDescent="0.15">
      <c r="B25" s="75" t="s">
        <v>231</v>
      </c>
      <c r="C25" s="77">
        <f>E5/G5</f>
        <v>0.75392156862745097</v>
      </c>
      <c r="D25" s="77">
        <f>F5/G5</f>
        <v>0.76803921568627453</v>
      </c>
      <c r="I25" s="11"/>
      <c r="J25" s="11"/>
      <c r="K25" s="11"/>
      <c r="L25" s="68"/>
      <c r="M25" s="69"/>
      <c r="N25" s="70"/>
      <c r="O25" s="71"/>
      <c r="P25" s="7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</row>
    <row r="26" spans="2:199" x14ac:dyDescent="0.15">
      <c r="B26" s="75" t="s">
        <v>124</v>
      </c>
      <c r="C26" s="77" cm="1">
        <f t="array" ref="C26">bdi_q(E5,G5)</f>
        <v>1</v>
      </c>
      <c r="D26" s="77" cm="1">
        <f t="array" ref="D26">bdi_p(F5,G5)</f>
        <v>1</v>
      </c>
      <c r="I26" s="11"/>
      <c r="J26" s="11"/>
      <c r="K26" s="11"/>
      <c r="L26" s="68"/>
      <c r="M26" s="69"/>
      <c r="N26" s="70"/>
      <c r="O26" s="71"/>
      <c r="P26" s="7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</row>
    <row r="27" spans="2:199" x14ac:dyDescent="0.15">
      <c r="I27" s="11"/>
      <c r="J27" s="11"/>
      <c r="K27" s="11"/>
      <c r="L27" s="68"/>
      <c r="M27" s="69"/>
      <c r="N27" s="70"/>
      <c r="O27" s="71"/>
      <c r="P27" s="7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</row>
    <row r="28" spans="2:199" x14ac:dyDescent="0.15">
      <c r="B28" s="65" t="s">
        <v>232</v>
      </c>
      <c r="I28" s="11"/>
      <c r="J28" s="11"/>
      <c r="K28" s="11"/>
      <c r="L28" s="68"/>
      <c r="M28" s="69"/>
      <c r="N28" s="70"/>
      <c r="O28" s="71"/>
      <c r="P28" s="7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</row>
    <row r="29" spans="2:199" x14ac:dyDescent="0.15">
      <c r="I29" s="11"/>
      <c r="J29" s="11"/>
      <c r="K29" s="11"/>
      <c r="L29" s="68"/>
      <c r="M29" s="69"/>
      <c r="N29" s="70"/>
      <c r="O29" s="71"/>
      <c r="P29" s="7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</row>
    <row r="30" spans="2:199" x14ac:dyDescent="0.15">
      <c r="B30" s="65" t="s">
        <v>233</v>
      </c>
      <c r="I30" s="11"/>
      <c r="J30" s="11"/>
      <c r="K30" s="11"/>
      <c r="L30" s="68"/>
      <c r="M30" s="69"/>
      <c r="N30" s="70"/>
      <c r="O30" s="71"/>
      <c r="P30" s="7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</row>
    <row r="31" spans="2:199" x14ac:dyDescent="0.15">
      <c r="F31" s="65" t="s">
        <v>238</v>
      </c>
      <c r="G31" s="65" t="s">
        <v>240</v>
      </c>
      <c r="I31" s="11"/>
      <c r="J31" s="11"/>
      <c r="K31" s="11"/>
      <c r="L31" s="68"/>
      <c r="M31" s="69"/>
      <c r="N31" s="70"/>
      <c r="O31" s="71"/>
      <c r="P31" s="7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</row>
    <row r="32" spans="2:199" x14ac:dyDescent="0.15">
      <c r="B32" s="65" t="s">
        <v>242</v>
      </c>
      <c r="F32" s="65" t="s">
        <v>239</v>
      </c>
      <c r="G32" s="65" t="s">
        <v>241</v>
      </c>
      <c r="J32" s="11"/>
      <c r="K32" s="11"/>
      <c r="L32" s="68"/>
      <c r="M32" s="69"/>
      <c r="N32" s="70"/>
      <c r="O32" s="71"/>
      <c r="P32" s="7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</row>
    <row r="33" spans="2:200" x14ac:dyDescent="0.15">
      <c r="B33" s="65" t="s">
        <v>243</v>
      </c>
      <c r="D33" s="65" t="s">
        <v>247</v>
      </c>
      <c r="F33" s="65" t="s">
        <v>234</v>
      </c>
      <c r="H33" s="65" t="s">
        <v>247</v>
      </c>
      <c r="J33" s="11"/>
      <c r="K33" s="11"/>
      <c r="L33" s="11"/>
      <c r="M33" s="11"/>
      <c r="N33" s="11"/>
      <c r="O33" s="11"/>
      <c r="P33" s="7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</row>
    <row r="34" spans="2:200" x14ac:dyDescent="0.15">
      <c r="B34" s="65" t="s">
        <v>244</v>
      </c>
      <c r="D34" s="65" t="s">
        <v>246</v>
      </c>
      <c r="F34" s="65" t="s">
        <v>235</v>
      </c>
      <c r="H34" s="65" t="s">
        <v>249</v>
      </c>
      <c r="K34" s="11"/>
      <c r="L34" s="11"/>
      <c r="M34" s="11"/>
      <c r="N34" s="11"/>
      <c r="O34" s="11"/>
      <c r="P34" s="7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</row>
    <row r="35" spans="2:200" x14ac:dyDescent="0.15">
      <c r="B35" s="65" t="s">
        <v>245</v>
      </c>
      <c r="D35" s="65" t="s">
        <v>248</v>
      </c>
      <c r="F35" s="65" t="s">
        <v>236</v>
      </c>
      <c r="H35" s="65" t="s">
        <v>250</v>
      </c>
      <c r="K35" s="11"/>
      <c r="L35" s="72"/>
      <c r="M35" s="72"/>
      <c r="N35" s="73"/>
      <c r="O35" s="72"/>
      <c r="P35" s="72"/>
      <c r="Q35" s="73"/>
      <c r="R35" s="73"/>
      <c r="S35" s="74"/>
      <c r="T35" s="73"/>
      <c r="U35" s="73"/>
      <c r="V35" s="73"/>
      <c r="W35" s="73"/>
      <c r="X35" s="73"/>
      <c r="Y35" s="73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</row>
    <row r="36" spans="2:200" x14ac:dyDescent="0.15">
      <c r="F36" s="65" t="s">
        <v>237</v>
      </c>
      <c r="K36" s="11"/>
      <c r="L36" s="72"/>
      <c r="M36" s="72"/>
      <c r="N36" s="73"/>
      <c r="O36" s="72"/>
      <c r="P36" s="72"/>
      <c r="Q36" s="73"/>
      <c r="R36" s="73"/>
      <c r="S36" s="74"/>
      <c r="T36" s="73"/>
      <c r="U36" s="73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</row>
    <row r="37" spans="2:200" x14ac:dyDescent="0.15">
      <c r="B37" s="65" t="s">
        <v>222</v>
      </c>
      <c r="C37" s="65" t="s">
        <v>214</v>
      </c>
      <c r="D37" s="65" t="s">
        <v>213</v>
      </c>
      <c r="K37" s="11"/>
      <c r="L37" s="72"/>
      <c r="M37" s="72"/>
      <c r="N37" s="73"/>
      <c r="O37" s="72"/>
      <c r="P37" s="72"/>
      <c r="Q37" s="73"/>
      <c r="R37" s="73"/>
      <c r="S37" s="74"/>
      <c r="T37" s="73"/>
      <c r="U37" s="73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</row>
    <row r="38" spans="2:200" x14ac:dyDescent="0.15">
      <c r="B38" s="65">
        <v>2</v>
      </c>
      <c r="C38" s="65" cm="1">
        <f t="array" ref="C38">Gs387_7_2(C5,B38)</f>
        <v>2.0249999999999999</v>
      </c>
      <c r="D38" s="65" cm="1">
        <f t="array" ref="D38">Gs387_7_2(D5,B38)</f>
        <v>2.0249999999999999</v>
      </c>
      <c r="K38" s="11"/>
      <c r="L38" s="72"/>
      <c r="M38" s="72"/>
      <c r="N38" s="73"/>
      <c r="O38" s="72"/>
      <c r="P38" s="72"/>
      <c r="Q38" s="73"/>
      <c r="R38" s="73"/>
      <c r="S38" s="74"/>
      <c r="T38" s="73"/>
      <c r="U38" s="73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</row>
    <row r="39" spans="2:200" x14ac:dyDescent="0.15">
      <c r="K39" s="11"/>
      <c r="L39" s="72"/>
      <c r="M39" s="72"/>
      <c r="N39" s="73"/>
      <c r="O39" s="72"/>
      <c r="P39" s="72"/>
      <c r="Q39" s="73"/>
      <c r="R39" s="73"/>
      <c r="S39" s="74"/>
      <c r="T39" s="73"/>
      <c r="U39" s="73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</row>
    <row r="40" spans="2:200" x14ac:dyDescent="0.15">
      <c r="K40" s="11"/>
      <c r="L40" s="72"/>
      <c r="M40" s="72"/>
      <c r="N40" s="73"/>
      <c r="O40" s="72"/>
      <c r="P40" s="72"/>
      <c r="Q40" s="73"/>
      <c r="R40" s="73"/>
      <c r="S40" s="74"/>
      <c r="T40" s="73"/>
      <c r="U40" s="73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</row>
    <row r="41" spans="2:200" x14ac:dyDescent="0.15">
      <c r="B41" s="65" t="s">
        <v>251</v>
      </c>
      <c r="K41" s="11"/>
      <c r="L41" s="72"/>
      <c r="M41" s="72"/>
      <c r="N41" s="72"/>
      <c r="O41" s="72"/>
      <c r="P41" s="72"/>
      <c r="Q41" s="73"/>
      <c r="R41" s="73"/>
      <c r="S41" s="74"/>
      <c r="T41" s="73"/>
      <c r="U41" s="73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</row>
    <row r="42" spans="2:200" x14ac:dyDescent="0.15">
      <c r="K42" s="11"/>
      <c r="L42" s="72"/>
      <c r="M42" s="72"/>
      <c r="N42" s="72"/>
      <c r="O42" s="72"/>
      <c r="P42" s="72"/>
      <c r="Q42" s="73"/>
      <c r="R42" s="73"/>
      <c r="S42" s="74"/>
      <c r="T42" s="73"/>
      <c r="U42" s="73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</row>
    <row r="43" spans="2:200" x14ac:dyDescent="0.15">
      <c r="C43" s="42" t="s">
        <v>205</v>
      </c>
      <c r="D43" s="43" t="s">
        <v>209</v>
      </c>
      <c r="E43" s="11"/>
      <c r="F43" s="11">
        <v>1.5</v>
      </c>
      <c r="H43" s="11"/>
      <c r="I43" s="11"/>
      <c r="J43" s="11"/>
      <c r="K43" s="11"/>
      <c r="L43" s="72"/>
      <c r="M43" s="72"/>
      <c r="N43" s="72"/>
      <c r="O43" s="72"/>
      <c r="P43" s="72"/>
      <c r="Q43" s="73"/>
      <c r="R43" s="73"/>
      <c r="S43" s="74"/>
      <c r="T43" s="73"/>
      <c r="U43" s="73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</row>
    <row r="44" spans="2:200" x14ac:dyDescent="0.15">
      <c r="B44" s="11"/>
      <c r="C44" s="42" t="s">
        <v>206</v>
      </c>
      <c r="D44" s="43" t="s">
        <v>210</v>
      </c>
      <c r="E44" s="11"/>
      <c r="F44" s="11">
        <v>1.5</v>
      </c>
      <c r="I44" s="11"/>
      <c r="J44" s="11"/>
      <c r="K44" s="11"/>
      <c r="L44" s="72"/>
      <c r="M44" s="72"/>
      <c r="N44" s="72"/>
      <c r="O44" s="72"/>
      <c r="P44" s="72"/>
      <c r="Q44" s="73"/>
      <c r="R44" s="73"/>
      <c r="S44" s="74"/>
      <c r="T44" s="73"/>
      <c r="U44" s="73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</row>
    <row r="45" spans="2:200" x14ac:dyDescent="0.15">
      <c r="B45" s="11"/>
      <c r="C45" s="42" t="s">
        <v>207</v>
      </c>
      <c r="D45" s="43">
        <v>2.68</v>
      </c>
      <c r="E45" s="11"/>
      <c r="F45" s="11">
        <v>1.5</v>
      </c>
      <c r="H45" s="11"/>
      <c r="I45" s="11"/>
      <c r="J45" s="11"/>
      <c r="K45" s="11"/>
      <c r="L45" s="72"/>
      <c r="M45" s="72"/>
      <c r="N45" s="72"/>
      <c r="O45" s="72"/>
      <c r="P45" s="72"/>
      <c r="Q45" s="73"/>
      <c r="R45" s="73"/>
      <c r="S45" s="74"/>
      <c r="T45" s="73"/>
      <c r="U45" s="73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</row>
    <row r="46" spans="2:200" x14ac:dyDescent="0.15">
      <c r="B46" s="11"/>
      <c r="C46" s="65" t="s">
        <v>208</v>
      </c>
      <c r="D46" s="65" t="s">
        <v>211</v>
      </c>
      <c r="F46" s="11">
        <v>1.35</v>
      </c>
      <c r="H46" s="11"/>
      <c r="I46" s="11"/>
      <c r="J46" s="11"/>
      <c r="K46" s="11"/>
      <c r="L46" s="72"/>
      <c r="M46" s="72"/>
      <c r="N46" s="72"/>
      <c r="O46" s="72"/>
      <c r="P46" s="72"/>
      <c r="Q46" s="73"/>
      <c r="R46" s="73"/>
      <c r="S46" s="74"/>
      <c r="T46" s="73"/>
      <c r="U46" s="73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</row>
    <row r="47" spans="2:200" x14ac:dyDescent="0.15"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73"/>
      <c r="R47" s="73"/>
      <c r="S47" s="74"/>
      <c r="T47" s="73"/>
      <c r="U47" s="73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</row>
    <row r="48" spans="2:200" x14ac:dyDescent="0.15">
      <c r="C48" s="75" t="s">
        <v>214</v>
      </c>
      <c r="D48" s="75" t="s">
        <v>213</v>
      </c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73"/>
      <c r="R48" s="73"/>
      <c r="S48" s="74"/>
      <c r="T48" s="73"/>
      <c r="U48" s="73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</row>
    <row r="49" spans="2:200" x14ac:dyDescent="0.15">
      <c r="C49" s="76">
        <f>GS!B36</f>
        <v>1.360379695892334</v>
      </c>
      <c r="D49" s="76">
        <f>GS!C36</f>
        <v>1.2641522884368896</v>
      </c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73"/>
      <c r="R49" s="73"/>
      <c r="S49" s="74"/>
      <c r="T49" s="73"/>
      <c r="U49" s="73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</row>
    <row r="50" spans="2:200" x14ac:dyDescent="0.15">
      <c r="H50" s="11"/>
      <c r="I50" s="11"/>
      <c r="J50" s="11"/>
      <c r="K50" s="11"/>
      <c r="L50" s="11"/>
      <c r="M50" s="11"/>
      <c r="N50" s="11"/>
      <c r="O50" s="11"/>
      <c r="P50" s="11"/>
      <c r="Q50" s="73"/>
      <c r="R50" s="73"/>
      <c r="S50" s="74"/>
      <c r="T50" s="73"/>
      <c r="U50" s="73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</row>
    <row r="51" spans="2:200" x14ac:dyDescent="0.15">
      <c r="B51" s="83"/>
      <c r="C51" s="83" t="str">
        <f>C48</f>
        <v>GsX</v>
      </c>
      <c r="D51" s="83" t="str">
        <f>D48</f>
        <v>GsY</v>
      </c>
      <c r="E51" s="84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73"/>
      <c r="R51" s="73"/>
      <c r="S51" s="74"/>
      <c r="T51" s="73"/>
      <c r="U51" s="73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</row>
    <row r="52" spans="2:200" x14ac:dyDescent="0.15">
      <c r="B52" s="83" t="s">
        <v>257</v>
      </c>
      <c r="C52" s="83">
        <f>IF(E52=1,C38,C49)</f>
        <v>1.360379695892334</v>
      </c>
      <c r="D52" s="83">
        <f>IF(E52=1,D38,D49)</f>
        <v>1.2641522884368896</v>
      </c>
      <c r="E52" s="84">
        <v>2</v>
      </c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73"/>
      <c r="R52" s="73"/>
      <c r="S52" s="74"/>
      <c r="T52" s="73"/>
      <c r="U52" s="73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</row>
    <row r="53" spans="2:200" x14ac:dyDescent="0.15">
      <c r="B53" s="11"/>
      <c r="C53" s="11"/>
      <c r="D53" s="43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73"/>
      <c r="R53" s="73"/>
      <c r="S53" s="74"/>
      <c r="T53" s="73"/>
      <c r="U53" s="73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</row>
    <row r="54" spans="2:200" x14ac:dyDescent="0.15">
      <c r="B54" s="11"/>
      <c r="C54" s="42"/>
      <c r="D54" s="43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73"/>
      <c r="R54" s="73"/>
      <c r="S54" s="74"/>
      <c r="T54" s="73"/>
      <c r="U54" s="73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</row>
    <row r="55" spans="2:200" x14ac:dyDescent="0.15">
      <c r="B55" s="11"/>
      <c r="C55" s="42"/>
      <c r="D55" s="43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73"/>
      <c r="R55" s="73"/>
      <c r="S55" s="74"/>
      <c r="T55" s="73"/>
      <c r="U55" s="73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</row>
    <row r="56" spans="2:200" x14ac:dyDescent="0.15">
      <c r="B56" s="11"/>
      <c r="C56" s="42"/>
      <c r="D56" s="43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73"/>
      <c r="R56" s="73"/>
      <c r="S56" s="74"/>
      <c r="T56" s="73"/>
      <c r="U56" s="73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</row>
    <row r="57" spans="2:200" x14ac:dyDescent="0.15">
      <c r="B57" s="11"/>
      <c r="C57" s="42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73"/>
      <c r="R57" s="73"/>
      <c r="S57" s="74"/>
      <c r="T57" s="73"/>
      <c r="U57" s="73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</row>
    <row r="58" spans="2:200" x14ac:dyDescent="0.15">
      <c r="B58" s="11"/>
      <c r="C58" s="42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73"/>
      <c r="R58" s="73"/>
      <c r="S58" s="74"/>
      <c r="T58" s="73"/>
      <c r="U58" s="73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</row>
    <row r="59" spans="2:200" x14ac:dyDescent="0.15"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73"/>
      <c r="R59" s="73"/>
      <c r="S59" s="73"/>
      <c r="T59" s="73"/>
      <c r="U59" s="73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</row>
    <row r="60" spans="2:200" x14ac:dyDescent="0.15">
      <c r="B60" s="11"/>
      <c r="C60" s="42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73"/>
      <c r="R60" s="73"/>
      <c r="S60" s="73"/>
      <c r="T60" s="73"/>
      <c r="U60" s="73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</row>
    <row r="61" spans="2:200" x14ac:dyDescent="0.15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73"/>
      <c r="R61" s="73"/>
      <c r="S61" s="73"/>
      <c r="T61" s="73"/>
      <c r="U61" s="73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</row>
    <row r="62" spans="2:200" x14ac:dyDescent="0.15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73"/>
      <c r="R62" s="73"/>
      <c r="S62" s="73"/>
      <c r="T62" s="73"/>
      <c r="U62" s="73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</row>
    <row r="63" spans="2:200" x14ac:dyDescent="0.15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73"/>
      <c r="R63" s="73"/>
      <c r="S63" s="73"/>
      <c r="T63" s="73"/>
      <c r="U63" s="73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</row>
    <row r="64" spans="2:200" x14ac:dyDescent="0.1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73"/>
      <c r="R64" s="73"/>
      <c r="S64" s="73"/>
      <c r="T64" s="73"/>
      <c r="U64" s="73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</row>
    <row r="65" spans="2:200" x14ac:dyDescent="0.1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73"/>
      <c r="R65" s="73"/>
      <c r="S65" s="73"/>
      <c r="T65" s="73"/>
      <c r="U65" s="73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</row>
    <row r="66" spans="2:200" x14ac:dyDescent="0.15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73"/>
      <c r="R66" s="73"/>
      <c r="S66" s="73"/>
      <c r="T66" s="73"/>
      <c r="U66" s="73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</row>
    <row r="67" spans="2:200" x14ac:dyDescent="0.15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73"/>
      <c r="R67" s="73"/>
      <c r="S67" s="73"/>
      <c r="T67" s="73"/>
      <c r="U67" s="73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</row>
    <row r="68" spans="2:200" x14ac:dyDescent="0.15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73"/>
      <c r="R68" s="73"/>
      <c r="S68" s="73"/>
      <c r="T68" s="73"/>
      <c r="U68" s="73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</row>
    <row r="69" spans="2:200" x14ac:dyDescent="0.15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73"/>
      <c r="R69" s="73"/>
      <c r="S69" s="73"/>
      <c r="T69" s="73"/>
      <c r="U69" s="73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</row>
    <row r="70" spans="2:200" x14ac:dyDescent="0.15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73"/>
      <c r="R70" s="73"/>
      <c r="S70" s="73"/>
      <c r="T70" s="73"/>
      <c r="U70" s="73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</row>
    <row r="71" spans="2:200" x14ac:dyDescent="0.15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73"/>
      <c r="R71" s="73"/>
      <c r="S71" s="73"/>
      <c r="T71" s="73"/>
      <c r="U71" s="73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</row>
    <row r="72" spans="2:200" x14ac:dyDescent="0.1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73"/>
      <c r="R72" s="73"/>
      <c r="S72" s="73"/>
      <c r="T72" s="73"/>
      <c r="U72" s="73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</row>
    <row r="73" spans="2:200" x14ac:dyDescent="0.1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73"/>
      <c r="R73" s="73"/>
      <c r="S73" s="73"/>
      <c r="T73" s="73"/>
      <c r="U73" s="73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</row>
    <row r="74" spans="2:200" x14ac:dyDescent="0.15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73"/>
      <c r="R74" s="73"/>
      <c r="S74" s="73"/>
      <c r="T74" s="73"/>
      <c r="U74" s="73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</row>
    <row r="75" spans="2:200" x14ac:dyDescent="0.15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73"/>
      <c r="R75" s="73"/>
      <c r="S75" s="73"/>
      <c r="T75" s="73"/>
      <c r="U75" s="73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</row>
    <row r="76" spans="2:200" x14ac:dyDescent="0.15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73"/>
      <c r="R76" s="73"/>
      <c r="S76" s="73"/>
      <c r="T76" s="73"/>
      <c r="U76" s="73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</row>
    <row r="77" spans="2:200" x14ac:dyDescent="0.15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73"/>
      <c r="R77" s="73"/>
      <c r="S77" s="73"/>
      <c r="T77" s="73"/>
      <c r="U77" s="73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</row>
    <row r="78" spans="2:200" x14ac:dyDescent="0.15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</row>
    <row r="79" spans="2:200" x14ac:dyDescent="0.15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</row>
    <row r="80" spans="2:200" x14ac:dyDescent="0.15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</row>
    <row r="81" spans="2:200" x14ac:dyDescent="0.15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</row>
    <row r="82" spans="2:200" x14ac:dyDescent="0.1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</row>
    <row r="83" spans="2:200" x14ac:dyDescent="0.15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</row>
    <row r="84" spans="2:200" x14ac:dyDescent="0.15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</row>
    <row r="85" spans="2:200" x14ac:dyDescent="0.15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</row>
    <row r="86" spans="2:200" x14ac:dyDescent="0.15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</row>
    <row r="87" spans="2:200" x14ac:dyDescent="0.15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</row>
    <row r="88" spans="2:200" x14ac:dyDescent="0.15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</row>
    <row r="89" spans="2:200" x14ac:dyDescent="0.15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</row>
    <row r="90" spans="2:200" x14ac:dyDescent="0.15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</row>
    <row r="91" spans="2:200" x14ac:dyDescent="0.1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</row>
    <row r="92" spans="2:200" x14ac:dyDescent="0.15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</row>
    <row r="93" spans="2:200" x14ac:dyDescent="0.15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</row>
    <row r="94" spans="2:200" x14ac:dyDescent="0.15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</row>
    <row r="95" spans="2:200" x14ac:dyDescent="0.15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</row>
    <row r="96" spans="2:200" x14ac:dyDescent="0.15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</row>
    <row r="97" spans="2:200" x14ac:dyDescent="0.15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</row>
    <row r="98" spans="2:200" x14ac:dyDescent="0.15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</row>
    <row r="99" spans="2:200" x14ac:dyDescent="0.15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</row>
    <row r="100" spans="2:200" x14ac:dyDescent="0.1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</row>
    <row r="101" spans="2:200" x14ac:dyDescent="0.15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</row>
    <row r="102" spans="2:200" x14ac:dyDescent="0.15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</row>
    <row r="103" spans="2:200" x14ac:dyDescent="0.15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</row>
    <row r="104" spans="2:200" x14ac:dyDescent="0.15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</row>
    <row r="105" spans="2:200" x14ac:dyDescent="0.15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</row>
    <row r="106" spans="2:200" x14ac:dyDescent="0.15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</row>
    <row r="107" spans="2:200" x14ac:dyDescent="0.15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</row>
    <row r="108" spans="2:200" x14ac:dyDescent="0.15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  <c r="DV108" s="11"/>
      <c r="DW108" s="11"/>
      <c r="DX108" s="11"/>
      <c r="DY108" s="11"/>
      <c r="DZ108" s="11"/>
      <c r="EA108" s="11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  <c r="FD108" s="11"/>
      <c r="FE108" s="11"/>
      <c r="FF108" s="11"/>
      <c r="FG108" s="11"/>
      <c r="FH108" s="11"/>
      <c r="FI108" s="11"/>
      <c r="FJ108" s="11"/>
      <c r="FK108" s="11"/>
      <c r="FL108" s="11"/>
      <c r="FM108" s="11"/>
      <c r="FN108" s="11"/>
      <c r="FO108" s="11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M108" s="11"/>
      <c r="GN108" s="11"/>
      <c r="GO108" s="11"/>
      <c r="GP108" s="11"/>
      <c r="GQ108" s="11"/>
      <c r="GR108" s="11"/>
    </row>
    <row r="109" spans="2:200" x14ac:dyDescent="0.1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</row>
    <row r="110" spans="2:200" x14ac:dyDescent="0.15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</row>
    <row r="111" spans="2:200" x14ac:dyDescent="0.15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</row>
    <row r="112" spans="2:200" x14ac:dyDescent="0.15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</row>
    <row r="113" spans="2:200" x14ac:dyDescent="0.15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</row>
    <row r="114" spans="2:200" x14ac:dyDescent="0.15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</row>
    <row r="115" spans="2:200" x14ac:dyDescent="0.15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</row>
    <row r="116" spans="2:200" x14ac:dyDescent="0.15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</row>
    <row r="117" spans="2:200" x14ac:dyDescent="0.15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</row>
    <row r="118" spans="2:200" x14ac:dyDescent="0.1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1"/>
      <c r="DQ118" s="11"/>
      <c r="DR118" s="11"/>
      <c r="DS118" s="11"/>
      <c r="DT118" s="11"/>
      <c r="DU118" s="11"/>
      <c r="DV118" s="11"/>
      <c r="DW118" s="11"/>
      <c r="DX118" s="11"/>
      <c r="DY118" s="11"/>
      <c r="DZ118" s="11"/>
      <c r="EA118" s="11"/>
      <c r="EB118" s="11"/>
      <c r="EC118" s="11"/>
      <c r="ED118" s="11"/>
      <c r="EE118" s="11"/>
      <c r="EF118" s="11"/>
      <c r="EG118" s="11"/>
      <c r="EH118" s="11"/>
      <c r="EI118" s="11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1"/>
      <c r="EY118" s="11"/>
      <c r="EZ118" s="11"/>
      <c r="FA118" s="11"/>
      <c r="FB118" s="11"/>
      <c r="FC118" s="11"/>
      <c r="FD118" s="11"/>
      <c r="FE118" s="11"/>
      <c r="FF118" s="11"/>
      <c r="FG118" s="11"/>
      <c r="FH118" s="11"/>
      <c r="FI118" s="11"/>
      <c r="FJ118" s="11"/>
      <c r="FK118" s="11"/>
      <c r="FL118" s="11"/>
      <c r="FM118" s="11"/>
      <c r="FN118" s="11"/>
      <c r="FO118" s="11"/>
      <c r="FP118" s="11"/>
      <c r="FQ118" s="11"/>
      <c r="FR118" s="11"/>
      <c r="FS118" s="11"/>
      <c r="FT118" s="11"/>
      <c r="FU118" s="11"/>
      <c r="FV118" s="11"/>
      <c r="FW118" s="11"/>
      <c r="FX118" s="11"/>
      <c r="FY118" s="11"/>
      <c r="FZ118" s="11"/>
      <c r="GA118" s="11"/>
      <c r="GB118" s="11"/>
      <c r="GC118" s="11"/>
      <c r="GD118" s="11"/>
      <c r="GE118" s="11"/>
      <c r="GF118" s="11"/>
      <c r="GG118" s="11"/>
      <c r="GH118" s="11"/>
      <c r="GI118" s="11"/>
      <c r="GJ118" s="11"/>
      <c r="GK118" s="11"/>
      <c r="GL118" s="11"/>
      <c r="GM118" s="11"/>
      <c r="GN118" s="11"/>
      <c r="GO118" s="11"/>
      <c r="GP118" s="11"/>
      <c r="GQ118" s="11"/>
      <c r="GR118" s="11"/>
    </row>
    <row r="119" spans="2:200" x14ac:dyDescent="0.15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</row>
    <row r="120" spans="2:200" x14ac:dyDescent="0.15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  <c r="DV120" s="11"/>
      <c r="DW120" s="11"/>
      <c r="DX120" s="11"/>
      <c r="DY120" s="11"/>
      <c r="DZ120" s="11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1"/>
      <c r="FI120" s="11"/>
      <c r="FJ120" s="11"/>
      <c r="FK120" s="11"/>
      <c r="FL120" s="11"/>
      <c r="FM120" s="11"/>
      <c r="FN120" s="11"/>
      <c r="FO120" s="11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1"/>
      <c r="GE120" s="11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</row>
    <row r="121" spans="2:200" x14ac:dyDescent="0.15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</row>
    <row r="122" spans="2:200" x14ac:dyDescent="0.15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</row>
    <row r="123" spans="2:200" x14ac:dyDescent="0.15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  <c r="CW123" s="11"/>
      <c r="CX123" s="11"/>
      <c r="CY123" s="11"/>
      <c r="CZ123" s="11"/>
      <c r="DA123" s="11"/>
      <c r="DB123" s="11"/>
      <c r="DC123" s="11"/>
      <c r="DD123" s="11"/>
      <c r="DE123" s="11"/>
      <c r="DF123" s="11"/>
      <c r="DG123" s="11"/>
      <c r="DH123" s="11"/>
      <c r="DI123" s="11"/>
      <c r="DJ123" s="11"/>
      <c r="DK123" s="11"/>
      <c r="DL123" s="11"/>
      <c r="DM123" s="11"/>
      <c r="DN123" s="11"/>
      <c r="DO123" s="11"/>
      <c r="DP123" s="11"/>
      <c r="DQ123" s="11"/>
      <c r="DR123" s="11"/>
      <c r="DS123" s="11"/>
      <c r="DT123" s="11"/>
      <c r="DU123" s="11"/>
      <c r="DV123" s="11"/>
      <c r="DW123" s="11"/>
      <c r="DX123" s="11"/>
      <c r="DY123" s="11"/>
      <c r="DZ123" s="11"/>
      <c r="EA123" s="11"/>
      <c r="EB123" s="11"/>
      <c r="EC123" s="11"/>
      <c r="ED123" s="11"/>
      <c r="EE123" s="11"/>
      <c r="EF123" s="11"/>
      <c r="EG123" s="11"/>
      <c r="EH123" s="11"/>
      <c r="EI123" s="11"/>
      <c r="EJ123" s="11"/>
      <c r="EK123" s="11"/>
      <c r="EL123" s="11"/>
      <c r="EM123" s="11"/>
      <c r="EN123" s="11"/>
      <c r="EO123" s="11"/>
      <c r="EP123" s="11"/>
      <c r="EQ123" s="11"/>
      <c r="ER123" s="11"/>
      <c r="ES123" s="11"/>
      <c r="ET123" s="11"/>
      <c r="EU123" s="11"/>
      <c r="EV123" s="11"/>
      <c r="EW123" s="11"/>
      <c r="EX123" s="11"/>
      <c r="EY123" s="11"/>
      <c r="EZ123" s="11"/>
      <c r="FA123" s="11"/>
      <c r="FB123" s="11"/>
      <c r="FC123" s="11"/>
      <c r="FD123" s="11"/>
      <c r="FE123" s="11"/>
      <c r="FF123" s="11"/>
      <c r="FG123" s="11"/>
      <c r="FH123" s="11"/>
      <c r="FI123" s="11"/>
      <c r="FJ123" s="11"/>
      <c r="FK123" s="11"/>
      <c r="FL123" s="11"/>
      <c r="FM123" s="11"/>
      <c r="FN123" s="11"/>
      <c r="FO123" s="11"/>
      <c r="FP123" s="11"/>
      <c r="FQ123" s="11"/>
      <c r="FR123" s="11"/>
      <c r="FS123" s="11"/>
      <c r="FT123" s="11"/>
      <c r="FU123" s="11"/>
      <c r="FV123" s="11"/>
      <c r="FW123" s="11"/>
      <c r="FX123" s="11"/>
      <c r="FY123" s="11"/>
      <c r="FZ123" s="11"/>
      <c r="GA123" s="11"/>
      <c r="GB123" s="11"/>
      <c r="GC123" s="11"/>
      <c r="GD123" s="11"/>
      <c r="GE123" s="11"/>
      <c r="GF123" s="11"/>
      <c r="GG123" s="11"/>
      <c r="GH123" s="11"/>
      <c r="GI123" s="11"/>
      <c r="GJ123" s="11"/>
      <c r="GK123" s="11"/>
      <c r="GL123" s="11"/>
      <c r="GM123" s="11"/>
      <c r="GN123" s="11"/>
      <c r="GO123" s="11"/>
      <c r="GP123" s="11"/>
      <c r="GQ123" s="11"/>
      <c r="GR123" s="11"/>
    </row>
    <row r="124" spans="2:200" x14ac:dyDescent="0.15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</row>
    <row r="125" spans="2:200" x14ac:dyDescent="0.15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</row>
    <row r="126" spans="2:200" x14ac:dyDescent="0.15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</row>
    <row r="127" spans="2:200" x14ac:dyDescent="0.1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  <c r="CW127" s="11"/>
      <c r="CX127" s="11"/>
      <c r="CY127" s="11"/>
      <c r="CZ127" s="11"/>
      <c r="DA127" s="11"/>
      <c r="DB127" s="11"/>
      <c r="DC127" s="11"/>
      <c r="DD127" s="11"/>
      <c r="DE127" s="11"/>
      <c r="DF127" s="11"/>
      <c r="DG127" s="11"/>
      <c r="DH127" s="11"/>
      <c r="DI127" s="11"/>
      <c r="DJ127" s="11"/>
      <c r="DK127" s="11"/>
      <c r="DL127" s="11"/>
      <c r="DM127" s="11"/>
      <c r="DN127" s="11"/>
      <c r="DO127" s="11"/>
      <c r="DP127" s="11"/>
      <c r="DQ127" s="11"/>
      <c r="DR127" s="11"/>
      <c r="DS127" s="11"/>
      <c r="DT127" s="11"/>
      <c r="DU127" s="11"/>
      <c r="DV127" s="11"/>
      <c r="DW127" s="11"/>
      <c r="DX127" s="11"/>
      <c r="DY127" s="11"/>
      <c r="DZ127" s="11"/>
      <c r="EA127" s="11"/>
      <c r="EB127" s="11"/>
      <c r="EC127" s="11"/>
      <c r="ED127" s="11"/>
      <c r="EE127" s="11"/>
      <c r="EF127" s="11"/>
      <c r="EG127" s="11"/>
      <c r="EH127" s="11"/>
      <c r="EI127" s="11"/>
      <c r="EJ127" s="11"/>
      <c r="EK127" s="11"/>
      <c r="EL127" s="11"/>
      <c r="EM127" s="11"/>
      <c r="EN127" s="11"/>
      <c r="EO127" s="11"/>
      <c r="EP127" s="11"/>
      <c r="EQ127" s="11"/>
      <c r="ER127" s="11"/>
      <c r="ES127" s="11"/>
      <c r="ET127" s="11"/>
      <c r="EU127" s="11"/>
      <c r="EV127" s="11"/>
      <c r="EW127" s="11"/>
      <c r="EX127" s="11"/>
      <c r="EY127" s="11"/>
      <c r="EZ127" s="11"/>
      <c r="FA127" s="11"/>
      <c r="FB127" s="11"/>
      <c r="FC127" s="11"/>
      <c r="FD127" s="11"/>
      <c r="FE127" s="11"/>
      <c r="FF127" s="11"/>
      <c r="FG127" s="11"/>
      <c r="FH127" s="11"/>
      <c r="FI127" s="11"/>
      <c r="FJ127" s="11"/>
      <c r="FK127" s="11"/>
      <c r="FL127" s="11"/>
      <c r="FM127" s="11"/>
      <c r="FN127" s="11"/>
      <c r="FO127" s="11"/>
      <c r="FP127" s="11"/>
      <c r="FQ127" s="11"/>
      <c r="FR127" s="11"/>
      <c r="FS127" s="11"/>
      <c r="FT127" s="11"/>
      <c r="FU127" s="11"/>
      <c r="FV127" s="11"/>
      <c r="FW127" s="11"/>
      <c r="FX127" s="11"/>
      <c r="FY127" s="11"/>
      <c r="FZ127" s="11"/>
      <c r="GA127" s="11"/>
      <c r="GB127" s="11"/>
      <c r="GC127" s="11"/>
      <c r="GD127" s="11"/>
      <c r="GE127" s="11"/>
      <c r="GF127" s="11"/>
      <c r="GG127" s="11"/>
      <c r="GH127" s="11"/>
      <c r="GI127" s="11"/>
      <c r="GJ127" s="11"/>
      <c r="GK127" s="11"/>
      <c r="GL127" s="11"/>
      <c r="GM127" s="11"/>
      <c r="GN127" s="11"/>
      <c r="GO127" s="11"/>
      <c r="GP127" s="11"/>
      <c r="GQ127" s="11"/>
      <c r="GR127" s="11"/>
    </row>
    <row r="128" spans="2:200" x14ac:dyDescent="0.15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  <c r="CW128" s="11"/>
      <c r="CX128" s="11"/>
      <c r="CY128" s="11"/>
      <c r="CZ128" s="11"/>
      <c r="DA128" s="11"/>
      <c r="DB128" s="11"/>
      <c r="DC128" s="11"/>
      <c r="DD128" s="11"/>
      <c r="DE128" s="11"/>
      <c r="DF128" s="11"/>
      <c r="DG128" s="11"/>
      <c r="DH128" s="11"/>
      <c r="DI128" s="11"/>
      <c r="DJ128" s="11"/>
      <c r="DK128" s="11"/>
      <c r="DL128" s="11"/>
      <c r="DM128" s="11"/>
      <c r="DN128" s="11"/>
      <c r="DO128" s="11"/>
      <c r="DP128" s="11"/>
      <c r="DQ128" s="11"/>
      <c r="DR128" s="11"/>
      <c r="DS128" s="11"/>
      <c r="DT128" s="11"/>
      <c r="DU128" s="11"/>
      <c r="DV128" s="11"/>
      <c r="DW128" s="11"/>
      <c r="DX128" s="11"/>
      <c r="DY128" s="11"/>
      <c r="DZ128" s="11"/>
      <c r="EA128" s="11"/>
      <c r="EB128" s="11"/>
      <c r="EC128" s="11"/>
      <c r="ED128" s="11"/>
      <c r="EE128" s="11"/>
      <c r="EF128" s="11"/>
      <c r="EG128" s="11"/>
      <c r="EH128" s="11"/>
      <c r="EI128" s="11"/>
      <c r="EJ128" s="11"/>
      <c r="EK128" s="11"/>
      <c r="EL128" s="11"/>
      <c r="EM128" s="11"/>
      <c r="EN128" s="11"/>
      <c r="EO128" s="11"/>
      <c r="EP128" s="11"/>
      <c r="EQ128" s="11"/>
      <c r="ER128" s="11"/>
      <c r="ES128" s="11"/>
      <c r="ET128" s="11"/>
      <c r="EU128" s="11"/>
      <c r="EV128" s="11"/>
      <c r="EW128" s="11"/>
      <c r="EX128" s="11"/>
      <c r="EY128" s="11"/>
      <c r="EZ128" s="11"/>
      <c r="FA128" s="11"/>
      <c r="FB128" s="11"/>
      <c r="FC128" s="11"/>
      <c r="FD128" s="11"/>
      <c r="FE128" s="11"/>
      <c r="FF128" s="11"/>
      <c r="FG128" s="11"/>
      <c r="FH128" s="11"/>
      <c r="FI128" s="11"/>
      <c r="FJ128" s="11"/>
      <c r="FK128" s="11"/>
      <c r="FL128" s="11"/>
      <c r="FM128" s="11"/>
      <c r="FN128" s="11"/>
      <c r="FO128" s="11"/>
      <c r="FP128" s="11"/>
      <c r="FQ128" s="11"/>
      <c r="FR128" s="11"/>
      <c r="FS128" s="11"/>
      <c r="FT128" s="11"/>
      <c r="FU128" s="11"/>
      <c r="FV128" s="11"/>
      <c r="FW128" s="11"/>
      <c r="FX128" s="11"/>
      <c r="FY128" s="11"/>
      <c r="FZ128" s="11"/>
      <c r="GA128" s="11"/>
      <c r="GB128" s="11"/>
      <c r="GC128" s="11"/>
      <c r="GD128" s="11"/>
      <c r="GE128" s="11"/>
      <c r="GF128" s="11"/>
      <c r="GG128" s="11"/>
      <c r="GH128" s="11"/>
      <c r="GI128" s="11"/>
      <c r="GJ128" s="11"/>
      <c r="GK128" s="11"/>
      <c r="GL128" s="11"/>
      <c r="GM128" s="11"/>
      <c r="GN128" s="11"/>
      <c r="GO128" s="11"/>
      <c r="GP128" s="11"/>
      <c r="GQ128" s="11"/>
      <c r="GR128" s="11"/>
    </row>
    <row r="129" spans="2:200" x14ac:dyDescent="0.15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  <c r="CW129" s="11"/>
      <c r="CX129" s="11"/>
      <c r="CY129" s="11"/>
      <c r="CZ129" s="11"/>
      <c r="DA129" s="11"/>
      <c r="DB129" s="11"/>
      <c r="DC129" s="11"/>
      <c r="DD129" s="11"/>
      <c r="DE129" s="11"/>
      <c r="DF129" s="11"/>
      <c r="DG129" s="11"/>
      <c r="DH129" s="11"/>
      <c r="DI129" s="11"/>
      <c r="DJ129" s="11"/>
      <c r="DK129" s="11"/>
      <c r="DL129" s="11"/>
      <c r="DM129" s="11"/>
      <c r="DN129" s="11"/>
      <c r="DO129" s="11"/>
      <c r="DP129" s="11"/>
      <c r="DQ129" s="11"/>
      <c r="DR129" s="11"/>
      <c r="DS129" s="11"/>
      <c r="DT129" s="11"/>
      <c r="DU129" s="11"/>
      <c r="DV129" s="11"/>
      <c r="DW129" s="11"/>
      <c r="DX129" s="11"/>
      <c r="DY129" s="11"/>
      <c r="DZ129" s="11"/>
      <c r="EA129" s="11"/>
      <c r="EB129" s="11"/>
      <c r="EC129" s="11"/>
      <c r="ED129" s="11"/>
      <c r="EE129" s="11"/>
      <c r="EF129" s="11"/>
      <c r="EG129" s="11"/>
      <c r="EH129" s="11"/>
      <c r="EI129" s="11"/>
      <c r="EJ129" s="11"/>
      <c r="EK129" s="11"/>
      <c r="EL129" s="11"/>
      <c r="EM129" s="11"/>
      <c r="EN129" s="11"/>
      <c r="EO129" s="11"/>
      <c r="EP129" s="11"/>
      <c r="EQ129" s="11"/>
      <c r="ER129" s="11"/>
      <c r="ES129" s="11"/>
      <c r="ET129" s="11"/>
      <c r="EU129" s="11"/>
      <c r="EV129" s="11"/>
      <c r="EW129" s="11"/>
      <c r="EX129" s="11"/>
      <c r="EY129" s="11"/>
      <c r="EZ129" s="11"/>
      <c r="FA129" s="11"/>
      <c r="FB129" s="11"/>
      <c r="FC129" s="11"/>
      <c r="FD129" s="11"/>
      <c r="FE129" s="11"/>
      <c r="FF129" s="11"/>
      <c r="FG129" s="11"/>
      <c r="FH129" s="11"/>
      <c r="FI129" s="11"/>
      <c r="FJ129" s="11"/>
      <c r="FK129" s="11"/>
      <c r="FL129" s="11"/>
      <c r="FM129" s="11"/>
      <c r="FN129" s="11"/>
      <c r="FO129" s="11"/>
      <c r="FP129" s="11"/>
      <c r="FQ129" s="11"/>
      <c r="FR129" s="11"/>
      <c r="FS129" s="11"/>
      <c r="FT129" s="11"/>
      <c r="FU129" s="11"/>
      <c r="FV129" s="11"/>
      <c r="FW129" s="11"/>
      <c r="FX129" s="11"/>
      <c r="FY129" s="11"/>
      <c r="FZ129" s="11"/>
      <c r="GA129" s="11"/>
      <c r="GB129" s="11"/>
      <c r="GC129" s="11"/>
      <c r="GD129" s="11"/>
      <c r="GE129" s="11"/>
      <c r="GF129" s="11"/>
      <c r="GG129" s="11"/>
      <c r="GH129" s="11"/>
      <c r="GI129" s="11"/>
      <c r="GJ129" s="11"/>
      <c r="GK129" s="11"/>
      <c r="GL129" s="11"/>
      <c r="GM129" s="11"/>
      <c r="GN129" s="11"/>
      <c r="GO129" s="11"/>
      <c r="GP129" s="11"/>
      <c r="GQ129" s="11"/>
      <c r="GR129" s="11"/>
    </row>
    <row r="130" spans="2:200" x14ac:dyDescent="0.15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  <c r="DV130" s="11"/>
      <c r="DW130" s="11"/>
      <c r="DX130" s="11"/>
      <c r="DY130" s="11"/>
      <c r="DZ130" s="11"/>
      <c r="EA130" s="11"/>
      <c r="EB130" s="11"/>
      <c r="EC130" s="11"/>
      <c r="ED130" s="11"/>
      <c r="EE130" s="11"/>
      <c r="EF130" s="11"/>
      <c r="EG130" s="11"/>
      <c r="EH130" s="11"/>
      <c r="EI130" s="11"/>
      <c r="EJ130" s="11"/>
      <c r="EK130" s="11"/>
      <c r="EL130" s="11"/>
      <c r="EM130" s="11"/>
      <c r="EN130" s="11"/>
      <c r="EO130" s="11"/>
      <c r="EP130" s="11"/>
      <c r="EQ130" s="11"/>
      <c r="ER130" s="11"/>
      <c r="ES130" s="11"/>
      <c r="ET130" s="11"/>
      <c r="EU130" s="11"/>
      <c r="EV130" s="11"/>
      <c r="EW130" s="11"/>
      <c r="EX130" s="11"/>
      <c r="EY130" s="11"/>
      <c r="EZ130" s="11"/>
      <c r="FA130" s="11"/>
      <c r="FB130" s="11"/>
      <c r="FC130" s="11"/>
      <c r="FD130" s="11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M130" s="11"/>
      <c r="GN130" s="11"/>
      <c r="GO130" s="11"/>
      <c r="GP130" s="11"/>
      <c r="GQ130" s="11"/>
      <c r="GR130" s="11"/>
    </row>
    <row r="131" spans="2:200" x14ac:dyDescent="0.15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  <c r="CW131" s="11"/>
      <c r="CX131" s="11"/>
      <c r="CY131" s="11"/>
      <c r="CZ131" s="11"/>
      <c r="DA131" s="11"/>
      <c r="DB131" s="11"/>
      <c r="DC131" s="11"/>
      <c r="DD131" s="11"/>
      <c r="DE131" s="11"/>
      <c r="DF131" s="11"/>
      <c r="DG131" s="11"/>
      <c r="DH131" s="11"/>
      <c r="DI131" s="11"/>
      <c r="DJ131" s="11"/>
      <c r="DK131" s="11"/>
      <c r="DL131" s="11"/>
      <c r="DM131" s="11"/>
      <c r="DN131" s="11"/>
      <c r="DO131" s="11"/>
      <c r="DP131" s="11"/>
      <c r="DQ131" s="11"/>
      <c r="DR131" s="11"/>
      <c r="DS131" s="11"/>
      <c r="DT131" s="11"/>
      <c r="DU131" s="11"/>
      <c r="DV131" s="11"/>
      <c r="DW131" s="11"/>
      <c r="DX131" s="11"/>
      <c r="DY131" s="11"/>
      <c r="DZ131" s="11"/>
      <c r="EA131" s="11"/>
      <c r="EB131" s="11"/>
      <c r="EC131" s="11"/>
      <c r="ED131" s="11"/>
      <c r="EE131" s="11"/>
      <c r="EF131" s="11"/>
      <c r="EG131" s="11"/>
      <c r="EH131" s="11"/>
      <c r="EI131" s="11"/>
      <c r="EJ131" s="11"/>
      <c r="EK131" s="11"/>
      <c r="EL131" s="11"/>
      <c r="EM131" s="11"/>
      <c r="EN131" s="11"/>
      <c r="EO131" s="11"/>
      <c r="EP131" s="11"/>
      <c r="EQ131" s="11"/>
      <c r="ER131" s="11"/>
      <c r="ES131" s="11"/>
      <c r="ET131" s="11"/>
      <c r="EU131" s="11"/>
      <c r="EV131" s="11"/>
      <c r="EW131" s="11"/>
      <c r="EX131" s="11"/>
      <c r="EY131" s="11"/>
      <c r="EZ131" s="11"/>
      <c r="FA131" s="11"/>
      <c r="FB131" s="11"/>
      <c r="FC131" s="11"/>
      <c r="FD131" s="11"/>
      <c r="FE131" s="11"/>
      <c r="FF131" s="11"/>
      <c r="FG131" s="11"/>
      <c r="FH131" s="11"/>
      <c r="FI131" s="11"/>
      <c r="FJ131" s="11"/>
      <c r="FK131" s="11"/>
      <c r="FL131" s="11"/>
      <c r="FM131" s="11"/>
      <c r="FN131" s="11"/>
      <c r="FO131" s="11"/>
      <c r="FP131" s="11"/>
      <c r="FQ131" s="11"/>
      <c r="FR131" s="11"/>
      <c r="FS131" s="11"/>
      <c r="FT131" s="11"/>
      <c r="FU131" s="11"/>
      <c r="FV131" s="11"/>
      <c r="FW131" s="11"/>
      <c r="FX131" s="11"/>
      <c r="FY131" s="11"/>
      <c r="FZ131" s="11"/>
      <c r="GA131" s="11"/>
      <c r="GB131" s="11"/>
      <c r="GC131" s="11"/>
      <c r="GD131" s="11"/>
      <c r="GE131" s="11"/>
      <c r="GF131" s="11"/>
      <c r="GG131" s="11"/>
      <c r="GH131" s="11"/>
      <c r="GI131" s="11"/>
      <c r="GJ131" s="11"/>
      <c r="GK131" s="11"/>
      <c r="GL131" s="11"/>
      <c r="GM131" s="11"/>
      <c r="GN131" s="11"/>
      <c r="GO131" s="11"/>
      <c r="GP131" s="11"/>
      <c r="GQ131" s="11"/>
      <c r="GR131" s="11"/>
    </row>
    <row r="132" spans="2:200" x14ac:dyDescent="0.15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  <c r="CW132" s="11"/>
      <c r="CX132" s="11"/>
      <c r="CY132" s="11"/>
      <c r="CZ132" s="11"/>
      <c r="DA132" s="11"/>
      <c r="DB132" s="11"/>
      <c r="DC132" s="11"/>
      <c r="DD132" s="11"/>
      <c r="DE132" s="11"/>
      <c r="DF132" s="11"/>
      <c r="DG132" s="11"/>
      <c r="DH132" s="11"/>
      <c r="DI132" s="11"/>
      <c r="DJ132" s="11"/>
      <c r="DK132" s="11"/>
      <c r="DL132" s="11"/>
      <c r="DM132" s="11"/>
      <c r="DN132" s="11"/>
      <c r="DO132" s="11"/>
      <c r="DP132" s="11"/>
      <c r="DQ132" s="11"/>
      <c r="DR132" s="11"/>
      <c r="DS132" s="11"/>
      <c r="DT132" s="11"/>
      <c r="DU132" s="11"/>
      <c r="DV132" s="11"/>
      <c r="DW132" s="11"/>
      <c r="DX132" s="11"/>
      <c r="DY132" s="11"/>
      <c r="DZ132" s="11"/>
      <c r="EA132" s="11"/>
      <c r="EB132" s="11"/>
      <c r="EC132" s="11"/>
      <c r="ED132" s="11"/>
      <c r="EE132" s="11"/>
      <c r="EF132" s="11"/>
      <c r="EG132" s="11"/>
      <c r="EH132" s="11"/>
      <c r="EI132" s="11"/>
      <c r="EJ132" s="11"/>
      <c r="EK132" s="11"/>
      <c r="EL132" s="11"/>
      <c r="EM132" s="11"/>
      <c r="EN132" s="11"/>
      <c r="EO132" s="11"/>
      <c r="EP132" s="11"/>
      <c r="EQ132" s="11"/>
      <c r="ER132" s="11"/>
      <c r="ES132" s="11"/>
      <c r="ET132" s="11"/>
      <c r="EU132" s="11"/>
      <c r="EV132" s="11"/>
      <c r="EW132" s="11"/>
      <c r="EX132" s="11"/>
      <c r="EY132" s="11"/>
      <c r="EZ132" s="11"/>
      <c r="FA132" s="11"/>
      <c r="FB132" s="11"/>
      <c r="FC132" s="11"/>
      <c r="FD132" s="11"/>
      <c r="FE132" s="11"/>
      <c r="FF132" s="11"/>
      <c r="FG132" s="11"/>
      <c r="FH132" s="11"/>
      <c r="FI132" s="11"/>
      <c r="FJ132" s="11"/>
      <c r="FK132" s="11"/>
      <c r="FL132" s="11"/>
      <c r="FM132" s="11"/>
      <c r="FN132" s="11"/>
      <c r="FO132" s="11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11"/>
      <c r="GA132" s="11"/>
      <c r="GB132" s="11"/>
      <c r="GC132" s="11"/>
      <c r="GD132" s="11"/>
      <c r="GE132" s="11"/>
      <c r="GF132" s="11"/>
      <c r="GG132" s="11"/>
      <c r="GH132" s="11"/>
      <c r="GI132" s="11"/>
      <c r="GJ132" s="11"/>
      <c r="GK132" s="11"/>
      <c r="GL132" s="11"/>
      <c r="GM132" s="11"/>
      <c r="GN132" s="11"/>
      <c r="GO132" s="11"/>
      <c r="GP132" s="11"/>
      <c r="GQ132" s="11"/>
      <c r="GR132" s="11"/>
    </row>
    <row r="133" spans="2:200" x14ac:dyDescent="0.15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  <c r="CW133" s="11"/>
      <c r="CX133" s="11"/>
      <c r="CY133" s="11"/>
      <c r="CZ133" s="11"/>
      <c r="DA133" s="11"/>
      <c r="DB133" s="11"/>
      <c r="DC133" s="11"/>
      <c r="DD133" s="11"/>
      <c r="DE133" s="11"/>
      <c r="DF133" s="11"/>
      <c r="DG133" s="11"/>
      <c r="DH133" s="11"/>
      <c r="DI133" s="11"/>
      <c r="DJ133" s="11"/>
      <c r="DK133" s="11"/>
      <c r="DL133" s="11"/>
      <c r="DM133" s="11"/>
      <c r="DN133" s="11"/>
      <c r="DO133" s="11"/>
      <c r="DP133" s="11"/>
      <c r="DQ133" s="11"/>
      <c r="DR133" s="11"/>
      <c r="DS133" s="11"/>
      <c r="DT133" s="11"/>
      <c r="DU133" s="11"/>
      <c r="DV133" s="11"/>
      <c r="DW133" s="11"/>
      <c r="DX133" s="11"/>
      <c r="DY133" s="11"/>
      <c r="DZ133" s="11"/>
      <c r="EA133" s="11"/>
      <c r="EB133" s="11"/>
      <c r="EC133" s="11"/>
      <c r="ED133" s="11"/>
      <c r="EE133" s="11"/>
      <c r="EF133" s="11"/>
      <c r="EG133" s="11"/>
      <c r="EH133" s="11"/>
      <c r="EI133" s="11"/>
      <c r="EJ133" s="11"/>
      <c r="EK133" s="11"/>
      <c r="EL133" s="11"/>
      <c r="EM133" s="11"/>
      <c r="EN133" s="11"/>
      <c r="EO133" s="11"/>
      <c r="EP133" s="11"/>
      <c r="EQ133" s="11"/>
      <c r="ER133" s="11"/>
      <c r="ES133" s="11"/>
      <c r="ET133" s="11"/>
      <c r="EU133" s="11"/>
      <c r="EV133" s="11"/>
      <c r="EW133" s="11"/>
      <c r="EX133" s="11"/>
      <c r="EY133" s="11"/>
      <c r="EZ133" s="11"/>
      <c r="FA133" s="11"/>
      <c r="FB133" s="11"/>
      <c r="FC133" s="11"/>
      <c r="FD133" s="11"/>
      <c r="FE133" s="11"/>
      <c r="FF133" s="11"/>
      <c r="FG133" s="11"/>
      <c r="FH133" s="11"/>
      <c r="FI133" s="11"/>
      <c r="FJ133" s="11"/>
      <c r="FK133" s="11"/>
      <c r="FL133" s="11"/>
      <c r="FM133" s="11"/>
      <c r="FN133" s="11"/>
      <c r="FO133" s="11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11"/>
      <c r="GC133" s="11"/>
      <c r="GD133" s="11"/>
      <c r="GE133" s="11"/>
      <c r="GF133" s="11"/>
      <c r="GG133" s="11"/>
      <c r="GH133" s="11"/>
      <c r="GI133" s="11"/>
      <c r="GJ133" s="11"/>
      <c r="GK133" s="11"/>
      <c r="GL133" s="11"/>
      <c r="GM133" s="11"/>
      <c r="GN133" s="11"/>
      <c r="GO133" s="11"/>
      <c r="GP133" s="11"/>
      <c r="GQ133" s="11"/>
      <c r="GR133" s="11"/>
    </row>
    <row r="134" spans="2:200" x14ac:dyDescent="0.15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</row>
    <row r="135" spans="2:200" x14ac:dyDescent="0.15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1"/>
      <c r="DK135" s="11"/>
      <c r="DL135" s="11"/>
      <c r="DM135" s="11"/>
      <c r="DN135" s="11"/>
      <c r="DO135" s="11"/>
      <c r="DP135" s="11"/>
      <c r="DQ135" s="11"/>
      <c r="DR135" s="11"/>
      <c r="DS135" s="11"/>
      <c r="DT135" s="11"/>
      <c r="DU135" s="11"/>
      <c r="DV135" s="11"/>
      <c r="DW135" s="11"/>
      <c r="DX135" s="11"/>
      <c r="DY135" s="11"/>
      <c r="DZ135" s="11"/>
      <c r="EA135" s="11"/>
      <c r="EB135" s="11"/>
      <c r="EC135" s="11"/>
      <c r="ED135" s="11"/>
      <c r="EE135" s="11"/>
      <c r="EF135" s="11"/>
      <c r="EG135" s="11"/>
      <c r="EH135" s="11"/>
      <c r="EI135" s="11"/>
      <c r="EJ135" s="11"/>
      <c r="EK135" s="11"/>
      <c r="EL135" s="11"/>
      <c r="EM135" s="11"/>
      <c r="EN135" s="11"/>
      <c r="EO135" s="11"/>
      <c r="EP135" s="11"/>
      <c r="EQ135" s="11"/>
      <c r="ER135" s="11"/>
      <c r="ES135" s="11"/>
      <c r="ET135" s="11"/>
      <c r="EU135" s="11"/>
      <c r="EV135" s="11"/>
      <c r="EW135" s="11"/>
      <c r="EX135" s="11"/>
      <c r="EY135" s="11"/>
      <c r="EZ135" s="11"/>
      <c r="FA135" s="11"/>
      <c r="FB135" s="11"/>
      <c r="FC135" s="11"/>
      <c r="FD135" s="11"/>
      <c r="FE135" s="11"/>
      <c r="FF135" s="11"/>
      <c r="FG135" s="11"/>
      <c r="FH135" s="11"/>
      <c r="FI135" s="11"/>
      <c r="FJ135" s="11"/>
      <c r="FK135" s="11"/>
      <c r="FL135" s="11"/>
      <c r="FM135" s="11"/>
      <c r="FN135" s="11"/>
      <c r="FO135" s="11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1"/>
      <c r="GF135" s="11"/>
      <c r="GG135" s="11"/>
      <c r="GH135" s="11"/>
      <c r="GI135" s="11"/>
      <c r="GJ135" s="11"/>
      <c r="GK135" s="11"/>
      <c r="GL135" s="11"/>
      <c r="GM135" s="11"/>
      <c r="GN135" s="11"/>
      <c r="GO135" s="11"/>
      <c r="GP135" s="11"/>
      <c r="GQ135" s="11"/>
      <c r="GR135" s="11"/>
    </row>
    <row r="136" spans="2:200" x14ac:dyDescent="0.15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11"/>
      <c r="DU136" s="11"/>
      <c r="DV136" s="11"/>
      <c r="DW136" s="11"/>
      <c r="DX136" s="11"/>
      <c r="DY136" s="11"/>
      <c r="DZ136" s="11"/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11"/>
      <c r="FI136" s="11"/>
      <c r="FJ136" s="11"/>
      <c r="FK136" s="11"/>
      <c r="FL136" s="11"/>
      <c r="FM136" s="11"/>
      <c r="FN136" s="11"/>
      <c r="FO136" s="11"/>
      <c r="FP136" s="11"/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1"/>
      <c r="GF136" s="11"/>
      <c r="GG136" s="11"/>
      <c r="GH136" s="11"/>
      <c r="GI136" s="11"/>
      <c r="GJ136" s="11"/>
      <c r="GK136" s="11"/>
      <c r="GL136" s="11"/>
      <c r="GM136" s="11"/>
      <c r="GN136" s="11"/>
      <c r="GO136" s="11"/>
      <c r="GP136" s="11"/>
      <c r="GQ136" s="11"/>
      <c r="GR136" s="11"/>
    </row>
    <row r="137" spans="2:200" x14ac:dyDescent="0.15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</row>
    <row r="138" spans="2:200" x14ac:dyDescent="0.15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  <c r="CW138" s="11"/>
      <c r="CX138" s="11"/>
      <c r="CY138" s="11"/>
      <c r="CZ138" s="11"/>
      <c r="DA138" s="11"/>
      <c r="DB138" s="11"/>
      <c r="DC138" s="11"/>
      <c r="DD138" s="11"/>
      <c r="DE138" s="11"/>
      <c r="DF138" s="11"/>
      <c r="DG138" s="11"/>
      <c r="DH138" s="11"/>
      <c r="DI138" s="11"/>
      <c r="DJ138" s="11"/>
      <c r="DK138" s="11"/>
      <c r="DL138" s="11"/>
      <c r="DM138" s="11"/>
      <c r="DN138" s="11"/>
      <c r="DO138" s="11"/>
      <c r="DP138" s="11"/>
      <c r="DQ138" s="11"/>
      <c r="DR138" s="11"/>
      <c r="DS138" s="11"/>
      <c r="DT138" s="11"/>
      <c r="DU138" s="11"/>
      <c r="DV138" s="11"/>
      <c r="DW138" s="11"/>
      <c r="DX138" s="11"/>
      <c r="DY138" s="11"/>
      <c r="DZ138" s="11"/>
      <c r="EA138" s="11"/>
      <c r="EB138" s="11"/>
      <c r="EC138" s="11"/>
      <c r="ED138" s="11"/>
      <c r="EE138" s="11"/>
      <c r="EF138" s="11"/>
      <c r="EG138" s="11"/>
      <c r="EH138" s="11"/>
      <c r="EI138" s="11"/>
      <c r="EJ138" s="11"/>
      <c r="EK138" s="11"/>
      <c r="EL138" s="11"/>
      <c r="EM138" s="11"/>
      <c r="EN138" s="11"/>
      <c r="EO138" s="11"/>
      <c r="EP138" s="11"/>
      <c r="EQ138" s="11"/>
      <c r="ER138" s="11"/>
      <c r="ES138" s="11"/>
      <c r="ET138" s="11"/>
      <c r="EU138" s="11"/>
      <c r="EV138" s="11"/>
      <c r="EW138" s="11"/>
      <c r="EX138" s="11"/>
      <c r="EY138" s="11"/>
      <c r="EZ138" s="11"/>
      <c r="FA138" s="11"/>
      <c r="FB138" s="11"/>
      <c r="FC138" s="11"/>
      <c r="FD138" s="11"/>
      <c r="FE138" s="11"/>
      <c r="FF138" s="11"/>
      <c r="FG138" s="11"/>
      <c r="FH138" s="11"/>
      <c r="FI138" s="11"/>
      <c r="FJ138" s="11"/>
      <c r="FK138" s="11"/>
      <c r="FL138" s="11"/>
      <c r="FM138" s="11"/>
      <c r="FN138" s="11"/>
      <c r="FO138" s="11"/>
      <c r="FP138" s="11"/>
      <c r="FQ138" s="11"/>
      <c r="FR138" s="11"/>
      <c r="FS138" s="11"/>
      <c r="FT138" s="11"/>
      <c r="FU138" s="11"/>
      <c r="FV138" s="11"/>
      <c r="FW138" s="11"/>
      <c r="FX138" s="11"/>
      <c r="FY138" s="11"/>
      <c r="FZ138" s="11"/>
      <c r="GA138" s="11"/>
      <c r="GB138" s="11"/>
      <c r="GC138" s="11"/>
      <c r="GD138" s="11"/>
      <c r="GE138" s="11"/>
      <c r="GF138" s="11"/>
      <c r="GG138" s="11"/>
      <c r="GH138" s="11"/>
      <c r="GI138" s="11"/>
      <c r="GJ138" s="11"/>
      <c r="GK138" s="11"/>
      <c r="GL138" s="11"/>
      <c r="GM138" s="11"/>
      <c r="GN138" s="11"/>
      <c r="GO138" s="11"/>
      <c r="GP138" s="11"/>
      <c r="GQ138" s="11"/>
      <c r="GR138" s="11"/>
    </row>
    <row r="139" spans="2:200" x14ac:dyDescent="0.15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  <c r="CW139" s="11"/>
      <c r="CX139" s="11"/>
      <c r="CY139" s="11"/>
      <c r="CZ139" s="11"/>
      <c r="DA139" s="11"/>
      <c r="DB139" s="11"/>
      <c r="DC139" s="11"/>
      <c r="DD139" s="11"/>
      <c r="DE139" s="11"/>
      <c r="DF139" s="11"/>
      <c r="DG139" s="11"/>
      <c r="DH139" s="11"/>
      <c r="DI139" s="11"/>
      <c r="DJ139" s="11"/>
      <c r="DK139" s="11"/>
      <c r="DL139" s="11"/>
      <c r="DM139" s="11"/>
      <c r="DN139" s="11"/>
      <c r="DO139" s="11"/>
      <c r="DP139" s="11"/>
      <c r="DQ139" s="11"/>
      <c r="DR139" s="11"/>
      <c r="DS139" s="11"/>
      <c r="DT139" s="11"/>
      <c r="DU139" s="11"/>
      <c r="DV139" s="11"/>
      <c r="DW139" s="11"/>
      <c r="DX139" s="11"/>
      <c r="DY139" s="11"/>
      <c r="DZ139" s="11"/>
      <c r="EA139" s="11"/>
      <c r="EB139" s="11"/>
      <c r="EC139" s="11"/>
      <c r="ED139" s="11"/>
      <c r="EE139" s="11"/>
      <c r="EF139" s="11"/>
      <c r="EG139" s="11"/>
      <c r="EH139" s="11"/>
      <c r="EI139" s="11"/>
      <c r="EJ139" s="11"/>
      <c r="EK139" s="11"/>
      <c r="EL139" s="11"/>
      <c r="EM139" s="11"/>
      <c r="EN139" s="11"/>
      <c r="EO139" s="11"/>
      <c r="EP139" s="11"/>
      <c r="EQ139" s="11"/>
      <c r="ER139" s="11"/>
      <c r="ES139" s="11"/>
      <c r="ET139" s="11"/>
      <c r="EU139" s="11"/>
      <c r="EV139" s="11"/>
      <c r="EW139" s="11"/>
      <c r="EX139" s="11"/>
      <c r="EY139" s="11"/>
      <c r="EZ139" s="11"/>
      <c r="FA139" s="11"/>
      <c r="FB139" s="11"/>
      <c r="FC139" s="11"/>
      <c r="FD139" s="11"/>
      <c r="FE139" s="11"/>
      <c r="FF139" s="11"/>
      <c r="FG139" s="11"/>
      <c r="FH139" s="11"/>
      <c r="FI139" s="11"/>
      <c r="FJ139" s="11"/>
      <c r="FK139" s="11"/>
      <c r="FL139" s="11"/>
      <c r="FM139" s="11"/>
      <c r="FN139" s="11"/>
      <c r="FO139" s="11"/>
      <c r="FP139" s="11"/>
      <c r="FQ139" s="11"/>
      <c r="FR139" s="11"/>
      <c r="FS139" s="11"/>
      <c r="FT139" s="11"/>
      <c r="FU139" s="11"/>
      <c r="FV139" s="11"/>
      <c r="FW139" s="11"/>
      <c r="FX139" s="11"/>
      <c r="FY139" s="11"/>
      <c r="FZ139" s="11"/>
      <c r="GA139" s="11"/>
      <c r="GB139" s="11"/>
      <c r="GC139" s="11"/>
      <c r="GD139" s="11"/>
      <c r="GE139" s="11"/>
      <c r="GF139" s="11"/>
      <c r="GG139" s="11"/>
      <c r="GH139" s="11"/>
      <c r="GI139" s="11"/>
      <c r="GJ139" s="11"/>
      <c r="GK139" s="11"/>
      <c r="GL139" s="11"/>
      <c r="GM139" s="11"/>
      <c r="GN139" s="11"/>
      <c r="GO139" s="11"/>
      <c r="GP139" s="11"/>
      <c r="GQ139" s="11"/>
      <c r="GR139" s="11"/>
    </row>
    <row r="140" spans="2:200" x14ac:dyDescent="0.15"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  <c r="CW140" s="11"/>
      <c r="CX140" s="11"/>
      <c r="CY140" s="11"/>
      <c r="CZ140" s="11"/>
      <c r="DA140" s="11"/>
      <c r="DB140" s="11"/>
      <c r="DC140" s="11"/>
      <c r="DD140" s="11"/>
      <c r="DE140" s="11"/>
      <c r="DF140" s="11"/>
      <c r="DG140" s="11"/>
      <c r="DH140" s="11"/>
      <c r="DI140" s="11"/>
      <c r="DJ140" s="11"/>
      <c r="DK140" s="11"/>
      <c r="DL140" s="11"/>
      <c r="DM140" s="11"/>
      <c r="DN140" s="11"/>
      <c r="DO140" s="11"/>
      <c r="DP140" s="11"/>
      <c r="DQ140" s="11"/>
      <c r="DR140" s="11"/>
      <c r="DS140" s="11"/>
      <c r="DT140" s="11"/>
      <c r="DU140" s="11"/>
      <c r="DV140" s="11"/>
      <c r="DW140" s="11"/>
      <c r="DX140" s="11"/>
      <c r="DY140" s="11"/>
      <c r="DZ140" s="11"/>
      <c r="EA140" s="11"/>
      <c r="EB140" s="11"/>
      <c r="EC140" s="11"/>
      <c r="ED140" s="11"/>
      <c r="EE140" s="11"/>
      <c r="EF140" s="11"/>
      <c r="EG140" s="11"/>
      <c r="EH140" s="11"/>
      <c r="EI140" s="11"/>
      <c r="EJ140" s="11"/>
      <c r="EK140" s="11"/>
      <c r="EL140" s="11"/>
      <c r="EM140" s="11"/>
      <c r="EN140" s="11"/>
      <c r="EO140" s="11"/>
      <c r="EP140" s="11"/>
      <c r="EQ140" s="11"/>
      <c r="ER140" s="11"/>
      <c r="ES140" s="11"/>
      <c r="ET140" s="11"/>
      <c r="EU140" s="11"/>
      <c r="EV140" s="11"/>
      <c r="EW140" s="11"/>
      <c r="EX140" s="11"/>
      <c r="EY140" s="11"/>
      <c r="EZ140" s="11"/>
      <c r="FA140" s="11"/>
      <c r="FB140" s="11"/>
      <c r="FC140" s="11"/>
      <c r="FD140" s="11"/>
      <c r="FE140" s="11"/>
      <c r="FF140" s="11"/>
      <c r="FG140" s="11"/>
      <c r="FH140" s="11"/>
      <c r="FI140" s="11"/>
      <c r="FJ140" s="11"/>
      <c r="FK140" s="11"/>
      <c r="FL140" s="11"/>
      <c r="FM140" s="11"/>
      <c r="FN140" s="11"/>
      <c r="FO140" s="11"/>
      <c r="FP140" s="11"/>
      <c r="FQ140" s="11"/>
      <c r="FR140" s="11"/>
      <c r="FS140" s="11"/>
      <c r="FT140" s="11"/>
      <c r="FU140" s="11"/>
      <c r="FV140" s="11"/>
      <c r="FW140" s="11"/>
      <c r="FX140" s="11"/>
      <c r="FY140" s="11"/>
      <c r="FZ140" s="11"/>
      <c r="GA140" s="11"/>
      <c r="GB140" s="11"/>
      <c r="GC140" s="11"/>
      <c r="GD140" s="11"/>
      <c r="GE140" s="11"/>
      <c r="GF140" s="11"/>
      <c r="GG140" s="11"/>
      <c r="GH140" s="11"/>
      <c r="GI140" s="11"/>
      <c r="GJ140" s="11"/>
      <c r="GK140" s="11"/>
      <c r="GL140" s="11"/>
      <c r="GM140" s="11"/>
      <c r="GN140" s="11"/>
      <c r="GO140" s="11"/>
      <c r="GP140" s="11"/>
      <c r="GQ140" s="11"/>
      <c r="GR140" s="11"/>
    </row>
    <row r="141" spans="2:200" x14ac:dyDescent="0.15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  <c r="CW141" s="11"/>
      <c r="CX141" s="11"/>
      <c r="CY141" s="11"/>
      <c r="CZ141" s="11"/>
      <c r="DA141" s="11"/>
      <c r="DB141" s="11"/>
      <c r="DC141" s="11"/>
      <c r="DD141" s="11"/>
      <c r="DE141" s="11"/>
      <c r="DF141" s="11"/>
      <c r="DG141" s="11"/>
      <c r="DH141" s="11"/>
      <c r="DI141" s="11"/>
      <c r="DJ141" s="11"/>
      <c r="DK141" s="11"/>
      <c r="DL141" s="11"/>
      <c r="DM141" s="11"/>
      <c r="DN141" s="11"/>
      <c r="DO141" s="11"/>
      <c r="DP141" s="11"/>
      <c r="DQ141" s="11"/>
      <c r="DR141" s="11"/>
      <c r="DS141" s="11"/>
      <c r="DT141" s="11"/>
      <c r="DU141" s="11"/>
      <c r="DV141" s="11"/>
      <c r="DW141" s="11"/>
      <c r="DX141" s="11"/>
      <c r="DY141" s="11"/>
      <c r="DZ141" s="11"/>
      <c r="EA141" s="11"/>
      <c r="EB141" s="11"/>
      <c r="EC141" s="11"/>
      <c r="ED141" s="11"/>
      <c r="EE141" s="11"/>
      <c r="EF141" s="11"/>
      <c r="EG141" s="11"/>
      <c r="EH141" s="11"/>
      <c r="EI141" s="11"/>
      <c r="EJ141" s="11"/>
      <c r="EK141" s="11"/>
      <c r="EL141" s="11"/>
      <c r="EM141" s="11"/>
      <c r="EN141" s="11"/>
      <c r="EO141" s="11"/>
      <c r="EP141" s="11"/>
      <c r="EQ141" s="11"/>
      <c r="ER141" s="11"/>
      <c r="ES141" s="11"/>
      <c r="ET141" s="11"/>
      <c r="EU141" s="11"/>
      <c r="EV141" s="11"/>
      <c r="EW141" s="11"/>
      <c r="EX141" s="11"/>
      <c r="EY141" s="11"/>
      <c r="EZ141" s="11"/>
      <c r="FA141" s="11"/>
      <c r="FB141" s="11"/>
      <c r="FC141" s="11"/>
      <c r="FD141" s="11"/>
      <c r="FE141" s="11"/>
      <c r="FF141" s="11"/>
      <c r="FG141" s="11"/>
      <c r="FH141" s="11"/>
      <c r="FI141" s="11"/>
      <c r="FJ141" s="11"/>
      <c r="FK141" s="11"/>
      <c r="FL141" s="11"/>
      <c r="FM141" s="11"/>
      <c r="FN141" s="11"/>
      <c r="FO141" s="11"/>
      <c r="FP141" s="11"/>
      <c r="FQ141" s="11"/>
      <c r="FR141" s="11"/>
      <c r="FS141" s="11"/>
      <c r="FT141" s="11"/>
      <c r="FU141" s="11"/>
      <c r="FV141" s="11"/>
      <c r="FW141" s="11"/>
      <c r="FX141" s="11"/>
      <c r="FY141" s="11"/>
      <c r="FZ141" s="11"/>
      <c r="GA141" s="11"/>
      <c r="GB141" s="11"/>
      <c r="GC141" s="11"/>
      <c r="GD141" s="11"/>
      <c r="GE141" s="11"/>
      <c r="GF141" s="11"/>
      <c r="GG141" s="11"/>
      <c r="GH141" s="11"/>
      <c r="GI141" s="11"/>
      <c r="GJ141" s="11"/>
      <c r="GK141" s="11"/>
      <c r="GL141" s="11"/>
      <c r="GM141" s="11"/>
      <c r="GN141" s="11"/>
      <c r="GO141" s="11"/>
      <c r="GP141" s="11"/>
      <c r="GQ141" s="11"/>
      <c r="GR141" s="11"/>
    </row>
    <row r="142" spans="2:200" x14ac:dyDescent="0.15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  <c r="CW142" s="11"/>
      <c r="CX142" s="11"/>
      <c r="CY142" s="11"/>
      <c r="CZ142" s="11"/>
      <c r="DA142" s="11"/>
      <c r="DB142" s="11"/>
      <c r="DC142" s="11"/>
      <c r="DD142" s="11"/>
      <c r="DE142" s="11"/>
      <c r="DF142" s="11"/>
      <c r="DG142" s="11"/>
      <c r="DH142" s="11"/>
      <c r="DI142" s="11"/>
      <c r="DJ142" s="11"/>
      <c r="DK142" s="11"/>
      <c r="DL142" s="11"/>
      <c r="DM142" s="11"/>
      <c r="DN142" s="11"/>
      <c r="DO142" s="11"/>
      <c r="DP142" s="11"/>
      <c r="DQ142" s="11"/>
      <c r="DR142" s="11"/>
      <c r="DS142" s="11"/>
      <c r="DT142" s="11"/>
      <c r="DU142" s="11"/>
      <c r="DV142" s="11"/>
      <c r="DW142" s="11"/>
      <c r="DX142" s="11"/>
      <c r="DY142" s="11"/>
      <c r="DZ142" s="11"/>
      <c r="EA142" s="11"/>
      <c r="EB142" s="11"/>
      <c r="EC142" s="11"/>
      <c r="ED142" s="11"/>
      <c r="EE142" s="11"/>
      <c r="EF142" s="11"/>
      <c r="EG142" s="11"/>
      <c r="EH142" s="11"/>
      <c r="EI142" s="11"/>
      <c r="EJ142" s="11"/>
      <c r="EK142" s="11"/>
      <c r="EL142" s="11"/>
      <c r="EM142" s="11"/>
      <c r="EN142" s="11"/>
      <c r="EO142" s="11"/>
      <c r="EP142" s="11"/>
      <c r="EQ142" s="11"/>
      <c r="ER142" s="11"/>
      <c r="ES142" s="11"/>
      <c r="ET142" s="11"/>
      <c r="EU142" s="11"/>
      <c r="EV142" s="11"/>
      <c r="EW142" s="11"/>
      <c r="EX142" s="11"/>
      <c r="EY142" s="11"/>
      <c r="EZ142" s="11"/>
      <c r="FA142" s="11"/>
      <c r="FB142" s="11"/>
      <c r="FC142" s="11"/>
      <c r="FD142" s="11"/>
      <c r="FE142" s="11"/>
      <c r="FF142" s="11"/>
      <c r="FG142" s="11"/>
      <c r="FH142" s="11"/>
      <c r="FI142" s="11"/>
      <c r="FJ142" s="11"/>
      <c r="FK142" s="11"/>
      <c r="FL142" s="11"/>
      <c r="FM142" s="11"/>
      <c r="FN142" s="11"/>
      <c r="FO142" s="11"/>
      <c r="FP142" s="11"/>
      <c r="FQ142" s="11"/>
      <c r="FR142" s="11"/>
      <c r="FS142" s="11"/>
      <c r="FT142" s="11"/>
      <c r="FU142" s="11"/>
      <c r="FV142" s="11"/>
      <c r="FW142" s="11"/>
      <c r="FX142" s="11"/>
      <c r="FY142" s="11"/>
      <c r="FZ142" s="11"/>
      <c r="GA142" s="11"/>
      <c r="GB142" s="11"/>
      <c r="GC142" s="11"/>
      <c r="GD142" s="11"/>
      <c r="GE142" s="11"/>
      <c r="GF142" s="11"/>
      <c r="GG142" s="11"/>
      <c r="GH142" s="11"/>
      <c r="GI142" s="11"/>
      <c r="GJ142" s="11"/>
      <c r="GK142" s="11"/>
      <c r="GL142" s="11"/>
      <c r="GM142" s="11"/>
      <c r="GN142" s="11"/>
      <c r="GO142" s="11"/>
      <c r="GP142" s="11"/>
      <c r="GQ142" s="11"/>
      <c r="GR142" s="11"/>
    </row>
    <row r="143" spans="2:200" x14ac:dyDescent="0.15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 s="11"/>
      <c r="GL143" s="11"/>
      <c r="GM143" s="11"/>
      <c r="GN143" s="11"/>
      <c r="GO143" s="11"/>
      <c r="GP143" s="11"/>
      <c r="GQ143" s="11"/>
      <c r="GR143" s="11"/>
    </row>
    <row r="144" spans="2:200" x14ac:dyDescent="0.15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  <c r="CW144" s="11"/>
      <c r="CX144" s="11"/>
      <c r="CY144" s="11"/>
      <c r="CZ144" s="11"/>
      <c r="DA144" s="11"/>
      <c r="DB144" s="11"/>
      <c r="DC144" s="11"/>
      <c r="DD144" s="11"/>
      <c r="DE144" s="11"/>
      <c r="DF144" s="11"/>
      <c r="DG144" s="11"/>
      <c r="DH144" s="11"/>
      <c r="DI144" s="11"/>
      <c r="DJ144" s="11"/>
      <c r="DK144" s="11"/>
      <c r="DL144" s="11"/>
      <c r="DM144" s="11"/>
      <c r="DN144" s="11"/>
      <c r="DO144" s="11"/>
      <c r="DP144" s="11"/>
      <c r="DQ144" s="11"/>
      <c r="DR144" s="11"/>
      <c r="DS144" s="11"/>
      <c r="DT144" s="11"/>
      <c r="DU144" s="11"/>
      <c r="DV144" s="11"/>
      <c r="DW144" s="11"/>
      <c r="DX144" s="11"/>
      <c r="DY144" s="11"/>
      <c r="DZ144" s="11"/>
      <c r="EA144" s="11"/>
      <c r="EB144" s="11"/>
      <c r="EC144" s="11"/>
      <c r="ED144" s="11"/>
      <c r="EE144" s="11"/>
      <c r="EF144" s="11"/>
      <c r="EG144" s="11"/>
      <c r="EH144" s="11"/>
      <c r="EI144" s="11"/>
      <c r="EJ144" s="11"/>
      <c r="EK144" s="11"/>
      <c r="EL144" s="11"/>
      <c r="EM144" s="11"/>
      <c r="EN144" s="11"/>
      <c r="EO144" s="11"/>
      <c r="EP144" s="11"/>
      <c r="EQ144" s="11"/>
      <c r="ER144" s="11"/>
      <c r="ES144" s="11"/>
      <c r="ET144" s="11"/>
      <c r="EU144" s="11"/>
      <c r="EV144" s="11"/>
      <c r="EW144" s="11"/>
      <c r="EX144" s="11"/>
      <c r="EY144" s="11"/>
      <c r="EZ144" s="11"/>
      <c r="FA144" s="11"/>
      <c r="FB144" s="11"/>
      <c r="FC144" s="11"/>
      <c r="FD144" s="11"/>
      <c r="FE144" s="11"/>
      <c r="FF144" s="11"/>
      <c r="FG144" s="11"/>
      <c r="FH144" s="11"/>
      <c r="FI144" s="11"/>
      <c r="FJ144" s="11"/>
      <c r="FK144" s="11"/>
      <c r="FL144" s="11"/>
      <c r="FM144" s="11"/>
      <c r="FN144" s="11"/>
      <c r="FO144" s="11"/>
      <c r="FP144" s="11"/>
      <c r="FQ144" s="11"/>
      <c r="FR144" s="11"/>
      <c r="FS144" s="11"/>
      <c r="FT144" s="11"/>
      <c r="FU144" s="11"/>
      <c r="FV144" s="11"/>
      <c r="FW144" s="11"/>
      <c r="FX144" s="11"/>
      <c r="FY144" s="11"/>
      <c r="FZ144" s="11"/>
      <c r="GA144" s="11"/>
      <c r="GB144" s="11"/>
      <c r="GC144" s="11"/>
      <c r="GD144" s="11"/>
      <c r="GE144" s="11"/>
      <c r="GF144" s="11"/>
      <c r="GG144" s="11"/>
      <c r="GH144" s="11"/>
      <c r="GI144" s="11"/>
      <c r="GJ144" s="11"/>
      <c r="GK144" s="11"/>
      <c r="GL144" s="11"/>
      <c r="GM144" s="11"/>
      <c r="GN144" s="11"/>
      <c r="GO144" s="11"/>
      <c r="GP144" s="11"/>
      <c r="GQ144" s="11"/>
      <c r="GR144" s="11"/>
    </row>
    <row r="145" spans="2:200" x14ac:dyDescent="0.15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  <c r="CW145" s="11"/>
      <c r="CX145" s="11"/>
      <c r="CY145" s="11"/>
      <c r="CZ145" s="11"/>
      <c r="DA145" s="11"/>
      <c r="DB145" s="11"/>
      <c r="DC145" s="11"/>
      <c r="DD145" s="11"/>
      <c r="DE145" s="11"/>
      <c r="DF145" s="11"/>
      <c r="DG145" s="11"/>
      <c r="DH145" s="11"/>
      <c r="DI145" s="11"/>
      <c r="DJ145" s="11"/>
      <c r="DK145" s="11"/>
      <c r="DL145" s="11"/>
      <c r="DM145" s="11"/>
      <c r="DN145" s="11"/>
      <c r="DO145" s="11"/>
      <c r="DP145" s="11"/>
      <c r="DQ145" s="11"/>
      <c r="DR145" s="11"/>
      <c r="DS145" s="11"/>
      <c r="DT145" s="11"/>
      <c r="DU145" s="11"/>
      <c r="DV145" s="11"/>
      <c r="DW145" s="11"/>
      <c r="DX145" s="11"/>
      <c r="DY145" s="11"/>
      <c r="DZ145" s="11"/>
      <c r="EA145" s="11"/>
      <c r="EB145" s="11"/>
      <c r="EC145" s="11"/>
      <c r="ED145" s="11"/>
      <c r="EE145" s="11"/>
      <c r="EF145" s="11"/>
      <c r="EG145" s="11"/>
      <c r="EH145" s="11"/>
      <c r="EI145" s="11"/>
      <c r="EJ145" s="11"/>
      <c r="EK145" s="11"/>
      <c r="EL145" s="11"/>
      <c r="EM145" s="11"/>
      <c r="EN145" s="11"/>
      <c r="EO145" s="11"/>
      <c r="EP145" s="11"/>
      <c r="EQ145" s="11"/>
      <c r="ER145" s="11"/>
      <c r="ES145" s="11"/>
      <c r="ET145" s="11"/>
      <c r="EU145" s="11"/>
      <c r="EV145" s="11"/>
      <c r="EW145" s="11"/>
      <c r="EX145" s="11"/>
      <c r="EY145" s="11"/>
      <c r="EZ145" s="11"/>
      <c r="FA145" s="11"/>
      <c r="FB145" s="11"/>
      <c r="FC145" s="11"/>
      <c r="FD145" s="11"/>
      <c r="FE145" s="11"/>
      <c r="FF145" s="11"/>
      <c r="FG145" s="11"/>
      <c r="FH145" s="11"/>
      <c r="FI145" s="11"/>
      <c r="FJ145" s="11"/>
      <c r="FK145" s="11"/>
      <c r="FL145" s="11"/>
      <c r="FM145" s="11"/>
      <c r="FN145" s="11"/>
      <c r="FO145" s="11"/>
      <c r="FP145" s="11"/>
      <c r="FQ145" s="11"/>
      <c r="FR145" s="11"/>
      <c r="FS145" s="11"/>
      <c r="FT145" s="11"/>
      <c r="FU145" s="11"/>
      <c r="FV145" s="11"/>
      <c r="FW145" s="11"/>
      <c r="FX145" s="11"/>
      <c r="FY145" s="11"/>
      <c r="FZ145" s="11"/>
      <c r="GA145" s="11"/>
      <c r="GB145" s="11"/>
      <c r="GC145" s="11"/>
      <c r="GD145" s="11"/>
      <c r="GE145" s="11"/>
      <c r="GF145" s="11"/>
      <c r="GG145" s="11"/>
      <c r="GH145" s="11"/>
      <c r="GI145" s="11"/>
      <c r="GJ145" s="11"/>
      <c r="GK145" s="11"/>
      <c r="GL145" s="11"/>
      <c r="GM145" s="11"/>
      <c r="GN145" s="11"/>
      <c r="GO145" s="11"/>
      <c r="GP145" s="11"/>
      <c r="GQ145" s="11"/>
      <c r="GR145" s="11"/>
    </row>
    <row r="146" spans="2:200" x14ac:dyDescent="0.15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  <c r="CW146" s="11"/>
      <c r="CX146" s="11"/>
      <c r="CY146" s="11"/>
      <c r="CZ146" s="11"/>
      <c r="DA146" s="11"/>
      <c r="DB146" s="11"/>
      <c r="DC146" s="11"/>
      <c r="DD146" s="11"/>
      <c r="DE146" s="11"/>
      <c r="DF146" s="11"/>
      <c r="DG146" s="11"/>
      <c r="DH146" s="11"/>
      <c r="DI146" s="11"/>
      <c r="DJ146" s="11"/>
      <c r="DK146" s="11"/>
      <c r="DL146" s="11"/>
      <c r="DM146" s="11"/>
      <c r="DN146" s="11"/>
      <c r="DO146" s="11"/>
      <c r="DP146" s="11"/>
      <c r="DQ146" s="11"/>
      <c r="DR146" s="11"/>
      <c r="DS146" s="11"/>
      <c r="DT146" s="11"/>
      <c r="DU146" s="11"/>
      <c r="DV146" s="11"/>
      <c r="DW146" s="11"/>
      <c r="DX146" s="11"/>
      <c r="DY146" s="11"/>
      <c r="DZ146" s="11"/>
      <c r="EA146" s="11"/>
      <c r="EB146" s="11"/>
      <c r="EC146" s="11"/>
      <c r="ED146" s="11"/>
      <c r="EE146" s="11"/>
      <c r="EF146" s="11"/>
      <c r="EG146" s="11"/>
      <c r="EH146" s="11"/>
      <c r="EI146" s="11"/>
      <c r="EJ146" s="11"/>
      <c r="EK146" s="11"/>
      <c r="EL146" s="11"/>
      <c r="EM146" s="11"/>
      <c r="EN146" s="11"/>
      <c r="EO146" s="11"/>
      <c r="EP146" s="11"/>
      <c r="EQ146" s="11"/>
      <c r="ER146" s="11"/>
      <c r="ES146" s="11"/>
      <c r="ET146" s="11"/>
      <c r="EU146" s="11"/>
      <c r="EV146" s="11"/>
      <c r="EW146" s="11"/>
      <c r="EX146" s="11"/>
      <c r="EY146" s="11"/>
      <c r="EZ146" s="11"/>
      <c r="FA146" s="11"/>
      <c r="FB146" s="11"/>
      <c r="FC146" s="11"/>
      <c r="FD146" s="11"/>
      <c r="FE146" s="11"/>
      <c r="FF146" s="11"/>
      <c r="FG146" s="11"/>
      <c r="FH146" s="11"/>
      <c r="FI146" s="11"/>
      <c r="FJ146" s="11"/>
      <c r="FK146" s="11"/>
      <c r="FL146" s="11"/>
      <c r="FM146" s="11"/>
      <c r="FN146" s="11"/>
      <c r="FO146" s="11"/>
      <c r="FP146" s="11"/>
      <c r="FQ146" s="11"/>
      <c r="FR146" s="11"/>
      <c r="FS146" s="11"/>
      <c r="FT146" s="11"/>
      <c r="FU146" s="11"/>
      <c r="FV146" s="11"/>
      <c r="FW146" s="11"/>
      <c r="FX146" s="11"/>
      <c r="FY146" s="11"/>
      <c r="FZ146" s="11"/>
      <c r="GA146" s="11"/>
      <c r="GB146" s="11"/>
      <c r="GC146" s="11"/>
      <c r="GD146" s="11"/>
      <c r="GE146" s="11"/>
      <c r="GF146" s="11"/>
      <c r="GG146" s="11"/>
      <c r="GH146" s="11"/>
      <c r="GI146" s="11"/>
      <c r="GJ146" s="11"/>
      <c r="GK146" s="11"/>
      <c r="GL146" s="11"/>
      <c r="GM146" s="11"/>
      <c r="GN146" s="11"/>
      <c r="GO146" s="11"/>
      <c r="GP146" s="11"/>
      <c r="GQ146" s="11"/>
      <c r="GR146" s="11"/>
    </row>
    <row r="147" spans="2:200" x14ac:dyDescent="0.15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 s="11"/>
      <c r="GL147" s="11"/>
      <c r="GM147" s="11"/>
      <c r="GN147" s="11"/>
      <c r="GO147" s="11"/>
      <c r="GP147" s="11"/>
      <c r="GQ147" s="11"/>
      <c r="GR147" s="11"/>
    </row>
    <row r="148" spans="2:200" x14ac:dyDescent="0.15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  <c r="CW148" s="11"/>
      <c r="CX148" s="11"/>
      <c r="CY148" s="11"/>
      <c r="CZ148" s="11"/>
      <c r="DA148" s="11"/>
      <c r="DB148" s="11"/>
      <c r="DC148" s="11"/>
      <c r="DD148" s="11"/>
      <c r="DE148" s="11"/>
      <c r="DF148" s="11"/>
      <c r="DG148" s="11"/>
      <c r="DH148" s="11"/>
      <c r="DI148" s="11"/>
      <c r="DJ148" s="11"/>
      <c r="DK148" s="11"/>
      <c r="DL148" s="11"/>
      <c r="DM148" s="11"/>
      <c r="DN148" s="11"/>
      <c r="DO148" s="11"/>
      <c r="DP148" s="11"/>
      <c r="DQ148" s="11"/>
      <c r="DR148" s="11"/>
      <c r="DS148" s="11"/>
      <c r="DT148" s="11"/>
      <c r="DU148" s="11"/>
      <c r="DV148" s="11"/>
      <c r="DW148" s="11"/>
      <c r="DX148" s="11"/>
      <c r="DY148" s="11"/>
      <c r="DZ148" s="11"/>
      <c r="EA148" s="11"/>
      <c r="EB148" s="11"/>
      <c r="EC148" s="11"/>
      <c r="ED148" s="11"/>
      <c r="EE148" s="11"/>
      <c r="EF148" s="11"/>
      <c r="EG148" s="11"/>
      <c r="EH148" s="11"/>
      <c r="EI148" s="11"/>
      <c r="EJ148" s="11"/>
      <c r="EK148" s="11"/>
      <c r="EL148" s="11"/>
      <c r="EM148" s="11"/>
      <c r="EN148" s="11"/>
      <c r="EO148" s="11"/>
      <c r="EP148" s="11"/>
      <c r="EQ148" s="11"/>
      <c r="ER148" s="11"/>
      <c r="ES148" s="11"/>
      <c r="ET148" s="11"/>
      <c r="EU148" s="11"/>
      <c r="EV148" s="11"/>
      <c r="EW148" s="11"/>
      <c r="EX148" s="11"/>
      <c r="EY148" s="11"/>
      <c r="EZ148" s="11"/>
      <c r="FA148" s="11"/>
      <c r="FB148" s="11"/>
      <c r="FC148" s="11"/>
      <c r="FD148" s="11"/>
      <c r="FE148" s="11"/>
      <c r="FF148" s="11"/>
      <c r="FG148" s="11"/>
      <c r="FH148" s="11"/>
      <c r="FI148" s="11"/>
      <c r="FJ148" s="11"/>
      <c r="FK148" s="11"/>
      <c r="FL148" s="11"/>
      <c r="FM148" s="11"/>
      <c r="FN148" s="11"/>
      <c r="FO148" s="11"/>
      <c r="FP148" s="11"/>
      <c r="FQ148" s="11"/>
      <c r="FR148" s="11"/>
      <c r="FS148" s="11"/>
      <c r="FT148" s="11"/>
      <c r="FU148" s="11"/>
      <c r="FV148" s="11"/>
      <c r="FW148" s="11"/>
      <c r="FX148" s="11"/>
      <c r="FY148" s="11"/>
      <c r="FZ148" s="11"/>
      <c r="GA148" s="11"/>
      <c r="GB148" s="11"/>
      <c r="GC148" s="11"/>
      <c r="GD148" s="11"/>
      <c r="GE148" s="11"/>
      <c r="GF148" s="11"/>
      <c r="GG148" s="11"/>
      <c r="GH148" s="11"/>
      <c r="GI148" s="11"/>
      <c r="GJ148" s="11"/>
      <c r="GK148" s="11"/>
      <c r="GL148" s="11"/>
      <c r="GM148" s="11"/>
      <c r="GN148" s="11"/>
      <c r="GO148" s="11"/>
      <c r="GP148" s="11"/>
      <c r="GQ148" s="11"/>
      <c r="GR148" s="11"/>
    </row>
    <row r="149" spans="2:200" x14ac:dyDescent="0.15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  <c r="CW149" s="11"/>
      <c r="CX149" s="11"/>
      <c r="CY149" s="11"/>
      <c r="CZ149" s="11"/>
      <c r="DA149" s="11"/>
      <c r="DB149" s="11"/>
      <c r="DC149" s="11"/>
      <c r="DD149" s="11"/>
      <c r="DE149" s="11"/>
      <c r="DF149" s="11"/>
      <c r="DG149" s="11"/>
      <c r="DH149" s="11"/>
      <c r="DI149" s="11"/>
      <c r="DJ149" s="11"/>
      <c r="DK149" s="11"/>
      <c r="DL149" s="11"/>
      <c r="DM149" s="11"/>
      <c r="DN149" s="11"/>
      <c r="DO149" s="11"/>
      <c r="DP149" s="11"/>
      <c r="DQ149" s="11"/>
      <c r="DR149" s="11"/>
      <c r="DS149" s="11"/>
      <c r="DT149" s="11"/>
      <c r="DU149" s="11"/>
      <c r="DV149" s="11"/>
      <c r="DW149" s="11"/>
      <c r="DX149" s="11"/>
      <c r="DY149" s="11"/>
      <c r="DZ149" s="11"/>
      <c r="EA149" s="11"/>
      <c r="EB149" s="11"/>
      <c r="EC149" s="11"/>
      <c r="ED149" s="11"/>
      <c r="EE149" s="11"/>
      <c r="EF149" s="11"/>
      <c r="EG149" s="11"/>
      <c r="EH149" s="11"/>
      <c r="EI149" s="11"/>
      <c r="EJ149" s="11"/>
      <c r="EK149" s="11"/>
      <c r="EL149" s="11"/>
      <c r="EM149" s="11"/>
      <c r="EN149" s="11"/>
      <c r="EO149" s="11"/>
      <c r="EP149" s="11"/>
      <c r="EQ149" s="11"/>
      <c r="ER149" s="11"/>
      <c r="ES149" s="11"/>
      <c r="ET149" s="11"/>
      <c r="EU149" s="11"/>
      <c r="EV149" s="11"/>
      <c r="EW149" s="11"/>
      <c r="EX149" s="11"/>
      <c r="EY149" s="11"/>
      <c r="EZ149" s="11"/>
      <c r="FA149" s="11"/>
      <c r="FB149" s="11"/>
      <c r="FC149" s="11"/>
      <c r="FD149" s="11"/>
      <c r="FE149" s="11"/>
      <c r="FF149" s="11"/>
      <c r="FG149" s="11"/>
      <c r="FH149" s="11"/>
      <c r="FI149" s="11"/>
      <c r="FJ149" s="11"/>
      <c r="FK149" s="11"/>
      <c r="FL149" s="11"/>
      <c r="FM149" s="11"/>
      <c r="FN149" s="11"/>
      <c r="FO149" s="11"/>
      <c r="FP149" s="11"/>
      <c r="FQ149" s="11"/>
      <c r="FR149" s="11"/>
      <c r="FS149" s="11"/>
      <c r="FT149" s="11"/>
      <c r="FU149" s="11"/>
      <c r="FV149" s="11"/>
      <c r="FW149" s="11"/>
      <c r="FX149" s="11"/>
      <c r="FY149" s="11"/>
      <c r="FZ149" s="11"/>
      <c r="GA149" s="11"/>
      <c r="GB149" s="11"/>
      <c r="GC149" s="11"/>
      <c r="GD149" s="11"/>
      <c r="GE149" s="11"/>
      <c r="GF149" s="11"/>
      <c r="GG149" s="11"/>
      <c r="GH149" s="11"/>
      <c r="GI149" s="11"/>
      <c r="GJ149" s="11"/>
      <c r="GK149" s="11"/>
      <c r="GL149" s="11"/>
      <c r="GM149" s="11"/>
      <c r="GN149" s="11"/>
      <c r="GO149" s="11"/>
      <c r="GP149" s="11"/>
      <c r="GQ149" s="11"/>
      <c r="GR149" s="11"/>
    </row>
    <row r="150" spans="2:200" x14ac:dyDescent="0.15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  <c r="CW150" s="11"/>
      <c r="CX150" s="11"/>
      <c r="CY150" s="11"/>
      <c r="CZ150" s="11"/>
      <c r="DA150" s="11"/>
      <c r="DB150" s="11"/>
      <c r="DC150" s="11"/>
      <c r="DD150" s="11"/>
      <c r="DE150" s="11"/>
      <c r="DF150" s="11"/>
      <c r="DG150" s="11"/>
      <c r="DH150" s="11"/>
      <c r="DI150" s="11"/>
      <c r="DJ150" s="11"/>
      <c r="DK150" s="11"/>
      <c r="DL150" s="11"/>
      <c r="DM150" s="11"/>
      <c r="DN150" s="11"/>
      <c r="DO150" s="11"/>
      <c r="DP150" s="11"/>
      <c r="DQ150" s="11"/>
      <c r="DR150" s="11"/>
      <c r="DS150" s="11"/>
      <c r="DT150" s="11"/>
      <c r="DU150" s="11"/>
      <c r="DV150" s="11"/>
      <c r="DW150" s="11"/>
      <c r="DX150" s="11"/>
      <c r="DY150" s="11"/>
      <c r="DZ150" s="11"/>
      <c r="EA150" s="11"/>
      <c r="EB150" s="11"/>
      <c r="EC150" s="11"/>
      <c r="ED150" s="11"/>
      <c r="EE150" s="11"/>
      <c r="EF150" s="11"/>
      <c r="EG150" s="11"/>
      <c r="EH150" s="11"/>
      <c r="EI150" s="11"/>
      <c r="EJ150" s="11"/>
      <c r="EK150" s="11"/>
      <c r="EL150" s="11"/>
      <c r="EM150" s="11"/>
      <c r="EN150" s="11"/>
      <c r="EO150" s="11"/>
      <c r="EP150" s="11"/>
      <c r="EQ150" s="11"/>
      <c r="ER150" s="11"/>
      <c r="ES150" s="11"/>
      <c r="ET150" s="11"/>
      <c r="EU150" s="11"/>
      <c r="EV150" s="11"/>
      <c r="EW150" s="11"/>
      <c r="EX150" s="11"/>
      <c r="EY150" s="11"/>
      <c r="EZ150" s="11"/>
      <c r="FA150" s="11"/>
      <c r="FB150" s="11"/>
      <c r="FC150" s="11"/>
      <c r="FD150" s="11"/>
      <c r="FE150" s="11"/>
      <c r="FF150" s="11"/>
      <c r="FG150" s="11"/>
      <c r="FH150" s="11"/>
      <c r="FI150" s="11"/>
      <c r="FJ150" s="11"/>
      <c r="FK150" s="11"/>
      <c r="FL150" s="11"/>
      <c r="FM150" s="11"/>
      <c r="FN150" s="11"/>
      <c r="FO150" s="11"/>
      <c r="FP150" s="11"/>
      <c r="FQ150" s="11"/>
      <c r="FR150" s="11"/>
      <c r="FS150" s="11"/>
      <c r="FT150" s="11"/>
      <c r="FU150" s="11"/>
      <c r="FV150" s="11"/>
      <c r="FW150" s="11"/>
      <c r="FX150" s="11"/>
      <c r="FY150" s="11"/>
      <c r="FZ150" s="11"/>
      <c r="GA150" s="11"/>
      <c r="GB150" s="11"/>
      <c r="GC150" s="11"/>
      <c r="GD150" s="11"/>
      <c r="GE150" s="11"/>
      <c r="GF150" s="11"/>
      <c r="GG150" s="11"/>
      <c r="GH150" s="11"/>
      <c r="GI150" s="11"/>
      <c r="GJ150" s="11"/>
      <c r="GK150" s="11"/>
      <c r="GL150" s="11"/>
      <c r="GM150" s="11"/>
      <c r="GN150" s="11"/>
      <c r="GO150" s="11"/>
      <c r="GP150" s="11"/>
      <c r="GQ150" s="11"/>
      <c r="GR150" s="11"/>
    </row>
    <row r="151" spans="2:200" x14ac:dyDescent="0.15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  <c r="CW151" s="11"/>
      <c r="CX151" s="11"/>
      <c r="CY151" s="11"/>
      <c r="CZ151" s="11"/>
      <c r="DA151" s="11"/>
      <c r="DB151" s="11"/>
      <c r="DC151" s="11"/>
      <c r="DD151" s="11"/>
      <c r="DE151" s="11"/>
      <c r="DF151" s="11"/>
      <c r="DG151" s="11"/>
      <c r="DH151" s="11"/>
      <c r="DI151" s="11"/>
      <c r="DJ151" s="11"/>
      <c r="DK151" s="11"/>
      <c r="DL151" s="11"/>
      <c r="DM151" s="11"/>
      <c r="DN151" s="11"/>
      <c r="DO151" s="11"/>
      <c r="DP151" s="11"/>
      <c r="DQ151" s="11"/>
      <c r="DR151" s="11"/>
      <c r="DS151" s="11"/>
      <c r="DT151" s="11"/>
      <c r="DU151" s="11"/>
      <c r="DV151" s="11"/>
      <c r="DW151" s="11"/>
      <c r="DX151" s="11"/>
      <c r="DY151" s="11"/>
      <c r="DZ151" s="11"/>
      <c r="EA151" s="11"/>
      <c r="EB151" s="11"/>
      <c r="EC151" s="11"/>
      <c r="ED151" s="11"/>
      <c r="EE151" s="11"/>
      <c r="EF151" s="11"/>
      <c r="EG151" s="11"/>
      <c r="EH151" s="11"/>
      <c r="EI151" s="11"/>
      <c r="EJ151" s="11"/>
      <c r="EK151" s="11"/>
      <c r="EL151" s="11"/>
      <c r="EM151" s="11"/>
      <c r="EN151" s="11"/>
      <c r="EO151" s="11"/>
      <c r="EP151" s="11"/>
      <c r="EQ151" s="11"/>
      <c r="ER151" s="11"/>
      <c r="ES151" s="11"/>
      <c r="ET151" s="11"/>
      <c r="EU151" s="11"/>
      <c r="EV151" s="11"/>
      <c r="EW151" s="11"/>
      <c r="EX151" s="11"/>
      <c r="EY151" s="11"/>
      <c r="EZ151" s="11"/>
      <c r="FA151" s="11"/>
      <c r="FB151" s="11"/>
      <c r="FC151" s="11"/>
      <c r="FD151" s="11"/>
      <c r="FE151" s="11"/>
      <c r="FF151" s="11"/>
      <c r="FG151" s="11"/>
      <c r="FH151" s="11"/>
      <c r="FI151" s="11"/>
      <c r="FJ151" s="11"/>
      <c r="FK151" s="11"/>
      <c r="FL151" s="11"/>
      <c r="FM151" s="11"/>
      <c r="FN151" s="11"/>
      <c r="FO151" s="11"/>
      <c r="FP151" s="11"/>
      <c r="FQ151" s="11"/>
      <c r="FR151" s="11"/>
      <c r="FS151" s="11"/>
      <c r="FT151" s="11"/>
      <c r="FU151" s="11"/>
      <c r="FV151" s="11"/>
      <c r="FW151" s="11"/>
      <c r="FX151" s="11"/>
      <c r="FY151" s="11"/>
      <c r="FZ151" s="11"/>
      <c r="GA151" s="11"/>
      <c r="GB151" s="11"/>
      <c r="GC151" s="11"/>
      <c r="GD151" s="11"/>
      <c r="GE151" s="11"/>
      <c r="GF151" s="11"/>
      <c r="GG151" s="11"/>
      <c r="GH151" s="11"/>
      <c r="GI151" s="11"/>
      <c r="GJ151" s="11"/>
      <c r="GK151" s="11"/>
      <c r="GL151" s="11"/>
      <c r="GM151" s="11"/>
      <c r="GN151" s="11"/>
      <c r="GO151" s="11"/>
      <c r="GP151" s="11"/>
      <c r="GQ151" s="11"/>
      <c r="GR151" s="11"/>
    </row>
    <row r="152" spans="2:200" x14ac:dyDescent="0.15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  <c r="CW152" s="11"/>
      <c r="CX152" s="11"/>
      <c r="CY152" s="11"/>
      <c r="CZ152" s="11"/>
      <c r="DA152" s="11"/>
      <c r="DB152" s="11"/>
      <c r="DC152" s="11"/>
      <c r="DD152" s="11"/>
      <c r="DE152" s="11"/>
      <c r="DF152" s="11"/>
      <c r="DG152" s="11"/>
      <c r="DH152" s="11"/>
      <c r="DI152" s="11"/>
      <c r="DJ152" s="11"/>
      <c r="DK152" s="11"/>
      <c r="DL152" s="11"/>
      <c r="DM152" s="11"/>
      <c r="DN152" s="11"/>
      <c r="DO152" s="11"/>
      <c r="DP152" s="11"/>
      <c r="DQ152" s="11"/>
      <c r="DR152" s="11"/>
      <c r="DS152" s="11"/>
      <c r="DT152" s="11"/>
      <c r="DU152" s="11"/>
      <c r="DV152" s="11"/>
      <c r="DW152" s="11"/>
      <c r="DX152" s="11"/>
      <c r="DY152" s="11"/>
      <c r="DZ152" s="11"/>
      <c r="EA152" s="11"/>
      <c r="EB152" s="11"/>
      <c r="EC152" s="11"/>
      <c r="ED152" s="11"/>
      <c r="EE152" s="11"/>
      <c r="EF152" s="11"/>
      <c r="EG152" s="11"/>
      <c r="EH152" s="11"/>
      <c r="EI152" s="11"/>
      <c r="EJ152" s="11"/>
      <c r="EK152" s="11"/>
      <c r="EL152" s="11"/>
      <c r="EM152" s="11"/>
      <c r="EN152" s="11"/>
      <c r="EO152" s="11"/>
      <c r="EP152" s="11"/>
      <c r="EQ152" s="11"/>
      <c r="ER152" s="11"/>
      <c r="ES152" s="11"/>
      <c r="ET152" s="11"/>
      <c r="EU152" s="11"/>
      <c r="EV152" s="11"/>
      <c r="EW152" s="11"/>
      <c r="EX152" s="11"/>
      <c r="EY152" s="11"/>
      <c r="EZ152" s="11"/>
      <c r="FA152" s="11"/>
      <c r="FB152" s="11"/>
      <c r="FC152" s="11"/>
      <c r="FD152" s="11"/>
      <c r="FE152" s="11"/>
      <c r="FF152" s="11"/>
      <c r="FG152" s="11"/>
      <c r="FH152" s="11"/>
      <c r="FI152" s="11"/>
      <c r="FJ152" s="11"/>
      <c r="FK152" s="11"/>
      <c r="FL152" s="11"/>
      <c r="FM152" s="11"/>
      <c r="FN152" s="11"/>
      <c r="FO152" s="11"/>
      <c r="FP152" s="11"/>
      <c r="FQ152" s="11"/>
      <c r="FR152" s="11"/>
      <c r="FS152" s="11"/>
      <c r="FT152" s="11"/>
      <c r="FU152" s="11"/>
      <c r="FV152" s="11"/>
      <c r="FW152" s="11"/>
      <c r="FX152" s="11"/>
      <c r="FY152" s="11"/>
      <c r="FZ152" s="11"/>
      <c r="GA152" s="11"/>
      <c r="GB152" s="11"/>
      <c r="GC152" s="11"/>
      <c r="GD152" s="11"/>
      <c r="GE152" s="11"/>
      <c r="GF152" s="11"/>
      <c r="GG152" s="11"/>
      <c r="GH152" s="11"/>
      <c r="GI152" s="11"/>
      <c r="GJ152" s="11"/>
      <c r="GK152" s="11"/>
      <c r="GL152" s="11"/>
      <c r="GM152" s="11"/>
      <c r="GN152" s="11"/>
      <c r="GO152" s="11"/>
      <c r="GP152" s="11"/>
      <c r="GQ152" s="11"/>
      <c r="GR152" s="11"/>
    </row>
    <row r="153" spans="2:200" x14ac:dyDescent="0.15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  <c r="CW153" s="11"/>
      <c r="CX153" s="11"/>
      <c r="CY153" s="11"/>
      <c r="CZ153" s="11"/>
      <c r="DA153" s="11"/>
      <c r="DB153" s="11"/>
      <c r="DC153" s="11"/>
      <c r="DD153" s="11"/>
      <c r="DE153" s="11"/>
      <c r="DF153" s="11"/>
      <c r="DG153" s="11"/>
      <c r="DH153" s="11"/>
      <c r="DI153" s="11"/>
      <c r="DJ153" s="11"/>
      <c r="DK153" s="11"/>
      <c r="DL153" s="11"/>
      <c r="DM153" s="11"/>
      <c r="DN153" s="11"/>
      <c r="DO153" s="11"/>
      <c r="DP153" s="11"/>
      <c r="DQ153" s="11"/>
      <c r="DR153" s="11"/>
      <c r="DS153" s="11"/>
      <c r="DT153" s="11"/>
      <c r="DU153" s="11"/>
      <c r="DV153" s="11"/>
      <c r="DW153" s="11"/>
      <c r="DX153" s="11"/>
      <c r="DY153" s="11"/>
      <c r="DZ153" s="11"/>
      <c r="EA153" s="11"/>
      <c r="EB153" s="11"/>
      <c r="EC153" s="11"/>
      <c r="ED153" s="11"/>
      <c r="EE153" s="11"/>
      <c r="EF153" s="11"/>
      <c r="EG153" s="11"/>
      <c r="EH153" s="11"/>
      <c r="EI153" s="11"/>
      <c r="EJ153" s="11"/>
      <c r="EK153" s="11"/>
      <c r="EL153" s="11"/>
      <c r="EM153" s="11"/>
      <c r="EN153" s="11"/>
      <c r="EO153" s="11"/>
      <c r="EP153" s="11"/>
      <c r="EQ153" s="11"/>
      <c r="ER153" s="11"/>
      <c r="ES153" s="11"/>
      <c r="ET153" s="11"/>
      <c r="EU153" s="11"/>
      <c r="EV153" s="11"/>
      <c r="EW153" s="11"/>
      <c r="EX153" s="11"/>
      <c r="EY153" s="11"/>
      <c r="EZ153" s="11"/>
      <c r="FA153" s="11"/>
      <c r="FB153" s="11"/>
      <c r="FC153" s="11"/>
      <c r="FD153" s="11"/>
      <c r="FE153" s="11"/>
      <c r="FF153" s="11"/>
      <c r="FG153" s="11"/>
      <c r="FH153" s="11"/>
      <c r="FI153" s="11"/>
      <c r="FJ153" s="11"/>
      <c r="FK153" s="11"/>
      <c r="FL153" s="11"/>
      <c r="FM153" s="11"/>
      <c r="FN153" s="11"/>
      <c r="FO153" s="11"/>
      <c r="FP153" s="11"/>
      <c r="FQ153" s="11"/>
      <c r="FR153" s="11"/>
      <c r="FS153" s="11"/>
      <c r="FT153" s="11"/>
      <c r="FU153" s="11"/>
      <c r="FV153" s="11"/>
      <c r="FW153" s="11"/>
      <c r="FX153" s="11"/>
      <c r="FY153" s="11"/>
      <c r="FZ153" s="11"/>
      <c r="GA153" s="11"/>
      <c r="GB153" s="11"/>
      <c r="GC153" s="11"/>
      <c r="GD153" s="11"/>
      <c r="GE153" s="11"/>
      <c r="GF153" s="11"/>
      <c r="GG153" s="11"/>
      <c r="GH153" s="11"/>
      <c r="GI153" s="11"/>
      <c r="GJ153" s="11"/>
      <c r="GK153" s="11"/>
      <c r="GL153" s="11"/>
      <c r="GM153" s="11"/>
      <c r="GN153" s="11"/>
      <c r="GO153" s="11"/>
      <c r="GP153" s="11"/>
      <c r="GQ153" s="11"/>
      <c r="GR153" s="11"/>
    </row>
    <row r="154" spans="2:200" x14ac:dyDescent="0.15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  <c r="CW154" s="11"/>
      <c r="CX154" s="11"/>
      <c r="CY154" s="11"/>
      <c r="CZ154" s="11"/>
      <c r="DA154" s="11"/>
      <c r="DB154" s="11"/>
      <c r="DC154" s="11"/>
      <c r="DD154" s="11"/>
      <c r="DE154" s="11"/>
      <c r="DF154" s="11"/>
      <c r="DG154" s="11"/>
      <c r="DH154" s="11"/>
      <c r="DI154" s="11"/>
      <c r="DJ154" s="11"/>
      <c r="DK154" s="11"/>
      <c r="DL154" s="11"/>
      <c r="DM154" s="11"/>
      <c r="DN154" s="11"/>
      <c r="DO154" s="11"/>
      <c r="DP154" s="11"/>
      <c r="DQ154" s="11"/>
      <c r="DR154" s="11"/>
      <c r="DS154" s="11"/>
      <c r="DT154" s="11"/>
      <c r="DU154" s="11"/>
      <c r="DV154" s="11"/>
      <c r="DW154" s="11"/>
      <c r="DX154" s="11"/>
      <c r="DY154" s="11"/>
      <c r="DZ154" s="11"/>
      <c r="EA154" s="11"/>
      <c r="EB154" s="11"/>
      <c r="EC154" s="11"/>
      <c r="ED154" s="11"/>
      <c r="EE154" s="11"/>
      <c r="EF154" s="11"/>
      <c r="EG154" s="11"/>
      <c r="EH154" s="11"/>
      <c r="EI154" s="11"/>
      <c r="EJ154" s="11"/>
      <c r="EK154" s="11"/>
      <c r="EL154" s="11"/>
      <c r="EM154" s="11"/>
      <c r="EN154" s="11"/>
      <c r="EO154" s="11"/>
      <c r="EP154" s="11"/>
      <c r="EQ154" s="11"/>
      <c r="ER154" s="11"/>
      <c r="ES154" s="11"/>
      <c r="ET154" s="11"/>
      <c r="EU154" s="11"/>
      <c r="EV154" s="11"/>
      <c r="EW154" s="11"/>
      <c r="EX154" s="11"/>
      <c r="EY154" s="11"/>
      <c r="EZ154" s="11"/>
      <c r="FA154" s="11"/>
      <c r="FB154" s="11"/>
      <c r="FC154" s="11"/>
      <c r="FD154" s="11"/>
      <c r="FE154" s="11"/>
      <c r="FF154" s="11"/>
      <c r="FG154" s="11"/>
      <c r="FH154" s="11"/>
      <c r="FI154" s="11"/>
      <c r="FJ154" s="11"/>
      <c r="FK154" s="11"/>
      <c r="FL154" s="11"/>
      <c r="FM154" s="11"/>
      <c r="FN154" s="11"/>
      <c r="FO154" s="11"/>
      <c r="FP154" s="11"/>
      <c r="FQ154" s="11"/>
      <c r="FR154" s="11"/>
      <c r="FS154" s="11"/>
      <c r="FT154" s="11"/>
      <c r="FU154" s="11"/>
      <c r="FV154" s="11"/>
      <c r="FW154" s="11"/>
      <c r="FX154" s="11"/>
      <c r="FY154" s="11"/>
      <c r="FZ154" s="11"/>
      <c r="GA154" s="11"/>
      <c r="GB154" s="11"/>
      <c r="GC154" s="11"/>
      <c r="GD154" s="11"/>
      <c r="GE154" s="11"/>
      <c r="GF154" s="11"/>
      <c r="GG154" s="11"/>
      <c r="GH154" s="11"/>
      <c r="GI154" s="11"/>
      <c r="GJ154" s="11"/>
      <c r="GK154" s="11"/>
      <c r="GL154" s="11"/>
      <c r="GM154" s="11"/>
      <c r="GN154" s="11"/>
      <c r="GO154" s="11"/>
      <c r="GP154" s="11"/>
      <c r="GQ154" s="11"/>
      <c r="GR154" s="11"/>
    </row>
    <row r="155" spans="2:200" x14ac:dyDescent="0.15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  <c r="CW155" s="11"/>
      <c r="CX155" s="11"/>
      <c r="CY155" s="11"/>
      <c r="CZ155" s="11"/>
      <c r="DA155" s="11"/>
      <c r="DB155" s="11"/>
      <c r="DC155" s="11"/>
      <c r="DD155" s="11"/>
      <c r="DE155" s="11"/>
      <c r="DF155" s="11"/>
      <c r="DG155" s="11"/>
      <c r="DH155" s="11"/>
      <c r="DI155" s="11"/>
      <c r="DJ155" s="11"/>
      <c r="DK155" s="11"/>
      <c r="DL155" s="11"/>
      <c r="DM155" s="11"/>
      <c r="DN155" s="11"/>
      <c r="DO155" s="11"/>
      <c r="DP155" s="11"/>
      <c r="DQ155" s="11"/>
      <c r="DR155" s="11"/>
      <c r="DS155" s="11"/>
      <c r="DT155" s="11"/>
      <c r="DU155" s="11"/>
      <c r="DV155" s="11"/>
      <c r="DW155" s="11"/>
      <c r="DX155" s="11"/>
      <c r="DY155" s="11"/>
      <c r="DZ155" s="11"/>
      <c r="EA155" s="11"/>
      <c r="EB155" s="11"/>
      <c r="EC155" s="11"/>
      <c r="ED155" s="11"/>
      <c r="EE155" s="11"/>
      <c r="EF155" s="11"/>
      <c r="EG155" s="11"/>
      <c r="EH155" s="11"/>
      <c r="EI155" s="11"/>
      <c r="EJ155" s="11"/>
      <c r="EK155" s="11"/>
      <c r="EL155" s="11"/>
      <c r="EM155" s="11"/>
      <c r="EN155" s="11"/>
      <c r="EO155" s="11"/>
      <c r="EP155" s="11"/>
      <c r="EQ155" s="11"/>
      <c r="ER155" s="11"/>
      <c r="ES155" s="11"/>
      <c r="ET155" s="11"/>
      <c r="EU155" s="11"/>
      <c r="EV155" s="11"/>
      <c r="EW155" s="11"/>
      <c r="EX155" s="11"/>
      <c r="EY155" s="11"/>
      <c r="EZ155" s="11"/>
      <c r="FA155" s="11"/>
      <c r="FB155" s="11"/>
      <c r="FC155" s="11"/>
      <c r="FD155" s="11"/>
      <c r="FE155" s="11"/>
      <c r="FF155" s="11"/>
      <c r="FG155" s="11"/>
      <c r="FH155" s="11"/>
      <c r="FI155" s="11"/>
      <c r="FJ155" s="11"/>
      <c r="FK155" s="11"/>
      <c r="FL155" s="11"/>
      <c r="FM155" s="11"/>
      <c r="FN155" s="11"/>
      <c r="FO155" s="11"/>
      <c r="FP155" s="11"/>
      <c r="FQ155" s="11"/>
      <c r="FR155" s="11"/>
      <c r="FS155" s="11"/>
      <c r="FT155" s="11"/>
      <c r="FU155" s="11"/>
      <c r="FV155" s="11"/>
      <c r="FW155" s="11"/>
      <c r="FX155" s="11"/>
      <c r="FY155" s="11"/>
      <c r="FZ155" s="11"/>
      <c r="GA155" s="11"/>
      <c r="GB155" s="11"/>
      <c r="GC155" s="11"/>
      <c r="GD155" s="11"/>
      <c r="GE155" s="11"/>
      <c r="GF155" s="11"/>
      <c r="GG155" s="11"/>
      <c r="GH155" s="11"/>
      <c r="GI155" s="11"/>
      <c r="GJ155" s="11"/>
      <c r="GK155" s="11"/>
      <c r="GL155" s="11"/>
      <c r="GM155" s="11"/>
      <c r="GN155" s="11"/>
      <c r="GO155" s="11"/>
      <c r="GP155" s="11"/>
      <c r="GQ155" s="11"/>
      <c r="GR155" s="11"/>
    </row>
    <row r="156" spans="2:200" x14ac:dyDescent="0.15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  <c r="CW156" s="11"/>
      <c r="CX156" s="11"/>
      <c r="CY156" s="11"/>
      <c r="CZ156" s="11"/>
      <c r="DA156" s="11"/>
      <c r="DB156" s="11"/>
      <c r="DC156" s="11"/>
      <c r="DD156" s="11"/>
      <c r="DE156" s="11"/>
      <c r="DF156" s="11"/>
      <c r="DG156" s="11"/>
      <c r="DH156" s="11"/>
      <c r="DI156" s="11"/>
      <c r="DJ156" s="11"/>
      <c r="DK156" s="11"/>
      <c r="DL156" s="11"/>
      <c r="DM156" s="11"/>
      <c r="DN156" s="11"/>
      <c r="DO156" s="11"/>
      <c r="DP156" s="11"/>
      <c r="DQ156" s="11"/>
      <c r="DR156" s="11"/>
      <c r="DS156" s="11"/>
      <c r="DT156" s="11"/>
      <c r="DU156" s="11"/>
      <c r="DV156" s="11"/>
      <c r="DW156" s="11"/>
      <c r="DX156" s="11"/>
      <c r="DY156" s="11"/>
      <c r="DZ156" s="11"/>
      <c r="EA156" s="11"/>
      <c r="EB156" s="11"/>
      <c r="EC156" s="11"/>
      <c r="ED156" s="11"/>
      <c r="EE156" s="11"/>
      <c r="EF156" s="11"/>
      <c r="EG156" s="11"/>
      <c r="EH156" s="11"/>
      <c r="EI156" s="11"/>
      <c r="EJ156" s="11"/>
      <c r="EK156" s="11"/>
      <c r="EL156" s="11"/>
      <c r="EM156" s="11"/>
      <c r="EN156" s="11"/>
      <c r="EO156" s="11"/>
      <c r="EP156" s="11"/>
      <c r="EQ156" s="11"/>
      <c r="ER156" s="11"/>
      <c r="ES156" s="11"/>
      <c r="ET156" s="11"/>
      <c r="EU156" s="11"/>
      <c r="EV156" s="11"/>
      <c r="EW156" s="11"/>
      <c r="EX156" s="11"/>
      <c r="EY156" s="11"/>
      <c r="EZ156" s="11"/>
      <c r="FA156" s="11"/>
      <c r="FB156" s="11"/>
      <c r="FC156" s="11"/>
      <c r="FD156" s="11"/>
      <c r="FE156" s="11"/>
      <c r="FF156" s="11"/>
      <c r="FG156" s="11"/>
      <c r="FH156" s="11"/>
      <c r="FI156" s="11"/>
      <c r="FJ156" s="11"/>
      <c r="FK156" s="11"/>
      <c r="FL156" s="11"/>
      <c r="FM156" s="11"/>
      <c r="FN156" s="11"/>
      <c r="FO156" s="11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11"/>
      <c r="GC156" s="11"/>
      <c r="GD156" s="11"/>
      <c r="GE156" s="11"/>
      <c r="GF156" s="11"/>
      <c r="GG156" s="11"/>
      <c r="GH156" s="11"/>
      <c r="GI156" s="11"/>
      <c r="GJ156" s="11"/>
      <c r="GK156" s="11"/>
      <c r="GL156" s="11"/>
      <c r="GM156" s="11"/>
      <c r="GN156" s="11"/>
      <c r="GO156" s="11"/>
      <c r="GP156" s="11"/>
      <c r="GQ156" s="11"/>
      <c r="GR156" s="11"/>
    </row>
    <row r="157" spans="2:200" x14ac:dyDescent="0.15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  <c r="CW157" s="11"/>
      <c r="CX157" s="11"/>
      <c r="CY157" s="11"/>
      <c r="CZ157" s="11"/>
      <c r="DA157" s="11"/>
      <c r="DB157" s="11"/>
      <c r="DC157" s="11"/>
      <c r="DD157" s="11"/>
      <c r="DE157" s="11"/>
      <c r="DF157" s="11"/>
      <c r="DG157" s="11"/>
      <c r="DH157" s="11"/>
      <c r="DI157" s="11"/>
      <c r="DJ157" s="11"/>
      <c r="DK157" s="11"/>
      <c r="DL157" s="11"/>
      <c r="DM157" s="11"/>
      <c r="DN157" s="11"/>
      <c r="DO157" s="11"/>
      <c r="DP157" s="11"/>
      <c r="DQ157" s="11"/>
      <c r="DR157" s="11"/>
      <c r="DS157" s="11"/>
      <c r="DT157" s="11"/>
      <c r="DU157" s="11"/>
      <c r="DV157" s="11"/>
      <c r="DW157" s="11"/>
      <c r="DX157" s="11"/>
      <c r="DY157" s="11"/>
      <c r="DZ157" s="11"/>
      <c r="EA157" s="11"/>
      <c r="EB157" s="11"/>
      <c r="EC157" s="11"/>
      <c r="ED157" s="11"/>
      <c r="EE157" s="11"/>
      <c r="EF157" s="11"/>
      <c r="EG157" s="11"/>
      <c r="EH157" s="11"/>
      <c r="EI157" s="11"/>
      <c r="EJ157" s="11"/>
      <c r="EK157" s="11"/>
      <c r="EL157" s="11"/>
      <c r="EM157" s="11"/>
      <c r="EN157" s="11"/>
      <c r="EO157" s="11"/>
      <c r="EP157" s="11"/>
      <c r="EQ157" s="11"/>
      <c r="ER157" s="11"/>
      <c r="ES157" s="11"/>
      <c r="ET157" s="11"/>
      <c r="EU157" s="11"/>
      <c r="EV157" s="11"/>
      <c r="EW157" s="11"/>
      <c r="EX157" s="11"/>
      <c r="EY157" s="11"/>
      <c r="EZ157" s="11"/>
      <c r="FA157" s="11"/>
      <c r="FB157" s="11"/>
      <c r="FC157" s="11"/>
      <c r="FD157" s="11"/>
      <c r="FE157" s="11"/>
      <c r="FF157" s="11"/>
      <c r="FG157" s="11"/>
      <c r="FH157" s="11"/>
      <c r="FI157" s="11"/>
      <c r="FJ157" s="11"/>
      <c r="FK157" s="11"/>
      <c r="FL157" s="11"/>
      <c r="FM157" s="11"/>
      <c r="FN157" s="11"/>
      <c r="FO157" s="1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11"/>
      <c r="GC157" s="11"/>
      <c r="GD157" s="11"/>
      <c r="GE157" s="11"/>
      <c r="GF157" s="11"/>
      <c r="GG157" s="11"/>
      <c r="GH157" s="11"/>
      <c r="GI157" s="11"/>
      <c r="GJ157" s="11"/>
      <c r="GK157" s="11"/>
      <c r="GL157" s="11"/>
      <c r="GM157" s="11"/>
      <c r="GN157" s="11"/>
      <c r="GO157" s="11"/>
      <c r="GP157" s="11"/>
      <c r="GQ157" s="11"/>
      <c r="GR157" s="11"/>
    </row>
    <row r="158" spans="2:200" x14ac:dyDescent="0.15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  <c r="CW158" s="11"/>
      <c r="CX158" s="11"/>
      <c r="CY158" s="11"/>
      <c r="CZ158" s="11"/>
      <c r="DA158" s="11"/>
      <c r="DB158" s="11"/>
      <c r="DC158" s="11"/>
      <c r="DD158" s="11"/>
      <c r="DE158" s="11"/>
      <c r="DF158" s="11"/>
      <c r="DG158" s="11"/>
      <c r="DH158" s="11"/>
      <c r="DI158" s="11"/>
      <c r="DJ158" s="11"/>
      <c r="DK158" s="11"/>
      <c r="DL158" s="11"/>
      <c r="DM158" s="11"/>
      <c r="DN158" s="11"/>
      <c r="DO158" s="11"/>
      <c r="DP158" s="11"/>
      <c r="DQ158" s="11"/>
      <c r="DR158" s="11"/>
      <c r="DS158" s="11"/>
      <c r="DT158" s="11"/>
      <c r="DU158" s="11"/>
      <c r="DV158" s="11"/>
      <c r="DW158" s="11"/>
      <c r="DX158" s="11"/>
      <c r="DY158" s="11"/>
      <c r="DZ158" s="11"/>
      <c r="EA158" s="11"/>
      <c r="EB158" s="11"/>
      <c r="EC158" s="11"/>
      <c r="ED158" s="11"/>
      <c r="EE158" s="11"/>
      <c r="EF158" s="11"/>
      <c r="EG158" s="11"/>
      <c r="EH158" s="11"/>
      <c r="EI158" s="11"/>
      <c r="EJ158" s="11"/>
      <c r="EK158" s="11"/>
      <c r="EL158" s="11"/>
      <c r="EM158" s="11"/>
      <c r="EN158" s="11"/>
      <c r="EO158" s="11"/>
      <c r="EP158" s="11"/>
      <c r="EQ158" s="11"/>
      <c r="ER158" s="11"/>
      <c r="ES158" s="11"/>
      <c r="ET158" s="11"/>
      <c r="EU158" s="11"/>
      <c r="EV158" s="11"/>
      <c r="EW158" s="11"/>
      <c r="EX158" s="11"/>
      <c r="EY158" s="11"/>
      <c r="EZ158" s="11"/>
      <c r="FA158" s="11"/>
      <c r="FB158" s="11"/>
      <c r="FC158" s="11"/>
      <c r="FD158" s="11"/>
      <c r="FE158" s="11"/>
      <c r="FF158" s="11"/>
      <c r="FG158" s="11"/>
      <c r="FH158" s="11"/>
      <c r="FI158" s="11"/>
      <c r="FJ158" s="11"/>
      <c r="FK158" s="11"/>
      <c r="FL158" s="11"/>
      <c r="FM158" s="11"/>
      <c r="FN158" s="11"/>
      <c r="FO158" s="11"/>
      <c r="FP158" s="11"/>
      <c r="FQ158" s="11"/>
      <c r="FR158" s="11"/>
      <c r="FS158" s="11"/>
      <c r="FT158" s="11"/>
      <c r="FU158" s="11"/>
      <c r="FV158" s="11"/>
      <c r="FW158" s="11"/>
      <c r="FX158" s="11"/>
      <c r="FY158" s="11"/>
      <c r="FZ158" s="11"/>
      <c r="GA158" s="11"/>
      <c r="GB158" s="11"/>
      <c r="GC158" s="11"/>
      <c r="GD158" s="11"/>
      <c r="GE158" s="11"/>
      <c r="GF158" s="11"/>
      <c r="GG158" s="11"/>
      <c r="GH158" s="11"/>
      <c r="GI158" s="11"/>
      <c r="GJ158" s="11"/>
      <c r="GK158" s="11"/>
      <c r="GL158" s="11"/>
      <c r="GM158" s="11"/>
      <c r="GN158" s="11"/>
      <c r="GO158" s="11"/>
      <c r="GP158" s="11"/>
      <c r="GQ158" s="11"/>
      <c r="GR158" s="11"/>
    </row>
    <row r="159" spans="2:200" x14ac:dyDescent="0.15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  <c r="CW159" s="11"/>
      <c r="CX159" s="11"/>
      <c r="CY159" s="11"/>
      <c r="CZ159" s="11"/>
      <c r="DA159" s="11"/>
      <c r="DB159" s="11"/>
      <c r="DC159" s="11"/>
      <c r="DD159" s="11"/>
      <c r="DE159" s="11"/>
      <c r="DF159" s="11"/>
      <c r="DG159" s="11"/>
      <c r="DH159" s="11"/>
      <c r="DI159" s="11"/>
      <c r="DJ159" s="11"/>
      <c r="DK159" s="11"/>
      <c r="DL159" s="11"/>
      <c r="DM159" s="11"/>
      <c r="DN159" s="11"/>
      <c r="DO159" s="11"/>
      <c r="DP159" s="11"/>
      <c r="DQ159" s="11"/>
      <c r="DR159" s="11"/>
      <c r="DS159" s="11"/>
      <c r="DT159" s="11"/>
      <c r="DU159" s="11"/>
      <c r="DV159" s="11"/>
      <c r="DW159" s="11"/>
      <c r="DX159" s="11"/>
      <c r="DY159" s="11"/>
      <c r="DZ159" s="11"/>
      <c r="EA159" s="11"/>
      <c r="EB159" s="11"/>
      <c r="EC159" s="11"/>
      <c r="ED159" s="11"/>
      <c r="EE159" s="11"/>
      <c r="EF159" s="11"/>
      <c r="EG159" s="11"/>
      <c r="EH159" s="11"/>
      <c r="EI159" s="11"/>
      <c r="EJ159" s="11"/>
      <c r="EK159" s="11"/>
      <c r="EL159" s="11"/>
      <c r="EM159" s="11"/>
      <c r="EN159" s="11"/>
      <c r="EO159" s="11"/>
      <c r="EP159" s="11"/>
      <c r="EQ159" s="11"/>
      <c r="ER159" s="11"/>
      <c r="ES159" s="11"/>
      <c r="ET159" s="11"/>
      <c r="EU159" s="11"/>
      <c r="EV159" s="11"/>
      <c r="EW159" s="11"/>
      <c r="EX159" s="11"/>
      <c r="EY159" s="11"/>
      <c r="EZ159" s="11"/>
      <c r="FA159" s="11"/>
      <c r="FB159" s="11"/>
      <c r="FC159" s="11"/>
      <c r="FD159" s="11"/>
      <c r="FE159" s="11"/>
      <c r="FF159" s="11"/>
      <c r="FG159" s="11"/>
      <c r="FH159" s="11"/>
      <c r="FI159" s="11"/>
      <c r="FJ159" s="11"/>
      <c r="FK159" s="11"/>
      <c r="FL159" s="11"/>
      <c r="FM159" s="11"/>
      <c r="FN159" s="11"/>
      <c r="FO159" s="11"/>
      <c r="FP159" s="11"/>
      <c r="FQ159" s="11"/>
      <c r="FR159" s="11"/>
      <c r="FS159" s="11"/>
      <c r="FT159" s="11"/>
      <c r="FU159" s="11"/>
      <c r="FV159" s="11"/>
      <c r="FW159" s="11"/>
      <c r="FX159" s="11"/>
      <c r="FY159" s="11"/>
      <c r="FZ159" s="11"/>
      <c r="GA159" s="11"/>
      <c r="GB159" s="11"/>
      <c r="GC159" s="11"/>
      <c r="GD159" s="11"/>
      <c r="GE159" s="11"/>
      <c r="GF159" s="11"/>
      <c r="GG159" s="11"/>
      <c r="GH159" s="11"/>
      <c r="GI159" s="11"/>
      <c r="GJ159" s="11"/>
      <c r="GK159" s="11"/>
      <c r="GL159" s="11"/>
      <c r="GM159" s="11"/>
      <c r="GN159" s="11"/>
      <c r="GO159" s="11"/>
      <c r="GP159" s="11"/>
      <c r="GQ159" s="11"/>
      <c r="GR159" s="11"/>
    </row>
    <row r="160" spans="2:200" x14ac:dyDescent="0.15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  <c r="CW160" s="11"/>
      <c r="CX160" s="11"/>
      <c r="CY160" s="11"/>
      <c r="CZ160" s="11"/>
      <c r="DA160" s="11"/>
      <c r="DB160" s="11"/>
      <c r="DC160" s="11"/>
      <c r="DD160" s="11"/>
      <c r="DE160" s="11"/>
      <c r="DF160" s="11"/>
      <c r="DG160" s="11"/>
      <c r="DH160" s="11"/>
      <c r="DI160" s="11"/>
      <c r="DJ160" s="11"/>
      <c r="DK160" s="11"/>
      <c r="DL160" s="11"/>
      <c r="DM160" s="11"/>
      <c r="DN160" s="11"/>
      <c r="DO160" s="11"/>
      <c r="DP160" s="11"/>
      <c r="DQ160" s="11"/>
      <c r="DR160" s="11"/>
      <c r="DS160" s="11"/>
      <c r="DT160" s="11"/>
      <c r="DU160" s="11"/>
      <c r="DV160" s="11"/>
      <c r="DW160" s="11"/>
      <c r="DX160" s="11"/>
      <c r="DY160" s="11"/>
      <c r="DZ160" s="11"/>
      <c r="EA160" s="11"/>
      <c r="EB160" s="11"/>
      <c r="EC160" s="11"/>
      <c r="ED160" s="11"/>
      <c r="EE160" s="11"/>
      <c r="EF160" s="11"/>
      <c r="EG160" s="11"/>
      <c r="EH160" s="11"/>
      <c r="EI160" s="11"/>
      <c r="EJ160" s="11"/>
      <c r="EK160" s="11"/>
      <c r="EL160" s="11"/>
      <c r="EM160" s="11"/>
      <c r="EN160" s="11"/>
      <c r="EO160" s="11"/>
      <c r="EP160" s="11"/>
      <c r="EQ160" s="11"/>
      <c r="ER160" s="11"/>
      <c r="ES160" s="11"/>
      <c r="ET160" s="11"/>
      <c r="EU160" s="11"/>
      <c r="EV160" s="11"/>
      <c r="EW160" s="11"/>
      <c r="EX160" s="11"/>
      <c r="EY160" s="11"/>
      <c r="EZ160" s="11"/>
      <c r="FA160" s="11"/>
      <c r="FB160" s="11"/>
      <c r="FC160" s="11"/>
      <c r="FD160" s="11"/>
      <c r="FE160" s="11"/>
      <c r="FF160" s="11"/>
      <c r="FG160" s="11"/>
      <c r="FH160" s="11"/>
      <c r="FI160" s="11"/>
      <c r="FJ160" s="11"/>
      <c r="FK160" s="11"/>
      <c r="FL160" s="11"/>
      <c r="FM160" s="11"/>
      <c r="FN160" s="11"/>
      <c r="FO160" s="11"/>
      <c r="FP160" s="11"/>
      <c r="FQ160" s="11"/>
      <c r="FR160" s="11"/>
      <c r="FS160" s="11"/>
      <c r="FT160" s="11"/>
      <c r="FU160" s="11"/>
      <c r="FV160" s="11"/>
      <c r="FW160" s="11"/>
      <c r="FX160" s="11"/>
      <c r="FY160" s="11"/>
      <c r="FZ160" s="11"/>
      <c r="GA160" s="11"/>
      <c r="GB160" s="11"/>
      <c r="GC160" s="11"/>
      <c r="GD160" s="11"/>
      <c r="GE160" s="11"/>
      <c r="GF160" s="11"/>
      <c r="GG160" s="11"/>
      <c r="GH160" s="11"/>
      <c r="GI160" s="11"/>
      <c r="GJ160" s="11"/>
      <c r="GK160" s="11"/>
      <c r="GL160" s="11"/>
      <c r="GM160" s="11"/>
      <c r="GN160" s="11"/>
      <c r="GO160" s="11"/>
      <c r="GP160" s="11"/>
      <c r="GQ160" s="11"/>
      <c r="GR160" s="11"/>
    </row>
    <row r="161" spans="2:200" x14ac:dyDescent="0.15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  <c r="CW161" s="11"/>
      <c r="CX161" s="11"/>
      <c r="CY161" s="11"/>
      <c r="CZ161" s="11"/>
      <c r="DA161" s="11"/>
      <c r="DB161" s="11"/>
      <c r="DC161" s="11"/>
      <c r="DD161" s="11"/>
      <c r="DE161" s="11"/>
      <c r="DF161" s="11"/>
      <c r="DG161" s="11"/>
      <c r="DH161" s="11"/>
      <c r="DI161" s="11"/>
      <c r="DJ161" s="11"/>
      <c r="DK161" s="11"/>
      <c r="DL161" s="11"/>
      <c r="DM161" s="11"/>
      <c r="DN161" s="11"/>
      <c r="DO161" s="11"/>
      <c r="DP161" s="11"/>
      <c r="DQ161" s="11"/>
      <c r="DR161" s="11"/>
      <c r="DS161" s="11"/>
      <c r="DT161" s="11"/>
      <c r="DU161" s="11"/>
      <c r="DV161" s="11"/>
      <c r="DW161" s="11"/>
      <c r="DX161" s="11"/>
      <c r="DY161" s="11"/>
      <c r="DZ161" s="11"/>
      <c r="EA161" s="11"/>
      <c r="EB161" s="11"/>
      <c r="EC161" s="11"/>
      <c r="ED161" s="11"/>
      <c r="EE161" s="11"/>
      <c r="EF161" s="11"/>
      <c r="EG161" s="11"/>
      <c r="EH161" s="11"/>
      <c r="EI161" s="11"/>
      <c r="EJ161" s="11"/>
      <c r="EK161" s="11"/>
      <c r="EL161" s="11"/>
      <c r="EM161" s="11"/>
      <c r="EN161" s="11"/>
      <c r="EO161" s="11"/>
      <c r="EP161" s="11"/>
      <c r="EQ161" s="11"/>
      <c r="ER161" s="11"/>
      <c r="ES161" s="11"/>
      <c r="ET161" s="11"/>
      <c r="EU161" s="11"/>
      <c r="EV161" s="11"/>
      <c r="EW161" s="11"/>
      <c r="EX161" s="11"/>
      <c r="EY161" s="11"/>
      <c r="EZ161" s="11"/>
      <c r="FA161" s="11"/>
      <c r="FB161" s="11"/>
      <c r="FC161" s="11"/>
      <c r="FD161" s="11"/>
      <c r="FE161" s="11"/>
      <c r="FF161" s="11"/>
      <c r="FG161" s="11"/>
      <c r="FH161" s="11"/>
      <c r="FI161" s="11"/>
      <c r="FJ161" s="11"/>
      <c r="FK161" s="11"/>
      <c r="FL161" s="11"/>
      <c r="FM161" s="11"/>
      <c r="FN161" s="11"/>
      <c r="FO161" s="11"/>
      <c r="FP161" s="11"/>
      <c r="FQ161" s="11"/>
      <c r="FR161" s="11"/>
      <c r="FS161" s="11"/>
      <c r="FT161" s="11"/>
      <c r="FU161" s="11"/>
      <c r="FV161" s="11"/>
      <c r="FW161" s="11"/>
      <c r="FX161" s="11"/>
      <c r="FY161" s="11"/>
      <c r="FZ161" s="11"/>
      <c r="GA161" s="11"/>
      <c r="GB161" s="11"/>
      <c r="GC161" s="11"/>
      <c r="GD161" s="11"/>
      <c r="GE161" s="11"/>
      <c r="GF161" s="11"/>
      <c r="GG161" s="11"/>
      <c r="GH161" s="11"/>
      <c r="GI161" s="11"/>
      <c r="GJ161" s="11"/>
      <c r="GK161" s="11"/>
      <c r="GL161" s="11"/>
      <c r="GM161" s="11"/>
      <c r="GN161" s="11"/>
      <c r="GO161" s="11"/>
      <c r="GP161" s="11"/>
      <c r="GQ161" s="11"/>
      <c r="GR161" s="11"/>
    </row>
    <row r="162" spans="2:200" x14ac:dyDescent="0.15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  <c r="CW162" s="11"/>
      <c r="CX162" s="11"/>
      <c r="CY162" s="11"/>
      <c r="CZ162" s="11"/>
      <c r="DA162" s="11"/>
      <c r="DB162" s="11"/>
      <c r="DC162" s="11"/>
      <c r="DD162" s="11"/>
      <c r="DE162" s="11"/>
      <c r="DF162" s="11"/>
      <c r="DG162" s="11"/>
      <c r="DH162" s="11"/>
      <c r="DI162" s="11"/>
      <c r="DJ162" s="11"/>
      <c r="DK162" s="11"/>
      <c r="DL162" s="11"/>
      <c r="DM162" s="11"/>
      <c r="DN162" s="11"/>
      <c r="DO162" s="11"/>
      <c r="DP162" s="11"/>
      <c r="DQ162" s="11"/>
      <c r="DR162" s="11"/>
      <c r="DS162" s="11"/>
      <c r="DT162" s="11"/>
      <c r="DU162" s="11"/>
      <c r="DV162" s="11"/>
      <c r="DW162" s="11"/>
      <c r="DX162" s="11"/>
      <c r="DY162" s="11"/>
      <c r="DZ162" s="11"/>
      <c r="EA162" s="11"/>
      <c r="EB162" s="11"/>
      <c r="EC162" s="11"/>
      <c r="ED162" s="11"/>
      <c r="EE162" s="11"/>
      <c r="EF162" s="11"/>
      <c r="EG162" s="11"/>
      <c r="EH162" s="11"/>
      <c r="EI162" s="11"/>
      <c r="EJ162" s="11"/>
      <c r="EK162" s="11"/>
      <c r="EL162" s="11"/>
      <c r="EM162" s="11"/>
      <c r="EN162" s="11"/>
      <c r="EO162" s="11"/>
      <c r="EP162" s="11"/>
      <c r="EQ162" s="11"/>
      <c r="ER162" s="11"/>
      <c r="ES162" s="11"/>
      <c r="ET162" s="11"/>
      <c r="EU162" s="11"/>
      <c r="EV162" s="11"/>
      <c r="EW162" s="11"/>
      <c r="EX162" s="11"/>
      <c r="EY162" s="11"/>
      <c r="EZ162" s="11"/>
      <c r="FA162" s="11"/>
      <c r="FB162" s="11"/>
      <c r="FC162" s="11"/>
      <c r="FD162" s="11"/>
      <c r="FE162" s="11"/>
      <c r="FF162" s="11"/>
      <c r="FG162" s="11"/>
      <c r="FH162" s="11"/>
      <c r="FI162" s="11"/>
      <c r="FJ162" s="11"/>
      <c r="FK162" s="11"/>
      <c r="FL162" s="11"/>
      <c r="FM162" s="11"/>
      <c r="FN162" s="11"/>
      <c r="FO162" s="11"/>
      <c r="FP162" s="11"/>
      <c r="FQ162" s="11"/>
      <c r="FR162" s="11"/>
      <c r="FS162" s="11"/>
      <c r="FT162" s="11"/>
      <c r="FU162" s="11"/>
      <c r="FV162" s="11"/>
      <c r="FW162" s="11"/>
      <c r="FX162" s="11"/>
      <c r="FY162" s="11"/>
      <c r="FZ162" s="11"/>
      <c r="GA162" s="11"/>
      <c r="GB162" s="11"/>
      <c r="GC162" s="11"/>
      <c r="GD162" s="11"/>
      <c r="GE162" s="11"/>
      <c r="GF162" s="11"/>
      <c r="GG162" s="11"/>
      <c r="GH162" s="11"/>
      <c r="GI162" s="11"/>
      <c r="GJ162" s="11"/>
      <c r="GK162" s="11"/>
      <c r="GL162" s="11"/>
      <c r="GM162" s="11"/>
      <c r="GN162" s="11"/>
      <c r="GO162" s="11"/>
      <c r="GP162" s="11"/>
      <c r="GQ162" s="11"/>
      <c r="GR162" s="11"/>
    </row>
    <row r="163" spans="2:200" x14ac:dyDescent="0.15"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  <c r="CX163" s="11"/>
      <c r="CY163" s="11"/>
      <c r="CZ163" s="11"/>
      <c r="DA163" s="11"/>
      <c r="DB163" s="11"/>
      <c r="DC163" s="11"/>
      <c r="DD163" s="11"/>
      <c r="DE163" s="11"/>
      <c r="DF163" s="11"/>
      <c r="DG163" s="11"/>
      <c r="DH163" s="11"/>
      <c r="DI163" s="11"/>
      <c r="DJ163" s="11"/>
      <c r="DK163" s="11"/>
      <c r="DL163" s="11"/>
      <c r="DM163" s="11"/>
      <c r="DN163" s="11"/>
      <c r="DO163" s="11"/>
      <c r="DP163" s="11"/>
      <c r="DQ163" s="11"/>
      <c r="DR163" s="11"/>
      <c r="DS163" s="11"/>
      <c r="DT163" s="11"/>
      <c r="DU163" s="11"/>
      <c r="DV163" s="11"/>
      <c r="DW163" s="11"/>
      <c r="DX163" s="11"/>
      <c r="DY163" s="11"/>
      <c r="DZ163" s="11"/>
      <c r="EA163" s="11"/>
      <c r="EB163" s="11"/>
      <c r="EC163" s="11"/>
      <c r="ED163" s="11"/>
      <c r="EE163" s="11"/>
      <c r="EF163" s="11"/>
      <c r="EG163" s="11"/>
      <c r="EH163" s="11"/>
      <c r="EI163" s="11"/>
      <c r="EJ163" s="11"/>
      <c r="EK163" s="11"/>
      <c r="EL163" s="11"/>
      <c r="EM163" s="11"/>
      <c r="EN163" s="11"/>
      <c r="EO163" s="11"/>
      <c r="EP163" s="11"/>
      <c r="EQ163" s="11"/>
      <c r="ER163" s="11"/>
      <c r="ES163" s="11"/>
      <c r="ET163" s="11"/>
      <c r="EU163" s="11"/>
      <c r="EV163" s="11"/>
      <c r="EW163" s="11"/>
      <c r="EX163" s="11"/>
      <c r="EY163" s="11"/>
      <c r="EZ163" s="11"/>
      <c r="FA163" s="11"/>
      <c r="FB163" s="11"/>
      <c r="FC163" s="11"/>
      <c r="FD163" s="11"/>
      <c r="FE163" s="11"/>
      <c r="FF163" s="11"/>
      <c r="FG163" s="11"/>
      <c r="FH163" s="11"/>
      <c r="FI163" s="11"/>
      <c r="FJ163" s="11"/>
      <c r="FK163" s="11"/>
      <c r="FL163" s="11"/>
      <c r="FM163" s="11"/>
      <c r="FN163" s="11"/>
      <c r="FO163" s="11"/>
      <c r="FP163" s="11"/>
      <c r="FQ163" s="11"/>
      <c r="FR163" s="11"/>
      <c r="FS163" s="11"/>
      <c r="FT163" s="11"/>
      <c r="FU163" s="11"/>
      <c r="FV163" s="11"/>
      <c r="FW163" s="11"/>
      <c r="FX163" s="11"/>
      <c r="FY163" s="11"/>
      <c r="FZ163" s="11"/>
      <c r="GA163" s="11"/>
      <c r="GB163" s="11"/>
      <c r="GC163" s="11"/>
      <c r="GD163" s="11"/>
      <c r="GE163" s="11"/>
      <c r="GF163" s="11"/>
      <c r="GG163" s="11"/>
      <c r="GH163" s="11"/>
      <c r="GI163" s="11"/>
      <c r="GJ163" s="11"/>
      <c r="GK163" s="11"/>
      <c r="GL163" s="11"/>
      <c r="GM163" s="11"/>
      <c r="GN163" s="11"/>
      <c r="GO163" s="11"/>
      <c r="GP163" s="11"/>
      <c r="GQ163" s="11"/>
      <c r="GR163" s="11"/>
    </row>
    <row r="164" spans="2:200" x14ac:dyDescent="0.15"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  <c r="CW164" s="11"/>
      <c r="CX164" s="11"/>
      <c r="CY164" s="11"/>
      <c r="CZ164" s="11"/>
      <c r="DA164" s="11"/>
      <c r="DB164" s="11"/>
      <c r="DC164" s="11"/>
      <c r="DD164" s="11"/>
      <c r="DE164" s="11"/>
      <c r="DF164" s="11"/>
      <c r="DG164" s="11"/>
      <c r="DH164" s="11"/>
      <c r="DI164" s="11"/>
      <c r="DJ164" s="11"/>
      <c r="DK164" s="11"/>
      <c r="DL164" s="11"/>
      <c r="DM164" s="11"/>
      <c r="DN164" s="11"/>
      <c r="DO164" s="11"/>
      <c r="DP164" s="11"/>
      <c r="DQ164" s="11"/>
      <c r="DR164" s="11"/>
      <c r="DS164" s="11"/>
      <c r="DT164" s="11"/>
      <c r="DU164" s="11"/>
      <c r="DV164" s="11"/>
      <c r="DW164" s="11"/>
      <c r="DX164" s="11"/>
      <c r="DY164" s="11"/>
      <c r="DZ164" s="11"/>
      <c r="EA164" s="11"/>
      <c r="EB164" s="11"/>
      <c r="EC164" s="11"/>
      <c r="ED164" s="11"/>
      <c r="EE164" s="11"/>
      <c r="EF164" s="11"/>
      <c r="EG164" s="11"/>
      <c r="EH164" s="11"/>
      <c r="EI164" s="11"/>
      <c r="EJ164" s="11"/>
      <c r="EK164" s="11"/>
      <c r="EL164" s="11"/>
      <c r="EM164" s="11"/>
      <c r="EN164" s="11"/>
      <c r="EO164" s="11"/>
      <c r="EP164" s="11"/>
      <c r="EQ164" s="11"/>
      <c r="ER164" s="11"/>
      <c r="ES164" s="11"/>
      <c r="ET164" s="11"/>
      <c r="EU164" s="11"/>
      <c r="EV164" s="11"/>
      <c r="EW164" s="11"/>
      <c r="EX164" s="11"/>
      <c r="EY164" s="11"/>
      <c r="EZ164" s="11"/>
      <c r="FA164" s="11"/>
      <c r="FB164" s="11"/>
      <c r="FC164" s="11"/>
      <c r="FD164" s="11"/>
      <c r="FE164" s="11"/>
      <c r="FF164" s="11"/>
      <c r="FG164" s="11"/>
      <c r="FH164" s="11"/>
      <c r="FI164" s="11"/>
      <c r="FJ164" s="11"/>
      <c r="FK164" s="11"/>
      <c r="FL164" s="11"/>
      <c r="FM164" s="11"/>
      <c r="FN164" s="11"/>
      <c r="FO164" s="11"/>
      <c r="FP164" s="11"/>
      <c r="FQ164" s="11"/>
      <c r="FR164" s="11"/>
      <c r="FS164" s="11"/>
      <c r="FT164" s="11"/>
      <c r="FU164" s="11"/>
      <c r="FV164" s="11"/>
      <c r="FW164" s="11"/>
      <c r="FX164" s="11"/>
      <c r="FY164" s="11"/>
      <c r="FZ164" s="11"/>
      <c r="GA164" s="11"/>
      <c r="GB164" s="11"/>
      <c r="GC164" s="11"/>
      <c r="GD164" s="11"/>
      <c r="GE164" s="11"/>
      <c r="GF164" s="11"/>
      <c r="GG164" s="11"/>
      <c r="GH164" s="11"/>
      <c r="GI164" s="11"/>
      <c r="GJ164" s="11"/>
      <c r="GK164" s="11"/>
      <c r="GL164" s="11"/>
      <c r="GM164" s="11"/>
      <c r="GN164" s="11"/>
      <c r="GO164" s="11"/>
      <c r="GP164" s="11"/>
      <c r="GQ164" s="11"/>
      <c r="GR164" s="11"/>
    </row>
    <row r="165" spans="2:200" x14ac:dyDescent="0.15"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11"/>
      <c r="CW165" s="11"/>
      <c r="CX165" s="11"/>
      <c r="CY165" s="11"/>
      <c r="CZ165" s="11"/>
      <c r="DA165" s="11"/>
      <c r="DB165" s="11"/>
      <c r="DC165" s="11"/>
      <c r="DD165" s="11"/>
      <c r="DE165" s="11"/>
      <c r="DF165" s="11"/>
      <c r="DG165" s="11"/>
      <c r="DH165" s="11"/>
      <c r="DI165" s="11"/>
      <c r="DJ165" s="11"/>
      <c r="DK165" s="11"/>
      <c r="DL165" s="11"/>
      <c r="DM165" s="11"/>
      <c r="DN165" s="11"/>
      <c r="DO165" s="11"/>
      <c r="DP165" s="11"/>
      <c r="DQ165" s="11"/>
      <c r="DR165" s="11"/>
      <c r="DS165" s="11"/>
      <c r="DT165" s="11"/>
      <c r="DU165" s="11"/>
      <c r="DV165" s="11"/>
      <c r="DW165" s="11"/>
      <c r="DX165" s="11"/>
      <c r="DY165" s="11"/>
      <c r="DZ165" s="11"/>
      <c r="EA165" s="11"/>
      <c r="EB165" s="11"/>
      <c r="EC165" s="11"/>
      <c r="ED165" s="11"/>
      <c r="EE165" s="11"/>
      <c r="EF165" s="11"/>
      <c r="EG165" s="11"/>
      <c r="EH165" s="11"/>
      <c r="EI165" s="11"/>
      <c r="EJ165" s="11"/>
      <c r="EK165" s="11"/>
      <c r="EL165" s="11"/>
      <c r="EM165" s="11"/>
      <c r="EN165" s="11"/>
      <c r="EO165" s="11"/>
      <c r="EP165" s="11"/>
      <c r="EQ165" s="11"/>
      <c r="ER165" s="11"/>
      <c r="ES165" s="11"/>
      <c r="ET165" s="11"/>
      <c r="EU165" s="11"/>
      <c r="EV165" s="11"/>
      <c r="EW165" s="11"/>
      <c r="EX165" s="11"/>
      <c r="EY165" s="11"/>
      <c r="EZ165" s="11"/>
      <c r="FA165" s="11"/>
      <c r="FB165" s="11"/>
      <c r="FC165" s="11"/>
      <c r="FD165" s="11"/>
      <c r="FE165" s="11"/>
      <c r="FF165" s="11"/>
      <c r="FG165" s="11"/>
      <c r="FH165" s="11"/>
      <c r="FI165" s="11"/>
      <c r="FJ165" s="11"/>
      <c r="FK165" s="11"/>
      <c r="FL165" s="11"/>
      <c r="FM165" s="11"/>
      <c r="FN165" s="11"/>
      <c r="FO165" s="11"/>
      <c r="FP165" s="11"/>
      <c r="FQ165" s="11"/>
      <c r="FR165" s="11"/>
      <c r="FS165" s="11"/>
      <c r="FT165" s="11"/>
      <c r="FU165" s="11"/>
      <c r="FV165" s="11"/>
      <c r="FW165" s="11"/>
      <c r="FX165" s="11"/>
      <c r="FY165" s="11"/>
      <c r="FZ165" s="11"/>
      <c r="GA165" s="11"/>
      <c r="GB165" s="11"/>
      <c r="GC165" s="11"/>
      <c r="GD165" s="11"/>
      <c r="GE165" s="11"/>
      <c r="GF165" s="11"/>
      <c r="GG165" s="11"/>
      <c r="GH165" s="11"/>
      <c r="GI165" s="11"/>
      <c r="GJ165" s="11"/>
      <c r="GK165" s="11"/>
      <c r="GL165" s="11"/>
      <c r="GM165" s="11"/>
      <c r="GN165" s="11"/>
      <c r="GO165" s="11"/>
      <c r="GP165" s="11"/>
      <c r="GQ165" s="11"/>
      <c r="GR165" s="11"/>
    </row>
    <row r="166" spans="2:200" x14ac:dyDescent="0.15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  <c r="GK166" s="11"/>
      <c r="GL166" s="11"/>
      <c r="GM166" s="11"/>
      <c r="GN166" s="11"/>
      <c r="GO166" s="11"/>
      <c r="GP166" s="11"/>
      <c r="GQ166" s="11"/>
      <c r="GR166" s="11"/>
    </row>
    <row r="167" spans="2:200" x14ac:dyDescent="0.15"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</row>
    <row r="168" spans="2:200" x14ac:dyDescent="0.15"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  <c r="EO168" s="11"/>
      <c r="EP168" s="11"/>
      <c r="EQ168" s="11"/>
      <c r="ER168" s="11"/>
      <c r="ES168" s="11"/>
      <c r="ET168" s="11"/>
      <c r="EU168" s="11"/>
      <c r="EV168" s="11"/>
      <c r="EW168" s="11"/>
      <c r="EX168" s="11"/>
      <c r="EY168" s="11"/>
      <c r="EZ168" s="11"/>
      <c r="FA168" s="11"/>
      <c r="FB168" s="11"/>
      <c r="FC168" s="11"/>
      <c r="FD168" s="11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1"/>
      <c r="FU168" s="11"/>
      <c r="FV168" s="11"/>
      <c r="FW168" s="11"/>
      <c r="FX168" s="11"/>
      <c r="FY168" s="11"/>
      <c r="FZ168" s="11"/>
      <c r="GA168" s="11"/>
      <c r="GB168" s="11"/>
      <c r="GC168" s="11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</row>
    <row r="169" spans="2:200" x14ac:dyDescent="0.15"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  <c r="CW169" s="11"/>
      <c r="CX169" s="11"/>
      <c r="CY169" s="11"/>
      <c r="CZ169" s="11"/>
      <c r="DA169" s="11"/>
      <c r="DB169" s="11"/>
      <c r="DC169" s="11"/>
      <c r="DD169" s="11"/>
      <c r="DE169" s="11"/>
      <c r="DF169" s="11"/>
      <c r="DG169" s="11"/>
      <c r="DH169" s="11"/>
      <c r="DI169" s="11"/>
      <c r="DJ169" s="11"/>
      <c r="DK169" s="11"/>
      <c r="DL169" s="11"/>
      <c r="DM169" s="11"/>
      <c r="DN169" s="11"/>
      <c r="DO169" s="11"/>
      <c r="DP169" s="11"/>
      <c r="DQ169" s="11"/>
      <c r="DR169" s="11"/>
      <c r="DS169" s="11"/>
      <c r="DT169" s="11"/>
      <c r="DU169" s="11"/>
      <c r="DV169" s="11"/>
      <c r="DW169" s="11"/>
      <c r="DX169" s="11"/>
      <c r="DY169" s="11"/>
      <c r="DZ169" s="11"/>
      <c r="EA169" s="11"/>
      <c r="EB169" s="11"/>
      <c r="EC169" s="11"/>
      <c r="ED169" s="11"/>
      <c r="EE169" s="11"/>
      <c r="EF169" s="11"/>
      <c r="EG169" s="11"/>
      <c r="EH169" s="11"/>
      <c r="EI169" s="11"/>
      <c r="EJ169" s="11"/>
      <c r="EK169" s="11"/>
      <c r="EL169" s="11"/>
      <c r="EM169" s="11"/>
      <c r="EN169" s="11"/>
      <c r="EO169" s="11"/>
      <c r="EP169" s="11"/>
      <c r="EQ169" s="11"/>
      <c r="ER169" s="11"/>
      <c r="ES169" s="11"/>
      <c r="ET169" s="11"/>
      <c r="EU169" s="11"/>
      <c r="EV169" s="11"/>
      <c r="EW169" s="11"/>
      <c r="EX169" s="11"/>
      <c r="EY169" s="11"/>
      <c r="EZ169" s="11"/>
      <c r="FA169" s="11"/>
      <c r="FB169" s="11"/>
      <c r="FC169" s="11"/>
      <c r="FD169" s="11"/>
      <c r="FE169" s="11"/>
      <c r="FF169" s="11"/>
      <c r="FG169" s="11"/>
      <c r="FH169" s="11"/>
      <c r="FI169" s="11"/>
      <c r="FJ169" s="11"/>
      <c r="FK169" s="11"/>
      <c r="FL169" s="11"/>
      <c r="FM169" s="11"/>
      <c r="FN169" s="11"/>
      <c r="FO169" s="11"/>
      <c r="FP169" s="11"/>
      <c r="FQ169" s="11"/>
      <c r="FR169" s="11"/>
      <c r="FS169" s="11"/>
      <c r="FT169" s="11"/>
      <c r="FU169" s="11"/>
      <c r="FV169" s="11"/>
      <c r="FW169" s="11"/>
      <c r="FX169" s="11"/>
      <c r="FY169" s="11"/>
      <c r="FZ169" s="11"/>
      <c r="GA169" s="11"/>
      <c r="GB169" s="11"/>
      <c r="GC169" s="11"/>
      <c r="GD169" s="11"/>
      <c r="GE169" s="11"/>
      <c r="GF169" s="11"/>
      <c r="GG169" s="11"/>
      <c r="GH169" s="11"/>
      <c r="GI169" s="11"/>
      <c r="GJ169" s="11"/>
      <c r="GK169" s="11"/>
      <c r="GL169" s="11"/>
      <c r="GM169" s="11"/>
      <c r="GN169" s="11"/>
      <c r="GO169" s="11"/>
      <c r="GP169" s="11"/>
      <c r="GQ169" s="11"/>
      <c r="GR169" s="11"/>
    </row>
    <row r="170" spans="2:200" x14ac:dyDescent="0.15"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  <c r="CW170" s="11"/>
      <c r="CX170" s="11"/>
      <c r="CY170" s="11"/>
      <c r="CZ170" s="11"/>
      <c r="DA170" s="11"/>
      <c r="DB170" s="11"/>
      <c r="DC170" s="11"/>
      <c r="DD170" s="11"/>
      <c r="DE170" s="11"/>
      <c r="DF170" s="11"/>
      <c r="DG170" s="11"/>
      <c r="DH170" s="11"/>
      <c r="DI170" s="11"/>
      <c r="DJ170" s="11"/>
      <c r="DK170" s="11"/>
      <c r="DL170" s="11"/>
      <c r="DM170" s="11"/>
      <c r="DN170" s="11"/>
      <c r="DO170" s="11"/>
      <c r="DP170" s="11"/>
      <c r="DQ170" s="11"/>
      <c r="DR170" s="11"/>
      <c r="DS170" s="11"/>
      <c r="DT170" s="11"/>
      <c r="DU170" s="11"/>
      <c r="DV170" s="11"/>
      <c r="DW170" s="11"/>
      <c r="DX170" s="11"/>
      <c r="DY170" s="11"/>
      <c r="DZ170" s="11"/>
      <c r="EA170" s="11"/>
      <c r="EB170" s="11"/>
      <c r="EC170" s="11"/>
      <c r="ED170" s="11"/>
      <c r="EE170" s="11"/>
      <c r="EF170" s="11"/>
      <c r="EG170" s="11"/>
      <c r="EH170" s="11"/>
      <c r="EI170" s="11"/>
      <c r="EJ170" s="11"/>
      <c r="EK170" s="11"/>
      <c r="EL170" s="11"/>
      <c r="EM170" s="11"/>
      <c r="EN170" s="11"/>
      <c r="EO170" s="11"/>
      <c r="EP170" s="11"/>
      <c r="EQ170" s="11"/>
      <c r="ER170" s="11"/>
      <c r="ES170" s="11"/>
      <c r="ET170" s="11"/>
      <c r="EU170" s="11"/>
      <c r="EV170" s="11"/>
      <c r="EW170" s="11"/>
      <c r="EX170" s="11"/>
      <c r="EY170" s="11"/>
      <c r="EZ170" s="11"/>
      <c r="FA170" s="11"/>
      <c r="FB170" s="11"/>
      <c r="FC170" s="11"/>
      <c r="FD170" s="11"/>
      <c r="FE170" s="11"/>
      <c r="FF170" s="11"/>
      <c r="FG170" s="11"/>
      <c r="FH170" s="11"/>
      <c r="FI170" s="11"/>
      <c r="FJ170" s="11"/>
      <c r="FK170" s="11"/>
      <c r="FL170" s="11"/>
      <c r="FM170" s="11"/>
      <c r="FN170" s="11"/>
      <c r="FO170" s="11"/>
      <c r="FP170" s="11"/>
      <c r="FQ170" s="11"/>
      <c r="FR170" s="11"/>
      <c r="FS170" s="11"/>
      <c r="FT170" s="11"/>
      <c r="FU170" s="11"/>
      <c r="FV170" s="11"/>
      <c r="FW170" s="11"/>
      <c r="FX170" s="11"/>
      <c r="FY170" s="11"/>
      <c r="FZ170" s="11"/>
      <c r="GA170" s="11"/>
      <c r="GB170" s="11"/>
      <c r="GC170" s="11"/>
      <c r="GD170" s="11"/>
      <c r="GE170" s="11"/>
      <c r="GF170" s="11"/>
      <c r="GG170" s="11"/>
      <c r="GH170" s="11"/>
      <c r="GI170" s="11"/>
      <c r="GJ170" s="11"/>
      <c r="GK170" s="11"/>
      <c r="GL170" s="11"/>
      <c r="GM170" s="11"/>
      <c r="GN170" s="11"/>
      <c r="GO170" s="11"/>
      <c r="GP170" s="11"/>
      <c r="GQ170" s="11"/>
      <c r="GR170" s="11"/>
    </row>
    <row r="171" spans="2:200" x14ac:dyDescent="0.15"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  <c r="CW171" s="11"/>
      <c r="CX171" s="11"/>
      <c r="CY171" s="11"/>
      <c r="CZ171" s="11"/>
      <c r="DA171" s="11"/>
      <c r="DB171" s="11"/>
      <c r="DC171" s="11"/>
      <c r="DD171" s="11"/>
      <c r="DE171" s="11"/>
      <c r="DF171" s="11"/>
      <c r="DG171" s="11"/>
      <c r="DH171" s="11"/>
      <c r="DI171" s="11"/>
      <c r="DJ171" s="11"/>
      <c r="DK171" s="11"/>
      <c r="DL171" s="11"/>
      <c r="DM171" s="11"/>
      <c r="DN171" s="11"/>
      <c r="DO171" s="11"/>
      <c r="DP171" s="11"/>
      <c r="DQ171" s="11"/>
      <c r="DR171" s="11"/>
      <c r="DS171" s="11"/>
      <c r="DT171" s="11"/>
      <c r="DU171" s="11"/>
      <c r="DV171" s="11"/>
      <c r="DW171" s="11"/>
      <c r="DX171" s="11"/>
      <c r="DY171" s="11"/>
      <c r="DZ171" s="11"/>
      <c r="EA171" s="11"/>
      <c r="EB171" s="11"/>
      <c r="EC171" s="11"/>
      <c r="ED171" s="11"/>
      <c r="EE171" s="11"/>
      <c r="EF171" s="11"/>
      <c r="EG171" s="11"/>
      <c r="EH171" s="11"/>
      <c r="EI171" s="11"/>
      <c r="EJ171" s="11"/>
      <c r="EK171" s="11"/>
      <c r="EL171" s="11"/>
      <c r="EM171" s="11"/>
      <c r="EN171" s="11"/>
      <c r="EO171" s="11"/>
      <c r="EP171" s="11"/>
      <c r="EQ171" s="11"/>
      <c r="ER171" s="11"/>
      <c r="ES171" s="11"/>
      <c r="ET171" s="11"/>
      <c r="EU171" s="11"/>
      <c r="EV171" s="11"/>
      <c r="EW171" s="11"/>
      <c r="EX171" s="11"/>
      <c r="EY171" s="11"/>
      <c r="EZ171" s="11"/>
      <c r="FA171" s="11"/>
      <c r="FB171" s="11"/>
      <c r="FC171" s="11"/>
      <c r="FD171" s="11"/>
      <c r="FE171" s="11"/>
      <c r="FF171" s="11"/>
      <c r="FG171" s="11"/>
      <c r="FH171" s="11"/>
      <c r="FI171" s="11"/>
      <c r="FJ171" s="11"/>
      <c r="FK171" s="11"/>
      <c r="FL171" s="11"/>
      <c r="FM171" s="11"/>
      <c r="FN171" s="11"/>
      <c r="FO171" s="11"/>
      <c r="FP171" s="11"/>
      <c r="FQ171" s="11"/>
      <c r="FR171" s="11"/>
      <c r="FS171" s="11"/>
      <c r="FT171" s="11"/>
      <c r="FU171" s="11"/>
      <c r="FV171" s="11"/>
      <c r="FW171" s="11"/>
      <c r="FX171" s="11"/>
      <c r="FY171" s="11"/>
      <c r="FZ171" s="11"/>
      <c r="GA171" s="11"/>
      <c r="GB171" s="11"/>
      <c r="GC171" s="11"/>
      <c r="GD171" s="11"/>
      <c r="GE171" s="11"/>
      <c r="GF171" s="11"/>
      <c r="GG171" s="11"/>
      <c r="GH171" s="11"/>
      <c r="GI171" s="11"/>
      <c r="GJ171" s="11"/>
      <c r="GK171" s="11"/>
      <c r="GL171" s="11"/>
      <c r="GM171" s="11"/>
      <c r="GN171" s="11"/>
      <c r="GO171" s="11"/>
      <c r="GP171" s="11"/>
      <c r="GQ171" s="11"/>
      <c r="GR171" s="11"/>
    </row>
    <row r="172" spans="2:200" x14ac:dyDescent="0.15"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  <c r="CW172" s="11"/>
      <c r="CX172" s="11"/>
      <c r="CY172" s="11"/>
      <c r="CZ172" s="11"/>
      <c r="DA172" s="11"/>
      <c r="DB172" s="11"/>
      <c r="DC172" s="11"/>
      <c r="DD172" s="11"/>
      <c r="DE172" s="11"/>
      <c r="DF172" s="11"/>
      <c r="DG172" s="11"/>
      <c r="DH172" s="11"/>
      <c r="DI172" s="11"/>
      <c r="DJ172" s="11"/>
      <c r="DK172" s="11"/>
      <c r="DL172" s="11"/>
      <c r="DM172" s="11"/>
      <c r="DN172" s="11"/>
      <c r="DO172" s="11"/>
      <c r="DP172" s="11"/>
      <c r="DQ172" s="11"/>
      <c r="DR172" s="11"/>
      <c r="DS172" s="11"/>
      <c r="DT172" s="11"/>
      <c r="DU172" s="11"/>
      <c r="DV172" s="11"/>
      <c r="DW172" s="11"/>
      <c r="DX172" s="11"/>
      <c r="DY172" s="11"/>
      <c r="DZ172" s="11"/>
      <c r="EA172" s="11"/>
      <c r="EB172" s="11"/>
      <c r="EC172" s="11"/>
      <c r="ED172" s="11"/>
      <c r="EE172" s="11"/>
      <c r="EF172" s="11"/>
      <c r="EG172" s="11"/>
      <c r="EH172" s="11"/>
      <c r="EI172" s="11"/>
      <c r="EJ172" s="11"/>
      <c r="EK172" s="11"/>
      <c r="EL172" s="11"/>
      <c r="EM172" s="11"/>
      <c r="EN172" s="11"/>
      <c r="EO172" s="11"/>
      <c r="EP172" s="11"/>
      <c r="EQ172" s="11"/>
      <c r="ER172" s="11"/>
      <c r="ES172" s="11"/>
      <c r="ET172" s="11"/>
      <c r="EU172" s="11"/>
      <c r="EV172" s="11"/>
      <c r="EW172" s="11"/>
      <c r="EX172" s="11"/>
      <c r="EY172" s="11"/>
      <c r="EZ172" s="11"/>
      <c r="FA172" s="11"/>
      <c r="FB172" s="11"/>
      <c r="FC172" s="11"/>
      <c r="FD172" s="11"/>
      <c r="FE172" s="11"/>
      <c r="FF172" s="11"/>
      <c r="FG172" s="11"/>
      <c r="FH172" s="11"/>
      <c r="FI172" s="11"/>
      <c r="FJ172" s="11"/>
      <c r="FK172" s="11"/>
      <c r="FL172" s="11"/>
      <c r="FM172" s="11"/>
      <c r="FN172" s="11"/>
      <c r="FO172" s="11"/>
      <c r="FP172" s="11"/>
      <c r="FQ172" s="11"/>
      <c r="FR172" s="11"/>
      <c r="FS172" s="11"/>
      <c r="FT172" s="11"/>
      <c r="FU172" s="11"/>
      <c r="FV172" s="11"/>
      <c r="FW172" s="11"/>
      <c r="FX172" s="11"/>
      <c r="FY172" s="11"/>
      <c r="FZ172" s="11"/>
      <c r="GA172" s="11"/>
      <c r="GB172" s="11"/>
      <c r="GC172" s="11"/>
      <c r="GD172" s="11"/>
      <c r="GE172" s="11"/>
      <c r="GF172" s="11"/>
      <c r="GG172" s="11"/>
      <c r="GH172" s="11"/>
      <c r="GI172" s="11"/>
      <c r="GJ172" s="11"/>
      <c r="GK172" s="11"/>
      <c r="GL172" s="11"/>
      <c r="GM172" s="11"/>
      <c r="GN172" s="11"/>
      <c r="GO172" s="11"/>
      <c r="GP172" s="11"/>
      <c r="GQ172" s="11"/>
      <c r="GR172" s="11"/>
    </row>
    <row r="173" spans="2:200" x14ac:dyDescent="0.15"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  <c r="CW173" s="11"/>
      <c r="CX173" s="11"/>
      <c r="CY173" s="11"/>
      <c r="CZ173" s="11"/>
      <c r="DA173" s="11"/>
      <c r="DB173" s="11"/>
      <c r="DC173" s="11"/>
      <c r="DD173" s="11"/>
      <c r="DE173" s="11"/>
      <c r="DF173" s="11"/>
      <c r="DG173" s="11"/>
      <c r="DH173" s="11"/>
      <c r="DI173" s="11"/>
      <c r="DJ173" s="11"/>
      <c r="DK173" s="11"/>
      <c r="DL173" s="11"/>
      <c r="DM173" s="11"/>
      <c r="DN173" s="11"/>
      <c r="DO173" s="11"/>
      <c r="DP173" s="11"/>
      <c r="DQ173" s="11"/>
      <c r="DR173" s="11"/>
      <c r="DS173" s="11"/>
      <c r="DT173" s="11"/>
      <c r="DU173" s="11"/>
      <c r="DV173" s="11"/>
      <c r="DW173" s="11"/>
      <c r="DX173" s="11"/>
      <c r="DY173" s="11"/>
      <c r="DZ173" s="11"/>
      <c r="EA173" s="11"/>
      <c r="EB173" s="11"/>
      <c r="EC173" s="11"/>
      <c r="ED173" s="11"/>
      <c r="EE173" s="11"/>
      <c r="EF173" s="11"/>
      <c r="EG173" s="11"/>
      <c r="EH173" s="11"/>
      <c r="EI173" s="11"/>
      <c r="EJ173" s="11"/>
      <c r="EK173" s="11"/>
      <c r="EL173" s="11"/>
      <c r="EM173" s="11"/>
      <c r="EN173" s="11"/>
      <c r="EO173" s="11"/>
      <c r="EP173" s="11"/>
      <c r="EQ173" s="11"/>
      <c r="ER173" s="11"/>
      <c r="ES173" s="11"/>
      <c r="ET173" s="11"/>
      <c r="EU173" s="11"/>
      <c r="EV173" s="11"/>
      <c r="EW173" s="11"/>
      <c r="EX173" s="11"/>
      <c r="EY173" s="11"/>
      <c r="EZ173" s="11"/>
      <c r="FA173" s="11"/>
      <c r="FB173" s="11"/>
      <c r="FC173" s="11"/>
      <c r="FD173" s="11"/>
      <c r="FE173" s="11"/>
      <c r="FF173" s="11"/>
      <c r="FG173" s="11"/>
      <c r="FH173" s="11"/>
      <c r="FI173" s="11"/>
      <c r="FJ173" s="11"/>
      <c r="FK173" s="11"/>
      <c r="FL173" s="11"/>
      <c r="FM173" s="11"/>
      <c r="FN173" s="11"/>
      <c r="FO173" s="11"/>
      <c r="FP173" s="11"/>
      <c r="FQ173" s="11"/>
      <c r="FR173" s="11"/>
      <c r="FS173" s="11"/>
      <c r="FT173" s="11"/>
      <c r="FU173" s="11"/>
      <c r="FV173" s="11"/>
      <c r="FW173" s="11"/>
      <c r="FX173" s="11"/>
      <c r="FY173" s="11"/>
      <c r="FZ173" s="11"/>
      <c r="GA173" s="11"/>
      <c r="GB173" s="11"/>
      <c r="GC173" s="11"/>
      <c r="GD173" s="11"/>
      <c r="GE173" s="11"/>
      <c r="GF173" s="11"/>
      <c r="GG173" s="11"/>
      <c r="GH173" s="11"/>
      <c r="GI173" s="11"/>
      <c r="GJ173" s="11"/>
      <c r="GK173" s="11"/>
      <c r="GL173" s="11"/>
      <c r="GM173" s="11"/>
      <c r="GN173" s="11"/>
      <c r="GO173" s="11"/>
      <c r="GP173" s="11"/>
      <c r="GQ173" s="11"/>
      <c r="GR173" s="11"/>
    </row>
    <row r="174" spans="2:200" x14ac:dyDescent="0.15"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  <c r="CW174" s="11"/>
      <c r="CX174" s="11"/>
      <c r="CY174" s="11"/>
      <c r="CZ174" s="11"/>
      <c r="DA174" s="11"/>
      <c r="DB174" s="11"/>
      <c r="DC174" s="11"/>
      <c r="DD174" s="11"/>
      <c r="DE174" s="11"/>
      <c r="DF174" s="11"/>
      <c r="DG174" s="11"/>
      <c r="DH174" s="11"/>
      <c r="DI174" s="11"/>
      <c r="DJ174" s="11"/>
      <c r="DK174" s="11"/>
      <c r="DL174" s="11"/>
      <c r="DM174" s="11"/>
      <c r="DN174" s="11"/>
      <c r="DO174" s="11"/>
      <c r="DP174" s="11"/>
      <c r="DQ174" s="11"/>
      <c r="DR174" s="11"/>
      <c r="DS174" s="11"/>
      <c r="DT174" s="11"/>
      <c r="DU174" s="11"/>
      <c r="DV174" s="11"/>
      <c r="DW174" s="11"/>
      <c r="DX174" s="11"/>
      <c r="DY174" s="11"/>
      <c r="DZ174" s="11"/>
      <c r="EA174" s="11"/>
      <c r="EB174" s="11"/>
      <c r="EC174" s="11"/>
      <c r="ED174" s="11"/>
      <c r="EE174" s="11"/>
      <c r="EF174" s="11"/>
      <c r="EG174" s="11"/>
      <c r="EH174" s="11"/>
      <c r="EI174" s="11"/>
      <c r="EJ174" s="11"/>
      <c r="EK174" s="11"/>
      <c r="EL174" s="11"/>
      <c r="EM174" s="11"/>
      <c r="EN174" s="11"/>
      <c r="EO174" s="11"/>
      <c r="EP174" s="11"/>
      <c r="EQ174" s="11"/>
      <c r="ER174" s="11"/>
      <c r="ES174" s="11"/>
      <c r="ET174" s="11"/>
      <c r="EU174" s="11"/>
      <c r="EV174" s="11"/>
      <c r="EW174" s="11"/>
      <c r="EX174" s="11"/>
      <c r="EY174" s="11"/>
      <c r="EZ174" s="11"/>
      <c r="FA174" s="11"/>
      <c r="FB174" s="11"/>
      <c r="FC174" s="11"/>
      <c r="FD174" s="11"/>
      <c r="FE174" s="11"/>
      <c r="FF174" s="11"/>
      <c r="FG174" s="11"/>
      <c r="FH174" s="11"/>
      <c r="FI174" s="11"/>
      <c r="FJ174" s="11"/>
      <c r="FK174" s="11"/>
      <c r="FL174" s="11"/>
      <c r="FM174" s="11"/>
      <c r="FN174" s="11"/>
      <c r="FO174" s="11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D174" s="11"/>
      <c r="GE174" s="11"/>
      <c r="GF174" s="11"/>
      <c r="GG174" s="11"/>
      <c r="GH174" s="11"/>
      <c r="GI174" s="11"/>
      <c r="GJ174" s="11"/>
      <c r="GK174" s="11"/>
      <c r="GL174" s="11"/>
      <c r="GM174" s="11"/>
      <c r="GN174" s="11"/>
      <c r="GO174" s="11"/>
      <c r="GP174" s="11"/>
      <c r="GQ174" s="11"/>
      <c r="GR174" s="11"/>
    </row>
    <row r="175" spans="2:200" x14ac:dyDescent="0.15"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  <c r="CW175" s="11"/>
      <c r="CX175" s="11"/>
      <c r="CY175" s="11"/>
      <c r="CZ175" s="11"/>
      <c r="DA175" s="11"/>
      <c r="DB175" s="11"/>
      <c r="DC175" s="11"/>
      <c r="DD175" s="11"/>
      <c r="DE175" s="11"/>
      <c r="DF175" s="11"/>
      <c r="DG175" s="11"/>
      <c r="DH175" s="11"/>
      <c r="DI175" s="11"/>
      <c r="DJ175" s="11"/>
      <c r="DK175" s="11"/>
      <c r="DL175" s="11"/>
      <c r="DM175" s="11"/>
      <c r="DN175" s="11"/>
      <c r="DO175" s="11"/>
      <c r="DP175" s="11"/>
      <c r="DQ175" s="11"/>
      <c r="DR175" s="11"/>
      <c r="DS175" s="11"/>
      <c r="DT175" s="11"/>
      <c r="DU175" s="11"/>
      <c r="DV175" s="11"/>
      <c r="DW175" s="11"/>
      <c r="DX175" s="11"/>
      <c r="DY175" s="11"/>
      <c r="DZ175" s="11"/>
      <c r="EA175" s="11"/>
      <c r="EB175" s="11"/>
      <c r="EC175" s="11"/>
      <c r="ED175" s="11"/>
      <c r="EE175" s="11"/>
      <c r="EF175" s="11"/>
      <c r="EG175" s="11"/>
      <c r="EH175" s="11"/>
      <c r="EI175" s="11"/>
      <c r="EJ175" s="11"/>
      <c r="EK175" s="11"/>
      <c r="EL175" s="11"/>
      <c r="EM175" s="11"/>
      <c r="EN175" s="11"/>
      <c r="EO175" s="11"/>
      <c r="EP175" s="11"/>
      <c r="EQ175" s="11"/>
      <c r="ER175" s="11"/>
      <c r="ES175" s="11"/>
      <c r="ET175" s="11"/>
      <c r="EU175" s="11"/>
      <c r="EV175" s="11"/>
      <c r="EW175" s="11"/>
      <c r="EX175" s="11"/>
      <c r="EY175" s="11"/>
      <c r="EZ175" s="11"/>
      <c r="FA175" s="11"/>
      <c r="FB175" s="11"/>
      <c r="FC175" s="11"/>
      <c r="FD175" s="11"/>
      <c r="FE175" s="11"/>
      <c r="FF175" s="11"/>
      <c r="FG175" s="11"/>
      <c r="FH175" s="11"/>
      <c r="FI175" s="11"/>
      <c r="FJ175" s="11"/>
      <c r="FK175" s="11"/>
      <c r="FL175" s="11"/>
      <c r="FM175" s="11"/>
      <c r="FN175" s="11"/>
      <c r="FO175" s="11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1"/>
      <c r="GC175" s="11"/>
      <c r="GD175" s="11"/>
      <c r="GE175" s="11"/>
      <c r="GF175" s="11"/>
      <c r="GG175" s="11"/>
      <c r="GH175" s="11"/>
      <c r="GI175" s="11"/>
      <c r="GJ175" s="11"/>
      <c r="GK175" s="11"/>
      <c r="GL175" s="11"/>
      <c r="GM175" s="11"/>
      <c r="GN175" s="11"/>
      <c r="GO175" s="11"/>
      <c r="GP175" s="11"/>
      <c r="GQ175" s="11"/>
      <c r="GR175" s="11"/>
    </row>
    <row r="176" spans="2:200" x14ac:dyDescent="0.15"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  <c r="CW176" s="11"/>
      <c r="CX176" s="11"/>
      <c r="CY176" s="11"/>
      <c r="CZ176" s="11"/>
      <c r="DA176" s="11"/>
      <c r="DB176" s="11"/>
      <c r="DC176" s="11"/>
      <c r="DD176" s="11"/>
      <c r="DE176" s="11"/>
      <c r="DF176" s="11"/>
      <c r="DG176" s="11"/>
      <c r="DH176" s="11"/>
      <c r="DI176" s="11"/>
      <c r="DJ176" s="11"/>
      <c r="DK176" s="11"/>
      <c r="DL176" s="11"/>
      <c r="DM176" s="11"/>
      <c r="DN176" s="11"/>
      <c r="DO176" s="11"/>
      <c r="DP176" s="11"/>
      <c r="DQ176" s="11"/>
      <c r="DR176" s="11"/>
      <c r="DS176" s="11"/>
      <c r="DT176" s="11"/>
      <c r="DU176" s="11"/>
      <c r="DV176" s="11"/>
      <c r="DW176" s="11"/>
      <c r="DX176" s="11"/>
      <c r="DY176" s="11"/>
      <c r="DZ176" s="11"/>
      <c r="EA176" s="11"/>
      <c r="EB176" s="11"/>
      <c r="EC176" s="11"/>
      <c r="ED176" s="11"/>
      <c r="EE176" s="11"/>
      <c r="EF176" s="11"/>
      <c r="EG176" s="11"/>
      <c r="EH176" s="11"/>
      <c r="EI176" s="11"/>
      <c r="EJ176" s="11"/>
      <c r="EK176" s="11"/>
      <c r="EL176" s="11"/>
      <c r="EM176" s="11"/>
      <c r="EN176" s="11"/>
      <c r="EO176" s="11"/>
      <c r="EP176" s="11"/>
      <c r="EQ176" s="11"/>
      <c r="ER176" s="11"/>
      <c r="ES176" s="11"/>
      <c r="ET176" s="11"/>
      <c r="EU176" s="11"/>
      <c r="EV176" s="11"/>
      <c r="EW176" s="11"/>
      <c r="EX176" s="11"/>
      <c r="EY176" s="11"/>
      <c r="EZ176" s="11"/>
      <c r="FA176" s="11"/>
      <c r="FB176" s="11"/>
      <c r="FC176" s="11"/>
      <c r="FD176" s="11"/>
      <c r="FE176" s="11"/>
      <c r="FF176" s="11"/>
      <c r="FG176" s="11"/>
      <c r="FH176" s="11"/>
      <c r="FI176" s="11"/>
      <c r="FJ176" s="11"/>
      <c r="FK176" s="11"/>
      <c r="FL176" s="11"/>
      <c r="FM176" s="11"/>
      <c r="FN176" s="11"/>
      <c r="FO176" s="11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1"/>
      <c r="GC176" s="11"/>
      <c r="GD176" s="11"/>
      <c r="GE176" s="11"/>
      <c r="GF176" s="11"/>
      <c r="GG176" s="11"/>
      <c r="GH176" s="11"/>
      <c r="GI176" s="11"/>
      <c r="GJ176" s="11"/>
      <c r="GK176" s="11"/>
      <c r="GL176" s="11"/>
      <c r="GM176" s="11"/>
      <c r="GN176" s="11"/>
      <c r="GO176" s="11"/>
      <c r="GP176" s="11"/>
      <c r="GQ176" s="11"/>
      <c r="GR176" s="11"/>
    </row>
    <row r="177" spans="2:200" x14ac:dyDescent="0.15"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  <c r="CW177" s="11"/>
      <c r="CX177" s="11"/>
      <c r="CY177" s="11"/>
      <c r="CZ177" s="11"/>
      <c r="DA177" s="11"/>
      <c r="DB177" s="11"/>
      <c r="DC177" s="11"/>
      <c r="DD177" s="11"/>
      <c r="DE177" s="11"/>
      <c r="DF177" s="11"/>
      <c r="DG177" s="11"/>
      <c r="DH177" s="11"/>
      <c r="DI177" s="11"/>
      <c r="DJ177" s="11"/>
      <c r="DK177" s="11"/>
      <c r="DL177" s="11"/>
      <c r="DM177" s="11"/>
      <c r="DN177" s="11"/>
      <c r="DO177" s="11"/>
      <c r="DP177" s="11"/>
      <c r="DQ177" s="11"/>
      <c r="DR177" s="11"/>
      <c r="DS177" s="11"/>
      <c r="DT177" s="11"/>
      <c r="DU177" s="11"/>
      <c r="DV177" s="11"/>
      <c r="DW177" s="11"/>
      <c r="DX177" s="11"/>
      <c r="DY177" s="11"/>
      <c r="DZ177" s="11"/>
      <c r="EA177" s="11"/>
      <c r="EB177" s="11"/>
      <c r="EC177" s="11"/>
      <c r="ED177" s="11"/>
      <c r="EE177" s="11"/>
      <c r="EF177" s="11"/>
      <c r="EG177" s="11"/>
      <c r="EH177" s="11"/>
      <c r="EI177" s="11"/>
      <c r="EJ177" s="11"/>
      <c r="EK177" s="11"/>
      <c r="EL177" s="11"/>
      <c r="EM177" s="11"/>
      <c r="EN177" s="11"/>
      <c r="EO177" s="11"/>
      <c r="EP177" s="11"/>
      <c r="EQ177" s="11"/>
      <c r="ER177" s="11"/>
      <c r="ES177" s="11"/>
      <c r="ET177" s="11"/>
      <c r="EU177" s="11"/>
      <c r="EV177" s="11"/>
      <c r="EW177" s="11"/>
      <c r="EX177" s="11"/>
      <c r="EY177" s="11"/>
      <c r="EZ177" s="11"/>
      <c r="FA177" s="11"/>
      <c r="FB177" s="11"/>
      <c r="FC177" s="11"/>
      <c r="FD177" s="11"/>
      <c r="FE177" s="11"/>
      <c r="FF177" s="11"/>
      <c r="FG177" s="11"/>
      <c r="FH177" s="11"/>
      <c r="FI177" s="11"/>
      <c r="FJ177" s="11"/>
      <c r="FK177" s="11"/>
      <c r="FL177" s="11"/>
      <c r="FM177" s="11"/>
      <c r="FN177" s="11"/>
      <c r="FO177" s="11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11"/>
      <c r="GD177" s="11"/>
      <c r="GE177" s="11"/>
      <c r="GF177" s="11"/>
      <c r="GG177" s="11"/>
      <c r="GH177" s="11"/>
      <c r="GI177" s="11"/>
      <c r="GJ177" s="11"/>
      <c r="GK177" s="11"/>
      <c r="GL177" s="11"/>
      <c r="GM177" s="11"/>
      <c r="GN177" s="11"/>
      <c r="GO177" s="11"/>
      <c r="GP177" s="11"/>
      <c r="GQ177" s="11"/>
      <c r="GR177" s="11"/>
    </row>
    <row r="178" spans="2:200" x14ac:dyDescent="0.15"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  <c r="CW178" s="11"/>
      <c r="CX178" s="11"/>
      <c r="CY178" s="11"/>
      <c r="CZ178" s="11"/>
      <c r="DA178" s="11"/>
      <c r="DB178" s="11"/>
      <c r="DC178" s="11"/>
      <c r="DD178" s="11"/>
      <c r="DE178" s="11"/>
      <c r="DF178" s="11"/>
      <c r="DG178" s="11"/>
      <c r="DH178" s="11"/>
      <c r="DI178" s="11"/>
      <c r="DJ178" s="11"/>
      <c r="DK178" s="11"/>
      <c r="DL178" s="11"/>
      <c r="DM178" s="11"/>
      <c r="DN178" s="11"/>
      <c r="DO178" s="11"/>
      <c r="DP178" s="11"/>
      <c r="DQ178" s="11"/>
      <c r="DR178" s="11"/>
      <c r="DS178" s="11"/>
      <c r="DT178" s="11"/>
      <c r="DU178" s="11"/>
      <c r="DV178" s="11"/>
      <c r="DW178" s="11"/>
      <c r="DX178" s="11"/>
      <c r="DY178" s="11"/>
      <c r="DZ178" s="11"/>
      <c r="EA178" s="11"/>
      <c r="EB178" s="11"/>
      <c r="EC178" s="11"/>
      <c r="ED178" s="11"/>
      <c r="EE178" s="11"/>
      <c r="EF178" s="11"/>
      <c r="EG178" s="11"/>
      <c r="EH178" s="11"/>
      <c r="EI178" s="11"/>
      <c r="EJ178" s="11"/>
      <c r="EK178" s="11"/>
      <c r="EL178" s="11"/>
      <c r="EM178" s="11"/>
      <c r="EN178" s="11"/>
      <c r="EO178" s="11"/>
      <c r="EP178" s="11"/>
      <c r="EQ178" s="11"/>
      <c r="ER178" s="11"/>
      <c r="ES178" s="11"/>
      <c r="ET178" s="11"/>
      <c r="EU178" s="11"/>
      <c r="EV178" s="11"/>
      <c r="EW178" s="11"/>
      <c r="EX178" s="11"/>
      <c r="EY178" s="11"/>
      <c r="EZ178" s="11"/>
      <c r="FA178" s="11"/>
      <c r="FB178" s="11"/>
      <c r="FC178" s="11"/>
      <c r="FD178" s="11"/>
      <c r="FE178" s="11"/>
      <c r="FF178" s="11"/>
      <c r="FG178" s="11"/>
      <c r="FH178" s="11"/>
      <c r="FI178" s="11"/>
      <c r="FJ178" s="11"/>
      <c r="FK178" s="11"/>
      <c r="FL178" s="11"/>
      <c r="FM178" s="11"/>
      <c r="FN178" s="11"/>
      <c r="FO178" s="11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11"/>
      <c r="GD178" s="11"/>
      <c r="GE178" s="11"/>
      <c r="GF178" s="11"/>
      <c r="GG178" s="11"/>
      <c r="GH178" s="11"/>
      <c r="GI178" s="11"/>
      <c r="GJ178" s="11"/>
      <c r="GK178" s="11"/>
      <c r="GL178" s="11"/>
      <c r="GM178" s="11"/>
      <c r="GN178" s="11"/>
      <c r="GO178" s="11"/>
      <c r="GP178" s="11"/>
      <c r="GQ178" s="11"/>
      <c r="GR178" s="11"/>
    </row>
    <row r="179" spans="2:200" x14ac:dyDescent="0.15"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  <c r="CW179" s="11"/>
      <c r="CX179" s="11"/>
      <c r="CY179" s="11"/>
      <c r="CZ179" s="11"/>
      <c r="DA179" s="11"/>
      <c r="DB179" s="11"/>
      <c r="DC179" s="11"/>
      <c r="DD179" s="11"/>
      <c r="DE179" s="11"/>
      <c r="DF179" s="11"/>
      <c r="DG179" s="11"/>
      <c r="DH179" s="11"/>
      <c r="DI179" s="11"/>
      <c r="DJ179" s="11"/>
      <c r="DK179" s="11"/>
      <c r="DL179" s="11"/>
      <c r="DM179" s="11"/>
      <c r="DN179" s="11"/>
      <c r="DO179" s="11"/>
      <c r="DP179" s="11"/>
      <c r="DQ179" s="11"/>
      <c r="DR179" s="11"/>
      <c r="DS179" s="11"/>
      <c r="DT179" s="11"/>
      <c r="DU179" s="11"/>
      <c r="DV179" s="11"/>
      <c r="DW179" s="11"/>
      <c r="DX179" s="11"/>
      <c r="DY179" s="11"/>
      <c r="DZ179" s="11"/>
      <c r="EA179" s="11"/>
      <c r="EB179" s="11"/>
      <c r="EC179" s="11"/>
      <c r="ED179" s="11"/>
      <c r="EE179" s="11"/>
      <c r="EF179" s="11"/>
      <c r="EG179" s="11"/>
      <c r="EH179" s="11"/>
      <c r="EI179" s="11"/>
      <c r="EJ179" s="11"/>
      <c r="EK179" s="11"/>
      <c r="EL179" s="11"/>
      <c r="EM179" s="11"/>
      <c r="EN179" s="11"/>
      <c r="EO179" s="11"/>
      <c r="EP179" s="11"/>
      <c r="EQ179" s="11"/>
      <c r="ER179" s="11"/>
      <c r="ES179" s="11"/>
      <c r="ET179" s="11"/>
      <c r="EU179" s="11"/>
      <c r="EV179" s="11"/>
      <c r="EW179" s="11"/>
      <c r="EX179" s="11"/>
      <c r="EY179" s="11"/>
      <c r="EZ179" s="11"/>
      <c r="FA179" s="11"/>
      <c r="FB179" s="11"/>
      <c r="FC179" s="11"/>
      <c r="FD179" s="11"/>
      <c r="FE179" s="11"/>
      <c r="FF179" s="11"/>
      <c r="FG179" s="11"/>
      <c r="FH179" s="11"/>
      <c r="FI179" s="11"/>
      <c r="FJ179" s="11"/>
      <c r="FK179" s="11"/>
      <c r="FL179" s="11"/>
      <c r="FM179" s="11"/>
      <c r="FN179" s="11"/>
      <c r="FO179" s="1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/>
      <c r="FZ179" s="11"/>
      <c r="GA179" s="11"/>
      <c r="GB179" s="11"/>
      <c r="GC179" s="11"/>
      <c r="GD179" s="11"/>
      <c r="GE179" s="11"/>
      <c r="GF179" s="11"/>
      <c r="GG179" s="11"/>
      <c r="GH179" s="11"/>
      <c r="GI179" s="11"/>
      <c r="GJ179" s="11"/>
      <c r="GK179" s="11"/>
      <c r="GL179" s="11"/>
      <c r="GM179" s="11"/>
      <c r="GN179" s="11"/>
      <c r="GO179" s="11"/>
      <c r="GP179" s="11"/>
      <c r="GQ179" s="11"/>
      <c r="GR179" s="11"/>
    </row>
    <row r="180" spans="2:200" x14ac:dyDescent="0.15"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11"/>
      <c r="CV180" s="11"/>
      <c r="CW180" s="11"/>
      <c r="CX180" s="11"/>
      <c r="CY180" s="11"/>
      <c r="CZ180" s="11"/>
      <c r="DA180" s="11"/>
      <c r="DB180" s="11"/>
      <c r="DC180" s="11"/>
      <c r="DD180" s="11"/>
      <c r="DE180" s="11"/>
      <c r="DF180" s="11"/>
      <c r="DG180" s="11"/>
      <c r="DH180" s="11"/>
      <c r="DI180" s="11"/>
      <c r="DJ180" s="11"/>
      <c r="DK180" s="11"/>
      <c r="DL180" s="11"/>
      <c r="DM180" s="11"/>
      <c r="DN180" s="11"/>
      <c r="DO180" s="11"/>
      <c r="DP180" s="11"/>
      <c r="DQ180" s="11"/>
      <c r="DR180" s="11"/>
      <c r="DS180" s="11"/>
      <c r="DT180" s="11"/>
      <c r="DU180" s="11"/>
      <c r="DV180" s="11"/>
      <c r="DW180" s="11"/>
      <c r="DX180" s="11"/>
      <c r="DY180" s="11"/>
      <c r="DZ180" s="11"/>
      <c r="EA180" s="11"/>
      <c r="EB180" s="11"/>
      <c r="EC180" s="11"/>
      <c r="ED180" s="11"/>
      <c r="EE180" s="11"/>
      <c r="EF180" s="11"/>
      <c r="EG180" s="11"/>
      <c r="EH180" s="11"/>
      <c r="EI180" s="11"/>
      <c r="EJ180" s="11"/>
      <c r="EK180" s="11"/>
      <c r="EL180" s="11"/>
      <c r="EM180" s="11"/>
      <c r="EN180" s="11"/>
      <c r="EO180" s="11"/>
      <c r="EP180" s="11"/>
      <c r="EQ180" s="11"/>
      <c r="ER180" s="11"/>
      <c r="ES180" s="11"/>
      <c r="ET180" s="11"/>
      <c r="EU180" s="11"/>
      <c r="EV180" s="11"/>
      <c r="EW180" s="11"/>
      <c r="EX180" s="11"/>
      <c r="EY180" s="11"/>
      <c r="EZ180" s="11"/>
      <c r="FA180" s="11"/>
      <c r="FB180" s="11"/>
      <c r="FC180" s="11"/>
      <c r="FD180" s="11"/>
      <c r="FE180" s="11"/>
      <c r="FF180" s="11"/>
      <c r="FG180" s="11"/>
      <c r="FH180" s="11"/>
      <c r="FI180" s="11"/>
      <c r="FJ180" s="11"/>
      <c r="FK180" s="11"/>
      <c r="FL180" s="11"/>
      <c r="FM180" s="11"/>
      <c r="FN180" s="11"/>
      <c r="FO180" s="11"/>
      <c r="FP180" s="11"/>
      <c r="FQ180" s="11"/>
      <c r="FR180" s="11"/>
      <c r="FS180" s="11"/>
      <c r="FT180" s="11"/>
      <c r="FU180" s="11"/>
      <c r="FV180" s="11"/>
      <c r="FW180" s="11"/>
      <c r="FX180" s="11"/>
      <c r="FY180" s="11"/>
      <c r="FZ180" s="11"/>
      <c r="GA180" s="11"/>
      <c r="GB180" s="11"/>
      <c r="GC180" s="11"/>
      <c r="GD180" s="11"/>
      <c r="GE180" s="11"/>
      <c r="GF180" s="11"/>
      <c r="GG180" s="11"/>
      <c r="GH180" s="11"/>
      <c r="GI180" s="11"/>
      <c r="GJ180" s="11"/>
      <c r="GK180" s="11"/>
      <c r="GL180" s="11"/>
      <c r="GM180" s="11"/>
      <c r="GN180" s="11"/>
      <c r="GO180" s="11"/>
      <c r="GP180" s="11"/>
      <c r="GQ180" s="11"/>
      <c r="GR180" s="11"/>
    </row>
    <row r="181" spans="2:200" x14ac:dyDescent="0.15"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11"/>
      <c r="CW181" s="11"/>
      <c r="CX181" s="11"/>
      <c r="CY181" s="11"/>
      <c r="CZ181" s="11"/>
      <c r="DA181" s="11"/>
      <c r="DB181" s="11"/>
      <c r="DC181" s="11"/>
      <c r="DD181" s="11"/>
      <c r="DE181" s="11"/>
      <c r="DF181" s="11"/>
      <c r="DG181" s="11"/>
      <c r="DH181" s="11"/>
      <c r="DI181" s="11"/>
      <c r="DJ181" s="11"/>
      <c r="DK181" s="11"/>
      <c r="DL181" s="11"/>
      <c r="DM181" s="11"/>
      <c r="DN181" s="11"/>
      <c r="DO181" s="11"/>
      <c r="DP181" s="11"/>
      <c r="DQ181" s="11"/>
      <c r="DR181" s="11"/>
      <c r="DS181" s="11"/>
      <c r="DT181" s="11"/>
      <c r="DU181" s="11"/>
      <c r="DV181" s="11"/>
      <c r="DW181" s="11"/>
      <c r="DX181" s="11"/>
      <c r="DY181" s="11"/>
      <c r="DZ181" s="11"/>
      <c r="EA181" s="11"/>
      <c r="EB181" s="11"/>
      <c r="EC181" s="11"/>
      <c r="ED181" s="11"/>
      <c r="EE181" s="11"/>
      <c r="EF181" s="11"/>
      <c r="EG181" s="11"/>
      <c r="EH181" s="11"/>
      <c r="EI181" s="11"/>
      <c r="EJ181" s="11"/>
      <c r="EK181" s="11"/>
      <c r="EL181" s="11"/>
      <c r="EM181" s="11"/>
      <c r="EN181" s="11"/>
      <c r="EO181" s="11"/>
      <c r="EP181" s="11"/>
      <c r="EQ181" s="11"/>
      <c r="ER181" s="11"/>
      <c r="ES181" s="11"/>
      <c r="ET181" s="11"/>
      <c r="EU181" s="11"/>
      <c r="EV181" s="11"/>
      <c r="EW181" s="11"/>
      <c r="EX181" s="11"/>
      <c r="EY181" s="11"/>
      <c r="EZ181" s="11"/>
      <c r="FA181" s="11"/>
      <c r="FB181" s="11"/>
      <c r="FC181" s="11"/>
      <c r="FD181" s="11"/>
      <c r="FE181" s="11"/>
      <c r="FF181" s="11"/>
      <c r="FG181" s="11"/>
      <c r="FH181" s="11"/>
      <c r="FI181" s="11"/>
      <c r="FJ181" s="11"/>
      <c r="FK181" s="11"/>
      <c r="FL181" s="11"/>
      <c r="FM181" s="11"/>
      <c r="FN181" s="11"/>
      <c r="FO181" s="11"/>
      <c r="FP181" s="11"/>
      <c r="FQ181" s="11"/>
      <c r="FR181" s="11"/>
      <c r="FS181" s="11"/>
      <c r="FT181" s="11"/>
      <c r="FU181" s="11"/>
      <c r="FV181" s="11"/>
      <c r="FW181" s="11"/>
      <c r="FX181" s="11"/>
      <c r="FY181" s="11"/>
      <c r="FZ181" s="11"/>
      <c r="GA181" s="11"/>
      <c r="GB181" s="11"/>
      <c r="GC181" s="11"/>
      <c r="GD181" s="11"/>
      <c r="GE181" s="11"/>
      <c r="GF181" s="11"/>
      <c r="GG181" s="11"/>
      <c r="GH181" s="11"/>
      <c r="GI181" s="11"/>
      <c r="GJ181" s="11"/>
      <c r="GK181" s="11"/>
      <c r="GL181" s="11"/>
      <c r="GM181" s="11"/>
      <c r="GN181" s="11"/>
      <c r="GO181" s="11"/>
      <c r="GP181" s="11"/>
      <c r="GQ181" s="11"/>
      <c r="GR181" s="11"/>
    </row>
    <row r="182" spans="2:200" x14ac:dyDescent="0.15"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11"/>
      <c r="CW182" s="11"/>
      <c r="CX182" s="11"/>
      <c r="CY182" s="11"/>
      <c r="CZ182" s="11"/>
      <c r="DA182" s="11"/>
      <c r="DB182" s="11"/>
      <c r="DC182" s="11"/>
      <c r="DD182" s="11"/>
      <c r="DE182" s="11"/>
      <c r="DF182" s="11"/>
      <c r="DG182" s="11"/>
      <c r="DH182" s="11"/>
      <c r="DI182" s="11"/>
      <c r="DJ182" s="11"/>
      <c r="DK182" s="11"/>
      <c r="DL182" s="11"/>
      <c r="DM182" s="11"/>
      <c r="DN182" s="11"/>
      <c r="DO182" s="11"/>
      <c r="DP182" s="11"/>
      <c r="DQ182" s="11"/>
      <c r="DR182" s="11"/>
      <c r="DS182" s="11"/>
      <c r="DT182" s="11"/>
      <c r="DU182" s="11"/>
      <c r="DV182" s="11"/>
      <c r="DW182" s="11"/>
      <c r="DX182" s="11"/>
      <c r="DY182" s="11"/>
      <c r="DZ182" s="11"/>
      <c r="EA182" s="11"/>
      <c r="EB182" s="11"/>
      <c r="EC182" s="11"/>
      <c r="ED182" s="11"/>
      <c r="EE182" s="11"/>
      <c r="EF182" s="11"/>
      <c r="EG182" s="11"/>
      <c r="EH182" s="11"/>
      <c r="EI182" s="11"/>
      <c r="EJ182" s="11"/>
      <c r="EK182" s="11"/>
      <c r="EL182" s="11"/>
      <c r="EM182" s="11"/>
      <c r="EN182" s="11"/>
      <c r="EO182" s="11"/>
      <c r="EP182" s="11"/>
      <c r="EQ182" s="11"/>
      <c r="ER182" s="11"/>
      <c r="ES182" s="11"/>
      <c r="ET182" s="11"/>
      <c r="EU182" s="11"/>
      <c r="EV182" s="11"/>
      <c r="EW182" s="11"/>
      <c r="EX182" s="11"/>
      <c r="EY182" s="11"/>
      <c r="EZ182" s="11"/>
      <c r="FA182" s="11"/>
      <c r="FB182" s="11"/>
      <c r="FC182" s="11"/>
      <c r="FD182" s="11"/>
      <c r="FE182" s="11"/>
      <c r="FF182" s="11"/>
      <c r="FG182" s="11"/>
      <c r="FH182" s="11"/>
      <c r="FI182" s="11"/>
      <c r="FJ182" s="11"/>
      <c r="FK182" s="11"/>
      <c r="FL182" s="11"/>
      <c r="FM182" s="11"/>
      <c r="FN182" s="11"/>
      <c r="FO182" s="11"/>
      <c r="FP182" s="11"/>
      <c r="FQ182" s="11"/>
      <c r="FR182" s="11"/>
      <c r="FS182" s="11"/>
      <c r="FT182" s="11"/>
      <c r="FU182" s="11"/>
      <c r="FV182" s="11"/>
      <c r="FW182" s="11"/>
      <c r="FX182" s="11"/>
      <c r="FY182" s="11"/>
      <c r="FZ182" s="11"/>
      <c r="GA182" s="11"/>
      <c r="GB182" s="11"/>
      <c r="GC182" s="11"/>
      <c r="GD182" s="11"/>
      <c r="GE182" s="11"/>
      <c r="GF182" s="11"/>
      <c r="GG182" s="11"/>
      <c r="GH182" s="11"/>
      <c r="GI182" s="11"/>
      <c r="GJ182" s="11"/>
      <c r="GK182" s="11"/>
      <c r="GL182" s="11"/>
      <c r="GM182" s="11"/>
      <c r="GN182" s="11"/>
      <c r="GO182" s="11"/>
      <c r="GP182" s="11"/>
      <c r="GQ182" s="11"/>
      <c r="GR182" s="11"/>
    </row>
    <row r="183" spans="2:200" x14ac:dyDescent="0.15"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11"/>
      <c r="CV183" s="11"/>
      <c r="CW183" s="11"/>
      <c r="CX183" s="11"/>
      <c r="CY183" s="11"/>
      <c r="CZ183" s="11"/>
      <c r="DA183" s="11"/>
      <c r="DB183" s="11"/>
      <c r="DC183" s="11"/>
      <c r="DD183" s="11"/>
      <c r="DE183" s="11"/>
      <c r="DF183" s="11"/>
      <c r="DG183" s="11"/>
      <c r="DH183" s="11"/>
      <c r="DI183" s="11"/>
      <c r="DJ183" s="11"/>
      <c r="DK183" s="11"/>
      <c r="DL183" s="11"/>
      <c r="DM183" s="11"/>
      <c r="DN183" s="11"/>
      <c r="DO183" s="11"/>
      <c r="DP183" s="11"/>
      <c r="DQ183" s="11"/>
      <c r="DR183" s="11"/>
      <c r="DS183" s="11"/>
      <c r="DT183" s="11"/>
      <c r="DU183" s="11"/>
      <c r="DV183" s="11"/>
      <c r="DW183" s="11"/>
      <c r="DX183" s="11"/>
      <c r="DY183" s="11"/>
      <c r="DZ183" s="11"/>
      <c r="EA183" s="11"/>
      <c r="EB183" s="11"/>
      <c r="EC183" s="11"/>
      <c r="ED183" s="11"/>
      <c r="EE183" s="11"/>
      <c r="EF183" s="11"/>
      <c r="EG183" s="11"/>
      <c r="EH183" s="11"/>
      <c r="EI183" s="11"/>
      <c r="EJ183" s="11"/>
      <c r="EK183" s="11"/>
      <c r="EL183" s="11"/>
      <c r="EM183" s="11"/>
      <c r="EN183" s="11"/>
      <c r="EO183" s="11"/>
      <c r="EP183" s="11"/>
      <c r="EQ183" s="11"/>
      <c r="ER183" s="11"/>
      <c r="ES183" s="11"/>
      <c r="ET183" s="11"/>
      <c r="EU183" s="11"/>
      <c r="EV183" s="11"/>
      <c r="EW183" s="11"/>
      <c r="EX183" s="11"/>
      <c r="EY183" s="11"/>
      <c r="EZ183" s="11"/>
      <c r="FA183" s="11"/>
      <c r="FB183" s="11"/>
      <c r="FC183" s="11"/>
      <c r="FD183" s="11"/>
      <c r="FE183" s="11"/>
      <c r="FF183" s="11"/>
      <c r="FG183" s="11"/>
      <c r="FH183" s="11"/>
      <c r="FI183" s="11"/>
      <c r="FJ183" s="11"/>
      <c r="FK183" s="11"/>
      <c r="FL183" s="11"/>
      <c r="FM183" s="11"/>
      <c r="FN183" s="11"/>
      <c r="FO183" s="11"/>
      <c r="FP183" s="11"/>
      <c r="FQ183" s="11"/>
      <c r="FR183" s="11"/>
      <c r="FS183" s="11"/>
      <c r="FT183" s="11"/>
      <c r="FU183" s="11"/>
      <c r="FV183" s="11"/>
      <c r="FW183" s="11"/>
      <c r="FX183" s="11"/>
      <c r="FY183" s="11"/>
      <c r="FZ183" s="11"/>
      <c r="GA183" s="11"/>
      <c r="GB183" s="11"/>
      <c r="GC183" s="11"/>
      <c r="GD183" s="11"/>
      <c r="GE183" s="11"/>
      <c r="GF183" s="11"/>
      <c r="GG183" s="11"/>
      <c r="GH183" s="11"/>
      <c r="GI183" s="11"/>
      <c r="GJ183" s="11"/>
      <c r="GK183" s="11"/>
      <c r="GL183" s="11"/>
      <c r="GM183" s="11"/>
      <c r="GN183" s="11"/>
      <c r="GO183" s="11"/>
      <c r="GP183" s="11"/>
      <c r="GQ183" s="11"/>
      <c r="GR183" s="11"/>
    </row>
    <row r="184" spans="2:200" x14ac:dyDescent="0.15"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11"/>
      <c r="CW184" s="11"/>
      <c r="CX184" s="11"/>
      <c r="CY184" s="11"/>
      <c r="CZ184" s="11"/>
      <c r="DA184" s="11"/>
      <c r="DB184" s="11"/>
      <c r="DC184" s="11"/>
      <c r="DD184" s="11"/>
      <c r="DE184" s="11"/>
      <c r="DF184" s="11"/>
      <c r="DG184" s="11"/>
      <c r="DH184" s="11"/>
      <c r="DI184" s="11"/>
      <c r="DJ184" s="11"/>
      <c r="DK184" s="11"/>
      <c r="DL184" s="11"/>
      <c r="DM184" s="11"/>
      <c r="DN184" s="11"/>
      <c r="DO184" s="11"/>
      <c r="DP184" s="11"/>
      <c r="DQ184" s="11"/>
      <c r="DR184" s="11"/>
      <c r="DS184" s="11"/>
      <c r="DT184" s="11"/>
      <c r="DU184" s="11"/>
      <c r="DV184" s="11"/>
      <c r="DW184" s="11"/>
      <c r="DX184" s="11"/>
      <c r="DY184" s="11"/>
      <c r="DZ184" s="11"/>
      <c r="EA184" s="11"/>
      <c r="EB184" s="11"/>
      <c r="EC184" s="11"/>
      <c r="ED184" s="11"/>
      <c r="EE184" s="11"/>
      <c r="EF184" s="11"/>
      <c r="EG184" s="11"/>
      <c r="EH184" s="11"/>
      <c r="EI184" s="11"/>
      <c r="EJ184" s="11"/>
      <c r="EK184" s="11"/>
      <c r="EL184" s="11"/>
      <c r="EM184" s="11"/>
      <c r="EN184" s="11"/>
      <c r="EO184" s="11"/>
      <c r="EP184" s="11"/>
      <c r="EQ184" s="11"/>
      <c r="ER184" s="11"/>
      <c r="ES184" s="11"/>
      <c r="ET184" s="11"/>
      <c r="EU184" s="11"/>
      <c r="EV184" s="11"/>
      <c r="EW184" s="11"/>
      <c r="EX184" s="11"/>
      <c r="EY184" s="11"/>
      <c r="EZ184" s="11"/>
      <c r="FA184" s="11"/>
      <c r="FB184" s="11"/>
      <c r="FC184" s="11"/>
      <c r="FD184" s="11"/>
      <c r="FE184" s="11"/>
      <c r="FF184" s="11"/>
      <c r="FG184" s="11"/>
      <c r="FH184" s="11"/>
      <c r="FI184" s="11"/>
      <c r="FJ184" s="11"/>
      <c r="FK184" s="11"/>
      <c r="FL184" s="11"/>
      <c r="FM184" s="11"/>
      <c r="FN184" s="11"/>
      <c r="FO184" s="11"/>
      <c r="FP184" s="11"/>
      <c r="FQ184" s="11"/>
      <c r="FR184" s="11"/>
      <c r="FS184" s="11"/>
      <c r="FT184" s="11"/>
      <c r="FU184" s="11"/>
      <c r="FV184" s="11"/>
      <c r="FW184" s="11"/>
      <c r="FX184" s="11"/>
      <c r="FY184" s="11"/>
      <c r="FZ184" s="11"/>
      <c r="GA184" s="11"/>
      <c r="GB184" s="11"/>
      <c r="GC184" s="11"/>
      <c r="GD184" s="11"/>
      <c r="GE184" s="11"/>
      <c r="GF184" s="11"/>
      <c r="GG184" s="11"/>
      <c r="GH184" s="11"/>
      <c r="GI184" s="11"/>
      <c r="GJ184" s="11"/>
      <c r="GK184" s="11"/>
      <c r="GL184" s="11"/>
      <c r="GM184" s="11"/>
      <c r="GN184" s="11"/>
      <c r="GO184" s="11"/>
      <c r="GP184" s="11"/>
      <c r="GQ184" s="11"/>
      <c r="GR184" s="11"/>
    </row>
    <row r="185" spans="2:200" x14ac:dyDescent="0.15"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  <c r="DU185" s="11"/>
      <c r="DV185" s="11"/>
      <c r="DW185" s="11"/>
      <c r="DX185" s="11"/>
      <c r="DY185" s="11"/>
      <c r="DZ185" s="11"/>
      <c r="EA185" s="11"/>
      <c r="EB185" s="11"/>
      <c r="EC185" s="11"/>
      <c r="ED185" s="11"/>
      <c r="EE185" s="11"/>
      <c r="EF185" s="11"/>
      <c r="EG185" s="11"/>
      <c r="EH185" s="11"/>
      <c r="EI185" s="11"/>
      <c r="EJ185" s="11"/>
      <c r="EK185" s="11"/>
      <c r="EL185" s="11"/>
      <c r="EM185" s="11"/>
      <c r="EN185" s="11"/>
      <c r="EO185" s="11"/>
      <c r="EP185" s="11"/>
      <c r="EQ185" s="11"/>
      <c r="ER185" s="11"/>
      <c r="ES185" s="11"/>
      <c r="ET185" s="11"/>
      <c r="EU185" s="11"/>
      <c r="EV185" s="11"/>
      <c r="EW185" s="11"/>
      <c r="EX185" s="11"/>
      <c r="EY185" s="11"/>
      <c r="EZ185" s="11"/>
      <c r="FA185" s="11"/>
      <c r="FB185" s="11"/>
      <c r="FC185" s="11"/>
      <c r="FD185" s="11"/>
      <c r="FE185" s="11"/>
      <c r="FF185" s="11"/>
      <c r="FG185" s="11"/>
      <c r="FH185" s="11"/>
      <c r="FI185" s="11"/>
      <c r="FJ185" s="11"/>
      <c r="FK185" s="11"/>
      <c r="FL185" s="11"/>
      <c r="FM185" s="11"/>
      <c r="FN185" s="11"/>
      <c r="FO185" s="11"/>
      <c r="FP185" s="11"/>
      <c r="FQ185" s="11"/>
      <c r="FR185" s="11"/>
      <c r="FS185" s="11"/>
      <c r="FT185" s="11"/>
      <c r="FU185" s="11"/>
      <c r="FV185" s="11"/>
      <c r="FW185" s="11"/>
      <c r="FX185" s="11"/>
      <c r="FY185" s="11"/>
      <c r="FZ185" s="11"/>
      <c r="GA185" s="11"/>
      <c r="GB185" s="11"/>
      <c r="GC185" s="11"/>
      <c r="GD185" s="11"/>
      <c r="GE185" s="11"/>
      <c r="GF185" s="11"/>
      <c r="GG185" s="11"/>
      <c r="GH185" s="11"/>
      <c r="GI185" s="11"/>
      <c r="GJ185" s="11"/>
      <c r="GK185" s="11"/>
      <c r="GL185" s="11"/>
      <c r="GM185" s="11"/>
      <c r="GN185" s="11"/>
      <c r="GO185" s="11"/>
      <c r="GP185" s="11"/>
      <c r="GQ185" s="11"/>
      <c r="GR185" s="11"/>
    </row>
    <row r="186" spans="2:200" x14ac:dyDescent="0.15"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11"/>
      <c r="CV186" s="11"/>
      <c r="CW186" s="11"/>
      <c r="CX186" s="11"/>
      <c r="CY186" s="11"/>
      <c r="CZ186" s="11"/>
      <c r="DA186" s="11"/>
      <c r="DB186" s="11"/>
      <c r="DC186" s="11"/>
      <c r="DD186" s="11"/>
      <c r="DE186" s="11"/>
      <c r="DF186" s="11"/>
      <c r="DG186" s="11"/>
      <c r="DH186" s="11"/>
      <c r="DI186" s="11"/>
      <c r="DJ186" s="11"/>
      <c r="DK186" s="11"/>
      <c r="DL186" s="11"/>
      <c r="DM186" s="11"/>
      <c r="DN186" s="11"/>
      <c r="DO186" s="11"/>
      <c r="DP186" s="11"/>
      <c r="DQ186" s="11"/>
      <c r="DR186" s="11"/>
      <c r="DS186" s="11"/>
      <c r="DT186" s="11"/>
      <c r="DU186" s="11"/>
      <c r="DV186" s="11"/>
      <c r="DW186" s="11"/>
      <c r="DX186" s="11"/>
      <c r="DY186" s="11"/>
      <c r="DZ186" s="11"/>
      <c r="EA186" s="11"/>
      <c r="EB186" s="11"/>
      <c r="EC186" s="11"/>
      <c r="ED186" s="11"/>
      <c r="EE186" s="11"/>
      <c r="EF186" s="11"/>
      <c r="EG186" s="11"/>
      <c r="EH186" s="11"/>
      <c r="EI186" s="11"/>
      <c r="EJ186" s="11"/>
      <c r="EK186" s="11"/>
      <c r="EL186" s="11"/>
      <c r="EM186" s="11"/>
      <c r="EN186" s="11"/>
      <c r="EO186" s="11"/>
      <c r="EP186" s="11"/>
      <c r="EQ186" s="11"/>
      <c r="ER186" s="11"/>
      <c r="ES186" s="11"/>
      <c r="ET186" s="11"/>
      <c r="EU186" s="11"/>
      <c r="EV186" s="11"/>
      <c r="EW186" s="11"/>
      <c r="EX186" s="11"/>
      <c r="EY186" s="11"/>
      <c r="EZ186" s="11"/>
      <c r="FA186" s="11"/>
      <c r="FB186" s="11"/>
      <c r="FC186" s="11"/>
      <c r="FD186" s="11"/>
      <c r="FE186" s="11"/>
      <c r="FF186" s="11"/>
      <c r="FG186" s="11"/>
      <c r="FH186" s="11"/>
      <c r="FI186" s="11"/>
      <c r="FJ186" s="11"/>
      <c r="FK186" s="11"/>
      <c r="FL186" s="11"/>
      <c r="FM186" s="11"/>
      <c r="FN186" s="11"/>
      <c r="FO186" s="11"/>
      <c r="FP186" s="11"/>
      <c r="FQ186" s="11"/>
      <c r="FR186" s="11"/>
      <c r="FS186" s="11"/>
      <c r="FT186" s="11"/>
      <c r="FU186" s="11"/>
      <c r="FV186" s="11"/>
      <c r="FW186" s="11"/>
      <c r="FX186" s="11"/>
      <c r="FY186" s="11"/>
      <c r="FZ186" s="11"/>
      <c r="GA186" s="11"/>
      <c r="GB186" s="11"/>
      <c r="GC186" s="11"/>
      <c r="GD186" s="11"/>
      <c r="GE186" s="11"/>
      <c r="GF186" s="11"/>
      <c r="GG186" s="11"/>
      <c r="GH186" s="11"/>
      <c r="GI186" s="11"/>
      <c r="GJ186" s="11"/>
      <c r="GK186" s="11"/>
      <c r="GL186" s="11"/>
      <c r="GM186" s="11"/>
      <c r="GN186" s="11"/>
      <c r="GO186" s="11"/>
      <c r="GP186" s="11"/>
      <c r="GQ186" s="11"/>
      <c r="GR186" s="11"/>
    </row>
    <row r="187" spans="2:200" x14ac:dyDescent="0.15"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  <c r="DF187" s="11"/>
      <c r="DG187" s="11"/>
      <c r="DH187" s="11"/>
      <c r="DI187" s="11"/>
      <c r="DJ187" s="11"/>
      <c r="DK187" s="11"/>
      <c r="DL187" s="11"/>
      <c r="DM187" s="11"/>
      <c r="DN187" s="11"/>
      <c r="DO187" s="11"/>
      <c r="DP187" s="11"/>
      <c r="DQ187" s="11"/>
      <c r="DR187" s="11"/>
      <c r="DS187" s="11"/>
      <c r="DT187" s="11"/>
      <c r="DU187" s="11"/>
      <c r="DV187" s="11"/>
      <c r="DW187" s="11"/>
      <c r="DX187" s="11"/>
      <c r="DY187" s="11"/>
      <c r="DZ187" s="11"/>
      <c r="EA187" s="11"/>
      <c r="EB187" s="11"/>
      <c r="EC187" s="11"/>
      <c r="ED187" s="11"/>
      <c r="EE187" s="11"/>
      <c r="EF187" s="11"/>
      <c r="EG187" s="11"/>
      <c r="EH187" s="11"/>
      <c r="EI187" s="11"/>
      <c r="EJ187" s="11"/>
      <c r="EK187" s="11"/>
      <c r="EL187" s="11"/>
      <c r="EM187" s="11"/>
      <c r="EN187" s="11"/>
      <c r="EO187" s="11"/>
      <c r="EP187" s="11"/>
      <c r="EQ187" s="11"/>
      <c r="ER187" s="11"/>
      <c r="ES187" s="11"/>
      <c r="ET187" s="11"/>
      <c r="EU187" s="11"/>
      <c r="EV187" s="11"/>
      <c r="EW187" s="11"/>
      <c r="EX187" s="11"/>
      <c r="EY187" s="11"/>
      <c r="EZ187" s="11"/>
      <c r="FA187" s="11"/>
      <c r="FB187" s="11"/>
      <c r="FC187" s="11"/>
      <c r="FD187" s="11"/>
      <c r="FE187" s="11"/>
      <c r="FF187" s="11"/>
      <c r="FG187" s="11"/>
      <c r="FH187" s="11"/>
      <c r="FI187" s="11"/>
      <c r="FJ187" s="11"/>
      <c r="FK187" s="11"/>
      <c r="FL187" s="11"/>
      <c r="FM187" s="11"/>
      <c r="FN187" s="11"/>
      <c r="FO187" s="11"/>
      <c r="FP187" s="11"/>
      <c r="FQ187" s="11"/>
      <c r="FR187" s="11"/>
      <c r="FS187" s="11"/>
      <c r="FT187" s="11"/>
      <c r="FU187" s="11"/>
      <c r="FV187" s="11"/>
      <c r="FW187" s="11"/>
      <c r="FX187" s="11"/>
      <c r="FY187" s="11"/>
      <c r="FZ187" s="11"/>
      <c r="GA187" s="11"/>
      <c r="GB187" s="11"/>
      <c r="GC187" s="11"/>
      <c r="GD187" s="11"/>
      <c r="GE187" s="11"/>
      <c r="GF187" s="11"/>
      <c r="GG187" s="11"/>
      <c r="GH187" s="11"/>
      <c r="GI187" s="11"/>
      <c r="GJ187" s="11"/>
      <c r="GK187" s="11"/>
      <c r="GL187" s="11"/>
      <c r="GM187" s="11"/>
      <c r="GN187" s="11"/>
      <c r="GO187" s="11"/>
      <c r="GP187" s="11"/>
      <c r="GQ187" s="11"/>
      <c r="GR187" s="11"/>
    </row>
    <row r="188" spans="2:200" x14ac:dyDescent="0.15"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  <c r="CW188" s="11"/>
      <c r="CX188" s="11"/>
      <c r="CY188" s="11"/>
      <c r="CZ188" s="11"/>
      <c r="DA188" s="11"/>
      <c r="DB188" s="11"/>
      <c r="DC188" s="11"/>
      <c r="DD188" s="11"/>
      <c r="DE188" s="11"/>
      <c r="DF188" s="11"/>
      <c r="DG188" s="11"/>
      <c r="DH188" s="11"/>
      <c r="DI188" s="11"/>
      <c r="DJ188" s="11"/>
      <c r="DK188" s="11"/>
      <c r="DL188" s="11"/>
      <c r="DM188" s="11"/>
      <c r="DN188" s="11"/>
      <c r="DO188" s="11"/>
      <c r="DP188" s="11"/>
      <c r="DQ188" s="11"/>
      <c r="DR188" s="11"/>
      <c r="DS188" s="11"/>
      <c r="DT188" s="11"/>
      <c r="DU188" s="11"/>
      <c r="DV188" s="11"/>
      <c r="DW188" s="11"/>
      <c r="DX188" s="11"/>
      <c r="DY188" s="11"/>
      <c r="DZ188" s="11"/>
      <c r="EA188" s="11"/>
      <c r="EB188" s="11"/>
      <c r="EC188" s="11"/>
      <c r="ED188" s="11"/>
      <c r="EE188" s="11"/>
      <c r="EF188" s="11"/>
      <c r="EG188" s="11"/>
      <c r="EH188" s="11"/>
      <c r="EI188" s="11"/>
      <c r="EJ188" s="11"/>
      <c r="EK188" s="11"/>
      <c r="EL188" s="11"/>
      <c r="EM188" s="11"/>
      <c r="EN188" s="11"/>
      <c r="EO188" s="11"/>
      <c r="EP188" s="11"/>
      <c r="EQ188" s="11"/>
      <c r="ER188" s="11"/>
      <c r="ES188" s="11"/>
      <c r="ET188" s="11"/>
      <c r="EU188" s="11"/>
      <c r="EV188" s="11"/>
      <c r="EW188" s="11"/>
      <c r="EX188" s="11"/>
      <c r="EY188" s="11"/>
      <c r="EZ188" s="11"/>
      <c r="FA188" s="11"/>
      <c r="FB188" s="11"/>
      <c r="FC188" s="11"/>
      <c r="FD188" s="11"/>
      <c r="FE188" s="11"/>
      <c r="FF188" s="11"/>
      <c r="FG188" s="11"/>
      <c r="FH188" s="11"/>
      <c r="FI188" s="11"/>
      <c r="FJ188" s="11"/>
      <c r="FK188" s="11"/>
      <c r="FL188" s="11"/>
      <c r="FM188" s="11"/>
      <c r="FN188" s="11"/>
      <c r="FO188" s="11"/>
      <c r="FP188" s="11"/>
      <c r="FQ188" s="11"/>
      <c r="FR188" s="11"/>
      <c r="FS188" s="11"/>
      <c r="FT188" s="11"/>
      <c r="FU188" s="11"/>
      <c r="FV188" s="11"/>
      <c r="FW188" s="11"/>
      <c r="FX188" s="11"/>
      <c r="FY188" s="11"/>
      <c r="FZ188" s="11"/>
      <c r="GA188" s="11"/>
      <c r="GB188" s="11"/>
      <c r="GC188" s="11"/>
      <c r="GD188" s="11"/>
      <c r="GE188" s="11"/>
      <c r="GF188" s="11"/>
      <c r="GG188" s="11"/>
      <c r="GH188" s="11"/>
      <c r="GI188" s="11"/>
      <c r="GJ188" s="11"/>
      <c r="GK188" s="11"/>
      <c r="GL188" s="11"/>
      <c r="GM188" s="11"/>
      <c r="GN188" s="11"/>
      <c r="GO188" s="11"/>
      <c r="GP188" s="11"/>
      <c r="GQ188" s="11"/>
      <c r="GR188" s="11"/>
    </row>
    <row r="189" spans="2:200" x14ac:dyDescent="0.15"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  <c r="CW189" s="11"/>
      <c r="CX189" s="11"/>
      <c r="CY189" s="11"/>
      <c r="CZ189" s="11"/>
      <c r="DA189" s="11"/>
      <c r="DB189" s="11"/>
      <c r="DC189" s="11"/>
      <c r="DD189" s="11"/>
      <c r="DE189" s="11"/>
      <c r="DF189" s="11"/>
      <c r="DG189" s="11"/>
      <c r="DH189" s="11"/>
      <c r="DI189" s="11"/>
      <c r="DJ189" s="11"/>
      <c r="DK189" s="11"/>
      <c r="DL189" s="11"/>
      <c r="DM189" s="11"/>
      <c r="DN189" s="11"/>
      <c r="DO189" s="11"/>
      <c r="DP189" s="11"/>
      <c r="DQ189" s="11"/>
      <c r="DR189" s="11"/>
      <c r="DS189" s="11"/>
      <c r="DT189" s="11"/>
      <c r="DU189" s="11"/>
      <c r="DV189" s="11"/>
      <c r="DW189" s="11"/>
      <c r="DX189" s="11"/>
      <c r="DY189" s="11"/>
      <c r="DZ189" s="11"/>
      <c r="EA189" s="11"/>
      <c r="EB189" s="11"/>
      <c r="EC189" s="11"/>
      <c r="ED189" s="11"/>
      <c r="EE189" s="11"/>
      <c r="EF189" s="11"/>
      <c r="EG189" s="11"/>
      <c r="EH189" s="11"/>
      <c r="EI189" s="11"/>
      <c r="EJ189" s="11"/>
      <c r="EK189" s="11"/>
      <c r="EL189" s="11"/>
      <c r="EM189" s="11"/>
      <c r="EN189" s="11"/>
      <c r="EO189" s="11"/>
      <c r="EP189" s="11"/>
      <c r="EQ189" s="11"/>
      <c r="ER189" s="11"/>
      <c r="ES189" s="11"/>
      <c r="ET189" s="11"/>
      <c r="EU189" s="11"/>
      <c r="EV189" s="11"/>
      <c r="EW189" s="11"/>
      <c r="EX189" s="11"/>
      <c r="EY189" s="11"/>
      <c r="EZ189" s="11"/>
      <c r="FA189" s="11"/>
      <c r="FB189" s="11"/>
      <c r="FC189" s="11"/>
      <c r="FD189" s="11"/>
      <c r="FE189" s="11"/>
      <c r="FF189" s="11"/>
      <c r="FG189" s="11"/>
      <c r="FH189" s="11"/>
      <c r="FI189" s="11"/>
      <c r="FJ189" s="11"/>
      <c r="FK189" s="11"/>
      <c r="FL189" s="11"/>
      <c r="FM189" s="11"/>
      <c r="FN189" s="11"/>
      <c r="FO189" s="11"/>
      <c r="FP189" s="11"/>
      <c r="FQ189" s="11"/>
      <c r="FR189" s="11"/>
      <c r="FS189" s="11"/>
      <c r="FT189" s="11"/>
      <c r="FU189" s="11"/>
      <c r="FV189" s="11"/>
      <c r="FW189" s="11"/>
      <c r="FX189" s="11"/>
      <c r="FY189" s="11"/>
      <c r="FZ189" s="11"/>
      <c r="GA189" s="11"/>
      <c r="GB189" s="11"/>
      <c r="GC189" s="11"/>
      <c r="GD189" s="11"/>
      <c r="GE189" s="11"/>
      <c r="GF189" s="11"/>
      <c r="GG189" s="11"/>
      <c r="GH189" s="11"/>
      <c r="GI189" s="11"/>
      <c r="GJ189" s="11"/>
      <c r="GK189" s="11"/>
      <c r="GL189" s="11"/>
      <c r="GM189" s="11"/>
      <c r="GN189" s="11"/>
      <c r="GO189" s="11"/>
      <c r="GP189" s="11"/>
      <c r="GQ189" s="11"/>
      <c r="GR189" s="11"/>
    </row>
    <row r="190" spans="2:200" x14ac:dyDescent="0.15"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11"/>
      <c r="CV190" s="11"/>
      <c r="CW190" s="11"/>
      <c r="CX190" s="11"/>
      <c r="CY190" s="11"/>
      <c r="CZ190" s="11"/>
      <c r="DA190" s="11"/>
      <c r="DB190" s="11"/>
      <c r="DC190" s="11"/>
      <c r="DD190" s="11"/>
      <c r="DE190" s="11"/>
      <c r="DF190" s="11"/>
      <c r="DG190" s="11"/>
      <c r="DH190" s="11"/>
      <c r="DI190" s="11"/>
      <c r="DJ190" s="11"/>
      <c r="DK190" s="11"/>
      <c r="DL190" s="11"/>
      <c r="DM190" s="11"/>
      <c r="DN190" s="11"/>
      <c r="DO190" s="11"/>
      <c r="DP190" s="11"/>
      <c r="DQ190" s="11"/>
      <c r="DR190" s="11"/>
      <c r="DS190" s="11"/>
      <c r="DT190" s="11"/>
      <c r="DU190" s="11"/>
      <c r="DV190" s="11"/>
      <c r="DW190" s="11"/>
      <c r="DX190" s="11"/>
      <c r="DY190" s="11"/>
      <c r="DZ190" s="11"/>
      <c r="EA190" s="11"/>
      <c r="EB190" s="11"/>
      <c r="EC190" s="11"/>
      <c r="ED190" s="11"/>
      <c r="EE190" s="11"/>
      <c r="EF190" s="11"/>
      <c r="EG190" s="11"/>
      <c r="EH190" s="11"/>
      <c r="EI190" s="11"/>
      <c r="EJ190" s="11"/>
      <c r="EK190" s="11"/>
      <c r="EL190" s="11"/>
      <c r="EM190" s="11"/>
      <c r="EN190" s="11"/>
      <c r="EO190" s="11"/>
      <c r="EP190" s="11"/>
      <c r="EQ190" s="11"/>
      <c r="ER190" s="11"/>
      <c r="ES190" s="11"/>
      <c r="ET190" s="11"/>
      <c r="EU190" s="11"/>
      <c r="EV190" s="11"/>
      <c r="EW190" s="11"/>
      <c r="EX190" s="11"/>
      <c r="EY190" s="11"/>
      <c r="EZ190" s="11"/>
      <c r="FA190" s="11"/>
      <c r="FB190" s="11"/>
      <c r="FC190" s="11"/>
      <c r="FD190" s="11"/>
      <c r="FE190" s="11"/>
      <c r="FF190" s="11"/>
      <c r="FG190" s="11"/>
      <c r="FH190" s="11"/>
      <c r="FI190" s="11"/>
      <c r="FJ190" s="11"/>
      <c r="FK190" s="11"/>
      <c r="FL190" s="11"/>
      <c r="FM190" s="11"/>
      <c r="FN190" s="11"/>
      <c r="FO190" s="11"/>
      <c r="FP190" s="11"/>
      <c r="FQ190" s="11"/>
      <c r="FR190" s="11"/>
      <c r="FS190" s="11"/>
      <c r="FT190" s="11"/>
      <c r="FU190" s="11"/>
      <c r="FV190" s="11"/>
      <c r="FW190" s="11"/>
      <c r="FX190" s="11"/>
      <c r="FY190" s="11"/>
      <c r="FZ190" s="11"/>
      <c r="GA190" s="11"/>
      <c r="GB190" s="11"/>
      <c r="GC190" s="11"/>
      <c r="GD190" s="11"/>
      <c r="GE190" s="11"/>
      <c r="GF190" s="11"/>
      <c r="GG190" s="11"/>
      <c r="GH190" s="11"/>
      <c r="GI190" s="11"/>
      <c r="GJ190" s="11"/>
      <c r="GK190" s="11"/>
      <c r="GL190" s="11"/>
      <c r="GM190" s="11"/>
      <c r="GN190" s="11"/>
      <c r="GO190" s="11"/>
      <c r="GP190" s="11"/>
      <c r="GQ190" s="11"/>
      <c r="GR190" s="11"/>
    </row>
    <row r="191" spans="2:200" x14ac:dyDescent="0.15"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11"/>
      <c r="CU191" s="11"/>
      <c r="CV191" s="11"/>
      <c r="CW191" s="11"/>
      <c r="CX191" s="11"/>
      <c r="CY191" s="11"/>
      <c r="CZ191" s="11"/>
      <c r="DA191" s="11"/>
      <c r="DB191" s="11"/>
      <c r="DC191" s="11"/>
      <c r="DD191" s="11"/>
      <c r="DE191" s="11"/>
      <c r="DF191" s="11"/>
      <c r="DG191" s="11"/>
      <c r="DH191" s="11"/>
      <c r="DI191" s="11"/>
      <c r="DJ191" s="11"/>
      <c r="DK191" s="11"/>
      <c r="DL191" s="11"/>
      <c r="DM191" s="11"/>
      <c r="DN191" s="11"/>
      <c r="DO191" s="11"/>
      <c r="DP191" s="11"/>
      <c r="DQ191" s="11"/>
      <c r="DR191" s="11"/>
      <c r="DS191" s="11"/>
      <c r="DT191" s="11"/>
      <c r="DU191" s="11"/>
      <c r="DV191" s="11"/>
      <c r="DW191" s="11"/>
      <c r="DX191" s="11"/>
      <c r="DY191" s="11"/>
      <c r="DZ191" s="11"/>
      <c r="EA191" s="11"/>
      <c r="EB191" s="11"/>
      <c r="EC191" s="11"/>
      <c r="ED191" s="11"/>
      <c r="EE191" s="11"/>
      <c r="EF191" s="11"/>
      <c r="EG191" s="11"/>
      <c r="EH191" s="11"/>
      <c r="EI191" s="11"/>
      <c r="EJ191" s="11"/>
      <c r="EK191" s="11"/>
      <c r="EL191" s="11"/>
      <c r="EM191" s="11"/>
      <c r="EN191" s="11"/>
      <c r="EO191" s="11"/>
      <c r="EP191" s="11"/>
      <c r="EQ191" s="11"/>
      <c r="ER191" s="11"/>
      <c r="ES191" s="11"/>
      <c r="ET191" s="11"/>
      <c r="EU191" s="11"/>
      <c r="EV191" s="11"/>
      <c r="EW191" s="11"/>
      <c r="EX191" s="11"/>
      <c r="EY191" s="11"/>
      <c r="EZ191" s="11"/>
      <c r="FA191" s="11"/>
      <c r="FB191" s="11"/>
      <c r="FC191" s="11"/>
      <c r="FD191" s="11"/>
      <c r="FE191" s="11"/>
      <c r="FF191" s="11"/>
      <c r="FG191" s="11"/>
      <c r="FH191" s="11"/>
      <c r="FI191" s="11"/>
      <c r="FJ191" s="11"/>
      <c r="FK191" s="11"/>
      <c r="FL191" s="11"/>
      <c r="FM191" s="11"/>
      <c r="FN191" s="11"/>
      <c r="FO191" s="11"/>
      <c r="FP191" s="11"/>
      <c r="FQ191" s="11"/>
      <c r="FR191" s="11"/>
      <c r="FS191" s="11"/>
      <c r="FT191" s="11"/>
      <c r="FU191" s="11"/>
      <c r="FV191" s="11"/>
      <c r="FW191" s="11"/>
      <c r="FX191" s="11"/>
      <c r="FY191" s="11"/>
      <c r="FZ191" s="11"/>
      <c r="GA191" s="11"/>
      <c r="GB191" s="11"/>
      <c r="GC191" s="11"/>
      <c r="GD191" s="11"/>
      <c r="GE191" s="11"/>
      <c r="GF191" s="11"/>
      <c r="GG191" s="11"/>
      <c r="GH191" s="11"/>
      <c r="GI191" s="11"/>
      <c r="GJ191" s="11"/>
      <c r="GK191" s="11"/>
      <c r="GL191" s="11"/>
      <c r="GM191" s="11"/>
      <c r="GN191" s="11"/>
      <c r="GO191" s="11"/>
      <c r="GP191" s="11"/>
      <c r="GQ191" s="11"/>
      <c r="GR191" s="11"/>
    </row>
    <row r="192" spans="2:200" x14ac:dyDescent="0.15"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</row>
    <row r="193" spans="2:200" x14ac:dyDescent="0.15"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11"/>
      <c r="CV193" s="11"/>
      <c r="CW193" s="11"/>
      <c r="CX193" s="11"/>
      <c r="CY193" s="11"/>
      <c r="CZ193" s="11"/>
      <c r="DA193" s="11"/>
      <c r="DB193" s="11"/>
      <c r="DC193" s="11"/>
      <c r="DD193" s="11"/>
      <c r="DE193" s="11"/>
      <c r="DF193" s="11"/>
      <c r="DG193" s="11"/>
      <c r="DH193" s="11"/>
      <c r="DI193" s="11"/>
      <c r="DJ193" s="11"/>
      <c r="DK193" s="11"/>
      <c r="DL193" s="11"/>
      <c r="DM193" s="11"/>
      <c r="DN193" s="11"/>
      <c r="DO193" s="11"/>
      <c r="DP193" s="11"/>
      <c r="DQ193" s="11"/>
      <c r="DR193" s="11"/>
      <c r="DS193" s="11"/>
      <c r="DT193" s="11"/>
      <c r="DU193" s="11"/>
      <c r="DV193" s="11"/>
      <c r="DW193" s="11"/>
      <c r="DX193" s="11"/>
      <c r="DY193" s="11"/>
      <c r="DZ193" s="11"/>
      <c r="EA193" s="11"/>
      <c r="EB193" s="11"/>
      <c r="EC193" s="11"/>
      <c r="ED193" s="11"/>
      <c r="EE193" s="11"/>
      <c r="EF193" s="11"/>
      <c r="EG193" s="11"/>
      <c r="EH193" s="11"/>
      <c r="EI193" s="11"/>
      <c r="EJ193" s="11"/>
      <c r="EK193" s="11"/>
      <c r="EL193" s="11"/>
      <c r="EM193" s="11"/>
      <c r="EN193" s="11"/>
      <c r="EO193" s="11"/>
      <c r="EP193" s="11"/>
      <c r="EQ193" s="11"/>
      <c r="ER193" s="11"/>
      <c r="ES193" s="11"/>
      <c r="ET193" s="11"/>
      <c r="EU193" s="11"/>
      <c r="EV193" s="11"/>
      <c r="EW193" s="11"/>
      <c r="EX193" s="11"/>
      <c r="EY193" s="11"/>
      <c r="EZ193" s="11"/>
      <c r="FA193" s="11"/>
      <c r="FB193" s="11"/>
      <c r="FC193" s="11"/>
      <c r="FD193" s="11"/>
      <c r="FE193" s="11"/>
      <c r="FF193" s="11"/>
      <c r="FG193" s="11"/>
      <c r="FH193" s="11"/>
      <c r="FI193" s="11"/>
      <c r="FJ193" s="11"/>
      <c r="FK193" s="11"/>
      <c r="FL193" s="11"/>
      <c r="FM193" s="11"/>
      <c r="FN193" s="11"/>
      <c r="FO193" s="1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1"/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</row>
    <row r="194" spans="2:200" x14ac:dyDescent="0.15"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11"/>
      <c r="CV194" s="11"/>
      <c r="CW194" s="11"/>
      <c r="CX194" s="11"/>
      <c r="CY194" s="11"/>
      <c r="CZ194" s="11"/>
      <c r="DA194" s="11"/>
      <c r="DB194" s="11"/>
      <c r="DC194" s="11"/>
      <c r="DD194" s="11"/>
      <c r="DE194" s="11"/>
      <c r="DF194" s="11"/>
      <c r="DG194" s="11"/>
      <c r="DH194" s="11"/>
      <c r="DI194" s="11"/>
      <c r="DJ194" s="11"/>
      <c r="DK194" s="11"/>
      <c r="DL194" s="11"/>
      <c r="DM194" s="11"/>
      <c r="DN194" s="11"/>
      <c r="DO194" s="11"/>
      <c r="DP194" s="11"/>
      <c r="DQ194" s="11"/>
      <c r="DR194" s="11"/>
      <c r="DS194" s="11"/>
      <c r="DT194" s="11"/>
      <c r="DU194" s="11"/>
      <c r="DV194" s="11"/>
      <c r="DW194" s="11"/>
      <c r="DX194" s="11"/>
      <c r="DY194" s="11"/>
      <c r="DZ194" s="11"/>
      <c r="EA194" s="11"/>
      <c r="EB194" s="11"/>
      <c r="EC194" s="11"/>
      <c r="ED194" s="11"/>
      <c r="EE194" s="11"/>
      <c r="EF194" s="11"/>
      <c r="EG194" s="11"/>
      <c r="EH194" s="11"/>
      <c r="EI194" s="11"/>
      <c r="EJ194" s="11"/>
      <c r="EK194" s="11"/>
      <c r="EL194" s="11"/>
      <c r="EM194" s="11"/>
      <c r="EN194" s="11"/>
      <c r="EO194" s="11"/>
      <c r="EP194" s="11"/>
      <c r="EQ194" s="11"/>
      <c r="ER194" s="11"/>
      <c r="ES194" s="11"/>
      <c r="ET194" s="11"/>
      <c r="EU194" s="11"/>
      <c r="EV194" s="11"/>
      <c r="EW194" s="11"/>
      <c r="EX194" s="11"/>
      <c r="EY194" s="11"/>
      <c r="EZ194" s="11"/>
      <c r="FA194" s="11"/>
      <c r="FB194" s="11"/>
      <c r="FC194" s="11"/>
      <c r="FD194" s="11"/>
      <c r="FE194" s="11"/>
      <c r="FF194" s="11"/>
      <c r="FG194" s="11"/>
      <c r="FH194" s="11"/>
      <c r="FI194" s="11"/>
      <c r="FJ194" s="11"/>
      <c r="FK194" s="11"/>
      <c r="FL194" s="11"/>
      <c r="FM194" s="11"/>
      <c r="FN194" s="11"/>
      <c r="FO194" s="11"/>
      <c r="FP194" s="11"/>
      <c r="FQ194" s="11"/>
      <c r="FR194" s="11"/>
      <c r="FS194" s="11"/>
      <c r="FT194" s="11"/>
      <c r="FU194" s="11"/>
      <c r="FV194" s="11"/>
      <c r="FW194" s="11"/>
      <c r="FX194" s="11"/>
      <c r="FY194" s="11"/>
      <c r="FZ194" s="11"/>
      <c r="GA194" s="11"/>
      <c r="GB194" s="11"/>
      <c r="GC194" s="11"/>
      <c r="GD194" s="11"/>
      <c r="GE194" s="11"/>
      <c r="GF194" s="11"/>
      <c r="GG194" s="11"/>
      <c r="GH194" s="11"/>
      <c r="GI194" s="11"/>
      <c r="GJ194" s="11"/>
      <c r="GK194" s="11"/>
      <c r="GL194" s="11"/>
      <c r="GM194" s="11"/>
      <c r="GN194" s="11"/>
      <c r="GO194" s="11"/>
      <c r="GP194" s="11"/>
      <c r="GQ194" s="11"/>
      <c r="GR194" s="11"/>
    </row>
    <row r="195" spans="2:200" x14ac:dyDescent="0.15"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  <c r="CW195" s="11"/>
      <c r="CX195" s="11"/>
      <c r="CY195" s="11"/>
      <c r="CZ195" s="11"/>
      <c r="DA195" s="11"/>
      <c r="DB195" s="11"/>
      <c r="DC195" s="11"/>
      <c r="DD195" s="11"/>
      <c r="DE195" s="11"/>
      <c r="DF195" s="11"/>
      <c r="DG195" s="11"/>
      <c r="DH195" s="11"/>
      <c r="DI195" s="11"/>
      <c r="DJ195" s="11"/>
      <c r="DK195" s="11"/>
      <c r="DL195" s="11"/>
      <c r="DM195" s="11"/>
      <c r="DN195" s="11"/>
      <c r="DO195" s="11"/>
      <c r="DP195" s="11"/>
      <c r="DQ195" s="11"/>
      <c r="DR195" s="11"/>
      <c r="DS195" s="11"/>
      <c r="DT195" s="11"/>
      <c r="DU195" s="11"/>
      <c r="DV195" s="11"/>
      <c r="DW195" s="11"/>
      <c r="DX195" s="11"/>
      <c r="DY195" s="11"/>
      <c r="DZ195" s="11"/>
      <c r="EA195" s="11"/>
      <c r="EB195" s="11"/>
      <c r="EC195" s="11"/>
      <c r="ED195" s="11"/>
      <c r="EE195" s="11"/>
      <c r="EF195" s="11"/>
      <c r="EG195" s="11"/>
      <c r="EH195" s="11"/>
      <c r="EI195" s="11"/>
      <c r="EJ195" s="11"/>
      <c r="EK195" s="11"/>
      <c r="EL195" s="11"/>
      <c r="EM195" s="11"/>
      <c r="EN195" s="11"/>
      <c r="EO195" s="11"/>
      <c r="EP195" s="11"/>
      <c r="EQ195" s="11"/>
      <c r="ER195" s="11"/>
      <c r="ES195" s="11"/>
      <c r="ET195" s="11"/>
      <c r="EU195" s="11"/>
      <c r="EV195" s="11"/>
      <c r="EW195" s="11"/>
      <c r="EX195" s="11"/>
      <c r="EY195" s="11"/>
      <c r="EZ195" s="11"/>
      <c r="FA195" s="11"/>
      <c r="FB195" s="11"/>
      <c r="FC195" s="11"/>
      <c r="FD195" s="11"/>
      <c r="FE195" s="11"/>
      <c r="FF195" s="11"/>
      <c r="FG195" s="11"/>
      <c r="FH195" s="11"/>
      <c r="FI195" s="11"/>
      <c r="FJ195" s="11"/>
      <c r="FK195" s="11"/>
      <c r="FL195" s="11"/>
      <c r="FM195" s="11"/>
      <c r="FN195" s="11"/>
      <c r="FO195" s="11"/>
      <c r="FP195" s="11"/>
      <c r="FQ195" s="11"/>
      <c r="FR195" s="11"/>
      <c r="FS195" s="11"/>
      <c r="FT195" s="11"/>
      <c r="FU195" s="11"/>
      <c r="FV195" s="11"/>
      <c r="FW195" s="11"/>
      <c r="FX195" s="11"/>
      <c r="FY195" s="11"/>
      <c r="FZ195" s="11"/>
      <c r="GA195" s="11"/>
      <c r="GB195" s="11"/>
      <c r="GC195" s="11"/>
      <c r="GD195" s="11"/>
      <c r="GE195" s="11"/>
      <c r="GF195" s="11"/>
      <c r="GG195" s="11"/>
      <c r="GH195" s="11"/>
      <c r="GI195" s="11"/>
      <c r="GJ195" s="11"/>
      <c r="GK195" s="11"/>
      <c r="GL195" s="11"/>
      <c r="GM195" s="11"/>
      <c r="GN195" s="11"/>
      <c r="GO195" s="11"/>
      <c r="GP195" s="11"/>
      <c r="GQ195" s="11"/>
      <c r="GR195" s="11"/>
    </row>
    <row r="196" spans="2:200" x14ac:dyDescent="0.15"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11"/>
      <c r="CW196" s="11"/>
      <c r="CX196" s="11"/>
      <c r="CY196" s="11"/>
      <c r="CZ196" s="11"/>
      <c r="DA196" s="11"/>
      <c r="DB196" s="11"/>
      <c r="DC196" s="11"/>
      <c r="DD196" s="11"/>
      <c r="DE196" s="11"/>
      <c r="DF196" s="11"/>
      <c r="DG196" s="11"/>
      <c r="DH196" s="11"/>
      <c r="DI196" s="11"/>
      <c r="DJ196" s="11"/>
      <c r="DK196" s="11"/>
      <c r="DL196" s="11"/>
      <c r="DM196" s="11"/>
      <c r="DN196" s="11"/>
      <c r="DO196" s="11"/>
      <c r="DP196" s="11"/>
      <c r="DQ196" s="11"/>
      <c r="DR196" s="11"/>
      <c r="DS196" s="11"/>
      <c r="DT196" s="11"/>
      <c r="DU196" s="11"/>
      <c r="DV196" s="11"/>
      <c r="DW196" s="11"/>
      <c r="DX196" s="11"/>
      <c r="DY196" s="11"/>
      <c r="DZ196" s="11"/>
      <c r="EA196" s="11"/>
      <c r="EB196" s="11"/>
      <c r="EC196" s="11"/>
      <c r="ED196" s="11"/>
      <c r="EE196" s="11"/>
      <c r="EF196" s="11"/>
      <c r="EG196" s="11"/>
      <c r="EH196" s="11"/>
      <c r="EI196" s="11"/>
      <c r="EJ196" s="11"/>
      <c r="EK196" s="11"/>
      <c r="EL196" s="11"/>
      <c r="EM196" s="11"/>
      <c r="EN196" s="11"/>
      <c r="EO196" s="11"/>
      <c r="EP196" s="11"/>
      <c r="EQ196" s="11"/>
      <c r="ER196" s="11"/>
      <c r="ES196" s="11"/>
      <c r="ET196" s="11"/>
      <c r="EU196" s="11"/>
      <c r="EV196" s="11"/>
      <c r="EW196" s="11"/>
      <c r="EX196" s="11"/>
      <c r="EY196" s="11"/>
      <c r="EZ196" s="11"/>
      <c r="FA196" s="11"/>
      <c r="FB196" s="11"/>
      <c r="FC196" s="11"/>
      <c r="FD196" s="11"/>
      <c r="FE196" s="11"/>
      <c r="FF196" s="11"/>
      <c r="FG196" s="11"/>
      <c r="FH196" s="11"/>
      <c r="FI196" s="11"/>
      <c r="FJ196" s="11"/>
      <c r="FK196" s="11"/>
      <c r="FL196" s="11"/>
      <c r="FM196" s="11"/>
      <c r="FN196" s="11"/>
      <c r="FO196" s="11"/>
      <c r="FP196" s="11"/>
      <c r="FQ196" s="11"/>
      <c r="FR196" s="11"/>
      <c r="FS196" s="11"/>
      <c r="FT196" s="11"/>
      <c r="FU196" s="11"/>
      <c r="FV196" s="11"/>
      <c r="FW196" s="11"/>
      <c r="FX196" s="11"/>
      <c r="FY196" s="11"/>
      <c r="FZ196" s="11"/>
      <c r="GA196" s="11"/>
      <c r="GB196" s="11"/>
      <c r="GC196" s="11"/>
      <c r="GD196" s="11"/>
      <c r="GE196" s="11"/>
      <c r="GF196" s="11"/>
      <c r="GG196" s="11"/>
      <c r="GH196" s="11"/>
      <c r="GI196" s="11"/>
      <c r="GJ196" s="11"/>
      <c r="GK196" s="11"/>
      <c r="GL196" s="11"/>
      <c r="GM196" s="11"/>
      <c r="GN196" s="11"/>
      <c r="GO196" s="11"/>
      <c r="GP196" s="11"/>
      <c r="GQ196" s="11"/>
      <c r="GR196" s="11"/>
    </row>
    <row r="197" spans="2:200" x14ac:dyDescent="0.15"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11"/>
      <c r="CW197" s="11"/>
      <c r="CX197" s="11"/>
      <c r="CY197" s="11"/>
      <c r="CZ197" s="11"/>
      <c r="DA197" s="11"/>
      <c r="DB197" s="11"/>
      <c r="DC197" s="11"/>
      <c r="DD197" s="11"/>
      <c r="DE197" s="11"/>
      <c r="DF197" s="11"/>
      <c r="DG197" s="11"/>
      <c r="DH197" s="11"/>
      <c r="DI197" s="11"/>
      <c r="DJ197" s="11"/>
      <c r="DK197" s="11"/>
      <c r="DL197" s="11"/>
      <c r="DM197" s="11"/>
      <c r="DN197" s="11"/>
      <c r="DO197" s="11"/>
      <c r="DP197" s="11"/>
      <c r="DQ197" s="11"/>
      <c r="DR197" s="11"/>
      <c r="DS197" s="11"/>
      <c r="DT197" s="11"/>
      <c r="DU197" s="11"/>
      <c r="DV197" s="11"/>
      <c r="DW197" s="11"/>
      <c r="DX197" s="11"/>
      <c r="DY197" s="11"/>
      <c r="DZ197" s="11"/>
      <c r="EA197" s="11"/>
      <c r="EB197" s="11"/>
      <c r="EC197" s="11"/>
      <c r="ED197" s="11"/>
      <c r="EE197" s="11"/>
      <c r="EF197" s="11"/>
      <c r="EG197" s="11"/>
      <c r="EH197" s="11"/>
      <c r="EI197" s="11"/>
      <c r="EJ197" s="11"/>
      <c r="EK197" s="11"/>
      <c r="EL197" s="11"/>
      <c r="EM197" s="11"/>
      <c r="EN197" s="11"/>
      <c r="EO197" s="11"/>
      <c r="EP197" s="11"/>
      <c r="EQ197" s="11"/>
      <c r="ER197" s="11"/>
      <c r="ES197" s="11"/>
      <c r="ET197" s="11"/>
      <c r="EU197" s="11"/>
      <c r="EV197" s="11"/>
      <c r="EW197" s="11"/>
      <c r="EX197" s="11"/>
      <c r="EY197" s="11"/>
      <c r="EZ197" s="11"/>
      <c r="FA197" s="11"/>
      <c r="FB197" s="11"/>
      <c r="FC197" s="11"/>
      <c r="FD197" s="11"/>
      <c r="FE197" s="11"/>
      <c r="FF197" s="11"/>
      <c r="FG197" s="11"/>
      <c r="FH197" s="11"/>
      <c r="FI197" s="11"/>
      <c r="FJ197" s="11"/>
      <c r="FK197" s="11"/>
      <c r="FL197" s="11"/>
      <c r="FM197" s="11"/>
      <c r="FN197" s="11"/>
      <c r="FO197" s="11"/>
      <c r="FP197" s="11"/>
      <c r="FQ197" s="11"/>
      <c r="FR197" s="11"/>
      <c r="FS197" s="11"/>
      <c r="FT197" s="11"/>
      <c r="FU197" s="11"/>
      <c r="FV197" s="11"/>
      <c r="FW197" s="11"/>
      <c r="FX197" s="11"/>
      <c r="FY197" s="11"/>
      <c r="FZ197" s="11"/>
      <c r="GA197" s="11"/>
      <c r="GB197" s="11"/>
      <c r="GC197" s="11"/>
      <c r="GD197" s="11"/>
      <c r="GE197" s="11"/>
      <c r="GF197" s="11"/>
      <c r="GG197" s="11"/>
      <c r="GH197" s="11"/>
      <c r="GI197" s="11"/>
      <c r="GJ197" s="11"/>
      <c r="GK197" s="11"/>
      <c r="GL197" s="11"/>
      <c r="GM197" s="11"/>
      <c r="GN197" s="11"/>
      <c r="GO197" s="11"/>
      <c r="GP197" s="11"/>
      <c r="GQ197" s="11"/>
      <c r="GR197" s="11"/>
    </row>
    <row r="198" spans="2:200" x14ac:dyDescent="0.15"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11"/>
      <c r="CW198" s="11"/>
      <c r="CX198" s="11"/>
      <c r="CY198" s="11"/>
      <c r="CZ198" s="11"/>
      <c r="DA198" s="11"/>
      <c r="DB198" s="11"/>
      <c r="DC198" s="11"/>
      <c r="DD198" s="11"/>
      <c r="DE198" s="11"/>
      <c r="DF198" s="11"/>
      <c r="DG198" s="11"/>
      <c r="DH198" s="11"/>
      <c r="DI198" s="11"/>
      <c r="DJ198" s="11"/>
      <c r="DK198" s="11"/>
      <c r="DL198" s="11"/>
      <c r="DM198" s="11"/>
      <c r="DN198" s="11"/>
      <c r="DO198" s="11"/>
      <c r="DP198" s="11"/>
      <c r="DQ198" s="11"/>
      <c r="DR198" s="11"/>
      <c r="DS198" s="11"/>
      <c r="DT198" s="11"/>
      <c r="DU198" s="11"/>
      <c r="DV198" s="11"/>
      <c r="DW198" s="11"/>
      <c r="DX198" s="11"/>
      <c r="DY198" s="11"/>
      <c r="DZ198" s="11"/>
      <c r="EA198" s="11"/>
      <c r="EB198" s="11"/>
      <c r="EC198" s="11"/>
      <c r="ED198" s="11"/>
      <c r="EE198" s="11"/>
      <c r="EF198" s="11"/>
      <c r="EG198" s="11"/>
      <c r="EH198" s="11"/>
      <c r="EI198" s="11"/>
      <c r="EJ198" s="11"/>
      <c r="EK198" s="11"/>
      <c r="EL198" s="11"/>
      <c r="EM198" s="11"/>
      <c r="EN198" s="11"/>
      <c r="EO198" s="11"/>
      <c r="EP198" s="11"/>
      <c r="EQ198" s="11"/>
      <c r="ER198" s="11"/>
      <c r="ES198" s="11"/>
      <c r="ET198" s="11"/>
      <c r="EU198" s="11"/>
      <c r="EV198" s="11"/>
      <c r="EW198" s="11"/>
      <c r="EX198" s="11"/>
      <c r="EY198" s="11"/>
      <c r="EZ198" s="11"/>
      <c r="FA198" s="11"/>
      <c r="FB198" s="11"/>
      <c r="FC198" s="11"/>
      <c r="FD198" s="11"/>
      <c r="FE198" s="11"/>
      <c r="FF198" s="11"/>
      <c r="FG198" s="11"/>
      <c r="FH198" s="11"/>
      <c r="FI198" s="11"/>
      <c r="FJ198" s="11"/>
      <c r="FK198" s="11"/>
      <c r="FL198" s="11"/>
      <c r="FM198" s="11"/>
      <c r="FN198" s="11"/>
      <c r="FO198" s="11"/>
      <c r="FP198" s="11"/>
      <c r="FQ198" s="11"/>
      <c r="FR198" s="11"/>
      <c r="FS198" s="11"/>
      <c r="FT198" s="11"/>
      <c r="FU198" s="11"/>
      <c r="FV198" s="11"/>
      <c r="FW198" s="11"/>
      <c r="FX198" s="11"/>
      <c r="FY198" s="11"/>
      <c r="FZ198" s="11"/>
      <c r="GA198" s="11"/>
      <c r="GB198" s="11"/>
      <c r="GC198" s="11"/>
      <c r="GD198" s="11"/>
      <c r="GE198" s="11"/>
      <c r="GF198" s="11"/>
      <c r="GG198" s="11"/>
      <c r="GH198" s="11"/>
      <c r="GI198" s="11"/>
      <c r="GJ198" s="11"/>
      <c r="GK198" s="11"/>
      <c r="GL198" s="11"/>
      <c r="GM198" s="11"/>
      <c r="GN198" s="11"/>
      <c r="GO198" s="11"/>
      <c r="GP198" s="11"/>
      <c r="GQ198" s="11"/>
      <c r="GR198" s="11"/>
    </row>
    <row r="199" spans="2:200" x14ac:dyDescent="0.15"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11"/>
      <c r="CW199" s="11"/>
      <c r="CX199" s="11"/>
      <c r="CY199" s="11"/>
      <c r="CZ199" s="11"/>
      <c r="DA199" s="11"/>
      <c r="DB199" s="11"/>
      <c r="DC199" s="11"/>
      <c r="DD199" s="11"/>
      <c r="DE199" s="11"/>
      <c r="DF199" s="11"/>
      <c r="DG199" s="11"/>
      <c r="DH199" s="11"/>
      <c r="DI199" s="11"/>
      <c r="DJ199" s="11"/>
      <c r="DK199" s="11"/>
      <c r="DL199" s="11"/>
      <c r="DM199" s="11"/>
      <c r="DN199" s="11"/>
      <c r="DO199" s="11"/>
      <c r="DP199" s="11"/>
      <c r="DQ199" s="11"/>
      <c r="DR199" s="11"/>
      <c r="DS199" s="11"/>
      <c r="DT199" s="11"/>
      <c r="DU199" s="11"/>
      <c r="DV199" s="11"/>
      <c r="DW199" s="11"/>
      <c r="DX199" s="11"/>
      <c r="DY199" s="11"/>
      <c r="DZ199" s="11"/>
      <c r="EA199" s="11"/>
      <c r="EB199" s="11"/>
      <c r="EC199" s="11"/>
      <c r="ED199" s="11"/>
      <c r="EE199" s="11"/>
      <c r="EF199" s="11"/>
      <c r="EG199" s="11"/>
      <c r="EH199" s="11"/>
      <c r="EI199" s="11"/>
      <c r="EJ199" s="11"/>
      <c r="EK199" s="11"/>
      <c r="EL199" s="11"/>
      <c r="EM199" s="11"/>
      <c r="EN199" s="11"/>
      <c r="EO199" s="11"/>
      <c r="EP199" s="11"/>
      <c r="EQ199" s="11"/>
      <c r="ER199" s="11"/>
      <c r="ES199" s="11"/>
      <c r="ET199" s="11"/>
      <c r="EU199" s="11"/>
      <c r="EV199" s="11"/>
      <c r="EW199" s="11"/>
      <c r="EX199" s="11"/>
      <c r="EY199" s="11"/>
      <c r="EZ199" s="11"/>
      <c r="FA199" s="11"/>
      <c r="FB199" s="11"/>
      <c r="FC199" s="11"/>
      <c r="FD199" s="11"/>
      <c r="FE199" s="11"/>
      <c r="FF199" s="11"/>
      <c r="FG199" s="11"/>
      <c r="FH199" s="11"/>
      <c r="FI199" s="11"/>
      <c r="FJ199" s="11"/>
      <c r="FK199" s="11"/>
      <c r="FL199" s="11"/>
      <c r="FM199" s="11"/>
      <c r="FN199" s="11"/>
      <c r="FO199" s="11"/>
      <c r="FP199" s="11"/>
      <c r="FQ199" s="11"/>
      <c r="FR199" s="11"/>
      <c r="FS199" s="11"/>
      <c r="FT199" s="11"/>
      <c r="FU199" s="11"/>
      <c r="FV199" s="11"/>
      <c r="FW199" s="11"/>
      <c r="FX199" s="11"/>
      <c r="FY199" s="11"/>
      <c r="FZ199" s="11"/>
      <c r="GA199" s="11"/>
      <c r="GB199" s="11"/>
      <c r="GC199" s="11"/>
      <c r="GD199" s="11"/>
      <c r="GE199" s="11"/>
      <c r="GF199" s="11"/>
      <c r="GG199" s="11"/>
      <c r="GH199" s="11"/>
      <c r="GI199" s="11"/>
      <c r="GJ199" s="11"/>
      <c r="GK199" s="11"/>
      <c r="GL199" s="11"/>
      <c r="GM199" s="11"/>
      <c r="GN199" s="11"/>
      <c r="GO199" s="11"/>
      <c r="GP199" s="11"/>
      <c r="GQ199" s="11"/>
      <c r="GR199" s="11"/>
    </row>
    <row r="200" spans="2:200" x14ac:dyDescent="0.15"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11"/>
      <c r="CW200" s="11"/>
      <c r="CX200" s="11"/>
      <c r="CY200" s="11"/>
      <c r="CZ200" s="11"/>
      <c r="DA200" s="11"/>
      <c r="DB200" s="11"/>
      <c r="DC200" s="11"/>
      <c r="DD200" s="11"/>
      <c r="DE200" s="11"/>
      <c r="DF200" s="11"/>
      <c r="DG200" s="11"/>
      <c r="DH200" s="11"/>
      <c r="DI200" s="11"/>
      <c r="DJ200" s="11"/>
      <c r="DK200" s="11"/>
      <c r="DL200" s="11"/>
      <c r="DM200" s="11"/>
      <c r="DN200" s="11"/>
      <c r="DO200" s="11"/>
      <c r="DP200" s="11"/>
      <c r="DQ200" s="11"/>
      <c r="DR200" s="11"/>
      <c r="DS200" s="11"/>
      <c r="DT200" s="11"/>
      <c r="DU200" s="11"/>
      <c r="DV200" s="11"/>
      <c r="DW200" s="11"/>
      <c r="DX200" s="11"/>
      <c r="DY200" s="11"/>
      <c r="DZ200" s="11"/>
      <c r="EA200" s="11"/>
      <c r="EB200" s="11"/>
      <c r="EC200" s="11"/>
      <c r="ED200" s="11"/>
      <c r="EE200" s="11"/>
      <c r="EF200" s="11"/>
      <c r="EG200" s="11"/>
      <c r="EH200" s="11"/>
      <c r="EI200" s="11"/>
      <c r="EJ200" s="11"/>
      <c r="EK200" s="11"/>
      <c r="EL200" s="11"/>
      <c r="EM200" s="11"/>
      <c r="EN200" s="11"/>
      <c r="EO200" s="11"/>
      <c r="EP200" s="11"/>
      <c r="EQ200" s="11"/>
      <c r="ER200" s="11"/>
      <c r="ES200" s="11"/>
      <c r="ET200" s="11"/>
      <c r="EU200" s="11"/>
      <c r="EV200" s="11"/>
      <c r="EW200" s="11"/>
      <c r="EX200" s="11"/>
      <c r="EY200" s="11"/>
      <c r="EZ200" s="11"/>
      <c r="FA200" s="11"/>
      <c r="FB200" s="11"/>
      <c r="FC200" s="11"/>
      <c r="FD200" s="11"/>
      <c r="FE200" s="11"/>
      <c r="FF200" s="11"/>
      <c r="FG200" s="11"/>
      <c r="FH200" s="11"/>
      <c r="FI200" s="11"/>
      <c r="FJ200" s="11"/>
      <c r="FK200" s="11"/>
      <c r="FL200" s="11"/>
      <c r="FM200" s="11"/>
      <c r="FN200" s="11"/>
      <c r="FO200" s="11"/>
      <c r="FP200" s="11"/>
      <c r="FQ200" s="11"/>
      <c r="FR200" s="11"/>
      <c r="FS200" s="11"/>
      <c r="FT200" s="11"/>
      <c r="FU200" s="11"/>
      <c r="FV200" s="11"/>
      <c r="FW200" s="11"/>
      <c r="FX200" s="11"/>
      <c r="FY200" s="11"/>
      <c r="FZ200" s="11"/>
      <c r="GA200" s="11"/>
      <c r="GB200" s="11"/>
      <c r="GC200" s="11"/>
      <c r="GD200" s="11"/>
      <c r="GE200" s="11"/>
      <c r="GF200" s="11"/>
      <c r="GG200" s="11"/>
      <c r="GH200" s="11"/>
      <c r="GI200" s="11"/>
      <c r="GJ200" s="11"/>
      <c r="GK200" s="11"/>
      <c r="GL200" s="11"/>
      <c r="GM200" s="11"/>
      <c r="GN200" s="11"/>
      <c r="GO200" s="11"/>
      <c r="GP200" s="11"/>
      <c r="GQ200" s="11"/>
      <c r="GR200" s="11"/>
    </row>
    <row r="201" spans="2:200" x14ac:dyDescent="0.15"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11"/>
      <c r="CW201" s="11"/>
      <c r="CX201" s="11"/>
      <c r="CY201" s="11"/>
      <c r="CZ201" s="11"/>
      <c r="DA201" s="11"/>
      <c r="DB201" s="11"/>
      <c r="DC201" s="11"/>
      <c r="DD201" s="11"/>
      <c r="DE201" s="11"/>
      <c r="DF201" s="11"/>
      <c r="DG201" s="11"/>
      <c r="DH201" s="11"/>
      <c r="DI201" s="11"/>
      <c r="DJ201" s="11"/>
      <c r="DK201" s="11"/>
      <c r="DL201" s="11"/>
      <c r="DM201" s="11"/>
      <c r="DN201" s="11"/>
      <c r="DO201" s="11"/>
      <c r="DP201" s="11"/>
      <c r="DQ201" s="11"/>
      <c r="DR201" s="11"/>
      <c r="DS201" s="11"/>
      <c r="DT201" s="11"/>
      <c r="DU201" s="11"/>
      <c r="DV201" s="11"/>
      <c r="DW201" s="11"/>
      <c r="DX201" s="11"/>
      <c r="DY201" s="11"/>
      <c r="DZ201" s="11"/>
      <c r="EA201" s="11"/>
      <c r="EB201" s="11"/>
      <c r="EC201" s="11"/>
      <c r="ED201" s="11"/>
      <c r="EE201" s="11"/>
      <c r="EF201" s="11"/>
      <c r="EG201" s="11"/>
      <c r="EH201" s="11"/>
      <c r="EI201" s="11"/>
      <c r="EJ201" s="11"/>
      <c r="EK201" s="11"/>
      <c r="EL201" s="11"/>
      <c r="EM201" s="11"/>
      <c r="EN201" s="11"/>
      <c r="EO201" s="11"/>
      <c r="EP201" s="11"/>
      <c r="EQ201" s="11"/>
      <c r="ER201" s="11"/>
      <c r="ES201" s="11"/>
      <c r="ET201" s="11"/>
      <c r="EU201" s="11"/>
      <c r="EV201" s="11"/>
      <c r="EW201" s="11"/>
      <c r="EX201" s="11"/>
      <c r="EY201" s="11"/>
      <c r="EZ201" s="11"/>
      <c r="FA201" s="11"/>
      <c r="FB201" s="11"/>
      <c r="FC201" s="11"/>
      <c r="FD201" s="11"/>
      <c r="FE201" s="11"/>
      <c r="FF201" s="11"/>
      <c r="FG201" s="11"/>
      <c r="FH201" s="11"/>
      <c r="FI201" s="11"/>
      <c r="FJ201" s="11"/>
      <c r="FK201" s="11"/>
      <c r="FL201" s="11"/>
      <c r="FM201" s="11"/>
      <c r="FN201" s="11"/>
      <c r="FO201" s="11"/>
      <c r="FP201" s="11"/>
      <c r="FQ201" s="11"/>
      <c r="FR201" s="11"/>
      <c r="FS201" s="11"/>
      <c r="FT201" s="11"/>
      <c r="FU201" s="11"/>
      <c r="FV201" s="11"/>
      <c r="FW201" s="11"/>
      <c r="FX201" s="11"/>
      <c r="FY201" s="11"/>
      <c r="FZ201" s="11"/>
      <c r="GA201" s="11"/>
      <c r="GB201" s="11"/>
      <c r="GC201" s="11"/>
      <c r="GD201" s="11"/>
      <c r="GE201" s="11"/>
      <c r="GF201" s="11"/>
      <c r="GG201" s="11"/>
      <c r="GH201" s="11"/>
      <c r="GI201" s="11"/>
      <c r="GJ201" s="11"/>
      <c r="GK201" s="11"/>
      <c r="GL201" s="11"/>
      <c r="GM201" s="11"/>
      <c r="GN201" s="11"/>
      <c r="GO201" s="11"/>
      <c r="GP201" s="11"/>
      <c r="GQ201" s="11"/>
      <c r="GR201" s="11"/>
    </row>
    <row r="202" spans="2:200" x14ac:dyDescent="0.15"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1"/>
      <c r="CL202" s="11"/>
      <c r="CM202" s="11"/>
      <c r="CN202" s="11"/>
      <c r="CO202" s="11"/>
      <c r="CP202" s="11"/>
      <c r="CQ202" s="11"/>
      <c r="CR202" s="11"/>
      <c r="CS202" s="11"/>
      <c r="CT202" s="11"/>
      <c r="CU202" s="11"/>
      <c r="CV202" s="11"/>
      <c r="CW202" s="11"/>
      <c r="CX202" s="11"/>
      <c r="CY202" s="11"/>
      <c r="CZ202" s="11"/>
      <c r="DA202" s="11"/>
      <c r="DB202" s="11"/>
      <c r="DC202" s="11"/>
      <c r="DD202" s="11"/>
      <c r="DE202" s="11"/>
      <c r="DF202" s="11"/>
      <c r="DG202" s="11"/>
      <c r="DH202" s="11"/>
      <c r="DI202" s="11"/>
      <c r="DJ202" s="11"/>
      <c r="DK202" s="11"/>
      <c r="DL202" s="11"/>
      <c r="DM202" s="11"/>
      <c r="DN202" s="11"/>
      <c r="DO202" s="11"/>
      <c r="DP202" s="11"/>
      <c r="DQ202" s="11"/>
      <c r="DR202" s="11"/>
      <c r="DS202" s="11"/>
      <c r="DT202" s="11"/>
      <c r="DU202" s="11"/>
      <c r="DV202" s="11"/>
      <c r="DW202" s="11"/>
      <c r="DX202" s="11"/>
      <c r="DY202" s="11"/>
      <c r="DZ202" s="11"/>
      <c r="EA202" s="11"/>
      <c r="EB202" s="11"/>
      <c r="EC202" s="11"/>
      <c r="ED202" s="11"/>
      <c r="EE202" s="11"/>
      <c r="EF202" s="11"/>
      <c r="EG202" s="11"/>
      <c r="EH202" s="11"/>
      <c r="EI202" s="11"/>
      <c r="EJ202" s="11"/>
      <c r="EK202" s="11"/>
      <c r="EL202" s="11"/>
      <c r="EM202" s="11"/>
      <c r="EN202" s="11"/>
      <c r="EO202" s="11"/>
      <c r="EP202" s="11"/>
      <c r="EQ202" s="11"/>
      <c r="ER202" s="11"/>
      <c r="ES202" s="11"/>
      <c r="ET202" s="11"/>
      <c r="EU202" s="11"/>
      <c r="EV202" s="11"/>
      <c r="EW202" s="11"/>
      <c r="EX202" s="11"/>
      <c r="EY202" s="11"/>
      <c r="EZ202" s="11"/>
      <c r="FA202" s="11"/>
      <c r="FB202" s="11"/>
      <c r="FC202" s="11"/>
      <c r="FD202" s="11"/>
      <c r="FE202" s="11"/>
      <c r="FF202" s="11"/>
      <c r="FG202" s="11"/>
      <c r="FH202" s="11"/>
      <c r="FI202" s="11"/>
      <c r="FJ202" s="11"/>
      <c r="FK202" s="11"/>
      <c r="FL202" s="11"/>
      <c r="FM202" s="11"/>
      <c r="FN202" s="11"/>
      <c r="FO202" s="11"/>
      <c r="FP202" s="11"/>
      <c r="FQ202" s="11"/>
      <c r="FR202" s="11"/>
      <c r="FS202" s="11"/>
      <c r="FT202" s="11"/>
      <c r="FU202" s="11"/>
      <c r="FV202" s="11"/>
      <c r="FW202" s="11"/>
      <c r="FX202" s="11"/>
      <c r="FY202" s="11"/>
      <c r="FZ202" s="11"/>
      <c r="GA202" s="11"/>
      <c r="GB202" s="11"/>
      <c r="GC202" s="11"/>
      <c r="GD202" s="11"/>
      <c r="GE202" s="11"/>
      <c r="GF202" s="11"/>
      <c r="GG202" s="11"/>
      <c r="GH202" s="11"/>
      <c r="GI202" s="11"/>
      <c r="GJ202" s="11"/>
      <c r="GK202" s="11"/>
      <c r="GL202" s="11"/>
      <c r="GM202" s="11"/>
      <c r="GN202" s="11"/>
      <c r="GO202" s="11"/>
      <c r="GP202" s="11"/>
      <c r="GQ202" s="11"/>
      <c r="GR202" s="11"/>
    </row>
    <row r="203" spans="2:200" x14ac:dyDescent="0.15"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</row>
    <row r="204" spans="2:200" x14ac:dyDescent="0.15"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11"/>
      <c r="CW204" s="11"/>
      <c r="CX204" s="11"/>
      <c r="CY204" s="11"/>
      <c r="CZ204" s="11"/>
      <c r="DA204" s="11"/>
      <c r="DB204" s="11"/>
      <c r="DC204" s="11"/>
      <c r="DD204" s="11"/>
      <c r="DE204" s="11"/>
      <c r="DF204" s="11"/>
      <c r="DG204" s="11"/>
      <c r="DH204" s="11"/>
      <c r="DI204" s="11"/>
      <c r="DJ204" s="11"/>
      <c r="DK204" s="11"/>
      <c r="DL204" s="11"/>
      <c r="DM204" s="11"/>
      <c r="DN204" s="11"/>
      <c r="DO204" s="11"/>
      <c r="DP204" s="11"/>
      <c r="DQ204" s="11"/>
      <c r="DR204" s="11"/>
      <c r="DS204" s="11"/>
      <c r="DT204" s="11"/>
      <c r="DU204" s="11"/>
      <c r="DV204" s="11"/>
      <c r="DW204" s="11"/>
      <c r="DX204" s="11"/>
      <c r="DY204" s="11"/>
      <c r="DZ204" s="11"/>
      <c r="EA204" s="11"/>
      <c r="EB204" s="11"/>
      <c r="EC204" s="11"/>
      <c r="ED204" s="11"/>
      <c r="EE204" s="11"/>
      <c r="EF204" s="11"/>
      <c r="EG204" s="11"/>
      <c r="EH204" s="11"/>
      <c r="EI204" s="11"/>
      <c r="EJ204" s="11"/>
      <c r="EK204" s="11"/>
      <c r="EL204" s="11"/>
      <c r="EM204" s="11"/>
      <c r="EN204" s="11"/>
      <c r="EO204" s="11"/>
      <c r="EP204" s="11"/>
      <c r="EQ204" s="11"/>
      <c r="ER204" s="11"/>
      <c r="ES204" s="11"/>
      <c r="ET204" s="11"/>
      <c r="EU204" s="11"/>
      <c r="EV204" s="11"/>
      <c r="EW204" s="11"/>
      <c r="EX204" s="11"/>
      <c r="EY204" s="11"/>
      <c r="EZ204" s="11"/>
      <c r="FA204" s="11"/>
      <c r="FB204" s="11"/>
      <c r="FC204" s="11"/>
      <c r="FD204" s="11"/>
      <c r="FE204" s="11"/>
      <c r="FF204" s="11"/>
      <c r="FG204" s="11"/>
      <c r="FH204" s="11"/>
      <c r="FI204" s="11"/>
      <c r="FJ204" s="11"/>
      <c r="FK204" s="11"/>
      <c r="FL204" s="11"/>
      <c r="FM204" s="11"/>
      <c r="FN204" s="11"/>
      <c r="FO204" s="11"/>
      <c r="FP204" s="11"/>
      <c r="FQ204" s="11"/>
      <c r="FR204" s="11"/>
      <c r="FS204" s="11"/>
      <c r="FT204" s="11"/>
      <c r="FU204" s="11"/>
      <c r="FV204" s="11"/>
      <c r="FW204" s="11"/>
      <c r="FX204" s="11"/>
      <c r="FY204" s="11"/>
      <c r="FZ204" s="11"/>
      <c r="GA204" s="11"/>
      <c r="GB204" s="11"/>
      <c r="GC204" s="11"/>
      <c r="GD204" s="11"/>
      <c r="GE204" s="11"/>
      <c r="GF204" s="11"/>
      <c r="GG204" s="11"/>
      <c r="GH204" s="11"/>
      <c r="GI204" s="11"/>
      <c r="GJ204" s="11"/>
      <c r="GK204" s="11"/>
      <c r="GL204" s="11"/>
      <c r="GM204" s="11"/>
      <c r="GN204" s="11"/>
      <c r="GO204" s="11"/>
      <c r="GP204" s="11"/>
      <c r="GQ204" s="11"/>
      <c r="GR204" s="11"/>
    </row>
    <row r="205" spans="2:200" x14ac:dyDescent="0.15"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11"/>
      <c r="CW205" s="11"/>
      <c r="CX205" s="11"/>
      <c r="CY205" s="11"/>
      <c r="CZ205" s="11"/>
      <c r="DA205" s="11"/>
      <c r="DB205" s="11"/>
      <c r="DC205" s="11"/>
      <c r="DD205" s="11"/>
      <c r="DE205" s="11"/>
      <c r="DF205" s="11"/>
      <c r="DG205" s="11"/>
      <c r="DH205" s="11"/>
      <c r="DI205" s="11"/>
      <c r="DJ205" s="11"/>
      <c r="DK205" s="11"/>
      <c r="DL205" s="11"/>
      <c r="DM205" s="11"/>
      <c r="DN205" s="11"/>
      <c r="DO205" s="11"/>
      <c r="DP205" s="11"/>
      <c r="DQ205" s="11"/>
      <c r="DR205" s="11"/>
      <c r="DS205" s="11"/>
      <c r="DT205" s="11"/>
      <c r="DU205" s="11"/>
      <c r="DV205" s="11"/>
      <c r="DW205" s="11"/>
      <c r="DX205" s="11"/>
      <c r="DY205" s="11"/>
      <c r="DZ205" s="11"/>
      <c r="EA205" s="11"/>
      <c r="EB205" s="11"/>
      <c r="EC205" s="11"/>
      <c r="ED205" s="11"/>
      <c r="EE205" s="11"/>
      <c r="EF205" s="11"/>
      <c r="EG205" s="11"/>
      <c r="EH205" s="11"/>
      <c r="EI205" s="11"/>
      <c r="EJ205" s="11"/>
      <c r="EK205" s="11"/>
      <c r="EL205" s="11"/>
      <c r="EM205" s="11"/>
      <c r="EN205" s="11"/>
      <c r="EO205" s="11"/>
      <c r="EP205" s="11"/>
      <c r="EQ205" s="11"/>
      <c r="ER205" s="11"/>
      <c r="ES205" s="11"/>
      <c r="ET205" s="11"/>
      <c r="EU205" s="11"/>
      <c r="EV205" s="11"/>
      <c r="EW205" s="11"/>
      <c r="EX205" s="11"/>
      <c r="EY205" s="11"/>
      <c r="EZ205" s="11"/>
      <c r="FA205" s="11"/>
      <c r="FB205" s="11"/>
      <c r="FC205" s="11"/>
      <c r="FD205" s="11"/>
      <c r="FE205" s="11"/>
      <c r="FF205" s="11"/>
      <c r="FG205" s="11"/>
      <c r="FH205" s="11"/>
      <c r="FI205" s="11"/>
      <c r="FJ205" s="11"/>
      <c r="FK205" s="11"/>
      <c r="FL205" s="11"/>
      <c r="FM205" s="11"/>
      <c r="FN205" s="11"/>
      <c r="FO205" s="11"/>
      <c r="FP205" s="11"/>
      <c r="FQ205" s="11"/>
      <c r="FR205" s="11"/>
      <c r="FS205" s="11"/>
      <c r="FT205" s="11"/>
      <c r="FU205" s="11"/>
      <c r="FV205" s="11"/>
      <c r="FW205" s="11"/>
      <c r="FX205" s="11"/>
      <c r="FY205" s="11"/>
      <c r="FZ205" s="11"/>
      <c r="GA205" s="11"/>
      <c r="GB205" s="11"/>
      <c r="GC205" s="11"/>
      <c r="GD205" s="11"/>
      <c r="GE205" s="11"/>
      <c r="GF205" s="11"/>
      <c r="GG205" s="11"/>
      <c r="GH205" s="11"/>
      <c r="GI205" s="11"/>
      <c r="GJ205" s="11"/>
      <c r="GK205" s="11"/>
      <c r="GL205" s="11"/>
      <c r="GM205" s="11"/>
      <c r="GN205" s="11"/>
      <c r="GO205" s="11"/>
      <c r="GP205" s="11"/>
      <c r="GQ205" s="11"/>
      <c r="GR205" s="11"/>
    </row>
    <row r="206" spans="2:200" x14ac:dyDescent="0.15"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  <c r="CW206" s="11"/>
      <c r="CX206" s="11"/>
      <c r="CY206" s="11"/>
      <c r="CZ206" s="11"/>
      <c r="DA206" s="11"/>
      <c r="DB206" s="11"/>
      <c r="DC206" s="11"/>
      <c r="DD206" s="11"/>
      <c r="DE206" s="11"/>
      <c r="DF206" s="11"/>
      <c r="DG206" s="11"/>
      <c r="DH206" s="11"/>
      <c r="DI206" s="11"/>
      <c r="DJ206" s="11"/>
      <c r="DK206" s="11"/>
      <c r="DL206" s="11"/>
      <c r="DM206" s="11"/>
      <c r="DN206" s="11"/>
      <c r="DO206" s="11"/>
      <c r="DP206" s="11"/>
      <c r="DQ206" s="11"/>
      <c r="DR206" s="11"/>
      <c r="DS206" s="11"/>
      <c r="DT206" s="11"/>
      <c r="DU206" s="11"/>
      <c r="DV206" s="11"/>
      <c r="DW206" s="11"/>
      <c r="DX206" s="11"/>
      <c r="DY206" s="11"/>
      <c r="DZ206" s="11"/>
      <c r="EA206" s="11"/>
      <c r="EB206" s="11"/>
      <c r="EC206" s="11"/>
      <c r="ED206" s="11"/>
      <c r="EE206" s="11"/>
      <c r="EF206" s="11"/>
      <c r="EG206" s="11"/>
      <c r="EH206" s="11"/>
      <c r="EI206" s="11"/>
      <c r="EJ206" s="11"/>
      <c r="EK206" s="11"/>
      <c r="EL206" s="11"/>
      <c r="EM206" s="11"/>
      <c r="EN206" s="11"/>
      <c r="EO206" s="11"/>
      <c r="EP206" s="11"/>
      <c r="EQ206" s="11"/>
      <c r="ER206" s="11"/>
      <c r="ES206" s="11"/>
      <c r="ET206" s="11"/>
      <c r="EU206" s="11"/>
      <c r="EV206" s="11"/>
      <c r="EW206" s="11"/>
      <c r="EX206" s="11"/>
      <c r="EY206" s="11"/>
      <c r="EZ206" s="11"/>
      <c r="FA206" s="11"/>
      <c r="FB206" s="11"/>
      <c r="FC206" s="11"/>
      <c r="FD206" s="11"/>
      <c r="FE206" s="11"/>
      <c r="FF206" s="11"/>
      <c r="FG206" s="11"/>
      <c r="FH206" s="11"/>
      <c r="FI206" s="11"/>
      <c r="FJ206" s="11"/>
      <c r="FK206" s="11"/>
      <c r="FL206" s="11"/>
      <c r="FM206" s="11"/>
      <c r="FN206" s="11"/>
      <c r="FO206" s="11"/>
      <c r="FP206" s="11"/>
      <c r="FQ206" s="11"/>
      <c r="FR206" s="11"/>
      <c r="FS206" s="11"/>
      <c r="FT206" s="11"/>
      <c r="FU206" s="11"/>
      <c r="FV206" s="11"/>
      <c r="FW206" s="11"/>
      <c r="FX206" s="11"/>
      <c r="FY206" s="11"/>
      <c r="FZ206" s="11"/>
      <c r="GA206" s="11"/>
      <c r="GB206" s="11"/>
      <c r="GC206" s="11"/>
      <c r="GD206" s="11"/>
      <c r="GE206" s="11"/>
      <c r="GF206" s="11"/>
      <c r="GG206" s="11"/>
      <c r="GH206" s="11"/>
      <c r="GI206" s="11"/>
      <c r="GJ206" s="11"/>
      <c r="GK206" s="11"/>
      <c r="GL206" s="11"/>
      <c r="GM206" s="11"/>
      <c r="GN206" s="11"/>
      <c r="GO206" s="11"/>
      <c r="GP206" s="11"/>
      <c r="GQ206" s="11"/>
      <c r="GR206" s="11"/>
    </row>
    <row r="207" spans="2:200" x14ac:dyDescent="0.15"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  <c r="CW207" s="11"/>
      <c r="CX207" s="11"/>
      <c r="CY207" s="11"/>
      <c r="CZ207" s="11"/>
      <c r="DA207" s="11"/>
      <c r="DB207" s="11"/>
      <c r="DC207" s="11"/>
      <c r="DD207" s="11"/>
      <c r="DE207" s="11"/>
      <c r="DF207" s="11"/>
      <c r="DG207" s="11"/>
      <c r="DH207" s="11"/>
      <c r="DI207" s="11"/>
      <c r="DJ207" s="11"/>
      <c r="DK207" s="11"/>
      <c r="DL207" s="11"/>
      <c r="DM207" s="11"/>
      <c r="DN207" s="11"/>
      <c r="DO207" s="11"/>
      <c r="DP207" s="11"/>
      <c r="DQ207" s="11"/>
      <c r="DR207" s="11"/>
      <c r="DS207" s="11"/>
      <c r="DT207" s="11"/>
      <c r="DU207" s="11"/>
      <c r="DV207" s="11"/>
      <c r="DW207" s="11"/>
      <c r="DX207" s="11"/>
      <c r="DY207" s="11"/>
      <c r="DZ207" s="11"/>
      <c r="EA207" s="11"/>
      <c r="EB207" s="11"/>
      <c r="EC207" s="11"/>
      <c r="ED207" s="11"/>
      <c r="EE207" s="11"/>
      <c r="EF207" s="11"/>
      <c r="EG207" s="11"/>
      <c r="EH207" s="11"/>
      <c r="EI207" s="11"/>
      <c r="EJ207" s="11"/>
      <c r="EK207" s="11"/>
      <c r="EL207" s="11"/>
      <c r="EM207" s="11"/>
      <c r="EN207" s="11"/>
      <c r="EO207" s="11"/>
      <c r="EP207" s="11"/>
      <c r="EQ207" s="11"/>
      <c r="ER207" s="11"/>
      <c r="ES207" s="11"/>
      <c r="ET207" s="11"/>
      <c r="EU207" s="11"/>
      <c r="EV207" s="11"/>
      <c r="EW207" s="11"/>
      <c r="EX207" s="11"/>
      <c r="EY207" s="11"/>
      <c r="EZ207" s="11"/>
      <c r="FA207" s="11"/>
      <c r="FB207" s="11"/>
      <c r="FC207" s="11"/>
      <c r="FD207" s="11"/>
      <c r="FE207" s="11"/>
      <c r="FF207" s="11"/>
      <c r="FG207" s="11"/>
      <c r="FH207" s="11"/>
      <c r="FI207" s="11"/>
      <c r="FJ207" s="11"/>
      <c r="FK207" s="11"/>
      <c r="FL207" s="11"/>
      <c r="FM207" s="11"/>
      <c r="FN207" s="11"/>
      <c r="FO207" s="11"/>
      <c r="FP207" s="11"/>
      <c r="FQ207" s="11"/>
      <c r="FR207" s="11"/>
      <c r="FS207" s="11"/>
      <c r="FT207" s="11"/>
      <c r="FU207" s="11"/>
      <c r="FV207" s="11"/>
      <c r="FW207" s="11"/>
      <c r="FX207" s="11"/>
      <c r="FY207" s="11"/>
      <c r="FZ207" s="11"/>
      <c r="GA207" s="11"/>
      <c r="GB207" s="11"/>
      <c r="GC207" s="11"/>
      <c r="GD207" s="11"/>
      <c r="GE207" s="11"/>
      <c r="GF207" s="11"/>
      <c r="GG207" s="11"/>
      <c r="GH207" s="11"/>
      <c r="GI207" s="11"/>
      <c r="GJ207" s="11"/>
      <c r="GK207" s="11"/>
      <c r="GL207" s="11"/>
      <c r="GM207" s="11"/>
      <c r="GN207" s="11"/>
      <c r="GO207" s="11"/>
      <c r="GP207" s="11"/>
      <c r="GQ207" s="11"/>
      <c r="GR207" s="11"/>
    </row>
    <row r="208" spans="2:200" x14ac:dyDescent="0.15"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11"/>
      <c r="CW208" s="11"/>
      <c r="CX208" s="11"/>
      <c r="CY208" s="11"/>
      <c r="CZ208" s="11"/>
      <c r="DA208" s="11"/>
      <c r="DB208" s="11"/>
      <c r="DC208" s="11"/>
      <c r="DD208" s="11"/>
      <c r="DE208" s="11"/>
      <c r="DF208" s="11"/>
      <c r="DG208" s="11"/>
      <c r="DH208" s="11"/>
      <c r="DI208" s="11"/>
      <c r="DJ208" s="11"/>
      <c r="DK208" s="11"/>
      <c r="DL208" s="11"/>
      <c r="DM208" s="11"/>
      <c r="DN208" s="11"/>
      <c r="DO208" s="11"/>
      <c r="DP208" s="11"/>
      <c r="DQ208" s="11"/>
      <c r="DR208" s="11"/>
      <c r="DS208" s="11"/>
      <c r="DT208" s="11"/>
      <c r="DU208" s="11"/>
      <c r="DV208" s="11"/>
      <c r="DW208" s="11"/>
      <c r="DX208" s="11"/>
      <c r="DY208" s="11"/>
      <c r="DZ208" s="11"/>
      <c r="EA208" s="11"/>
      <c r="EB208" s="11"/>
      <c r="EC208" s="11"/>
      <c r="ED208" s="11"/>
      <c r="EE208" s="11"/>
      <c r="EF208" s="11"/>
      <c r="EG208" s="11"/>
      <c r="EH208" s="11"/>
      <c r="EI208" s="11"/>
      <c r="EJ208" s="11"/>
      <c r="EK208" s="11"/>
      <c r="EL208" s="11"/>
      <c r="EM208" s="11"/>
      <c r="EN208" s="11"/>
      <c r="EO208" s="11"/>
      <c r="EP208" s="11"/>
      <c r="EQ208" s="11"/>
      <c r="ER208" s="11"/>
      <c r="ES208" s="11"/>
      <c r="ET208" s="11"/>
      <c r="EU208" s="11"/>
      <c r="EV208" s="11"/>
      <c r="EW208" s="11"/>
      <c r="EX208" s="11"/>
      <c r="EY208" s="11"/>
      <c r="EZ208" s="11"/>
      <c r="FA208" s="11"/>
      <c r="FB208" s="11"/>
      <c r="FC208" s="11"/>
      <c r="FD208" s="11"/>
      <c r="FE208" s="11"/>
      <c r="FF208" s="11"/>
      <c r="FG208" s="11"/>
      <c r="FH208" s="11"/>
      <c r="FI208" s="11"/>
      <c r="FJ208" s="11"/>
      <c r="FK208" s="11"/>
      <c r="FL208" s="11"/>
      <c r="FM208" s="11"/>
      <c r="FN208" s="11"/>
      <c r="FO208" s="11"/>
      <c r="FP208" s="11"/>
      <c r="FQ208" s="11"/>
      <c r="FR208" s="11"/>
      <c r="FS208" s="11"/>
      <c r="FT208" s="11"/>
      <c r="FU208" s="11"/>
      <c r="FV208" s="11"/>
      <c r="FW208" s="11"/>
      <c r="FX208" s="11"/>
      <c r="FY208" s="11"/>
      <c r="FZ208" s="11"/>
      <c r="GA208" s="11"/>
      <c r="GB208" s="11"/>
      <c r="GC208" s="11"/>
      <c r="GD208" s="11"/>
      <c r="GE208" s="11"/>
      <c r="GF208" s="11"/>
      <c r="GG208" s="11"/>
      <c r="GH208" s="11"/>
      <c r="GI208" s="11"/>
      <c r="GJ208" s="11"/>
      <c r="GK208" s="11"/>
      <c r="GL208" s="11"/>
      <c r="GM208" s="11"/>
      <c r="GN208" s="11"/>
      <c r="GO208" s="11"/>
      <c r="GP208" s="11"/>
      <c r="GQ208" s="11"/>
      <c r="GR208" s="11"/>
    </row>
    <row r="209" spans="2:200" x14ac:dyDescent="0.15"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11"/>
      <c r="CW209" s="11"/>
      <c r="CX209" s="11"/>
      <c r="CY209" s="11"/>
      <c r="CZ209" s="11"/>
      <c r="DA209" s="11"/>
      <c r="DB209" s="11"/>
      <c r="DC209" s="11"/>
      <c r="DD209" s="11"/>
      <c r="DE209" s="11"/>
      <c r="DF209" s="11"/>
      <c r="DG209" s="11"/>
      <c r="DH209" s="11"/>
      <c r="DI209" s="11"/>
      <c r="DJ209" s="11"/>
      <c r="DK209" s="11"/>
      <c r="DL209" s="11"/>
      <c r="DM209" s="11"/>
      <c r="DN209" s="11"/>
      <c r="DO209" s="11"/>
      <c r="DP209" s="11"/>
      <c r="DQ209" s="11"/>
      <c r="DR209" s="11"/>
      <c r="DS209" s="11"/>
      <c r="DT209" s="11"/>
      <c r="DU209" s="11"/>
      <c r="DV209" s="11"/>
      <c r="DW209" s="11"/>
      <c r="DX209" s="11"/>
      <c r="DY209" s="11"/>
      <c r="DZ209" s="11"/>
      <c r="EA209" s="11"/>
      <c r="EB209" s="11"/>
      <c r="EC209" s="11"/>
      <c r="ED209" s="11"/>
      <c r="EE209" s="11"/>
      <c r="EF209" s="11"/>
      <c r="EG209" s="11"/>
      <c r="EH209" s="11"/>
      <c r="EI209" s="11"/>
      <c r="EJ209" s="11"/>
      <c r="EK209" s="11"/>
      <c r="EL209" s="11"/>
      <c r="EM209" s="11"/>
      <c r="EN209" s="11"/>
      <c r="EO209" s="11"/>
      <c r="EP209" s="11"/>
      <c r="EQ209" s="11"/>
      <c r="ER209" s="11"/>
      <c r="ES209" s="11"/>
      <c r="ET209" s="11"/>
      <c r="EU209" s="11"/>
      <c r="EV209" s="11"/>
      <c r="EW209" s="11"/>
      <c r="EX209" s="11"/>
      <c r="EY209" s="11"/>
      <c r="EZ209" s="11"/>
      <c r="FA209" s="11"/>
      <c r="FB209" s="11"/>
      <c r="FC209" s="11"/>
      <c r="FD209" s="11"/>
      <c r="FE209" s="11"/>
      <c r="FF209" s="11"/>
      <c r="FG209" s="11"/>
      <c r="FH209" s="11"/>
      <c r="FI209" s="11"/>
      <c r="FJ209" s="11"/>
      <c r="FK209" s="11"/>
      <c r="FL209" s="11"/>
      <c r="FM209" s="11"/>
      <c r="FN209" s="11"/>
      <c r="FO209" s="11"/>
      <c r="FP209" s="11"/>
      <c r="FQ209" s="11"/>
      <c r="FR209" s="11"/>
      <c r="FS209" s="11"/>
      <c r="FT209" s="11"/>
      <c r="FU209" s="11"/>
      <c r="FV209" s="11"/>
      <c r="FW209" s="11"/>
      <c r="FX209" s="11"/>
      <c r="FY209" s="11"/>
      <c r="FZ209" s="11"/>
      <c r="GA209" s="11"/>
      <c r="GB209" s="11"/>
      <c r="GC209" s="11"/>
      <c r="GD209" s="11"/>
      <c r="GE209" s="11"/>
      <c r="GF209" s="11"/>
      <c r="GG209" s="11"/>
      <c r="GH209" s="11"/>
      <c r="GI209" s="11"/>
      <c r="GJ209" s="11"/>
      <c r="GK209" s="11"/>
      <c r="GL209" s="11"/>
      <c r="GM209" s="11"/>
      <c r="GN209" s="11"/>
      <c r="GO209" s="11"/>
      <c r="GP209" s="11"/>
      <c r="GQ209" s="11"/>
      <c r="GR209" s="11"/>
    </row>
    <row r="210" spans="2:200" x14ac:dyDescent="0.15"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11"/>
      <c r="CW210" s="11"/>
      <c r="CX210" s="11"/>
      <c r="CY210" s="11"/>
      <c r="CZ210" s="11"/>
      <c r="DA210" s="11"/>
      <c r="DB210" s="11"/>
      <c r="DC210" s="11"/>
      <c r="DD210" s="11"/>
      <c r="DE210" s="11"/>
      <c r="DF210" s="11"/>
      <c r="DG210" s="11"/>
      <c r="DH210" s="11"/>
      <c r="DI210" s="11"/>
      <c r="DJ210" s="11"/>
      <c r="DK210" s="11"/>
      <c r="DL210" s="11"/>
      <c r="DM210" s="11"/>
      <c r="DN210" s="11"/>
      <c r="DO210" s="11"/>
      <c r="DP210" s="11"/>
      <c r="DQ210" s="11"/>
      <c r="DR210" s="11"/>
      <c r="DS210" s="11"/>
      <c r="DT210" s="11"/>
      <c r="DU210" s="11"/>
      <c r="DV210" s="11"/>
      <c r="DW210" s="11"/>
      <c r="DX210" s="11"/>
      <c r="DY210" s="11"/>
      <c r="DZ210" s="11"/>
      <c r="EA210" s="11"/>
      <c r="EB210" s="11"/>
      <c r="EC210" s="11"/>
      <c r="ED210" s="11"/>
      <c r="EE210" s="11"/>
      <c r="EF210" s="11"/>
      <c r="EG210" s="11"/>
      <c r="EH210" s="11"/>
      <c r="EI210" s="11"/>
      <c r="EJ210" s="11"/>
      <c r="EK210" s="11"/>
      <c r="EL210" s="11"/>
      <c r="EM210" s="11"/>
      <c r="EN210" s="11"/>
      <c r="EO210" s="11"/>
      <c r="EP210" s="11"/>
      <c r="EQ210" s="11"/>
      <c r="ER210" s="11"/>
      <c r="ES210" s="11"/>
      <c r="ET210" s="11"/>
      <c r="EU210" s="11"/>
      <c r="EV210" s="11"/>
      <c r="EW210" s="11"/>
      <c r="EX210" s="11"/>
      <c r="EY210" s="11"/>
      <c r="EZ210" s="11"/>
      <c r="FA210" s="11"/>
      <c r="FB210" s="11"/>
      <c r="FC210" s="11"/>
      <c r="FD210" s="11"/>
      <c r="FE210" s="11"/>
      <c r="FF210" s="11"/>
      <c r="FG210" s="11"/>
      <c r="FH210" s="11"/>
      <c r="FI210" s="11"/>
      <c r="FJ210" s="11"/>
      <c r="FK210" s="11"/>
      <c r="FL210" s="11"/>
      <c r="FM210" s="11"/>
      <c r="FN210" s="11"/>
      <c r="FO210" s="11"/>
      <c r="FP210" s="11"/>
      <c r="FQ210" s="11"/>
      <c r="FR210" s="11"/>
      <c r="FS210" s="11"/>
      <c r="FT210" s="11"/>
      <c r="FU210" s="11"/>
      <c r="FV210" s="11"/>
      <c r="FW210" s="11"/>
      <c r="FX210" s="11"/>
      <c r="FY210" s="11"/>
      <c r="FZ210" s="11"/>
      <c r="GA210" s="11"/>
      <c r="GB210" s="11"/>
      <c r="GC210" s="11"/>
      <c r="GD210" s="11"/>
      <c r="GE210" s="11"/>
      <c r="GF210" s="11"/>
      <c r="GG210" s="11"/>
      <c r="GH210" s="11"/>
      <c r="GI210" s="11"/>
      <c r="GJ210" s="11"/>
      <c r="GK210" s="11"/>
      <c r="GL210" s="11"/>
      <c r="GM210" s="11"/>
      <c r="GN210" s="11"/>
      <c r="GO210" s="11"/>
      <c r="GP210" s="11"/>
      <c r="GQ210" s="11"/>
      <c r="GR210" s="11"/>
    </row>
    <row r="211" spans="2:200" x14ac:dyDescent="0.15"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11"/>
      <c r="CW211" s="11"/>
      <c r="CX211" s="11"/>
      <c r="CY211" s="11"/>
      <c r="CZ211" s="11"/>
      <c r="DA211" s="11"/>
      <c r="DB211" s="11"/>
      <c r="DC211" s="11"/>
      <c r="DD211" s="11"/>
      <c r="DE211" s="11"/>
      <c r="DF211" s="11"/>
      <c r="DG211" s="11"/>
      <c r="DH211" s="11"/>
      <c r="DI211" s="11"/>
      <c r="DJ211" s="11"/>
      <c r="DK211" s="11"/>
      <c r="DL211" s="11"/>
      <c r="DM211" s="11"/>
      <c r="DN211" s="11"/>
      <c r="DO211" s="11"/>
      <c r="DP211" s="11"/>
      <c r="DQ211" s="11"/>
      <c r="DR211" s="11"/>
      <c r="DS211" s="11"/>
      <c r="DT211" s="11"/>
      <c r="DU211" s="11"/>
      <c r="DV211" s="11"/>
      <c r="DW211" s="11"/>
      <c r="DX211" s="11"/>
      <c r="DY211" s="11"/>
      <c r="DZ211" s="11"/>
      <c r="EA211" s="11"/>
      <c r="EB211" s="11"/>
      <c r="EC211" s="11"/>
      <c r="ED211" s="11"/>
      <c r="EE211" s="11"/>
      <c r="EF211" s="11"/>
      <c r="EG211" s="11"/>
      <c r="EH211" s="11"/>
      <c r="EI211" s="11"/>
      <c r="EJ211" s="11"/>
      <c r="EK211" s="11"/>
      <c r="EL211" s="11"/>
      <c r="EM211" s="11"/>
      <c r="EN211" s="11"/>
      <c r="EO211" s="11"/>
      <c r="EP211" s="11"/>
      <c r="EQ211" s="11"/>
      <c r="ER211" s="11"/>
      <c r="ES211" s="11"/>
      <c r="ET211" s="11"/>
      <c r="EU211" s="11"/>
      <c r="EV211" s="11"/>
      <c r="EW211" s="11"/>
      <c r="EX211" s="11"/>
      <c r="EY211" s="11"/>
      <c r="EZ211" s="11"/>
      <c r="FA211" s="11"/>
      <c r="FB211" s="11"/>
      <c r="FC211" s="11"/>
      <c r="FD211" s="11"/>
      <c r="FE211" s="11"/>
      <c r="FF211" s="11"/>
      <c r="FG211" s="11"/>
      <c r="FH211" s="11"/>
      <c r="FI211" s="11"/>
      <c r="FJ211" s="11"/>
      <c r="FK211" s="11"/>
      <c r="FL211" s="11"/>
      <c r="FM211" s="11"/>
      <c r="FN211" s="11"/>
      <c r="FO211" s="11"/>
      <c r="FP211" s="11"/>
      <c r="FQ211" s="11"/>
      <c r="FR211" s="11"/>
      <c r="FS211" s="11"/>
      <c r="FT211" s="11"/>
      <c r="FU211" s="11"/>
      <c r="FV211" s="11"/>
      <c r="FW211" s="11"/>
      <c r="FX211" s="11"/>
      <c r="FY211" s="11"/>
      <c r="FZ211" s="11"/>
      <c r="GA211" s="11"/>
      <c r="GB211" s="11"/>
      <c r="GC211" s="11"/>
      <c r="GD211" s="11"/>
      <c r="GE211" s="11"/>
      <c r="GF211" s="11"/>
      <c r="GG211" s="11"/>
      <c r="GH211" s="11"/>
      <c r="GI211" s="11"/>
      <c r="GJ211" s="11"/>
      <c r="GK211" s="11"/>
      <c r="GL211" s="11"/>
      <c r="GM211" s="11"/>
      <c r="GN211" s="11"/>
      <c r="GO211" s="11"/>
      <c r="GP211" s="11"/>
      <c r="GQ211" s="11"/>
      <c r="GR211" s="11"/>
    </row>
    <row r="212" spans="2:200" x14ac:dyDescent="0.15"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1"/>
      <c r="CL212" s="11"/>
      <c r="CM212" s="11"/>
      <c r="CN212" s="11"/>
      <c r="CO212" s="11"/>
      <c r="CP212" s="11"/>
      <c r="CQ212" s="11"/>
      <c r="CR212" s="11"/>
      <c r="CS212" s="11"/>
      <c r="CT212" s="11"/>
      <c r="CU212" s="11"/>
      <c r="CV212" s="11"/>
      <c r="CW212" s="11"/>
      <c r="CX212" s="11"/>
      <c r="CY212" s="11"/>
      <c r="CZ212" s="11"/>
      <c r="DA212" s="11"/>
      <c r="DB212" s="11"/>
      <c r="DC212" s="11"/>
      <c r="DD212" s="11"/>
      <c r="DE212" s="11"/>
      <c r="DF212" s="11"/>
      <c r="DG212" s="11"/>
      <c r="DH212" s="11"/>
      <c r="DI212" s="11"/>
      <c r="DJ212" s="11"/>
      <c r="DK212" s="11"/>
      <c r="DL212" s="11"/>
      <c r="DM212" s="11"/>
      <c r="DN212" s="11"/>
      <c r="DO212" s="11"/>
      <c r="DP212" s="11"/>
      <c r="DQ212" s="11"/>
      <c r="DR212" s="11"/>
      <c r="DS212" s="11"/>
      <c r="DT212" s="11"/>
      <c r="DU212" s="11"/>
      <c r="DV212" s="11"/>
      <c r="DW212" s="11"/>
      <c r="DX212" s="11"/>
      <c r="DY212" s="11"/>
      <c r="DZ212" s="11"/>
      <c r="EA212" s="11"/>
      <c r="EB212" s="11"/>
      <c r="EC212" s="11"/>
      <c r="ED212" s="11"/>
      <c r="EE212" s="11"/>
      <c r="EF212" s="11"/>
      <c r="EG212" s="11"/>
      <c r="EH212" s="11"/>
      <c r="EI212" s="11"/>
      <c r="EJ212" s="11"/>
      <c r="EK212" s="11"/>
      <c r="EL212" s="11"/>
      <c r="EM212" s="11"/>
      <c r="EN212" s="11"/>
      <c r="EO212" s="11"/>
      <c r="EP212" s="11"/>
      <c r="EQ212" s="11"/>
      <c r="ER212" s="11"/>
      <c r="ES212" s="11"/>
      <c r="ET212" s="11"/>
      <c r="EU212" s="11"/>
      <c r="EV212" s="11"/>
      <c r="EW212" s="11"/>
      <c r="EX212" s="11"/>
      <c r="EY212" s="11"/>
      <c r="EZ212" s="11"/>
      <c r="FA212" s="11"/>
      <c r="FB212" s="11"/>
      <c r="FC212" s="11"/>
      <c r="FD212" s="11"/>
      <c r="FE212" s="11"/>
      <c r="FF212" s="11"/>
      <c r="FG212" s="11"/>
      <c r="FH212" s="11"/>
      <c r="FI212" s="11"/>
      <c r="FJ212" s="11"/>
      <c r="FK212" s="11"/>
      <c r="FL212" s="11"/>
      <c r="FM212" s="11"/>
      <c r="FN212" s="11"/>
      <c r="FO212" s="11"/>
      <c r="FP212" s="11"/>
      <c r="FQ212" s="11"/>
      <c r="FR212" s="11"/>
      <c r="FS212" s="11"/>
      <c r="FT212" s="11"/>
      <c r="FU212" s="11"/>
      <c r="FV212" s="11"/>
      <c r="FW212" s="11"/>
      <c r="FX212" s="11"/>
      <c r="FY212" s="11"/>
      <c r="FZ212" s="11"/>
      <c r="GA212" s="11"/>
      <c r="GB212" s="11"/>
      <c r="GC212" s="11"/>
      <c r="GD212" s="11"/>
      <c r="GE212" s="11"/>
      <c r="GF212" s="11"/>
      <c r="GG212" s="11"/>
      <c r="GH212" s="11"/>
      <c r="GI212" s="11"/>
      <c r="GJ212" s="11"/>
      <c r="GK212" s="11"/>
      <c r="GL212" s="11"/>
      <c r="GM212" s="11"/>
      <c r="GN212" s="11"/>
      <c r="GO212" s="11"/>
      <c r="GP212" s="11"/>
      <c r="GQ212" s="11"/>
      <c r="GR212" s="11"/>
    </row>
    <row r="213" spans="2:200" x14ac:dyDescent="0.15"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11"/>
      <c r="CW213" s="11"/>
      <c r="CX213" s="11"/>
      <c r="CY213" s="11"/>
      <c r="CZ213" s="11"/>
      <c r="DA213" s="11"/>
      <c r="DB213" s="11"/>
      <c r="DC213" s="11"/>
      <c r="DD213" s="11"/>
      <c r="DE213" s="11"/>
      <c r="DF213" s="11"/>
      <c r="DG213" s="11"/>
      <c r="DH213" s="11"/>
      <c r="DI213" s="11"/>
      <c r="DJ213" s="11"/>
      <c r="DK213" s="11"/>
      <c r="DL213" s="11"/>
      <c r="DM213" s="11"/>
      <c r="DN213" s="11"/>
      <c r="DO213" s="11"/>
      <c r="DP213" s="11"/>
      <c r="DQ213" s="11"/>
      <c r="DR213" s="11"/>
      <c r="DS213" s="11"/>
      <c r="DT213" s="11"/>
      <c r="DU213" s="11"/>
      <c r="DV213" s="11"/>
      <c r="DW213" s="11"/>
      <c r="DX213" s="11"/>
      <c r="DY213" s="11"/>
      <c r="DZ213" s="11"/>
      <c r="EA213" s="11"/>
      <c r="EB213" s="11"/>
      <c r="EC213" s="11"/>
      <c r="ED213" s="11"/>
      <c r="EE213" s="11"/>
      <c r="EF213" s="11"/>
      <c r="EG213" s="11"/>
      <c r="EH213" s="11"/>
      <c r="EI213" s="11"/>
      <c r="EJ213" s="11"/>
      <c r="EK213" s="11"/>
      <c r="EL213" s="11"/>
      <c r="EM213" s="11"/>
      <c r="EN213" s="11"/>
      <c r="EO213" s="11"/>
      <c r="EP213" s="11"/>
      <c r="EQ213" s="11"/>
      <c r="ER213" s="11"/>
      <c r="ES213" s="11"/>
      <c r="ET213" s="11"/>
      <c r="EU213" s="11"/>
      <c r="EV213" s="11"/>
      <c r="EW213" s="11"/>
      <c r="EX213" s="11"/>
      <c r="EY213" s="11"/>
      <c r="EZ213" s="11"/>
      <c r="FA213" s="11"/>
      <c r="FB213" s="11"/>
      <c r="FC213" s="11"/>
      <c r="FD213" s="11"/>
      <c r="FE213" s="11"/>
      <c r="FF213" s="11"/>
      <c r="FG213" s="11"/>
      <c r="FH213" s="11"/>
      <c r="FI213" s="11"/>
      <c r="FJ213" s="11"/>
      <c r="FK213" s="11"/>
      <c r="FL213" s="11"/>
      <c r="FM213" s="11"/>
      <c r="FN213" s="11"/>
      <c r="FO213" s="11"/>
      <c r="FP213" s="11"/>
      <c r="FQ213" s="11"/>
      <c r="FR213" s="11"/>
      <c r="FS213" s="11"/>
      <c r="FT213" s="11"/>
      <c r="FU213" s="11"/>
      <c r="FV213" s="11"/>
      <c r="FW213" s="11"/>
      <c r="FX213" s="11"/>
      <c r="FY213" s="11"/>
      <c r="FZ213" s="11"/>
      <c r="GA213" s="11"/>
      <c r="GB213" s="11"/>
      <c r="GC213" s="11"/>
      <c r="GD213" s="11"/>
      <c r="GE213" s="11"/>
      <c r="GF213" s="11"/>
      <c r="GG213" s="11"/>
      <c r="GH213" s="11"/>
      <c r="GI213" s="11"/>
      <c r="GJ213" s="11"/>
      <c r="GK213" s="11"/>
      <c r="GL213" s="11"/>
      <c r="GM213" s="11"/>
      <c r="GN213" s="11"/>
      <c r="GO213" s="11"/>
      <c r="GP213" s="11"/>
      <c r="GQ213" s="11"/>
      <c r="GR213" s="11"/>
    </row>
    <row r="214" spans="2:200" x14ac:dyDescent="0.15"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11"/>
      <c r="CW214" s="11"/>
      <c r="CX214" s="11"/>
      <c r="CY214" s="11"/>
      <c r="CZ214" s="11"/>
      <c r="DA214" s="11"/>
      <c r="DB214" s="11"/>
      <c r="DC214" s="11"/>
      <c r="DD214" s="11"/>
      <c r="DE214" s="11"/>
      <c r="DF214" s="11"/>
      <c r="DG214" s="11"/>
      <c r="DH214" s="11"/>
      <c r="DI214" s="11"/>
      <c r="DJ214" s="11"/>
      <c r="DK214" s="11"/>
      <c r="DL214" s="11"/>
      <c r="DM214" s="11"/>
      <c r="DN214" s="11"/>
      <c r="DO214" s="11"/>
      <c r="DP214" s="11"/>
      <c r="DQ214" s="11"/>
      <c r="DR214" s="11"/>
      <c r="DS214" s="11"/>
      <c r="DT214" s="11"/>
      <c r="DU214" s="11"/>
      <c r="DV214" s="11"/>
      <c r="DW214" s="11"/>
      <c r="DX214" s="11"/>
      <c r="DY214" s="11"/>
      <c r="DZ214" s="11"/>
      <c r="EA214" s="11"/>
      <c r="EB214" s="11"/>
      <c r="EC214" s="11"/>
      <c r="ED214" s="11"/>
      <c r="EE214" s="11"/>
      <c r="EF214" s="11"/>
      <c r="EG214" s="11"/>
      <c r="EH214" s="11"/>
      <c r="EI214" s="11"/>
      <c r="EJ214" s="11"/>
      <c r="EK214" s="11"/>
      <c r="EL214" s="11"/>
      <c r="EM214" s="11"/>
      <c r="EN214" s="11"/>
      <c r="EO214" s="11"/>
      <c r="EP214" s="11"/>
      <c r="EQ214" s="11"/>
      <c r="ER214" s="11"/>
      <c r="ES214" s="11"/>
      <c r="ET214" s="11"/>
      <c r="EU214" s="11"/>
      <c r="EV214" s="11"/>
      <c r="EW214" s="11"/>
      <c r="EX214" s="11"/>
      <c r="EY214" s="11"/>
      <c r="EZ214" s="11"/>
      <c r="FA214" s="11"/>
      <c r="FB214" s="11"/>
      <c r="FC214" s="11"/>
      <c r="FD214" s="11"/>
      <c r="FE214" s="11"/>
      <c r="FF214" s="11"/>
      <c r="FG214" s="11"/>
      <c r="FH214" s="11"/>
      <c r="FI214" s="11"/>
      <c r="FJ214" s="11"/>
      <c r="FK214" s="11"/>
      <c r="FL214" s="11"/>
      <c r="FM214" s="11"/>
      <c r="FN214" s="11"/>
      <c r="FO214" s="11"/>
      <c r="FP214" s="11"/>
      <c r="FQ214" s="11"/>
      <c r="FR214" s="11"/>
      <c r="FS214" s="11"/>
      <c r="FT214" s="11"/>
      <c r="FU214" s="11"/>
      <c r="FV214" s="11"/>
      <c r="FW214" s="11"/>
      <c r="FX214" s="11"/>
      <c r="FY214" s="11"/>
      <c r="FZ214" s="11"/>
      <c r="GA214" s="11"/>
      <c r="GB214" s="11"/>
      <c r="GC214" s="11"/>
      <c r="GD214" s="11"/>
      <c r="GE214" s="11"/>
      <c r="GF214" s="11"/>
      <c r="GG214" s="11"/>
      <c r="GH214" s="11"/>
      <c r="GI214" s="11"/>
      <c r="GJ214" s="11"/>
      <c r="GK214" s="11"/>
      <c r="GL214" s="11"/>
      <c r="GM214" s="11"/>
      <c r="GN214" s="11"/>
      <c r="GO214" s="11"/>
      <c r="GP214" s="11"/>
      <c r="GQ214" s="11"/>
      <c r="GR214" s="11"/>
    </row>
    <row r="215" spans="2:200" x14ac:dyDescent="0.15"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11"/>
      <c r="CV215" s="11"/>
      <c r="CW215" s="11"/>
      <c r="CX215" s="11"/>
      <c r="CY215" s="11"/>
      <c r="CZ215" s="11"/>
      <c r="DA215" s="11"/>
      <c r="DB215" s="11"/>
      <c r="DC215" s="11"/>
      <c r="DD215" s="11"/>
      <c r="DE215" s="11"/>
      <c r="DF215" s="11"/>
      <c r="DG215" s="11"/>
      <c r="DH215" s="11"/>
      <c r="DI215" s="11"/>
      <c r="DJ215" s="11"/>
      <c r="DK215" s="11"/>
      <c r="DL215" s="11"/>
      <c r="DM215" s="11"/>
      <c r="DN215" s="11"/>
      <c r="DO215" s="11"/>
      <c r="DP215" s="11"/>
      <c r="DQ215" s="11"/>
      <c r="DR215" s="11"/>
      <c r="DS215" s="11"/>
      <c r="DT215" s="11"/>
      <c r="DU215" s="11"/>
      <c r="DV215" s="11"/>
      <c r="DW215" s="11"/>
      <c r="DX215" s="11"/>
      <c r="DY215" s="11"/>
      <c r="DZ215" s="11"/>
      <c r="EA215" s="11"/>
      <c r="EB215" s="11"/>
      <c r="EC215" s="11"/>
      <c r="ED215" s="11"/>
      <c r="EE215" s="11"/>
      <c r="EF215" s="11"/>
      <c r="EG215" s="11"/>
      <c r="EH215" s="11"/>
      <c r="EI215" s="11"/>
      <c r="EJ215" s="11"/>
      <c r="EK215" s="11"/>
      <c r="EL215" s="11"/>
      <c r="EM215" s="11"/>
      <c r="EN215" s="11"/>
      <c r="EO215" s="11"/>
      <c r="EP215" s="11"/>
      <c r="EQ215" s="11"/>
      <c r="ER215" s="11"/>
      <c r="ES215" s="11"/>
      <c r="ET215" s="11"/>
      <c r="EU215" s="11"/>
      <c r="EV215" s="11"/>
      <c r="EW215" s="11"/>
      <c r="EX215" s="11"/>
      <c r="EY215" s="11"/>
      <c r="EZ215" s="11"/>
      <c r="FA215" s="11"/>
      <c r="FB215" s="11"/>
      <c r="FC215" s="11"/>
      <c r="FD215" s="11"/>
      <c r="FE215" s="11"/>
      <c r="FF215" s="11"/>
      <c r="FG215" s="11"/>
      <c r="FH215" s="11"/>
      <c r="FI215" s="11"/>
      <c r="FJ215" s="11"/>
      <c r="FK215" s="11"/>
      <c r="FL215" s="11"/>
      <c r="FM215" s="11"/>
      <c r="FN215" s="11"/>
      <c r="FO215" s="11"/>
      <c r="FP215" s="11"/>
      <c r="FQ215" s="11"/>
      <c r="FR215" s="11"/>
      <c r="FS215" s="11"/>
      <c r="FT215" s="11"/>
      <c r="FU215" s="11"/>
      <c r="FV215" s="11"/>
      <c r="FW215" s="11"/>
      <c r="FX215" s="11"/>
      <c r="FY215" s="11"/>
      <c r="FZ215" s="11"/>
      <c r="GA215" s="11"/>
      <c r="GB215" s="11"/>
      <c r="GC215" s="11"/>
      <c r="GD215" s="11"/>
      <c r="GE215" s="11"/>
      <c r="GF215" s="11"/>
      <c r="GG215" s="11"/>
      <c r="GH215" s="11"/>
      <c r="GI215" s="11"/>
      <c r="GJ215" s="11"/>
      <c r="GK215" s="11"/>
      <c r="GL215" s="11"/>
      <c r="GM215" s="11"/>
      <c r="GN215" s="11"/>
      <c r="GO215" s="11"/>
      <c r="GP215" s="11"/>
      <c r="GQ215" s="11"/>
      <c r="GR215" s="11"/>
    </row>
    <row r="216" spans="2:200" x14ac:dyDescent="0.15"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11"/>
      <c r="CW216" s="11"/>
      <c r="CX216" s="11"/>
      <c r="CY216" s="11"/>
      <c r="CZ216" s="11"/>
      <c r="DA216" s="11"/>
      <c r="DB216" s="11"/>
      <c r="DC216" s="11"/>
      <c r="DD216" s="11"/>
      <c r="DE216" s="11"/>
      <c r="DF216" s="11"/>
      <c r="DG216" s="11"/>
      <c r="DH216" s="11"/>
      <c r="DI216" s="11"/>
      <c r="DJ216" s="11"/>
      <c r="DK216" s="11"/>
      <c r="DL216" s="11"/>
      <c r="DM216" s="11"/>
      <c r="DN216" s="11"/>
      <c r="DO216" s="11"/>
      <c r="DP216" s="11"/>
      <c r="DQ216" s="11"/>
      <c r="DR216" s="11"/>
      <c r="DS216" s="11"/>
      <c r="DT216" s="11"/>
      <c r="DU216" s="11"/>
      <c r="DV216" s="11"/>
      <c r="DW216" s="11"/>
      <c r="DX216" s="11"/>
      <c r="DY216" s="11"/>
      <c r="DZ216" s="11"/>
      <c r="EA216" s="11"/>
      <c r="EB216" s="11"/>
      <c r="EC216" s="11"/>
      <c r="ED216" s="11"/>
      <c r="EE216" s="11"/>
      <c r="EF216" s="11"/>
      <c r="EG216" s="11"/>
      <c r="EH216" s="11"/>
      <c r="EI216" s="11"/>
      <c r="EJ216" s="11"/>
      <c r="EK216" s="11"/>
      <c r="EL216" s="11"/>
      <c r="EM216" s="11"/>
      <c r="EN216" s="11"/>
      <c r="EO216" s="11"/>
      <c r="EP216" s="11"/>
      <c r="EQ216" s="11"/>
      <c r="ER216" s="11"/>
      <c r="ES216" s="11"/>
      <c r="ET216" s="11"/>
      <c r="EU216" s="11"/>
      <c r="EV216" s="11"/>
      <c r="EW216" s="11"/>
      <c r="EX216" s="11"/>
      <c r="EY216" s="11"/>
      <c r="EZ216" s="11"/>
      <c r="FA216" s="11"/>
      <c r="FB216" s="11"/>
      <c r="FC216" s="11"/>
      <c r="FD216" s="11"/>
      <c r="FE216" s="11"/>
      <c r="FF216" s="11"/>
      <c r="FG216" s="11"/>
      <c r="FH216" s="11"/>
      <c r="FI216" s="11"/>
      <c r="FJ216" s="11"/>
      <c r="FK216" s="11"/>
      <c r="FL216" s="11"/>
      <c r="FM216" s="11"/>
      <c r="FN216" s="11"/>
      <c r="FO216" s="11"/>
      <c r="FP216" s="11"/>
      <c r="FQ216" s="11"/>
      <c r="FR216" s="11"/>
      <c r="FS216" s="11"/>
      <c r="FT216" s="11"/>
      <c r="FU216" s="11"/>
      <c r="FV216" s="11"/>
      <c r="FW216" s="11"/>
      <c r="FX216" s="11"/>
      <c r="FY216" s="11"/>
      <c r="FZ216" s="11"/>
      <c r="GA216" s="11"/>
      <c r="GB216" s="11"/>
      <c r="GC216" s="11"/>
      <c r="GD216" s="11"/>
      <c r="GE216" s="11"/>
      <c r="GF216" s="11"/>
      <c r="GG216" s="11"/>
      <c r="GH216" s="11"/>
      <c r="GI216" s="11"/>
      <c r="GJ216" s="11"/>
      <c r="GK216" s="11"/>
      <c r="GL216" s="11"/>
      <c r="GM216" s="11"/>
      <c r="GN216" s="11"/>
      <c r="GO216" s="11"/>
      <c r="GP216" s="11"/>
      <c r="GQ216" s="11"/>
      <c r="GR216" s="11"/>
    </row>
    <row r="217" spans="2:200" x14ac:dyDescent="0.15"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  <c r="CC217" s="11"/>
      <c r="CD217" s="11"/>
      <c r="CE217" s="11"/>
      <c r="CF217" s="11"/>
      <c r="CG217" s="11"/>
      <c r="CH217" s="11"/>
      <c r="CI217" s="11"/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11"/>
      <c r="CW217" s="11"/>
      <c r="CX217" s="11"/>
      <c r="CY217" s="11"/>
      <c r="CZ217" s="11"/>
      <c r="DA217" s="11"/>
      <c r="DB217" s="11"/>
      <c r="DC217" s="11"/>
      <c r="DD217" s="11"/>
      <c r="DE217" s="11"/>
      <c r="DF217" s="11"/>
      <c r="DG217" s="11"/>
      <c r="DH217" s="11"/>
      <c r="DI217" s="11"/>
      <c r="DJ217" s="11"/>
      <c r="DK217" s="11"/>
      <c r="DL217" s="11"/>
      <c r="DM217" s="11"/>
      <c r="DN217" s="11"/>
      <c r="DO217" s="11"/>
      <c r="DP217" s="11"/>
      <c r="DQ217" s="11"/>
      <c r="DR217" s="11"/>
      <c r="DS217" s="11"/>
      <c r="DT217" s="11"/>
      <c r="DU217" s="11"/>
      <c r="DV217" s="11"/>
      <c r="DW217" s="11"/>
      <c r="DX217" s="11"/>
      <c r="DY217" s="11"/>
      <c r="DZ217" s="11"/>
      <c r="EA217" s="11"/>
      <c r="EB217" s="11"/>
      <c r="EC217" s="11"/>
      <c r="ED217" s="11"/>
      <c r="EE217" s="11"/>
      <c r="EF217" s="11"/>
      <c r="EG217" s="11"/>
      <c r="EH217" s="11"/>
      <c r="EI217" s="11"/>
      <c r="EJ217" s="11"/>
      <c r="EK217" s="11"/>
      <c r="EL217" s="11"/>
      <c r="EM217" s="11"/>
      <c r="EN217" s="11"/>
      <c r="EO217" s="11"/>
      <c r="EP217" s="11"/>
      <c r="EQ217" s="11"/>
      <c r="ER217" s="11"/>
      <c r="ES217" s="11"/>
      <c r="ET217" s="11"/>
      <c r="EU217" s="11"/>
      <c r="EV217" s="11"/>
      <c r="EW217" s="11"/>
      <c r="EX217" s="11"/>
      <c r="EY217" s="11"/>
      <c r="EZ217" s="11"/>
      <c r="FA217" s="11"/>
      <c r="FB217" s="11"/>
      <c r="FC217" s="11"/>
      <c r="FD217" s="11"/>
      <c r="FE217" s="11"/>
      <c r="FF217" s="11"/>
      <c r="FG217" s="11"/>
      <c r="FH217" s="11"/>
      <c r="FI217" s="11"/>
      <c r="FJ217" s="11"/>
      <c r="FK217" s="11"/>
      <c r="FL217" s="11"/>
      <c r="FM217" s="11"/>
      <c r="FN217" s="11"/>
      <c r="FO217" s="11"/>
      <c r="FP217" s="11"/>
      <c r="FQ217" s="11"/>
      <c r="FR217" s="11"/>
      <c r="FS217" s="11"/>
      <c r="FT217" s="11"/>
      <c r="FU217" s="11"/>
      <c r="FV217" s="11"/>
      <c r="FW217" s="11"/>
      <c r="FX217" s="11"/>
      <c r="FY217" s="11"/>
      <c r="FZ217" s="11"/>
      <c r="GA217" s="11"/>
      <c r="GB217" s="11"/>
      <c r="GC217" s="11"/>
      <c r="GD217" s="11"/>
      <c r="GE217" s="11"/>
      <c r="GF217" s="11"/>
      <c r="GG217" s="11"/>
      <c r="GH217" s="11"/>
      <c r="GI217" s="11"/>
      <c r="GJ217" s="11"/>
      <c r="GK217" s="11"/>
      <c r="GL217" s="11"/>
      <c r="GM217" s="11"/>
      <c r="GN217" s="11"/>
      <c r="GO217" s="11"/>
      <c r="GP217" s="11"/>
      <c r="GQ217" s="11"/>
      <c r="GR217" s="11"/>
    </row>
    <row r="218" spans="2:200" x14ac:dyDescent="0.15"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  <c r="CC218" s="11"/>
      <c r="CD218" s="11"/>
      <c r="CE218" s="11"/>
      <c r="CF218" s="11"/>
      <c r="CG218" s="11"/>
      <c r="CH218" s="11"/>
      <c r="CI218" s="11"/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11"/>
      <c r="CW218" s="11"/>
      <c r="CX218" s="11"/>
      <c r="CY218" s="11"/>
      <c r="CZ218" s="11"/>
      <c r="DA218" s="11"/>
      <c r="DB218" s="11"/>
      <c r="DC218" s="11"/>
      <c r="DD218" s="11"/>
      <c r="DE218" s="11"/>
      <c r="DF218" s="11"/>
      <c r="DG218" s="11"/>
      <c r="DH218" s="11"/>
      <c r="DI218" s="11"/>
      <c r="DJ218" s="11"/>
      <c r="DK218" s="11"/>
      <c r="DL218" s="11"/>
      <c r="DM218" s="11"/>
      <c r="DN218" s="11"/>
      <c r="DO218" s="11"/>
      <c r="DP218" s="11"/>
      <c r="DQ218" s="11"/>
      <c r="DR218" s="11"/>
      <c r="DS218" s="11"/>
      <c r="DT218" s="11"/>
      <c r="DU218" s="11"/>
      <c r="DV218" s="11"/>
      <c r="DW218" s="11"/>
      <c r="DX218" s="11"/>
      <c r="DY218" s="11"/>
      <c r="DZ218" s="11"/>
      <c r="EA218" s="11"/>
      <c r="EB218" s="11"/>
      <c r="EC218" s="11"/>
      <c r="ED218" s="11"/>
      <c r="EE218" s="11"/>
      <c r="EF218" s="11"/>
      <c r="EG218" s="11"/>
      <c r="EH218" s="11"/>
      <c r="EI218" s="11"/>
      <c r="EJ218" s="11"/>
      <c r="EK218" s="11"/>
      <c r="EL218" s="11"/>
      <c r="EM218" s="11"/>
      <c r="EN218" s="11"/>
      <c r="EO218" s="11"/>
      <c r="EP218" s="11"/>
      <c r="EQ218" s="11"/>
      <c r="ER218" s="11"/>
      <c r="ES218" s="11"/>
      <c r="ET218" s="11"/>
      <c r="EU218" s="11"/>
      <c r="EV218" s="11"/>
      <c r="EW218" s="11"/>
      <c r="EX218" s="11"/>
      <c r="EY218" s="11"/>
      <c r="EZ218" s="11"/>
      <c r="FA218" s="11"/>
      <c r="FB218" s="11"/>
      <c r="FC218" s="11"/>
      <c r="FD218" s="11"/>
      <c r="FE218" s="11"/>
      <c r="FF218" s="11"/>
      <c r="FG218" s="11"/>
      <c r="FH218" s="11"/>
      <c r="FI218" s="11"/>
      <c r="FJ218" s="11"/>
      <c r="FK218" s="11"/>
      <c r="FL218" s="11"/>
      <c r="FM218" s="11"/>
      <c r="FN218" s="11"/>
      <c r="FO218" s="11"/>
      <c r="FP218" s="11"/>
      <c r="FQ218" s="11"/>
      <c r="FR218" s="11"/>
      <c r="FS218" s="11"/>
      <c r="FT218" s="11"/>
      <c r="FU218" s="11"/>
      <c r="FV218" s="11"/>
      <c r="FW218" s="11"/>
      <c r="FX218" s="11"/>
      <c r="FY218" s="11"/>
      <c r="FZ218" s="11"/>
      <c r="GA218" s="11"/>
      <c r="GB218" s="11"/>
      <c r="GC218" s="11"/>
      <c r="GD218" s="11"/>
      <c r="GE218" s="11"/>
      <c r="GF218" s="11"/>
      <c r="GG218" s="11"/>
      <c r="GH218" s="11"/>
      <c r="GI218" s="11"/>
      <c r="GJ218" s="11"/>
      <c r="GK218" s="11"/>
      <c r="GL218" s="11"/>
      <c r="GM218" s="11"/>
      <c r="GN218" s="11"/>
      <c r="GO218" s="11"/>
      <c r="GP218" s="11"/>
      <c r="GQ218" s="11"/>
      <c r="GR218" s="11"/>
    </row>
    <row r="219" spans="2:200" x14ac:dyDescent="0.15"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  <c r="CC219" s="11"/>
      <c r="CD219" s="11"/>
      <c r="CE219" s="11"/>
      <c r="CF219" s="11"/>
      <c r="CG219" s="11"/>
      <c r="CH219" s="11"/>
      <c r="CI219" s="11"/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11"/>
      <c r="CW219" s="11"/>
      <c r="CX219" s="11"/>
      <c r="CY219" s="11"/>
      <c r="CZ219" s="11"/>
      <c r="DA219" s="11"/>
      <c r="DB219" s="11"/>
      <c r="DC219" s="11"/>
      <c r="DD219" s="11"/>
      <c r="DE219" s="11"/>
      <c r="DF219" s="11"/>
      <c r="DG219" s="11"/>
      <c r="DH219" s="11"/>
      <c r="DI219" s="11"/>
      <c r="DJ219" s="11"/>
      <c r="DK219" s="11"/>
      <c r="DL219" s="11"/>
      <c r="DM219" s="11"/>
      <c r="DN219" s="11"/>
      <c r="DO219" s="11"/>
      <c r="DP219" s="11"/>
      <c r="DQ219" s="11"/>
      <c r="DR219" s="11"/>
      <c r="DS219" s="11"/>
      <c r="DT219" s="11"/>
      <c r="DU219" s="11"/>
      <c r="DV219" s="11"/>
      <c r="DW219" s="11"/>
      <c r="DX219" s="11"/>
      <c r="DY219" s="11"/>
      <c r="DZ219" s="11"/>
      <c r="EA219" s="11"/>
      <c r="EB219" s="11"/>
      <c r="EC219" s="11"/>
      <c r="ED219" s="11"/>
      <c r="EE219" s="11"/>
      <c r="EF219" s="11"/>
      <c r="EG219" s="11"/>
      <c r="EH219" s="11"/>
      <c r="EI219" s="11"/>
      <c r="EJ219" s="11"/>
      <c r="EK219" s="11"/>
      <c r="EL219" s="11"/>
      <c r="EM219" s="11"/>
      <c r="EN219" s="11"/>
      <c r="EO219" s="11"/>
      <c r="EP219" s="11"/>
      <c r="EQ219" s="11"/>
      <c r="ER219" s="11"/>
      <c r="ES219" s="11"/>
      <c r="ET219" s="11"/>
      <c r="EU219" s="11"/>
      <c r="EV219" s="11"/>
      <c r="EW219" s="11"/>
      <c r="EX219" s="11"/>
      <c r="EY219" s="11"/>
      <c r="EZ219" s="11"/>
      <c r="FA219" s="11"/>
      <c r="FB219" s="11"/>
      <c r="FC219" s="11"/>
      <c r="FD219" s="11"/>
      <c r="FE219" s="11"/>
      <c r="FF219" s="11"/>
      <c r="FG219" s="11"/>
      <c r="FH219" s="11"/>
      <c r="FI219" s="11"/>
      <c r="FJ219" s="11"/>
      <c r="FK219" s="11"/>
      <c r="FL219" s="11"/>
      <c r="FM219" s="11"/>
      <c r="FN219" s="11"/>
      <c r="FO219" s="11"/>
      <c r="FP219" s="11"/>
      <c r="FQ219" s="11"/>
      <c r="FR219" s="11"/>
      <c r="FS219" s="11"/>
      <c r="FT219" s="11"/>
      <c r="FU219" s="11"/>
      <c r="FV219" s="11"/>
      <c r="FW219" s="11"/>
      <c r="FX219" s="11"/>
      <c r="FY219" s="11"/>
      <c r="FZ219" s="11"/>
      <c r="GA219" s="11"/>
      <c r="GB219" s="11"/>
      <c r="GC219" s="11"/>
      <c r="GD219" s="11"/>
      <c r="GE219" s="11"/>
      <c r="GF219" s="11"/>
      <c r="GG219" s="11"/>
      <c r="GH219" s="11"/>
      <c r="GI219" s="11"/>
      <c r="GJ219" s="11"/>
      <c r="GK219" s="11"/>
      <c r="GL219" s="11"/>
      <c r="GM219" s="11"/>
      <c r="GN219" s="11"/>
      <c r="GO219" s="11"/>
      <c r="GP219" s="11"/>
      <c r="GQ219" s="11"/>
      <c r="GR219" s="11"/>
    </row>
    <row r="220" spans="2:200" x14ac:dyDescent="0.15"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11"/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11"/>
      <c r="CW220" s="11"/>
      <c r="CX220" s="11"/>
      <c r="CY220" s="11"/>
      <c r="CZ220" s="11"/>
      <c r="DA220" s="11"/>
      <c r="DB220" s="11"/>
      <c r="DC220" s="11"/>
      <c r="DD220" s="11"/>
      <c r="DE220" s="11"/>
      <c r="DF220" s="11"/>
      <c r="DG220" s="11"/>
      <c r="DH220" s="11"/>
      <c r="DI220" s="11"/>
      <c r="DJ220" s="11"/>
      <c r="DK220" s="11"/>
      <c r="DL220" s="11"/>
      <c r="DM220" s="11"/>
      <c r="DN220" s="11"/>
      <c r="DO220" s="11"/>
      <c r="DP220" s="11"/>
      <c r="DQ220" s="11"/>
      <c r="DR220" s="11"/>
      <c r="DS220" s="11"/>
      <c r="DT220" s="11"/>
      <c r="DU220" s="11"/>
      <c r="DV220" s="11"/>
      <c r="DW220" s="11"/>
      <c r="DX220" s="11"/>
      <c r="DY220" s="11"/>
      <c r="DZ220" s="11"/>
      <c r="EA220" s="11"/>
      <c r="EB220" s="11"/>
      <c r="EC220" s="11"/>
      <c r="ED220" s="11"/>
      <c r="EE220" s="11"/>
      <c r="EF220" s="11"/>
      <c r="EG220" s="11"/>
      <c r="EH220" s="11"/>
      <c r="EI220" s="11"/>
      <c r="EJ220" s="11"/>
      <c r="EK220" s="11"/>
      <c r="EL220" s="11"/>
      <c r="EM220" s="11"/>
      <c r="EN220" s="11"/>
      <c r="EO220" s="11"/>
      <c r="EP220" s="11"/>
      <c r="EQ220" s="11"/>
      <c r="ER220" s="11"/>
      <c r="ES220" s="11"/>
      <c r="ET220" s="11"/>
      <c r="EU220" s="11"/>
      <c r="EV220" s="11"/>
      <c r="EW220" s="11"/>
      <c r="EX220" s="11"/>
      <c r="EY220" s="11"/>
      <c r="EZ220" s="11"/>
      <c r="FA220" s="11"/>
      <c r="FB220" s="11"/>
      <c r="FC220" s="11"/>
      <c r="FD220" s="11"/>
      <c r="FE220" s="11"/>
      <c r="FF220" s="11"/>
      <c r="FG220" s="11"/>
      <c r="FH220" s="11"/>
      <c r="FI220" s="11"/>
      <c r="FJ220" s="11"/>
      <c r="FK220" s="11"/>
      <c r="FL220" s="11"/>
      <c r="FM220" s="11"/>
      <c r="FN220" s="11"/>
      <c r="FO220" s="11"/>
      <c r="FP220" s="11"/>
      <c r="FQ220" s="11"/>
      <c r="FR220" s="11"/>
      <c r="FS220" s="11"/>
      <c r="FT220" s="11"/>
      <c r="FU220" s="11"/>
      <c r="FV220" s="11"/>
      <c r="FW220" s="11"/>
      <c r="FX220" s="11"/>
      <c r="FY220" s="11"/>
      <c r="FZ220" s="11"/>
      <c r="GA220" s="11"/>
      <c r="GB220" s="11"/>
      <c r="GC220" s="11"/>
      <c r="GD220" s="11"/>
      <c r="GE220" s="11"/>
      <c r="GF220" s="11"/>
      <c r="GG220" s="11"/>
      <c r="GH220" s="11"/>
      <c r="GI220" s="11"/>
      <c r="GJ220" s="11"/>
      <c r="GK220" s="11"/>
      <c r="GL220" s="11"/>
      <c r="GM220" s="11"/>
      <c r="GN220" s="11"/>
      <c r="GO220" s="11"/>
      <c r="GP220" s="11"/>
      <c r="GQ220" s="11"/>
      <c r="GR220" s="11"/>
    </row>
    <row r="221" spans="2:200" x14ac:dyDescent="0.15"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11"/>
      <c r="CI221" s="11"/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11"/>
      <c r="CW221" s="11"/>
      <c r="CX221" s="11"/>
      <c r="CY221" s="11"/>
      <c r="CZ221" s="11"/>
      <c r="DA221" s="11"/>
      <c r="DB221" s="11"/>
      <c r="DC221" s="11"/>
      <c r="DD221" s="11"/>
      <c r="DE221" s="11"/>
      <c r="DF221" s="11"/>
      <c r="DG221" s="11"/>
      <c r="DH221" s="11"/>
      <c r="DI221" s="11"/>
      <c r="DJ221" s="11"/>
      <c r="DK221" s="11"/>
      <c r="DL221" s="11"/>
      <c r="DM221" s="11"/>
      <c r="DN221" s="11"/>
      <c r="DO221" s="11"/>
      <c r="DP221" s="11"/>
      <c r="DQ221" s="11"/>
      <c r="DR221" s="11"/>
      <c r="DS221" s="11"/>
      <c r="DT221" s="11"/>
      <c r="DU221" s="11"/>
      <c r="DV221" s="11"/>
      <c r="DW221" s="11"/>
      <c r="DX221" s="11"/>
      <c r="DY221" s="11"/>
      <c r="DZ221" s="11"/>
      <c r="EA221" s="11"/>
      <c r="EB221" s="11"/>
      <c r="EC221" s="11"/>
      <c r="ED221" s="11"/>
      <c r="EE221" s="11"/>
      <c r="EF221" s="11"/>
      <c r="EG221" s="11"/>
      <c r="EH221" s="11"/>
      <c r="EI221" s="11"/>
      <c r="EJ221" s="11"/>
      <c r="EK221" s="11"/>
      <c r="EL221" s="11"/>
      <c r="EM221" s="11"/>
      <c r="EN221" s="11"/>
      <c r="EO221" s="11"/>
      <c r="EP221" s="11"/>
      <c r="EQ221" s="11"/>
      <c r="ER221" s="11"/>
      <c r="ES221" s="11"/>
      <c r="ET221" s="11"/>
      <c r="EU221" s="11"/>
      <c r="EV221" s="11"/>
      <c r="EW221" s="11"/>
      <c r="EX221" s="11"/>
      <c r="EY221" s="11"/>
      <c r="EZ221" s="11"/>
      <c r="FA221" s="11"/>
      <c r="FB221" s="11"/>
      <c r="FC221" s="11"/>
      <c r="FD221" s="11"/>
      <c r="FE221" s="11"/>
      <c r="FF221" s="11"/>
      <c r="FG221" s="11"/>
      <c r="FH221" s="11"/>
      <c r="FI221" s="11"/>
      <c r="FJ221" s="11"/>
      <c r="FK221" s="11"/>
      <c r="FL221" s="11"/>
      <c r="FM221" s="11"/>
      <c r="FN221" s="11"/>
      <c r="FO221" s="11"/>
      <c r="FP221" s="11"/>
      <c r="FQ221" s="11"/>
      <c r="FR221" s="11"/>
      <c r="FS221" s="11"/>
      <c r="FT221" s="11"/>
      <c r="FU221" s="11"/>
      <c r="FV221" s="11"/>
      <c r="FW221" s="11"/>
      <c r="FX221" s="11"/>
      <c r="FY221" s="11"/>
      <c r="FZ221" s="11"/>
      <c r="GA221" s="11"/>
      <c r="GB221" s="11"/>
      <c r="GC221" s="11"/>
      <c r="GD221" s="11"/>
      <c r="GE221" s="11"/>
      <c r="GF221" s="11"/>
      <c r="GG221" s="11"/>
      <c r="GH221" s="11"/>
      <c r="GI221" s="11"/>
      <c r="GJ221" s="11"/>
      <c r="GK221" s="11"/>
      <c r="GL221" s="11"/>
      <c r="GM221" s="11"/>
      <c r="GN221" s="11"/>
      <c r="GO221" s="11"/>
      <c r="GP221" s="11"/>
      <c r="GQ221" s="11"/>
      <c r="GR221" s="11"/>
    </row>
    <row r="222" spans="2:200" x14ac:dyDescent="0.15"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11"/>
      <c r="CF222" s="11"/>
      <c r="CG222" s="11"/>
      <c r="CH222" s="11"/>
      <c r="CI222" s="11"/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11"/>
      <c r="CW222" s="11"/>
      <c r="CX222" s="11"/>
      <c r="CY222" s="11"/>
      <c r="CZ222" s="11"/>
      <c r="DA222" s="11"/>
      <c r="DB222" s="11"/>
      <c r="DC222" s="11"/>
      <c r="DD222" s="11"/>
      <c r="DE222" s="11"/>
      <c r="DF222" s="11"/>
      <c r="DG222" s="11"/>
      <c r="DH222" s="11"/>
      <c r="DI222" s="11"/>
      <c r="DJ222" s="11"/>
      <c r="DK222" s="11"/>
      <c r="DL222" s="11"/>
      <c r="DM222" s="11"/>
      <c r="DN222" s="11"/>
      <c r="DO222" s="11"/>
      <c r="DP222" s="11"/>
      <c r="DQ222" s="11"/>
      <c r="DR222" s="11"/>
      <c r="DS222" s="11"/>
      <c r="DT222" s="11"/>
      <c r="DU222" s="11"/>
      <c r="DV222" s="11"/>
      <c r="DW222" s="11"/>
      <c r="DX222" s="11"/>
      <c r="DY222" s="11"/>
      <c r="DZ222" s="11"/>
      <c r="EA222" s="11"/>
      <c r="EB222" s="11"/>
      <c r="EC222" s="11"/>
      <c r="ED222" s="11"/>
      <c r="EE222" s="11"/>
      <c r="EF222" s="11"/>
      <c r="EG222" s="11"/>
      <c r="EH222" s="11"/>
      <c r="EI222" s="11"/>
      <c r="EJ222" s="11"/>
      <c r="EK222" s="11"/>
      <c r="EL222" s="11"/>
      <c r="EM222" s="11"/>
      <c r="EN222" s="11"/>
      <c r="EO222" s="11"/>
      <c r="EP222" s="11"/>
      <c r="EQ222" s="11"/>
      <c r="ER222" s="11"/>
      <c r="ES222" s="11"/>
      <c r="ET222" s="11"/>
      <c r="EU222" s="11"/>
      <c r="EV222" s="11"/>
      <c r="EW222" s="11"/>
      <c r="EX222" s="11"/>
      <c r="EY222" s="11"/>
      <c r="EZ222" s="11"/>
      <c r="FA222" s="11"/>
      <c r="FB222" s="11"/>
      <c r="FC222" s="11"/>
      <c r="FD222" s="11"/>
      <c r="FE222" s="11"/>
      <c r="FF222" s="11"/>
      <c r="FG222" s="11"/>
      <c r="FH222" s="11"/>
      <c r="FI222" s="11"/>
      <c r="FJ222" s="11"/>
      <c r="FK222" s="11"/>
      <c r="FL222" s="11"/>
      <c r="FM222" s="11"/>
      <c r="FN222" s="11"/>
      <c r="FO222" s="11"/>
      <c r="FP222" s="11"/>
      <c r="FQ222" s="11"/>
      <c r="FR222" s="11"/>
      <c r="FS222" s="11"/>
      <c r="FT222" s="11"/>
      <c r="FU222" s="11"/>
      <c r="FV222" s="11"/>
      <c r="FW222" s="11"/>
      <c r="FX222" s="11"/>
      <c r="FY222" s="11"/>
      <c r="FZ222" s="11"/>
      <c r="GA222" s="11"/>
      <c r="GB222" s="11"/>
      <c r="GC222" s="11"/>
      <c r="GD222" s="11"/>
      <c r="GE222" s="11"/>
      <c r="GF222" s="11"/>
      <c r="GG222" s="11"/>
      <c r="GH222" s="11"/>
      <c r="GI222" s="11"/>
      <c r="GJ222" s="11"/>
      <c r="GK222" s="11"/>
      <c r="GL222" s="11"/>
      <c r="GM222" s="11"/>
      <c r="GN222" s="11"/>
      <c r="GO222" s="11"/>
      <c r="GP222" s="11"/>
      <c r="GQ222" s="11"/>
      <c r="GR222" s="11"/>
    </row>
    <row r="223" spans="2:200" x14ac:dyDescent="0.15"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11"/>
      <c r="CF223" s="11"/>
      <c r="CG223" s="11"/>
      <c r="CH223" s="11"/>
      <c r="CI223" s="11"/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11"/>
      <c r="CW223" s="11"/>
      <c r="CX223" s="11"/>
      <c r="CY223" s="11"/>
      <c r="CZ223" s="11"/>
      <c r="DA223" s="11"/>
      <c r="DB223" s="11"/>
      <c r="DC223" s="11"/>
      <c r="DD223" s="11"/>
      <c r="DE223" s="11"/>
      <c r="DF223" s="11"/>
      <c r="DG223" s="11"/>
      <c r="DH223" s="11"/>
      <c r="DI223" s="11"/>
      <c r="DJ223" s="11"/>
      <c r="DK223" s="11"/>
      <c r="DL223" s="11"/>
      <c r="DM223" s="11"/>
      <c r="DN223" s="11"/>
      <c r="DO223" s="11"/>
      <c r="DP223" s="11"/>
      <c r="DQ223" s="11"/>
      <c r="DR223" s="11"/>
      <c r="DS223" s="11"/>
      <c r="DT223" s="11"/>
      <c r="DU223" s="11"/>
      <c r="DV223" s="11"/>
      <c r="DW223" s="11"/>
      <c r="DX223" s="11"/>
      <c r="DY223" s="11"/>
      <c r="DZ223" s="11"/>
      <c r="EA223" s="11"/>
      <c r="EB223" s="11"/>
      <c r="EC223" s="11"/>
      <c r="ED223" s="11"/>
      <c r="EE223" s="11"/>
      <c r="EF223" s="11"/>
      <c r="EG223" s="11"/>
      <c r="EH223" s="11"/>
      <c r="EI223" s="11"/>
      <c r="EJ223" s="11"/>
      <c r="EK223" s="11"/>
      <c r="EL223" s="11"/>
      <c r="EM223" s="11"/>
      <c r="EN223" s="11"/>
      <c r="EO223" s="11"/>
      <c r="EP223" s="11"/>
      <c r="EQ223" s="11"/>
      <c r="ER223" s="11"/>
      <c r="ES223" s="11"/>
      <c r="ET223" s="11"/>
      <c r="EU223" s="11"/>
      <c r="EV223" s="11"/>
      <c r="EW223" s="11"/>
      <c r="EX223" s="11"/>
      <c r="EY223" s="11"/>
      <c r="EZ223" s="11"/>
      <c r="FA223" s="11"/>
      <c r="FB223" s="11"/>
      <c r="FC223" s="11"/>
      <c r="FD223" s="11"/>
      <c r="FE223" s="11"/>
      <c r="FF223" s="11"/>
      <c r="FG223" s="11"/>
      <c r="FH223" s="11"/>
      <c r="FI223" s="11"/>
      <c r="FJ223" s="11"/>
      <c r="FK223" s="11"/>
      <c r="FL223" s="11"/>
      <c r="FM223" s="11"/>
      <c r="FN223" s="11"/>
      <c r="FO223" s="11"/>
      <c r="FP223" s="11"/>
      <c r="FQ223" s="11"/>
      <c r="FR223" s="11"/>
      <c r="FS223" s="11"/>
      <c r="FT223" s="11"/>
      <c r="FU223" s="11"/>
      <c r="FV223" s="11"/>
      <c r="FW223" s="11"/>
      <c r="FX223" s="11"/>
      <c r="FY223" s="11"/>
      <c r="FZ223" s="11"/>
      <c r="GA223" s="11"/>
      <c r="GB223" s="11"/>
      <c r="GC223" s="11"/>
      <c r="GD223" s="11"/>
      <c r="GE223" s="11"/>
      <c r="GF223" s="11"/>
      <c r="GG223" s="11"/>
      <c r="GH223" s="11"/>
      <c r="GI223" s="11"/>
      <c r="GJ223" s="11"/>
      <c r="GK223" s="11"/>
      <c r="GL223" s="11"/>
      <c r="GM223" s="11"/>
      <c r="GN223" s="11"/>
      <c r="GO223" s="11"/>
      <c r="GP223" s="11"/>
      <c r="GQ223" s="11"/>
      <c r="GR223" s="11"/>
    </row>
    <row r="224" spans="2:200" x14ac:dyDescent="0.15"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  <c r="CE224" s="11"/>
      <c r="CF224" s="11"/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11"/>
      <c r="CV224" s="11"/>
      <c r="CW224" s="11"/>
      <c r="CX224" s="11"/>
      <c r="CY224" s="11"/>
      <c r="CZ224" s="11"/>
      <c r="DA224" s="11"/>
      <c r="DB224" s="11"/>
      <c r="DC224" s="11"/>
      <c r="DD224" s="11"/>
      <c r="DE224" s="11"/>
      <c r="DF224" s="11"/>
      <c r="DG224" s="11"/>
      <c r="DH224" s="11"/>
      <c r="DI224" s="11"/>
      <c r="DJ224" s="11"/>
      <c r="DK224" s="11"/>
      <c r="DL224" s="11"/>
      <c r="DM224" s="11"/>
      <c r="DN224" s="11"/>
      <c r="DO224" s="11"/>
      <c r="DP224" s="11"/>
      <c r="DQ224" s="11"/>
      <c r="DR224" s="11"/>
      <c r="DS224" s="11"/>
      <c r="DT224" s="11"/>
      <c r="DU224" s="11"/>
      <c r="DV224" s="11"/>
      <c r="DW224" s="11"/>
      <c r="DX224" s="11"/>
      <c r="DY224" s="11"/>
      <c r="DZ224" s="11"/>
      <c r="EA224" s="11"/>
      <c r="EB224" s="11"/>
      <c r="EC224" s="11"/>
      <c r="ED224" s="11"/>
      <c r="EE224" s="11"/>
      <c r="EF224" s="11"/>
      <c r="EG224" s="11"/>
      <c r="EH224" s="11"/>
      <c r="EI224" s="11"/>
      <c r="EJ224" s="11"/>
      <c r="EK224" s="11"/>
      <c r="EL224" s="11"/>
      <c r="EM224" s="11"/>
      <c r="EN224" s="11"/>
      <c r="EO224" s="11"/>
      <c r="EP224" s="11"/>
      <c r="EQ224" s="11"/>
      <c r="ER224" s="11"/>
      <c r="ES224" s="11"/>
      <c r="ET224" s="11"/>
      <c r="EU224" s="11"/>
      <c r="EV224" s="11"/>
      <c r="EW224" s="11"/>
      <c r="EX224" s="11"/>
      <c r="EY224" s="11"/>
      <c r="EZ224" s="11"/>
      <c r="FA224" s="11"/>
      <c r="FB224" s="11"/>
      <c r="FC224" s="11"/>
      <c r="FD224" s="11"/>
      <c r="FE224" s="11"/>
      <c r="FF224" s="11"/>
      <c r="FG224" s="11"/>
      <c r="FH224" s="11"/>
      <c r="FI224" s="11"/>
      <c r="FJ224" s="11"/>
      <c r="FK224" s="11"/>
      <c r="FL224" s="11"/>
      <c r="FM224" s="11"/>
      <c r="FN224" s="11"/>
      <c r="FO224" s="11"/>
      <c r="FP224" s="11"/>
      <c r="FQ224" s="11"/>
      <c r="FR224" s="11"/>
      <c r="FS224" s="11"/>
      <c r="FT224" s="11"/>
      <c r="FU224" s="11"/>
      <c r="FV224" s="11"/>
      <c r="FW224" s="11"/>
      <c r="FX224" s="11"/>
      <c r="FY224" s="11"/>
      <c r="FZ224" s="11"/>
      <c r="GA224" s="11"/>
      <c r="GB224" s="11"/>
      <c r="GC224" s="11"/>
      <c r="GD224" s="11"/>
      <c r="GE224" s="11"/>
      <c r="GF224" s="11"/>
      <c r="GG224" s="11"/>
      <c r="GH224" s="11"/>
      <c r="GI224" s="11"/>
      <c r="GJ224" s="11"/>
      <c r="GK224" s="11"/>
      <c r="GL224" s="11"/>
      <c r="GM224" s="11"/>
      <c r="GN224" s="11"/>
      <c r="GO224" s="11"/>
      <c r="GP224" s="11"/>
      <c r="GQ224" s="11"/>
      <c r="GR224" s="11"/>
    </row>
    <row r="225" spans="2:200" x14ac:dyDescent="0.15"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11"/>
      <c r="CE225" s="11"/>
      <c r="CF225" s="11"/>
      <c r="CG225" s="11"/>
      <c r="CH225" s="11"/>
      <c r="CI225" s="11"/>
      <c r="CJ225" s="11"/>
      <c r="CK225" s="11"/>
      <c r="CL225" s="11"/>
      <c r="CM225" s="11"/>
      <c r="CN225" s="11"/>
      <c r="CO225" s="11"/>
      <c r="CP225" s="11"/>
      <c r="CQ225" s="11"/>
      <c r="CR225" s="11"/>
      <c r="CS225" s="11"/>
      <c r="CT225" s="11"/>
      <c r="CU225" s="11"/>
      <c r="CV225" s="11"/>
      <c r="CW225" s="11"/>
      <c r="CX225" s="11"/>
      <c r="CY225" s="11"/>
      <c r="CZ225" s="11"/>
      <c r="DA225" s="11"/>
      <c r="DB225" s="11"/>
      <c r="DC225" s="11"/>
      <c r="DD225" s="11"/>
      <c r="DE225" s="11"/>
      <c r="DF225" s="11"/>
      <c r="DG225" s="11"/>
      <c r="DH225" s="11"/>
      <c r="DI225" s="11"/>
      <c r="DJ225" s="11"/>
      <c r="DK225" s="11"/>
      <c r="DL225" s="11"/>
      <c r="DM225" s="11"/>
      <c r="DN225" s="11"/>
      <c r="DO225" s="11"/>
      <c r="DP225" s="11"/>
      <c r="DQ225" s="11"/>
      <c r="DR225" s="11"/>
      <c r="DS225" s="11"/>
      <c r="DT225" s="11"/>
      <c r="DU225" s="11"/>
      <c r="DV225" s="11"/>
      <c r="DW225" s="11"/>
      <c r="DX225" s="11"/>
      <c r="DY225" s="11"/>
      <c r="DZ225" s="11"/>
      <c r="EA225" s="11"/>
      <c r="EB225" s="11"/>
      <c r="EC225" s="11"/>
      <c r="ED225" s="11"/>
      <c r="EE225" s="11"/>
      <c r="EF225" s="11"/>
      <c r="EG225" s="11"/>
      <c r="EH225" s="11"/>
      <c r="EI225" s="11"/>
      <c r="EJ225" s="11"/>
      <c r="EK225" s="11"/>
      <c r="EL225" s="11"/>
      <c r="EM225" s="11"/>
      <c r="EN225" s="11"/>
      <c r="EO225" s="11"/>
      <c r="EP225" s="11"/>
      <c r="EQ225" s="11"/>
      <c r="ER225" s="11"/>
      <c r="ES225" s="11"/>
      <c r="ET225" s="11"/>
      <c r="EU225" s="11"/>
      <c r="EV225" s="11"/>
      <c r="EW225" s="11"/>
      <c r="EX225" s="11"/>
      <c r="EY225" s="11"/>
      <c r="EZ225" s="11"/>
      <c r="FA225" s="11"/>
      <c r="FB225" s="11"/>
      <c r="FC225" s="11"/>
      <c r="FD225" s="11"/>
      <c r="FE225" s="11"/>
      <c r="FF225" s="11"/>
      <c r="FG225" s="11"/>
      <c r="FH225" s="11"/>
      <c r="FI225" s="11"/>
      <c r="FJ225" s="11"/>
      <c r="FK225" s="11"/>
      <c r="FL225" s="11"/>
      <c r="FM225" s="11"/>
      <c r="FN225" s="11"/>
      <c r="FO225" s="11"/>
      <c r="FP225" s="11"/>
      <c r="FQ225" s="11"/>
      <c r="FR225" s="11"/>
      <c r="FS225" s="11"/>
      <c r="FT225" s="11"/>
      <c r="FU225" s="11"/>
      <c r="FV225" s="11"/>
      <c r="FW225" s="11"/>
      <c r="FX225" s="11"/>
      <c r="FY225" s="11"/>
      <c r="FZ225" s="11"/>
      <c r="GA225" s="11"/>
      <c r="GB225" s="11"/>
      <c r="GC225" s="11"/>
      <c r="GD225" s="11"/>
      <c r="GE225" s="11"/>
      <c r="GF225" s="11"/>
      <c r="GG225" s="11"/>
      <c r="GH225" s="11"/>
      <c r="GI225" s="11"/>
      <c r="GJ225" s="11"/>
      <c r="GK225" s="11"/>
      <c r="GL225" s="11"/>
      <c r="GM225" s="11"/>
      <c r="GN225" s="11"/>
      <c r="GO225" s="11"/>
      <c r="GP225" s="11"/>
      <c r="GQ225" s="11"/>
      <c r="GR225" s="11"/>
    </row>
    <row r="226" spans="2:200" x14ac:dyDescent="0.15"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  <c r="CE226" s="11"/>
      <c r="CF226" s="11"/>
      <c r="CG226" s="11"/>
      <c r="CH226" s="11"/>
      <c r="CI226" s="11"/>
      <c r="CJ226" s="11"/>
      <c r="CK226" s="11"/>
      <c r="CL226" s="11"/>
      <c r="CM226" s="11"/>
      <c r="CN226" s="11"/>
      <c r="CO226" s="11"/>
      <c r="CP226" s="11"/>
      <c r="CQ226" s="11"/>
      <c r="CR226" s="11"/>
      <c r="CS226" s="11"/>
      <c r="CT226" s="11"/>
      <c r="CU226" s="11"/>
      <c r="CV226" s="11"/>
      <c r="CW226" s="11"/>
      <c r="CX226" s="11"/>
      <c r="CY226" s="11"/>
      <c r="CZ226" s="11"/>
      <c r="DA226" s="11"/>
      <c r="DB226" s="11"/>
      <c r="DC226" s="11"/>
      <c r="DD226" s="11"/>
      <c r="DE226" s="11"/>
      <c r="DF226" s="11"/>
      <c r="DG226" s="11"/>
      <c r="DH226" s="11"/>
      <c r="DI226" s="11"/>
      <c r="DJ226" s="11"/>
      <c r="DK226" s="11"/>
      <c r="DL226" s="11"/>
      <c r="DM226" s="11"/>
      <c r="DN226" s="11"/>
      <c r="DO226" s="11"/>
      <c r="DP226" s="11"/>
      <c r="DQ226" s="11"/>
      <c r="DR226" s="11"/>
      <c r="DS226" s="11"/>
      <c r="DT226" s="11"/>
      <c r="DU226" s="11"/>
      <c r="DV226" s="11"/>
      <c r="DW226" s="11"/>
      <c r="DX226" s="11"/>
      <c r="DY226" s="11"/>
      <c r="DZ226" s="11"/>
      <c r="EA226" s="11"/>
      <c r="EB226" s="11"/>
      <c r="EC226" s="11"/>
      <c r="ED226" s="11"/>
      <c r="EE226" s="11"/>
      <c r="EF226" s="11"/>
      <c r="EG226" s="11"/>
      <c r="EH226" s="11"/>
      <c r="EI226" s="11"/>
      <c r="EJ226" s="11"/>
      <c r="EK226" s="11"/>
      <c r="EL226" s="11"/>
      <c r="EM226" s="11"/>
      <c r="EN226" s="11"/>
      <c r="EO226" s="11"/>
      <c r="EP226" s="11"/>
      <c r="EQ226" s="11"/>
      <c r="ER226" s="11"/>
      <c r="ES226" s="11"/>
      <c r="ET226" s="11"/>
      <c r="EU226" s="11"/>
      <c r="EV226" s="11"/>
      <c r="EW226" s="11"/>
      <c r="EX226" s="11"/>
      <c r="EY226" s="11"/>
      <c r="EZ226" s="11"/>
      <c r="FA226" s="11"/>
      <c r="FB226" s="11"/>
      <c r="FC226" s="11"/>
      <c r="FD226" s="11"/>
      <c r="FE226" s="11"/>
      <c r="FF226" s="11"/>
      <c r="FG226" s="11"/>
      <c r="FH226" s="11"/>
      <c r="FI226" s="11"/>
      <c r="FJ226" s="11"/>
      <c r="FK226" s="11"/>
      <c r="FL226" s="11"/>
      <c r="FM226" s="11"/>
      <c r="FN226" s="11"/>
      <c r="FO226" s="11"/>
      <c r="FP226" s="11"/>
      <c r="FQ226" s="11"/>
      <c r="FR226" s="11"/>
      <c r="FS226" s="11"/>
      <c r="FT226" s="11"/>
      <c r="FU226" s="11"/>
      <c r="FV226" s="11"/>
      <c r="FW226" s="11"/>
      <c r="FX226" s="11"/>
      <c r="FY226" s="11"/>
      <c r="FZ226" s="11"/>
      <c r="GA226" s="11"/>
      <c r="GB226" s="11"/>
      <c r="GC226" s="11"/>
      <c r="GD226" s="11"/>
      <c r="GE226" s="11"/>
      <c r="GF226" s="11"/>
      <c r="GG226" s="11"/>
      <c r="GH226" s="11"/>
      <c r="GI226" s="11"/>
      <c r="GJ226" s="11"/>
      <c r="GK226" s="11"/>
      <c r="GL226" s="11"/>
      <c r="GM226" s="11"/>
      <c r="GN226" s="11"/>
      <c r="GO226" s="11"/>
      <c r="GP226" s="11"/>
      <c r="GQ226" s="11"/>
      <c r="GR226" s="11"/>
    </row>
    <row r="227" spans="2:200" x14ac:dyDescent="0.15"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11"/>
      <c r="CE227" s="11"/>
      <c r="CF227" s="11"/>
      <c r="CG227" s="11"/>
      <c r="CH227" s="11"/>
      <c r="CI227" s="11"/>
      <c r="CJ227" s="11"/>
      <c r="CK227" s="11"/>
      <c r="CL227" s="11"/>
      <c r="CM227" s="11"/>
      <c r="CN227" s="11"/>
      <c r="CO227" s="11"/>
      <c r="CP227" s="11"/>
      <c r="CQ227" s="11"/>
      <c r="CR227" s="11"/>
      <c r="CS227" s="11"/>
      <c r="CT227" s="11"/>
      <c r="CU227" s="11"/>
      <c r="CV227" s="11"/>
      <c r="CW227" s="11"/>
      <c r="CX227" s="11"/>
      <c r="CY227" s="11"/>
      <c r="CZ227" s="11"/>
      <c r="DA227" s="11"/>
      <c r="DB227" s="11"/>
      <c r="DC227" s="11"/>
      <c r="DD227" s="11"/>
      <c r="DE227" s="11"/>
      <c r="DF227" s="11"/>
      <c r="DG227" s="11"/>
      <c r="DH227" s="11"/>
      <c r="DI227" s="11"/>
      <c r="DJ227" s="11"/>
      <c r="DK227" s="11"/>
      <c r="DL227" s="11"/>
      <c r="DM227" s="11"/>
      <c r="DN227" s="11"/>
      <c r="DO227" s="11"/>
      <c r="DP227" s="11"/>
      <c r="DQ227" s="11"/>
      <c r="DR227" s="11"/>
      <c r="DS227" s="11"/>
      <c r="DT227" s="11"/>
      <c r="DU227" s="11"/>
      <c r="DV227" s="11"/>
      <c r="DW227" s="11"/>
      <c r="DX227" s="11"/>
      <c r="DY227" s="11"/>
      <c r="DZ227" s="11"/>
      <c r="EA227" s="11"/>
      <c r="EB227" s="11"/>
      <c r="EC227" s="11"/>
      <c r="ED227" s="11"/>
      <c r="EE227" s="11"/>
      <c r="EF227" s="11"/>
      <c r="EG227" s="11"/>
      <c r="EH227" s="11"/>
      <c r="EI227" s="11"/>
      <c r="EJ227" s="11"/>
      <c r="EK227" s="11"/>
      <c r="EL227" s="11"/>
      <c r="EM227" s="11"/>
      <c r="EN227" s="11"/>
      <c r="EO227" s="11"/>
      <c r="EP227" s="11"/>
      <c r="EQ227" s="11"/>
      <c r="ER227" s="11"/>
      <c r="ES227" s="11"/>
      <c r="ET227" s="11"/>
      <c r="EU227" s="11"/>
      <c r="EV227" s="11"/>
      <c r="EW227" s="11"/>
      <c r="EX227" s="11"/>
      <c r="EY227" s="11"/>
      <c r="EZ227" s="11"/>
      <c r="FA227" s="11"/>
      <c r="FB227" s="11"/>
      <c r="FC227" s="11"/>
      <c r="FD227" s="11"/>
      <c r="FE227" s="11"/>
      <c r="FF227" s="11"/>
      <c r="FG227" s="11"/>
      <c r="FH227" s="11"/>
      <c r="FI227" s="11"/>
      <c r="FJ227" s="11"/>
      <c r="FK227" s="11"/>
      <c r="FL227" s="11"/>
      <c r="FM227" s="11"/>
      <c r="FN227" s="11"/>
      <c r="FO227" s="11"/>
      <c r="FP227" s="11"/>
      <c r="FQ227" s="11"/>
      <c r="FR227" s="11"/>
      <c r="FS227" s="11"/>
      <c r="FT227" s="11"/>
      <c r="FU227" s="11"/>
      <c r="FV227" s="11"/>
      <c r="FW227" s="11"/>
      <c r="FX227" s="11"/>
      <c r="FY227" s="11"/>
      <c r="FZ227" s="11"/>
      <c r="GA227" s="11"/>
      <c r="GB227" s="11"/>
      <c r="GC227" s="11"/>
      <c r="GD227" s="11"/>
      <c r="GE227" s="11"/>
      <c r="GF227" s="11"/>
      <c r="GG227" s="11"/>
      <c r="GH227" s="11"/>
      <c r="GI227" s="11"/>
      <c r="GJ227" s="11"/>
      <c r="GK227" s="11"/>
      <c r="GL227" s="11"/>
      <c r="GM227" s="11"/>
      <c r="GN227" s="11"/>
      <c r="GO227" s="11"/>
      <c r="GP227" s="11"/>
      <c r="GQ227" s="11"/>
      <c r="GR227" s="11"/>
    </row>
    <row r="228" spans="2:200" x14ac:dyDescent="0.15"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11"/>
      <c r="CE228" s="11"/>
      <c r="CF228" s="11"/>
      <c r="CG228" s="11"/>
      <c r="CH228" s="11"/>
      <c r="CI228" s="11"/>
      <c r="CJ228" s="11"/>
      <c r="CK228" s="11"/>
      <c r="CL228" s="11"/>
      <c r="CM228" s="11"/>
      <c r="CN228" s="11"/>
      <c r="CO228" s="11"/>
      <c r="CP228" s="11"/>
      <c r="CQ228" s="11"/>
      <c r="CR228" s="11"/>
      <c r="CS228" s="11"/>
      <c r="CT228" s="11"/>
      <c r="CU228" s="11"/>
      <c r="CV228" s="11"/>
      <c r="CW228" s="11"/>
      <c r="CX228" s="11"/>
      <c r="CY228" s="11"/>
      <c r="CZ228" s="11"/>
      <c r="DA228" s="11"/>
      <c r="DB228" s="11"/>
      <c r="DC228" s="11"/>
      <c r="DD228" s="11"/>
      <c r="DE228" s="11"/>
      <c r="DF228" s="11"/>
      <c r="DG228" s="11"/>
      <c r="DH228" s="11"/>
      <c r="DI228" s="11"/>
      <c r="DJ228" s="11"/>
      <c r="DK228" s="11"/>
      <c r="DL228" s="11"/>
      <c r="DM228" s="11"/>
      <c r="DN228" s="11"/>
      <c r="DO228" s="11"/>
      <c r="DP228" s="11"/>
      <c r="DQ228" s="11"/>
      <c r="DR228" s="11"/>
      <c r="DS228" s="11"/>
      <c r="DT228" s="11"/>
      <c r="DU228" s="11"/>
      <c r="DV228" s="11"/>
      <c r="DW228" s="11"/>
      <c r="DX228" s="11"/>
      <c r="DY228" s="11"/>
      <c r="DZ228" s="11"/>
      <c r="EA228" s="11"/>
      <c r="EB228" s="11"/>
      <c r="EC228" s="11"/>
      <c r="ED228" s="11"/>
      <c r="EE228" s="11"/>
      <c r="EF228" s="11"/>
      <c r="EG228" s="11"/>
      <c r="EH228" s="11"/>
      <c r="EI228" s="11"/>
      <c r="EJ228" s="11"/>
      <c r="EK228" s="11"/>
      <c r="EL228" s="11"/>
      <c r="EM228" s="11"/>
      <c r="EN228" s="11"/>
      <c r="EO228" s="11"/>
      <c r="EP228" s="11"/>
      <c r="EQ228" s="11"/>
      <c r="ER228" s="11"/>
      <c r="ES228" s="11"/>
      <c r="ET228" s="11"/>
      <c r="EU228" s="11"/>
      <c r="EV228" s="11"/>
      <c r="EW228" s="11"/>
      <c r="EX228" s="11"/>
      <c r="EY228" s="11"/>
      <c r="EZ228" s="11"/>
      <c r="FA228" s="11"/>
      <c r="FB228" s="11"/>
      <c r="FC228" s="11"/>
      <c r="FD228" s="11"/>
      <c r="FE228" s="11"/>
      <c r="FF228" s="11"/>
      <c r="FG228" s="11"/>
      <c r="FH228" s="11"/>
      <c r="FI228" s="11"/>
      <c r="FJ228" s="11"/>
      <c r="FK228" s="11"/>
      <c r="FL228" s="11"/>
      <c r="FM228" s="11"/>
      <c r="FN228" s="11"/>
      <c r="FO228" s="11"/>
      <c r="FP228" s="11"/>
      <c r="FQ228" s="11"/>
      <c r="FR228" s="11"/>
      <c r="FS228" s="11"/>
      <c r="FT228" s="11"/>
      <c r="FU228" s="11"/>
      <c r="FV228" s="11"/>
      <c r="FW228" s="11"/>
      <c r="FX228" s="11"/>
      <c r="FY228" s="11"/>
      <c r="FZ228" s="11"/>
      <c r="GA228" s="11"/>
      <c r="GB228" s="11"/>
      <c r="GC228" s="11"/>
      <c r="GD228" s="11"/>
      <c r="GE228" s="11"/>
      <c r="GF228" s="11"/>
      <c r="GG228" s="11"/>
      <c r="GH228" s="11"/>
      <c r="GI228" s="11"/>
      <c r="GJ228" s="11"/>
      <c r="GK228" s="11"/>
      <c r="GL228" s="11"/>
      <c r="GM228" s="11"/>
      <c r="GN228" s="11"/>
      <c r="GO228" s="11"/>
      <c r="GP228" s="11"/>
      <c r="GQ228" s="11"/>
      <c r="GR228" s="11"/>
    </row>
    <row r="229" spans="2:200" x14ac:dyDescent="0.15"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11"/>
      <c r="CE229" s="11"/>
      <c r="CF229" s="11"/>
      <c r="CG229" s="11"/>
      <c r="CH229" s="11"/>
      <c r="CI229" s="11"/>
      <c r="CJ229" s="11"/>
      <c r="CK229" s="11"/>
      <c r="CL229" s="11"/>
      <c r="CM229" s="11"/>
      <c r="CN229" s="11"/>
      <c r="CO229" s="11"/>
      <c r="CP229" s="11"/>
      <c r="CQ229" s="11"/>
      <c r="CR229" s="11"/>
      <c r="CS229" s="11"/>
      <c r="CT229" s="11"/>
      <c r="CU229" s="11"/>
      <c r="CV229" s="11"/>
      <c r="CW229" s="11"/>
      <c r="CX229" s="11"/>
      <c r="CY229" s="11"/>
      <c r="CZ229" s="11"/>
      <c r="DA229" s="11"/>
      <c r="DB229" s="11"/>
      <c r="DC229" s="11"/>
      <c r="DD229" s="11"/>
      <c r="DE229" s="11"/>
      <c r="DF229" s="11"/>
      <c r="DG229" s="11"/>
      <c r="DH229" s="11"/>
      <c r="DI229" s="11"/>
      <c r="DJ229" s="11"/>
      <c r="DK229" s="11"/>
      <c r="DL229" s="11"/>
      <c r="DM229" s="11"/>
      <c r="DN229" s="11"/>
      <c r="DO229" s="11"/>
      <c r="DP229" s="11"/>
      <c r="DQ229" s="11"/>
      <c r="DR229" s="11"/>
      <c r="DS229" s="11"/>
      <c r="DT229" s="11"/>
      <c r="DU229" s="11"/>
      <c r="DV229" s="11"/>
      <c r="DW229" s="11"/>
      <c r="DX229" s="11"/>
      <c r="DY229" s="11"/>
      <c r="DZ229" s="11"/>
      <c r="EA229" s="11"/>
      <c r="EB229" s="11"/>
      <c r="EC229" s="11"/>
      <c r="ED229" s="11"/>
      <c r="EE229" s="11"/>
      <c r="EF229" s="11"/>
      <c r="EG229" s="11"/>
      <c r="EH229" s="11"/>
      <c r="EI229" s="11"/>
      <c r="EJ229" s="11"/>
      <c r="EK229" s="11"/>
      <c r="EL229" s="11"/>
      <c r="EM229" s="11"/>
      <c r="EN229" s="11"/>
      <c r="EO229" s="11"/>
      <c r="EP229" s="11"/>
      <c r="EQ229" s="11"/>
      <c r="ER229" s="11"/>
      <c r="ES229" s="11"/>
      <c r="ET229" s="11"/>
      <c r="EU229" s="11"/>
      <c r="EV229" s="11"/>
      <c r="EW229" s="11"/>
      <c r="EX229" s="11"/>
      <c r="EY229" s="11"/>
      <c r="EZ229" s="11"/>
      <c r="FA229" s="11"/>
      <c r="FB229" s="11"/>
      <c r="FC229" s="11"/>
      <c r="FD229" s="11"/>
      <c r="FE229" s="11"/>
      <c r="FF229" s="11"/>
      <c r="FG229" s="11"/>
      <c r="FH229" s="11"/>
      <c r="FI229" s="11"/>
      <c r="FJ229" s="11"/>
      <c r="FK229" s="11"/>
      <c r="FL229" s="11"/>
      <c r="FM229" s="11"/>
      <c r="FN229" s="11"/>
      <c r="FO229" s="11"/>
      <c r="FP229" s="11"/>
      <c r="FQ229" s="11"/>
      <c r="FR229" s="11"/>
      <c r="FS229" s="11"/>
      <c r="FT229" s="11"/>
      <c r="FU229" s="11"/>
      <c r="FV229" s="11"/>
      <c r="FW229" s="11"/>
      <c r="FX229" s="11"/>
      <c r="FY229" s="11"/>
      <c r="FZ229" s="11"/>
      <c r="GA229" s="11"/>
      <c r="GB229" s="11"/>
      <c r="GC229" s="11"/>
      <c r="GD229" s="11"/>
      <c r="GE229" s="11"/>
      <c r="GF229" s="11"/>
      <c r="GG229" s="11"/>
      <c r="GH229" s="11"/>
      <c r="GI229" s="11"/>
      <c r="GJ229" s="11"/>
      <c r="GK229" s="11"/>
      <c r="GL229" s="11"/>
      <c r="GM229" s="11"/>
      <c r="GN229" s="11"/>
      <c r="GO229" s="11"/>
      <c r="GP229" s="11"/>
      <c r="GQ229" s="11"/>
      <c r="GR229" s="11"/>
    </row>
    <row r="230" spans="2:200" x14ac:dyDescent="0.15"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11"/>
      <c r="CE230" s="11"/>
      <c r="CF230" s="11"/>
      <c r="CG230" s="11"/>
      <c r="CH230" s="11"/>
      <c r="CI230" s="11"/>
      <c r="CJ230" s="11"/>
      <c r="CK230" s="11"/>
      <c r="CL230" s="11"/>
      <c r="CM230" s="11"/>
      <c r="CN230" s="11"/>
      <c r="CO230" s="11"/>
      <c r="CP230" s="11"/>
      <c r="CQ230" s="11"/>
      <c r="CR230" s="11"/>
      <c r="CS230" s="11"/>
      <c r="CT230" s="11"/>
      <c r="CU230" s="11"/>
      <c r="CV230" s="11"/>
      <c r="CW230" s="11"/>
      <c r="CX230" s="11"/>
      <c r="CY230" s="11"/>
      <c r="CZ230" s="11"/>
      <c r="DA230" s="11"/>
      <c r="DB230" s="11"/>
      <c r="DC230" s="11"/>
      <c r="DD230" s="11"/>
      <c r="DE230" s="11"/>
      <c r="DF230" s="11"/>
      <c r="DG230" s="11"/>
      <c r="DH230" s="11"/>
      <c r="DI230" s="11"/>
      <c r="DJ230" s="11"/>
      <c r="DK230" s="11"/>
      <c r="DL230" s="11"/>
      <c r="DM230" s="11"/>
      <c r="DN230" s="11"/>
      <c r="DO230" s="11"/>
      <c r="DP230" s="11"/>
      <c r="DQ230" s="11"/>
      <c r="DR230" s="11"/>
      <c r="DS230" s="11"/>
      <c r="DT230" s="11"/>
      <c r="DU230" s="11"/>
      <c r="DV230" s="11"/>
      <c r="DW230" s="11"/>
      <c r="DX230" s="11"/>
      <c r="DY230" s="11"/>
      <c r="DZ230" s="11"/>
      <c r="EA230" s="11"/>
      <c r="EB230" s="11"/>
      <c r="EC230" s="11"/>
      <c r="ED230" s="11"/>
      <c r="EE230" s="11"/>
      <c r="EF230" s="11"/>
      <c r="EG230" s="11"/>
      <c r="EH230" s="11"/>
      <c r="EI230" s="11"/>
      <c r="EJ230" s="11"/>
      <c r="EK230" s="11"/>
      <c r="EL230" s="11"/>
      <c r="EM230" s="11"/>
      <c r="EN230" s="11"/>
      <c r="EO230" s="11"/>
      <c r="EP230" s="11"/>
      <c r="EQ230" s="11"/>
      <c r="ER230" s="11"/>
      <c r="ES230" s="11"/>
      <c r="ET230" s="11"/>
      <c r="EU230" s="11"/>
      <c r="EV230" s="11"/>
      <c r="EW230" s="11"/>
      <c r="EX230" s="11"/>
      <c r="EY230" s="11"/>
      <c r="EZ230" s="11"/>
      <c r="FA230" s="11"/>
      <c r="FB230" s="11"/>
      <c r="FC230" s="11"/>
      <c r="FD230" s="11"/>
      <c r="FE230" s="11"/>
      <c r="FF230" s="11"/>
      <c r="FG230" s="11"/>
      <c r="FH230" s="11"/>
      <c r="FI230" s="11"/>
      <c r="FJ230" s="11"/>
      <c r="FK230" s="11"/>
      <c r="FL230" s="11"/>
      <c r="FM230" s="11"/>
      <c r="FN230" s="11"/>
      <c r="FO230" s="11"/>
      <c r="FP230" s="11"/>
      <c r="FQ230" s="11"/>
      <c r="FR230" s="11"/>
      <c r="FS230" s="11"/>
      <c r="FT230" s="11"/>
      <c r="FU230" s="11"/>
      <c r="FV230" s="11"/>
      <c r="FW230" s="11"/>
      <c r="FX230" s="11"/>
      <c r="FY230" s="11"/>
      <c r="FZ230" s="11"/>
      <c r="GA230" s="11"/>
      <c r="GB230" s="11"/>
      <c r="GC230" s="11"/>
      <c r="GD230" s="11"/>
      <c r="GE230" s="11"/>
      <c r="GF230" s="11"/>
      <c r="GG230" s="11"/>
      <c r="GH230" s="11"/>
      <c r="GI230" s="11"/>
      <c r="GJ230" s="11"/>
      <c r="GK230" s="11"/>
      <c r="GL230" s="11"/>
      <c r="GM230" s="11"/>
      <c r="GN230" s="11"/>
      <c r="GO230" s="11"/>
      <c r="GP230" s="11"/>
      <c r="GQ230" s="11"/>
      <c r="GR230" s="11"/>
    </row>
    <row r="231" spans="2:200" x14ac:dyDescent="0.15"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11"/>
      <c r="CE231" s="11"/>
      <c r="CF231" s="11"/>
      <c r="CG231" s="11"/>
      <c r="CH231" s="11"/>
      <c r="CI231" s="11"/>
      <c r="CJ231" s="11"/>
      <c r="CK231" s="11"/>
      <c r="CL231" s="11"/>
      <c r="CM231" s="11"/>
      <c r="CN231" s="11"/>
      <c r="CO231" s="11"/>
      <c r="CP231" s="11"/>
      <c r="CQ231" s="11"/>
      <c r="CR231" s="11"/>
      <c r="CS231" s="11"/>
      <c r="CT231" s="11"/>
      <c r="CU231" s="11"/>
      <c r="CV231" s="11"/>
      <c r="CW231" s="11"/>
      <c r="CX231" s="11"/>
      <c r="CY231" s="11"/>
      <c r="CZ231" s="11"/>
      <c r="DA231" s="11"/>
      <c r="DB231" s="11"/>
      <c r="DC231" s="11"/>
      <c r="DD231" s="11"/>
      <c r="DE231" s="11"/>
      <c r="DF231" s="11"/>
      <c r="DG231" s="11"/>
      <c r="DH231" s="11"/>
      <c r="DI231" s="11"/>
      <c r="DJ231" s="11"/>
      <c r="DK231" s="11"/>
      <c r="DL231" s="11"/>
      <c r="DM231" s="11"/>
      <c r="DN231" s="11"/>
      <c r="DO231" s="11"/>
      <c r="DP231" s="11"/>
      <c r="DQ231" s="11"/>
      <c r="DR231" s="11"/>
      <c r="DS231" s="11"/>
      <c r="DT231" s="11"/>
      <c r="DU231" s="11"/>
      <c r="DV231" s="11"/>
      <c r="DW231" s="11"/>
      <c r="DX231" s="11"/>
      <c r="DY231" s="11"/>
      <c r="DZ231" s="11"/>
      <c r="EA231" s="11"/>
      <c r="EB231" s="11"/>
      <c r="EC231" s="11"/>
      <c r="ED231" s="11"/>
      <c r="EE231" s="11"/>
      <c r="EF231" s="11"/>
      <c r="EG231" s="11"/>
      <c r="EH231" s="11"/>
      <c r="EI231" s="11"/>
      <c r="EJ231" s="11"/>
      <c r="EK231" s="11"/>
      <c r="EL231" s="11"/>
      <c r="EM231" s="11"/>
      <c r="EN231" s="11"/>
      <c r="EO231" s="11"/>
      <c r="EP231" s="11"/>
      <c r="EQ231" s="11"/>
      <c r="ER231" s="11"/>
      <c r="ES231" s="11"/>
      <c r="ET231" s="11"/>
      <c r="EU231" s="11"/>
      <c r="EV231" s="11"/>
      <c r="EW231" s="11"/>
      <c r="EX231" s="11"/>
      <c r="EY231" s="11"/>
      <c r="EZ231" s="11"/>
      <c r="FA231" s="11"/>
      <c r="FB231" s="11"/>
      <c r="FC231" s="11"/>
      <c r="FD231" s="11"/>
      <c r="FE231" s="11"/>
      <c r="FF231" s="11"/>
      <c r="FG231" s="11"/>
      <c r="FH231" s="11"/>
      <c r="FI231" s="11"/>
      <c r="FJ231" s="11"/>
      <c r="FK231" s="11"/>
      <c r="FL231" s="11"/>
      <c r="FM231" s="11"/>
      <c r="FN231" s="11"/>
      <c r="FO231" s="11"/>
      <c r="FP231" s="11"/>
      <c r="FQ231" s="11"/>
      <c r="FR231" s="11"/>
      <c r="FS231" s="11"/>
      <c r="FT231" s="11"/>
      <c r="FU231" s="11"/>
      <c r="FV231" s="11"/>
      <c r="FW231" s="11"/>
      <c r="FX231" s="11"/>
      <c r="FY231" s="11"/>
      <c r="FZ231" s="11"/>
      <c r="GA231" s="11"/>
      <c r="GB231" s="11"/>
      <c r="GC231" s="11"/>
      <c r="GD231" s="11"/>
      <c r="GE231" s="11"/>
      <c r="GF231" s="11"/>
      <c r="GG231" s="11"/>
      <c r="GH231" s="11"/>
      <c r="GI231" s="11"/>
      <c r="GJ231" s="11"/>
      <c r="GK231" s="11"/>
      <c r="GL231" s="11"/>
      <c r="GM231" s="11"/>
      <c r="GN231" s="11"/>
      <c r="GO231" s="11"/>
      <c r="GP231" s="11"/>
      <c r="GQ231" s="11"/>
      <c r="GR231" s="11"/>
    </row>
    <row r="232" spans="2:200" x14ac:dyDescent="0.15"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11"/>
      <c r="CE232" s="11"/>
      <c r="CF232" s="11"/>
      <c r="CG232" s="11"/>
      <c r="CH232" s="11"/>
      <c r="CI232" s="11"/>
      <c r="CJ232" s="11"/>
      <c r="CK232" s="11"/>
      <c r="CL232" s="11"/>
      <c r="CM232" s="11"/>
      <c r="CN232" s="11"/>
      <c r="CO232" s="11"/>
      <c r="CP232" s="11"/>
      <c r="CQ232" s="11"/>
      <c r="CR232" s="11"/>
      <c r="CS232" s="11"/>
      <c r="CT232" s="11"/>
      <c r="CU232" s="11"/>
      <c r="CV232" s="11"/>
      <c r="CW232" s="11"/>
      <c r="CX232" s="11"/>
      <c r="CY232" s="11"/>
      <c r="CZ232" s="11"/>
      <c r="DA232" s="11"/>
      <c r="DB232" s="11"/>
      <c r="DC232" s="11"/>
      <c r="DD232" s="11"/>
      <c r="DE232" s="11"/>
      <c r="DF232" s="11"/>
      <c r="DG232" s="11"/>
      <c r="DH232" s="11"/>
      <c r="DI232" s="11"/>
      <c r="DJ232" s="11"/>
      <c r="DK232" s="11"/>
      <c r="DL232" s="11"/>
      <c r="DM232" s="11"/>
      <c r="DN232" s="11"/>
      <c r="DO232" s="11"/>
      <c r="DP232" s="11"/>
      <c r="DQ232" s="11"/>
      <c r="DR232" s="11"/>
      <c r="DS232" s="11"/>
      <c r="DT232" s="11"/>
      <c r="DU232" s="11"/>
      <c r="DV232" s="11"/>
      <c r="DW232" s="11"/>
      <c r="DX232" s="11"/>
      <c r="DY232" s="11"/>
      <c r="DZ232" s="11"/>
      <c r="EA232" s="11"/>
      <c r="EB232" s="11"/>
      <c r="EC232" s="11"/>
      <c r="ED232" s="11"/>
      <c r="EE232" s="11"/>
      <c r="EF232" s="11"/>
      <c r="EG232" s="11"/>
      <c r="EH232" s="11"/>
      <c r="EI232" s="11"/>
      <c r="EJ232" s="11"/>
      <c r="EK232" s="11"/>
      <c r="EL232" s="11"/>
      <c r="EM232" s="11"/>
      <c r="EN232" s="11"/>
      <c r="EO232" s="11"/>
      <c r="EP232" s="11"/>
      <c r="EQ232" s="11"/>
      <c r="ER232" s="11"/>
      <c r="ES232" s="11"/>
      <c r="ET232" s="11"/>
      <c r="EU232" s="11"/>
      <c r="EV232" s="11"/>
      <c r="EW232" s="11"/>
      <c r="EX232" s="11"/>
      <c r="EY232" s="11"/>
      <c r="EZ232" s="11"/>
      <c r="FA232" s="11"/>
      <c r="FB232" s="11"/>
      <c r="FC232" s="11"/>
      <c r="FD232" s="11"/>
      <c r="FE232" s="11"/>
      <c r="FF232" s="11"/>
      <c r="FG232" s="11"/>
      <c r="FH232" s="11"/>
      <c r="FI232" s="11"/>
      <c r="FJ232" s="11"/>
      <c r="FK232" s="11"/>
      <c r="FL232" s="11"/>
      <c r="FM232" s="11"/>
      <c r="FN232" s="11"/>
      <c r="FO232" s="11"/>
      <c r="FP232" s="11"/>
      <c r="FQ232" s="11"/>
      <c r="FR232" s="11"/>
      <c r="FS232" s="11"/>
      <c r="FT232" s="11"/>
      <c r="FU232" s="11"/>
      <c r="FV232" s="11"/>
      <c r="FW232" s="11"/>
      <c r="FX232" s="11"/>
      <c r="FY232" s="11"/>
      <c r="FZ232" s="11"/>
      <c r="GA232" s="11"/>
      <c r="GB232" s="11"/>
      <c r="GC232" s="11"/>
      <c r="GD232" s="11"/>
      <c r="GE232" s="11"/>
      <c r="GF232" s="11"/>
      <c r="GG232" s="11"/>
      <c r="GH232" s="11"/>
      <c r="GI232" s="11"/>
      <c r="GJ232" s="11"/>
      <c r="GK232" s="11"/>
      <c r="GL232" s="11"/>
      <c r="GM232" s="11"/>
      <c r="GN232" s="11"/>
      <c r="GO232" s="11"/>
      <c r="GP232" s="11"/>
      <c r="GQ232" s="11"/>
      <c r="GR232" s="11"/>
    </row>
    <row r="233" spans="2:200" x14ac:dyDescent="0.15"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11"/>
      <c r="CF233" s="11"/>
      <c r="CG233" s="11"/>
      <c r="CH233" s="11"/>
      <c r="CI233" s="11"/>
      <c r="CJ233" s="11"/>
      <c r="CK233" s="11"/>
      <c r="CL233" s="11"/>
      <c r="CM233" s="11"/>
      <c r="CN233" s="11"/>
      <c r="CO233" s="11"/>
      <c r="CP233" s="11"/>
      <c r="CQ233" s="11"/>
      <c r="CR233" s="11"/>
      <c r="CS233" s="11"/>
      <c r="CT233" s="11"/>
      <c r="CU233" s="11"/>
      <c r="CV233" s="11"/>
      <c r="CW233" s="11"/>
      <c r="CX233" s="11"/>
      <c r="CY233" s="11"/>
      <c r="CZ233" s="11"/>
      <c r="DA233" s="11"/>
      <c r="DB233" s="11"/>
      <c r="DC233" s="11"/>
      <c r="DD233" s="11"/>
      <c r="DE233" s="11"/>
      <c r="DF233" s="11"/>
      <c r="DG233" s="11"/>
      <c r="DH233" s="11"/>
      <c r="DI233" s="11"/>
      <c r="DJ233" s="11"/>
      <c r="DK233" s="11"/>
      <c r="DL233" s="11"/>
      <c r="DM233" s="11"/>
      <c r="DN233" s="11"/>
      <c r="DO233" s="11"/>
      <c r="DP233" s="11"/>
      <c r="DQ233" s="11"/>
      <c r="DR233" s="11"/>
      <c r="DS233" s="11"/>
      <c r="DT233" s="11"/>
      <c r="DU233" s="11"/>
      <c r="DV233" s="11"/>
      <c r="DW233" s="11"/>
      <c r="DX233" s="11"/>
      <c r="DY233" s="11"/>
      <c r="DZ233" s="11"/>
      <c r="EA233" s="11"/>
      <c r="EB233" s="11"/>
      <c r="EC233" s="11"/>
      <c r="ED233" s="11"/>
      <c r="EE233" s="11"/>
      <c r="EF233" s="11"/>
      <c r="EG233" s="11"/>
      <c r="EH233" s="11"/>
      <c r="EI233" s="11"/>
      <c r="EJ233" s="11"/>
      <c r="EK233" s="11"/>
      <c r="EL233" s="11"/>
      <c r="EM233" s="11"/>
      <c r="EN233" s="11"/>
      <c r="EO233" s="11"/>
      <c r="EP233" s="11"/>
      <c r="EQ233" s="11"/>
      <c r="ER233" s="11"/>
      <c r="ES233" s="11"/>
      <c r="ET233" s="11"/>
      <c r="EU233" s="11"/>
      <c r="EV233" s="11"/>
      <c r="EW233" s="11"/>
      <c r="EX233" s="11"/>
      <c r="EY233" s="11"/>
      <c r="EZ233" s="11"/>
      <c r="FA233" s="11"/>
      <c r="FB233" s="11"/>
      <c r="FC233" s="11"/>
      <c r="FD233" s="11"/>
      <c r="FE233" s="11"/>
      <c r="FF233" s="11"/>
      <c r="FG233" s="11"/>
      <c r="FH233" s="11"/>
      <c r="FI233" s="11"/>
      <c r="FJ233" s="11"/>
      <c r="FK233" s="11"/>
      <c r="FL233" s="11"/>
      <c r="FM233" s="11"/>
      <c r="FN233" s="11"/>
      <c r="FO233" s="11"/>
      <c r="FP233" s="11"/>
      <c r="FQ233" s="11"/>
      <c r="FR233" s="11"/>
      <c r="FS233" s="11"/>
      <c r="FT233" s="11"/>
      <c r="FU233" s="11"/>
      <c r="FV233" s="11"/>
      <c r="FW233" s="11"/>
      <c r="FX233" s="11"/>
      <c r="FY233" s="11"/>
      <c r="FZ233" s="11"/>
      <c r="GA233" s="11"/>
      <c r="GB233" s="11"/>
      <c r="GC233" s="11"/>
      <c r="GD233" s="11"/>
      <c r="GE233" s="11"/>
      <c r="GF233" s="11"/>
      <c r="GG233" s="11"/>
      <c r="GH233" s="11"/>
      <c r="GI233" s="11"/>
      <c r="GJ233" s="11"/>
      <c r="GK233" s="11"/>
      <c r="GL233" s="11"/>
      <c r="GM233" s="11"/>
      <c r="GN233" s="11"/>
      <c r="GO233" s="11"/>
      <c r="GP233" s="11"/>
      <c r="GQ233" s="11"/>
      <c r="GR233" s="11"/>
    </row>
    <row r="234" spans="2:200" x14ac:dyDescent="0.15"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11"/>
      <c r="CE234" s="11"/>
      <c r="CF234" s="11"/>
      <c r="CG234" s="11"/>
      <c r="CH234" s="11"/>
      <c r="CI234" s="11"/>
      <c r="CJ234" s="11"/>
      <c r="CK234" s="11"/>
      <c r="CL234" s="11"/>
      <c r="CM234" s="11"/>
      <c r="CN234" s="11"/>
      <c r="CO234" s="11"/>
      <c r="CP234" s="11"/>
      <c r="CQ234" s="11"/>
      <c r="CR234" s="11"/>
      <c r="CS234" s="11"/>
      <c r="CT234" s="11"/>
      <c r="CU234" s="11"/>
      <c r="CV234" s="11"/>
      <c r="CW234" s="11"/>
      <c r="CX234" s="11"/>
      <c r="CY234" s="11"/>
      <c r="CZ234" s="11"/>
      <c r="DA234" s="11"/>
      <c r="DB234" s="11"/>
      <c r="DC234" s="11"/>
      <c r="DD234" s="11"/>
      <c r="DE234" s="11"/>
      <c r="DF234" s="11"/>
      <c r="DG234" s="11"/>
      <c r="DH234" s="11"/>
      <c r="DI234" s="11"/>
      <c r="DJ234" s="11"/>
      <c r="DK234" s="11"/>
      <c r="DL234" s="11"/>
      <c r="DM234" s="11"/>
      <c r="DN234" s="11"/>
      <c r="DO234" s="11"/>
      <c r="DP234" s="11"/>
      <c r="DQ234" s="11"/>
      <c r="DR234" s="11"/>
      <c r="DS234" s="11"/>
      <c r="DT234" s="11"/>
      <c r="DU234" s="11"/>
      <c r="DV234" s="11"/>
      <c r="DW234" s="11"/>
      <c r="DX234" s="11"/>
      <c r="DY234" s="11"/>
      <c r="DZ234" s="11"/>
      <c r="EA234" s="11"/>
      <c r="EB234" s="11"/>
      <c r="EC234" s="11"/>
      <c r="ED234" s="11"/>
      <c r="EE234" s="11"/>
      <c r="EF234" s="11"/>
      <c r="EG234" s="11"/>
      <c r="EH234" s="11"/>
      <c r="EI234" s="11"/>
      <c r="EJ234" s="11"/>
      <c r="EK234" s="11"/>
      <c r="EL234" s="11"/>
      <c r="EM234" s="11"/>
      <c r="EN234" s="11"/>
      <c r="EO234" s="11"/>
      <c r="EP234" s="11"/>
      <c r="EQ234" s="11"/>
      <c r="ER234" s="11"/>
      <c r="ES234" s="11"/>
      <c r="ET234" s="11"/>
      <c r="EU234" s="11"/>
      <c r="EV234" s="11"/>
      <c r="EW234" s="11"/>
      <c r="EX234" s="11"/>
      <c r="EY234" s="11"/>
      <c r="EZ234" s="11"/>
      <c r="FA234" s="11"/>
      <c r="FB234" s="11"/>
      <c r="FC234" s="11"/>
      <c r="FD234" s="11"/>
      <c r="FE234" s="11"/>
      <c r="FF234" s="11"/>
      <c r="FG234" s="11"/>
      <c r="FH234" s="11"/>
      <c r="FI234" s="11"/>
      <c r="FJ234" s="11"/>
      <c r="FK234" s="11"/>
      <c r="FL234" s="11"/>
      <c r="FM234" s="11"/>
      <c r="FN234" s="11"/>
      <c r="FO234" s="11"/>
      <c r="FP234" s="11"/>
      <c r="FQ234" s="11"/>
      <c r="FR234" s="11"/>
      <c r="FS234" s="11"/>
      <c r="FT234" s="11"/>
      <c r="FU234" s="11"/>
      <c r="FV234" s="11"/>
      <c r="FW234" s="11"/>
      <c r="FX234" s="11"/>
      <c r="FY234" s="11"/>
      <c r="FZ234" s="11"/>
      <c r="GA234" s="11"/>
      <c r="GB234" s="11"/>
      <c r="GC234" s="11"/>
      <c r="GD234" s="11"/>
      <c r="GE234" s="11"/>
      <c r="GF234" s="11"/>
      <c r="GG234" s="11"/>
      <c r="GH234" s="11"/>
      <c r="GI234" s="11"/>
      <c r="GJ234" s="11"/>
      <c r="GK234" s="11"/>
      <c r="GL234" s="11"/>
      <c r="GM234" s="11"/>
      <c r="GN234" s="11"/>
      <c r="GO234" s="11"/>
      <c r="GP234" s="11"/>
      <c r="GQ234" s="11"/>
      <c r="GR234" s="11"/>
    </row>
    <row r="235" spans="2:200" x14ac:dyDescent="0.15"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11"/>
      <c r="CE235" s="11"/>
      <c r="CF235" s="11"/>
      <c r="CG235" s="11"/>
      <c r="CH235" s="11"/>
      <c r="CI235" s="11"/>
      <c r="CJ235" s="11"/>
      <c r="CK235" s="11"/>
      <c r="CL235" s="11"/>
      <c r="CM235" s="11"/>
      <c r="CN235" s="11"/>
      <c r="CO235" s="11"/>
      <c r="CP235" s="11"/>
      <c r="CQ235" s="11"/>
      <c r="CR235" s="11"/>
      <c r="CS235" s="11"/>
      <c r="CT235" s="11"/>
      <c r="CU235" s="11"/>
      <c r="CV235" s="11"/>
      <c r="CW235" s="11"/>
      <c r="CX235" s="11"/>
      <c r="CY235" s="11"/>
      <c r="CZ235" s="11"/>
      <c r="DA235" s="11"/>
      <c r="DB235" s="11"/>
      <c r="DC235" s="11"/>
      <c r="DD235" s="11"/>
      <c r="DE235" s="11"/>
      <c r="DF235" s="11"/>
      <c r="DG235" s="11"/>
      <c r="DH235" s="11"/>
      <c r="DI235" s="11"/>
      <c r="DJ235" s="11"/>
      <c r="DK235" s="11"/>
      <c r="DL235" s="11"/>
      <c r="DM235" s="11"/>
      <c r="DN235" s="11"/>
      <c r="DO235" s="11"/>
      <c r="DP235" s="11"/>
      <c r="DQ235" s="11"/>
      <c r="DR235" s="11"/>
      <c r="DS235" s="11"/>
      <c r="DT235" s="11"/>
      <c r="DU235" s="11"/>
      <c r="DV235" s="11"/>
      <c r="DW235" s="11"/>
      <c r="DX235" s="11"/>
      <c r="DY235" s="11"/>
      <c r="DZ235" s="11"/>
      <c r="EA235" s="11"/>
      <c r="EB235" s="11"/>
      <c r="EC235" s="11"/>
      <c r="ED235" s="11"/>
      <c r="EE235" s="11"/>
      <c r="EF235" s="11"/>
      <c r="EG235" s="11"/>
      <c r="EH235" s="11"/>
      <c r="EI235" s="11"/>
      <c r="EJ235" s="11"/>
      <c r="EK235" s="11"/>
      <c r="EL235" s="11"/>
      <c r="EM235" s="11"/>
      <c r="EN235" s="11"/>
      <c r="EO235" s="11"/>
      <c r="EP235" s="11"/>
      <c r="EQ235" s="11"/>
      <c r="ER235" s="11"/>
      <c r="ES235" s="11"/>
      <c r="ET235" s="11"/>
      <c r="EU235" s="11"/>
      <c r="EV235" s="11"/>
      <c r="EW235" s="11"/>
      <c r="EX235" s="11"/>
      <c r="EY235" s="11"/>
      <c r="EZ235" s="11"/>
      <c r="FA235" s="11"/>
      <c r="FB235" s="11"/>
      <c r="FC235" s="11"/>
      <c r="FD235" s="11"/>
      <c r="FE235" s="11"/>
      <c r="FF235" s="11"/>
      <c r="FG235" s="11"/>
      <c r="FH235" s="11"/>
      <c r="FI235" s="11"/>
      <c r="FJ235" s="11"/>
      <c r="FK235" s="11"/>
      <c r="FL235" s="11"/>
      <c r="FM235" s="11"/>
      <c r="FN235" s="11"/>
      <c r="FO235" s="11"/>
      <c r="FP235" s="11"/>
      <c r="FQ235" s="11"/>
      <c r="FR235" s="11"/>
      <c r="FS235" s="11"/>
      <c r="FT235" s="11"/>
      <c r="FU235" s="11"/>
      <c r="FV235" s="11"/>
      <c r="FW235" s="11"/>
      <c r="FX235" s="11"/>
      <c r="FY235" s="11"/>
      <c r="FZ235" s="11"/>
      <c r="GA235" s="11"/>
      <c r="GB235" s="11"/>
      <c r="GC235" s="11"/>
      <c r="GD235" s="11"/>
      <c r="GE235" s="11"/>
      <c r="GF235" s="11"/>
      <c r="GG235" s="11"/>
      <c r="GH235" s="11"/>
      <c r="GI235" s="11"/>
      <c r="GJ235" s="11"/>
      <c r="GK235" s="11"/>
      <c r="GL235" s="11"/>
      <c r="GM235" s="11"/>
      <c r="GN235" s="11"/>
      <c r="GO235" s="11"/>
      <c r="GP235" s="11"/>
      <c r="GQ235" s="11"/>
      <c r="GR235" s="11"/>
    </row>
    <row r="236" spans="2:200" x14ac:dyDescent="0.15"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11"/>
      <c r="CE236" s="11"/>
      <c r="CF236" s="11"/>
      <c r="CG236" s="11"/>
      <c r="CH236" s="11"/>
      <c r="CI236" s="11"/>
      <c r="CJ236" s="11"/>
      <c r="CK236" s="11"/>
      <c r="CL236" s="11"/>
      <c r="CM236" s="11"/>
      <c r="CN236" s="11"/>
      <c r="CO236" s="11"/>
      <c r="CP236" s="11"/>
      <c r="CQ236" s="11"/>
      <c r="CR236" s="11"/>
      <c r="CS236" s="11"/>
      <c r="CT236" s="11"/>
      <c r="CU236" s="11"/>
      <c r="CV236" s="11"/>
      <c r="CW236" s="11"/>
      <c r="CX236" s="11"/>
      <c r="CY236" s="11"/>
      <c r="CZ236" s="11"/>
      <c r="DA236" s="11"/>
      <c r="DB236" s="11"/>
      <c r="DC236" s="11"/>
      <c r="DD236" s="11"/>
      <c r="DE236" s="11"/>
      <c r="DF236" s="11"/>
      <c r="DG236" s="11"/>
      <c r="DH236" s="11"/>
      <c r="DI236" s="11"/>
      <c r="DJ236" s="11"/>
      <c r="DK236" s="11"/>
      <c r="DL236" s="11"/>
      <c r="DM236" s="11"/>
      <c r="DN236" s="11"/>
      <c r="DO236" s="11"/>
      <c r="DP236" s="11"/>
      <c r="DQ236" s="11"/>
      <c r="DR236" s="11"/>
      <c r="DS236" s="11"/>
      <c r="DT236" s="11"/>
      <c r="DU236" s="11"/>
      <c r="DV236" s="11"/>
      <c r="DW236" s="11"/>
      <c r="DX236" s="11"/>
      <c r="DY236" s="11"/>
      <c r="DZ236" s="11"/>
      <c r="EA236" s="11"/>
      <c r="EB236" s="11"/>
      <c r="EC236" s="11"/>
      <c r="ED236" s="11"/>
      <c r="EE236" s="11"/>
      <c r="EF236" s="11"/>
      <c r="EG236" s="11"/>
      <c r="EH236" s="11"/>
      <c r="EI236" s="11"/>
      <c r="EJ236" s="11"/>
      <c r="EK236" s="11"/>
      <c r="EL236" s="11"/>
      <c r="EM236" s="11"/>
      <c r="EN236" s="11"/>
      <c r="EO236" s="11"/>
      <c r="EP236" s="11"/>
      <c r="EQ236" s="11"/>
      <c r="ER236" s="11"/>
      <c r="ES236" s="11"/>
      <c r="ET236" s="11"/>
      <c r="EU236" s="11"/>
      <c r="EV236" s="11"/>
      <c r="EW236" s="11"/>
      <c r="EX236" s="11"/>
      <c r="EY236" s="11"/>
      <c r="EZ236" s="11"/>
      <c r="FA236" s="11"/>
      <c r="FB236" s="11"/>
      <c r="FC236" s="11"/>
      <c r="FD236" s="11"/>
      <c r="FE236" s="11"/>
      <c r="FF236" s="11"/>
      <c r="FG236" s="11"/>
      <c r="FH236" s="11"/>
      <c r="FI236" s="11"/>
      <c r="FJ236" s="11"/>
      <c r="FK236" s="11"/>
      <c r="FL236" s="11"/>
      <c r="FM236" s="11"/>
      <c r="FN236" s="11"/>
      <c r="FO236" s="11"/>
      <c r="FP236" s="11"/>
      <c r="FQ236" s="11"/>
      <c r="FR236" s="11"/>
      <c r="FS236" s="11"/>
      <c r="FT236" s="11"/>
      <c r="FU236" s="11"/>
      <c r="FV236" s="11"/>
      <c r="FW236" s="11"/>
      <c r="FX236" s="11"/>
      <c r="FY236" s="11"/>
      <c r="FZ236" s="11"/>
      <c r="GA236" s="11"/>
      <c r="GB236" s="11"/>
      <c r="GC236" s="11"/>
      <c r="GD236" s="11"/>
      <c r="GE236" s="11"/>
      <c r="GF236" s="11"/>
      <c r="GG236" s="11"/>
      <c r="GH236" s="11"/>
      <c r="GI236" s="11"/>
      <c r="GJ236" s="11"/>
      <c r="GK236" s="11"/>
      <c r="GL236" s="11"/>
      <c r="GM236" s="11"/>
      <c r="GN236" s="11"/>
      <c r="GO236" s="11"/>
      <c r="GP236" s="11"/>
      <c r="GQ236" s="11"/>
      <c r="GR236" s="11"/>
    </row>
    <row r="237" spans="2:200" x14ac:dyDescent="0.15"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11"/>
      <c r="CE237" s="11"/>
      <c r="CF237" s="11"/>
      <c r="CG237" s="11"/>
      <c r="CH237" s="11"/>
      <c r="CI237" s="11"/>
      <c r="CJ237" s="11"/>
      <c r="CK237" s="11"/>
      <c r="CL237" s="11"/>
      <c r="CM237" s="11"/>
      <c r="CN237" s="11"/>
      <c r="CO237" s="11"/>
      <c r="CP237" s="11"/>
      <c r="CQ237" s="11"/>
      <c r="CR237" s="11"/>
      <c r="CS237" s="11"/>
      <c r="CT237" s="11"/>
      <c r="CU237" s="11"/>
      <c r="CV237" s="11"/>
      <c r="CW237" s="11"/>
      <c r="CX237" s="11"/>
      <c r="CY237" s="11"/>
      <c r="CZ237" s="11"/>
      <c r="DA237" s="11"/>
      <c r="DB237" s="11"/>
      <c r="DC237" s="11"/>
      <c r="DD237" s="11"/>
      <c r="DE237" s="11"/>
      <c r="DF237" s="11"/>
      <c r="DG237" s="11"/>
      <c r="DH237" s="11"/>
      <c r="DI237" s="11"/>
      <c r="DJ237" s="11"/>
      <c r="DK237" s="11"/>
      <c r="DL237" s="11"/>
      <c r="DM237" s="11"/>
      <c r="DN237" s="11"/>
      <c r="DO237" s="11"/>
      <c r="DP237" s="11"/>
      <c r="DQ237" s="11"/>
      <c r="DR237" s="11"/>
      <c r="DS237" s="11"/>
      <c r="DT237" s="11"/>
      <c r="DU237" s="11"/>
      <c r="DV237" s="11"/>
      <c r="DW237" s="11"/>
      <c r="DX237" s="11"/>
      <c r="DY237" s="11"/>
      <c r="DZ237" s="11"/>
      <c r="EA237" s="11"/>
      <c r="EB237" s="11"/>
      <c r="EC237" s="11"/>
      <c r="ED237" s="11"/>
      <c r="EE237" s="11"/>
      <c r="EF237" s="11"/>
      <c r="EG237" s="11"/>
      <c r="EH237" s="11"/>
      <c r="EI237" s="11"/>
      <c r="EJ237" s="11"/>
      <c r="EK237" s="11"/>
      <c r="EL237" s="11"/>
      <c r="EM237" s="11"/>
      <c r="EN237" s="11"/>
      <c r="EO237" s="11"/>
      <c r="EP237" s="11"/>
      <c r="EQ237" s="11"/>
      <c r="ER237" s="11"/>
      <c r="ES237" s="11"/>
      <c r="ET237" s="11"/>
      <c r="EU237" s="11"/>
      <c r="EV237" s="11"/>
      <c r="EW237" s="11"/>
      <c r="EX237" s="11"/>
      <c r="EY237" s="11"/>
      <c r="EZ237" s="11"/>
      <c r="FA237" s="11"/>
      <c r="FB237" s="11"/>
      <c r="FC237" s="11"/>
      <c r="FD237" s="11"/>
      <c r="FE237" s="11"/>
      <c r="FF237" s="11"/>
      <c r="FG237" s="11"/>
      <c r="FH237" s="11"/>
      <c r="FI237" s="11"/>
      <c r="FJ237" s="11"/>
      <c r="FK237" s="11"/>
      <c r="FL237" s="11"/>
      <c r="FM237" s="11"/>
      <c r="FN237" s="11"/>
      <c r="FO237" s="11"/>
      <c r="FP237" s="11"/>
      <c r="FQ237" s="11"/>
      <c r="FR237" s="11"/>
      <c r="FS237" s="11"/>
      <c r="FT237" s="11"/>
      <c r="FU237" s="11"/>
      <c r="FV237" s="11"/>
      <c r="FW237" s="11"/>
      <c r="FX237" s="11"/>
      <c r="FY237" s="11"/>
      <c r="FZ237" s="11"/>
      <c r="GA237" s="11"/>
      <c r="GB237" s="11"/>
      <c r="GC237" s="11"/>
      <c r="GD237" s="11"/>
      <c r="GE237" s="11"/>
      <c r="GF237" s="11"/>
      <c r="GG237" s="11"/>
      <c r="GH237" s="11"/>
      <c r="GI237" s="11"/>
      <c r="GJ237" s="11"/>
      <c r="GK237" s="11"/>
      <c r="GL237" s="11"/>
      <c r="GM237" s="11"/>
      <c r="GN237" s="11"/>
      <c r="GO237" s="11"/>
      <c r="GP237" s="11"/>
      <c r="GQ237" s="11"/>
      <c r="GR237" s="11"/>
    </row>
    <row r="238" spans="2:200" x14ac:dyDescent="0.15"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11"/>
      <c r="CE238" s="11"/>
      <c r="CF238" s="11"/>
      <c r="CG238" s="11"/>
      <c r="CH238" s="11"/>
      <c r="CI238" s="11"/>
      <c r="CJ238" s="11"/>
      <c r="CK238" s="11"/>
      <c r="CL238" s="11"/>
      <c r="CM238" s="11"/>
      <c r="CN238" s="11"/>
      <c r="CO238" s="11"/>
      <c r="CP238" s="11"/>
      <c r="CQ238" s="11"/>
      <c r="CR238" s="11"/>
      <c r="CS238" s="11"/>
      <c r="CT238" s="11"/>
      <c r="CU238" s="11"/>
      <c r="CV238" s="11"/>
      <c r="CW238" s="11"/>
      <c r="CX238" s="11"/>
      <c r="CY238" s="11"/>
      <c r="CZ238" s="11"/>
      <c r="DA238" s="11"/>
      <c r="DB238" s="11"/>
      <c r="DC238" s="11"/>
      <c r="DD238" s="11"/>
      <c r="DE238" s="11"/>
      <c r="DF238" s="11"/>
      <c r="DG238" s="11"/>
      <c r="DH238" s="11"/>
      <c r="DI238" s="11"/>
      <c r="DJ238" s="11"/>
      <c r="DK238" s="11"/>
      <c r="DL238" s="11"/>
      <c r="DM238" s="11"/>
      <c r="DN238" s="11"/>
      <c r="DO238" s="11"/>
      <c r="DP238" s="11"/>
      <c r="DQ238" s="11"/>
      <c r="DR238" s="11"/>
      <c r="DS238" s="11"/>
      <c r="DT238" s="11"/>
      <c r="DU238" s="11"/>
      <c r="DV238" s="11"/>
      <c r="DW238" s="11"/>
      <c r="DX238" s="11"/>
      <c r="DY238" s="11"/>
      <c r="DZ238" s="11"/>
      <c r="EA238" s="11"/>
      <c r="EB238" s="11"/>
      <c r="EC238" s="11"/>
      <c r="ED238" s="11"/>
      <c r="EE238" s="11"/>
      <c r="EF238" s="11"/>
      <c r="EG238" s="11"/>
      <c r="EH238" s="11"/>
      <c r="EI238" s="11"/>
      <c r="EJ238" s="11"/>
      <c r="EK238" s="11"/>
      <c r="EL238" s="11"/>
      <c r="EM238" s="11"/>
      <c r="EN238" s="11"/>
      <c r="EO238" s="11"/>
      <c r="EP238" s="11"/>
      <c r="EQ238" s="11"/>
      <c r="ER238" s="11"/>
      <c r="ES238" s="11"/>
      <c r="ET238" s="11"/>
      <c r="EU238" s="11"/>
      <c r="EV238" s="11"/>
      <c r="EW238" s="11"/>
      <c r="EX238" s="11"/>
      <c r="EY238" s="11"/>
      <c r="EZ238" s="11"/>
      <c r="FA238" s="11"/>
      <c r="FB238" s="11"/>
      <c r="FC238" s="11"/>
      <c r="FD238" s="11"/>
      <c r="FE238" s="11"/>
      <c r="FF238" s="11"/>
      <c r="FG238" s="11"/>
      <c r="FH238" s="11"/>
      <c r="FI238" s="11"/>
      <c r="FJ238" s="11"/>
      <c r="FK238" s="11"/>
      <c r="FL238" s="11"/>
      <c r="FM238" s="11"/>
      <c r="FN238" s="11"/>
      <c r="FO238" s="11"/>
      <c r="FP238" s="11"/>
      <c r="FQ238" s="11"/>
      <c r="FR238" s="11"/>
      <c r="FS238" s="11"/>
      <c r="FT238" s="11"/>
      <c r="FU238" s="11"/>
      <c r="FV238" s="11"/>
      <c r="FW238" s="11"/>
      <c r="FX238" s="11"/>
      <c r="FY238" s="11"/>
      <c r="FZ238" s="11"/>
      <c r="GA238" s="11"/>
      <c r="GB238" s="11"/>
      <c r="GC238" s="11"/>
      <c r="GD238" s="11"/>
      <c r="GE238" s="11"/>
      <c r="GF238" s="11"/>
      <c r="GG238" s="11"/>
      <c r="GH238" s="11"/>
      <c r="GI238" s="11"/>
      <c r="GJ238" s="11"/>
      <c r="GK238" s="11"/>
      <c r="GL238" s="11"/>
      <c r="GM238" s="11"/>
      <c r="GN238" s="11"/>
      <c r="GO238" s="11"/>
      <c r="GP238" s="11"/>
      <c r="GQ238" s="11"/>
      <c r="GR238" s="11"/>
    </row>
    <row r="239" spans="2:200" x14ac:dyDescent="0.15"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11"/>
      <c r="CE239" s="11"/>
      <c r="CF239" s="11"/>
      <c r="CG239" s="11"/>
      <c r="CH239" s="11"/>
      <c r="CI239" s="11"/>
      <c r="CJ239" s="11"/>
      <c r="CK239" s="11"/>
      <c r="CL239" s="11"/>
      <c r="CM239" s="11"/>
      <c r="CN239" s="11"/>
      <c r="CO239" s="11"/>
      <c r="CP239" s="11"/>
      <c r="CQ239" s="11"/>
      <c r="CR239" s="11"/>
      <c r="CS239" s="11"/>
      <c r="CT239" s="11"/>
      <c r="CU239" s="11"/>
      <c r="CV239" s="11"/>
      <c r="CW239" s="11"/>
      <c r="CX239" s="11"/>
      <c r="CY239" s="11"/>
      <c r="CZ239" s="11"/>
      <c r="DA239" s="11"/>
      <c r="DB239" s="11"/>
      <c r="DC239" s="11"/>
      <c r="DD239" s="11"/>
      <c r="DE239" s="11"/>
      <c r="DF239" s="11"/>
      <c r="DG239" s="11"/>
      <c r="DH239" s="11"/>
      <c r="DI239" s="11"/>
      <c r="DJ239" s="11"/>
      <c r="DK239" s="11"/>
      <c r="DL239" s="11"/>
      <c r="DM239" s="11"/>
      <c r="DN239" s="11"/>
      <c r="DO239" s="11"/>
      <c r="DP239" s="11"/>
      <c r="DQ239" s="11"/>
      <c r="DR239" s="11"/>
      <c r="DS239" s="11"/>
      <c r="DT239" s="11"/>
      <c r="DU239" s="11"/>
      <c r="DV239" s="11"/>
      <c r="DW239" s="11"/>
      <c r="DX239" s="11"/>
      <c r="DY239" s="11"/>
      <c r="DZ239" s="11"/>
      <c r="EA239" s="11"/>
      <c r="EB239" s="11"/>
      <c r="EC239" s="11"/>
      <c r="ED239" s="11"/>
      <c r="EE239" s="11"/>
      <c r="EF239" s="11"/>
      <c r="EG239" s="11"/>
      <c r="EH239" s="11"/>
      <c r="EI239" s="11"/>
      <c r="EJ239" s="11"/>
      <c r="EK239" s="11"/>
      <c r="EL239" s="11"/>
      <c r="EM239" s="11"/>
      <c r="EN239" s="11"/>
      <c r="EO239" s="11"/>
      <c r="EP239" s="11"/>
      <c r="EQ239" s="11"/>
      <c r="ER239" s="11"/>
      <c r="ES239" s="11"/>
      <c r="ET239" s="11"/>
      <c r="EU239" s="11"/>
      <c r="EV239" s="11"/>
      <c r="EW239" s="11"/>
      <c r="EX239" s="11"/>
      <c r="EY239" s="11"/>
      <c r="EZ239" s="11"/>
      <c r="FA239" s="11"/>
      <c r="FB239" s="11"/>
      <c r="FC239" s="11"/>
      <c r="FD239" s="11"/>
      <c r="FE239" s="11"/>
      <c r="FF239" s="11"/>
      <c r="FG239" s="11"/>
      <c r="FH239" s="11"/>
      <c r="FI239" s="11"/>
      <c r="FJ239" s="11"/>
      <c r="FK239" s="11"/>
      <c r="FL239" s="11"/>
      <c r="FM239" s="11"/>
      <c r="FN239" s="11"/>
      <c r="FO239" s="11"/>
      <c r="FP239" s="11"/>
      <c r="FQ239" s="11"/>
      <c r="FR239" s="11"/>
      <c r="FS239" s="11"/>
      <c r="FT239" s="11"/>
      <c r="FU239" s="11"/>
      <c r="FV239" s="11"/>
      <c r="FW239" s="11"/>
      <c r="FX239" s="11"/>
      <c r="FY239" s="11"/>
      <c r="FZ239" s="11"/>
      <c r="GA239" s="11"/>
      <c r="GB239" s="11"/>
      <c r="GC239" s="11"/>
      <c r="GD239" s="11"/>
      <c r="GE239" s="11"/>
      <c r="GF239" s="11"/>
      <c r="GG239" s="11"/>
      <c r="GH239" s="11"/>
      <c r="GI239" s="11"/>
      <c r="GJ239" s="11"/>
      <c r="GK239" s="11"/>
      <c r="GL239" s="11"/>
      <c r="GM239" s="11"/>
      <c r="GN239" s="11"/>
      <c r="GO239" s="11"/>
      <c r="GP239" s="11"/>
      <c r="GQ239" s="11"/>
      <c r="GR239" s="11"/>
    </row>
    <row r="240" spans="2:200" x14ac:dyDescent="0.15"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  <c r="CW240" s="11"/>
      <c r="CX240" s="11"/>
      <c r="CY240" s="11"/>
      <c r="CZ240" s="11"/>
      <c r="DA240" s="11"/>
      <c r="DB240" s="11"/>
      <c r="DC240" s="11"/>
      <c r="DD240" s="11"/>
      <c r="DE240" s="11"/>
      <c r="DF240" s="11"/>
      <c r="DG240" s="11"/>
      <c r="DH240" s="11"/>
      <c r="DI240" s="11"/>
      <c r="DJ240" s="11"/>
      <c r="DK240" s="11"/>
      <c r="DL240" s="11"/>
      <c r="DM240" s="11"/>
      <c r="DN240" s="11"/>
      <c r="DO240" s="11"/>
      <c r="DP240" s="11"/>
      <c r="DQ240" s="11"/>
      <c r="DR240" s="11"/>
      <c r="DS240" s="11"/>
      <c r="DT240" s="11"/>
      <c r="DU240" s="11"/>
      <c r="DV240" s="11"/>
      <c r="DW240" s="11"/>
      <c r="DX240" s="11"/>
      <c r="DY240" s="11"/>
      <c r="DZ240" s="11"/>
      <c r="EA240" s="11"/>
      <c r="EB240" s="11"/>
      <c r="EC240" s="11"/>
      <c r="ED240" s="11"/>
      <c r="EE240" s="11"/>
      <c r="EF240" s="11"/>
      <c r="EG240" s="11"/>
      <c r="EH240" s="11"/>
      <c r="EI240" s="11"/>
      <c r="EJ240" s="11"/>
      <c r="EK240" s="11"/>
      <c r="EL240" s="11"/>
      <c r="EM240" s="11"/>
      <c r="EN240" s="11"/>
      <c r="EO240" s="11"/>
      <c r="EP240" s="11"/>
      <c r="EQ240" s="11"/>
      <c r="ER240" s="11"/>
      <c r="ES240" s="11"/>
      <c r="ET240" s="11"/>
      <c r="EU240" s="11"/>
      <c r="EV240" s="11"/>
      <c r="EW240" s="11"/>
      <c r="EX240" s="11"/>
      <c r="EY240" s="11"/>
      <c r="EZ240" s="11"/>
      <c r="FA240" s="11"/>
      <c r="FB240" s="11"/>
      <c r="FC240" s="11"/>
      <c r="FD240" s="11"/>
      <c r="FE240" s="11"/>
      <c r="FF240" s="11"/>
      <c r="FG240" s="11"/>
      <c r="FH240" s="11"/>
      <c r="FI240" s="11"/>
      <c r="FJ240" s="11"/>
      <c r="FK240" s="11"/>
      <c r="FL240" s="11"/>
      <c r="FM240" s="11"/>
      <c r="FN240" s="11"/>
      <c r="FO240" s="11"/>
      <c r="FP240" s="11"/>
      <c r="FQ240" s="11"/>
      <c r="FR240" s="11"/>
      <c r="FS240" s="11"/>
      <c r="FT240" s="11"/>
      <c r="FU240" s="11"/>
      <c r="FV240" s="11"/>
      <c r="FW240" s="11"/>
      <c r="FX240" s="11"/>
      <c r="FY240" s="11"/>
      <c r="FZ240" s="11"/>
      <c r="GA240" s="11"/>
      <c r="GB240" s="11"/>
      <c r="GC240" s="11"/>
      <c r="GD240" s="11"/>
      <c r="GE240" s="11"/>
      <c r="GF240" s="11"/>
      <c r="GG240" s="11"/>
      <c r="GH240" s="11"/>
      <c r="GI240" s="11"/>
      <c r="GJ240" s="11"/>
      <c r="GK240" s="11"/>
      <c r="GL240" s="11"/>
      <c r="GM240" s="11"/>
      <c r="GN240" s="11"/>
      <c r="GO240" s="11"/>
      <c r="GP240" s="11"/>
      <c r="GQ240" s="11"/>
      <c r="GR240" s="11"/>
    </row>
    <row r="241" spans="2:200" x14ac:dyDescent="0.15"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11"/>
      <c r="CE241" s="11"/>
      <c r="CF241" s="11"/>
      <c r="CG241" s="11"/>
      <c r="CH241" s="11"/>
      <c r="CI241" s="11"/>
      <c r="CJ241" s="11"/>
      <c r="CK241" s="11"/>
      <c r="CL241" s="11"/>
      <c r="CM241" s="11"/>
      <c r="CN241" s="11"/>
      <c r="CO241" s="11"/>
      <c r="CP241" s="11"/>
      <c r="CQ241" s="11"/>
      <c r="CR241" s="11"/>
      <c r="CS241" s="11"/>
      <c r="CT241" s="11"/>
      <c r="CU241" s="11"/>
      <c r="CV241" s="11"/>
      <c r="CW241" s="11"/>
      <c r="CX241" s="11"/>
      <c r="CY241" s="11"/>
      <c r="CZ241" s="11"/>
      <c r="DA241" s="11"/>
      <c r="DB241" s="11"/>
      <c r="DC241" s="11"/>
      <c r="DD241" s="11"/>
      <c r="DE241" s="11"/>
      <c r="DF241" s="11"/>
      <c r="DG241" s="11"/>
      <c r="DH241" s="11"/>
      <c r="DI241" s="11"/>
      <c r="DJ241" s="11"/>
      <c r="DK241" s="11"/>
      <c r="DL241" s="11"/>
      <c r="DM241" s="11"/>
      <c r="DN241" s="11"/>
      <c r="DO241" s="11"/>
      <c r="DP241" s="11"/>
      <c r="DQ241" s="11"/>
      <c r="DR241" s="11"/>
      <c r="DS241" s="11"/>
      <c r="DT241" s="11"/>
      <c r="DU241" s="11"/>
      <c r="DV241" s="11"/>
      <c r="DW241" s="11"/>
      <c r="DX241" s="11"/>
      <c r="DY241" s="11"/>
      <c r="DZ241" s="11"/>
      <c r="EA241" s="11"/>
      <c r="EB241" s="11"/>
      <c r="EC241" s="11"/>
      <c r="ED241" s="11"/>
      <c r="EE241" s="11"/>
      <c r="EF241" s="11"/>
      <c r="EG241" s="11"/>
      <c r="EH241" s="11"/>
      <c r="EI241" s="11"/>
      <c r="EJ241" s="11"/>
      <c r="EK241" s="11"/>
      <c r="EL241" s="11"/>
      <c r="EM241" s="11"/>
      <c r="EN241" s="11"/>
      <c r="EO241" s="11"/>
      <c r="EP241" s="11"/>
      <c r="EQ241" s="11"/>
      <c r="ER241" s="11"/>
      <c r="ES241" s="11"/>
      <c r="ET241" s="11"/>
      <c r="EU241" s="11"/>
      <c r="EV241" s="11"/>
      <c r="EW241" s="11"/>
      <c r="EX241" s="11"/>
      <c r="EY241" s="11"/>
      <c r="EZ241" s="11"/>
      <c r="FA241" s="11"/>
      <c r="FB241" s="11"/>
      <c r="FC241" s="11"/>
      <c r="FD241" s="11"/>
      <c r="FE241" s="11"/>
      <c r="FF241" s="11"/>
      <c r="FG241" s="11"/>
      <c r="FH241" s="11"/>
      <c r="FI241" s="11"/>
      <c r="FJ241" s="11"/>
      <c r="FK241" s="11"/>
      <c r="FL241" s="11"/>
      <c r="FM241" s="11"/>
      <c r="FN241" s="11"/>
      <c r="FO241" s="11"/>
      <c r="FP241" s="11"/>
      <c r="FQ241" s="11"/>
      <c r="FR241" s="11"/>
      <c r="FS241" s="11"/>
      <c r="FT241" s="11"/>
      <c r="FU241" s="11"/>
      <c r="FV241" s="11"/>
      <c r="FW241" s="11"/>
      <c r="FX241" s="11"/>
      <c r="FY241" s="11"/>
      <c r="FZ241" s="11"/>
      <c r="GA241" s="11"/>
      <c r="GB241" s="11"/>
      <c r="GC241" s="11"/>
      <c r="GD241" s="11"/>
      <c r="GE241" s="11"/>
      <c r="GF241" s="11"/>
      <c r="GG241" s="11"/>
      <c r="GH241" s="11"/>
      <c r="GI241" s="11"/>
      <c r="GJ241" s="11"/>
      <c r="GK241" s="11"/>
      <c r="GL241" s="11"/>
      <c r="GM241" s="11"/>
      <c r="GN241" s="11"/>
      <c r="GO241" s="11"/>
      <c r="GP241" s="11"/>
      <c r="GQ241" s="11"/>
      <c r="GR241" s="11"/>
    </row>
    <row r="242" spans="2:200" x14ac:dyDescent="0.15"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1"/>
      <c r="CL242" s="11"/>
      <c r="CM242" s="11"/>
      <c r="CN242" s="11"/>
      <c r="CO242" s="11"/>
      <c r="CP242" s="11"/>
      <c r="CQ242" s="11"/>
      <c r="CR242" s="11"/>
      <c r="CS242" s="11"/>
      <c r="CT242" s="11"/>
      <c r="CU242" s="11"/>
      <c r="CV242" s="11"/>
      <c r="CW242" s="11"/>
      <c r="CX242" s="11"/>
      <c r="CY242" s="11"/>
      <c r="CZ242" s="11"/>
      <c r="DA242" s="11"/>
      <c r="DB242" s="11"/>
      <c r="DC242" s="11"/>
      <c r="DD242" s="11"/>
      <c r="DE242" s="11"/>
      <c r="DF242" s="11"/>
      <c r="DG242" s="11"/>
      <c r="DH242" s="11"/>
      <c r="DI242" s="11"/>
      <c r="DJ242" s="11"/>
      <c r="DK242" s="11"/>
      <c r="DL242" s="11"/>
      <c r="DM242" s="11"/>
      <c r="DN242" s="11"/>
      <c r="DO242" s="11"/>
      <c r="DP242" s="11"/>
      <c r="DQ242" s="11"/>
      <c r="DR242" s="11"/>
      <c r="DS242" s="11"/>
      <c r="DT242" s="11"/>
      <c r="DU242" s="11"/>
      <c r="DV242" s="11"/>
      <c r="DW242" s="11"/>
      <c r="DX242" s="11"/>
      <c r="DY242" s="11"/>
      <c r="DZ242" s="11"/>
      <c r="EA242" s="11"/>
      <c r="EB242" s="11"/>
      <c r="EC242" s="11"/>
      <c r="ED242" s="11"/>
      <c r="EE242" s="11"/>
      <c r="EF242" s="11"/>
      <c r="EG242" s="11"/>
      <c r="EH242" s="11"/>
      <c r="EI242" s="11"/>
      <c r="EJ242" s="11"/>
      <c r="EK242" s="11"/>
      <c r="EL242" s="11"/>
      <c r="EM242" s="11"/>
      <c r="EN242" s="11"/>
      <c r="EO242" s="11"/>
      <c r="EP242" s="11"/>
      <c r="EQ242" s="11"/>
      <c r="ER242" s="11"/>
      <c r="ES242" s="11"/>
      <c r="ET242" s="11"/>
      <c r="EU242" s="11"/>
      <c r="EV242" s="11"/>
      <c r="EW242" s="11"/>
      <c r="EX242" s="11"/>
      <c r="EY242" s="11"/>
      <c r="EZ242" s="11"/>
      <c r="FA242" s="11"/>
      <c r="FB242" s="11"/>
      <c r="FC242" s="11"/>
      <c r="FD242" s="11"/>
      <c r="FE242" s="11"/>
      <c r="FF242" s="11"/>
      <c r="FG242" s="11"/>
      <c r="FH242" s="11"/>
      <c r="FI242" s="11"/>
      <c r="FJ242" s="11"/>
      <c r="FK242" s="11"/>
      <c r="FL242" s="11"/>
      <c r="FM242" s="11"/>
      <c r="FN242" s="11"/>
      <c r="FO242" s="11"/>
      <c r="FP242" s="11"/>
      <c r="FQ242" s="11"/>
      <c r="FR242" s="11"/>
      <c r="FS242" s="11"/>
      <c r="FT242" s="11"/>
      <c r="FU242" s="11"/>
      <c r="FV242" s="11"/>
      <c r="FW242" s="11"/>
      <c r="FX242" s="11"/>
      <c r="FY242" s="11"/>
      <c r="FZ242" s="11"/>
      <c r="GA242" s="11"/>
      <c r="GB242" s="11"/>
      <c r="GC242" s="11"/>
      <c r="GD242" s="11"/>
      <c r="GE242" s="11"/>
      <c r="GF242" s="11"/>
      <c r="GG242" s="11"/>
      <c r="GH242" s="11"/>
      <c r="GI242" s="11"/>
      <c r="GJ242" s="11"/>
      <c r="GK242" s="11"/>
      <c r="GL242" s="11"/>
      <c r="GM242" s="11"/>
      <c r="GN242" s="11"/>
      <c r="GO242" s="11"/>
      <c r="GP242" s="11"/>
      <c r="GQ242" s="11"/>
      <c r="GR242" s="11"/>
    </row>
    <row r="243" spans="2:200" x14ac:dyDescent="0.15"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11"/>
      <c r="CE243" s="11"/>
      <c r="CF243" s="11"/>
      <c r="CG243" s="11"/>
      <c r="CH243" s="11"/>
      <c r="CI243" s="11"/>
      <c r="CJ243" s="11"/>
      <c r="CK243" s="11"/>
      <c r="CL243" s="11"/>
      <c r="CM243" s="11"/>
      <c r="CN243" s="11"/>
      <c r="CO243" s="11"/>
      <c r="CP243" s="11"/>
      <c r="CQ243" s="11"/>
      <c r="CR243" s="11"/>
      <c r="CS243" s="11"/>
      <c r="CT243" s="11"/>
      <c r="CU243" s="11"/>
      <c r="CV243" s="11"/>
      <c r="CW243" s="11"/>
      <c r="CX243" s="11"/>
      <c r="CY243" s="11"/>
      <c r="CZ243" s="11"/>
      <c r="DA243" s="11"/>
      <c r="DB243" s="11"/>
      <c r="DC243" s="11"/>
      <c r="DD243" s="11"/>
      <c r="DE243" s="11"/>
      <c r="DF243" s="11"/>
      <c r="DG243" s="11"/>
      <c r="DH243" s="11"/>
      <c r="DI243" s="11"/>
      <c r="DJ243" s="11"/>
      <c r="DK243" s="11"/>
      <c r="DL243" s="11"/>
      <c r="DM243" s="11"/>
      <c r="DN243" s="11"/>
      <c r="DO243" s="11"/>
      <c r="DP243" s="11"/>
      <c r="DQ243" s="11"/>
      <c r="DR243" s="11"/>
      <c r="DS243" s="11"/>
      <c r="DT243" s="11"/>
      <c r="DU243" s="11"/>
      <c r="DV243" s="11"/>
      <c r="DW243" s="11"/>
      <c r="DX243" s="11"/>
      <c r="DY243" s="11"/>
      <c r="DZ243" s="11"/>
      <c r="EA243" s="11"/>
      <c r="EB243" s="11"/>
      <c r="EC243" s="11"/>
      <c r="ED243" s="11"/>
      <c r="EE243" s="11"/>
      <c r="EF243" s="11"/>
      <c r="EG243" s="11"/>
      <c r="EH243" s="11"/>
      <c r="EI243" s="11"/>
      <c r="EJ243" s="11"/>
      <c r="EK243" s="11"/>
      <c r="EL243" s="11"/>
      <c r="EM243" s="11"/>
      <c r="EN243" s="11"/>
      <c r="EO243" s="11"/>
      <c r="EP243" s="11"/>
      <c r="EQ243" s="11"/>
      <c r="ER243" s="11"/>
      <c r="ES243" s="11"/>
      <c r="ET243" s="11"/>
      <c r="EU243" s="11"/>
      <c r="EV243" s="11"/>
      <c r="EW243" s="11"/>
      <c r="EX243" s="11"/>
      <c r="EY243" s="11"/>
      <c r="EZ243" s="11"/>
      <c r="FA243" s="11"/>
      <c r="FB243" s="11"/>
      <c r="FC243" s="11"/>
      <c r="FD243" s="11"/>
      <c r="FE243" s="11"/>
      <c r="FF243" s="11"/>
      <c r="FG243" s="11"/>
      <c r="FH243" s="11"/>
      <c r="FI243" s="11"/>
      <c r="FJ243" s="11"/>
      <c r="FK243" s="11"/>
      <c r="FL243" s="11"/>
      <c r="FM243" s="11"/>
      <c r="FN243" s="11"/>
      <c r="FO243" s="11"/>
      <c r="FP243" s="11"/>
      <c r="FQ243" s="11"/>
      <c r="FR243" s="11"/>
      <c r="FS243" s="11"/>
      <c r="FT243" s="11"/>
      <c r="FU243" s="11"/>
      <c r="FV243" s="11"/>
      <c r="FW243" s="11"/>
      <c r="FX243" s="11"/>
      <c r="FY243" s="11"/>
      <c r="FZ243" s="11"/>
      <c r="GA243" s="11"/>
      <c r="GB243" s="11"/>
      <c r="GC243" s="11"/>
      <c r="GD243" s="11"/>
      <c r="GE243" s="11"/>
      <c r="GF243" s="11"/>
      <c r="GG243" s="11"/>
      <c r="GH243" s="11"/>
      <c r="GI243" s="11"/>
      <c r="GJ243" s="11"/>
      <c r="GK243" s="11"/>
      <c r="GL243" s="11"/>
      <c r="GM243" s="11"/>
      <c r="GN243" s="11"/>
      <c r="GO243" s="11"/>
      <c r="GP243" s="11"/>
      <c r="GQ243" s="11"/>
      <c r="GR243" s="11"/>
    </row>
    <row r="244" spans="2:200" x14ac:dyDescent="0.15"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11"/>
      <c r="CE244" s="11"/>
      <c r="CF244" s="11"/>
      <c r="CG244" s="11"/>
      <c r="CH244" s="11"/>
      <c r="CI244" s="11"/>
      <c r="CJ244" s="11"/>
      <c r="CK244" s="11"/>
      <c r="CL244" s="11"/>
      <c r="CM244" s="11"/>
      <c r="CN244" s="11"/>
      <c r="CO244" s="11"/>
      <c r="CP244" s="11"/>
      <c r="CQ244" s="11"/>
      <c r="CR244" s="11"/>
      <c r="CS244" s="11"/>
      <c r="CT244" s="11"/>
      <c r="CU244" s="11"/>
      <c r="CV244" s="11"/>
      <c r="CW244" s="11"/>
      <c r="CX244" s="11"/>
      <c r="CY244" s="11"/>
      <c r="CZ244" s="11"/>
      <c r="DA244" s="11"/>
      <c r="DB244" s="11"/>
      <c r="DC244" s="11"/>
      <c r="DD244" s="11"/>
      <c r="DE244" s="11"/>
      <c r="DF244" s="11"/>
      <c r="DG244" s="11"/>
      <c r="DH244" s="11"/>
      <c r="DI244" s="11"/>
      <c r="DJ244" s="11"/>
      <c r="DK244" s="11"/>
      <c r="DL244" s="11"/>
      <c r="DM244" s="11"/>
      <c r="DN244" s="11"/>
      <c r="DO244" s="11"/>
      <c r="DP244" s="11"/>
      <c r="DQ244" s="11"/>
      <c r="DR244" s="11"/>
      <c r="DS244" s="11"/>
      <c r="DT244" s="11"/>
      <c r="DU244" s="11"/>
      <c r="DV244" s="11"/>
      <c r="DW244" s="11"/>
      <c r="DX244" s="11"/>
      <c r="DY244" s="11"/>
      <c r="DZ244" s="11"/>
      <c r="EA244" s="11"/>
      <c r="EB244" s="11"/>
      <c r="EC244" s="11"/>
      <c r="ED244" s="11"/>
      <c r="EE244" s="11"/>
      <c r="EF244" s="11"/>
      <c r="EG244" s="11"/>
      <c r="EH244" s="11"/>
      <c r="EI244" s="11"/>
      <c r="EJ244" s="11"/>
      <c r="EK244" s="11"/>
      <c r="EL244" s="11"/>
      <c r="EM244" s="11"/>
      <c r="EN244" s="11"/>
      <c r="EO244" s="11"/>
      <c r="EP244" s="11"/>
      <c r="EQ244" s="11"/>
      <c r="ER244" s="11"/>
      <c r="ES244" s="11"/>
      <c r="ET244" s="11"/>
      <c r="EU244" s="11"/>
      <c r="EV244" s="11"/>
      <c r="EW244" s="11"/>
      <c r="EX244" s="11"/>
      <c r="EY244" s="11"/>
      <c r="EZ244" s="11"/>
      <c r="FA244" s="11"/>
      <c r="FB244" s="11"/>
      <c r="FC244" s="11"/>
      <c r="FD244" s="11"/>
      <c r="FE244" s="11"/>
      <c r="FF244" s="11"/>
      <c r="FG244" s="11"/>
      <c r="FH244" s="11"/>
      <c r="FI244" s="11"/>
      <c r="FJ244" s="11"/>
      <c r="FK244" s="11"/>
      <c r="FL244" s="11"/>
      <c r="FM244" s="11"/>
      <c r="FN244" s="11"/>
      <c r="FO244" s="11"/>
      <c r="FP244" s="11"/>
      <c r="FQ244" s="11"/>
      <c r="FR244" s="11"/>
      <c r="FS244" s="11"/>
      <c r="FT244" s="11"/>
      <c r="FU244" s="11"/>
      <c r="FV244" s="11"/>
      <c r="FW244" s="11"/>
      <c r="FX244" s="11"/>
      <c r="FY244" s="11"/>
      <c r="FZ244" s="11"/>
      <c r="GA244" s="11"/>
      <c r="GB244" s="11"/>
      <c r="GC244" s="11"/>
      <c r="GD244" s="11"/>
      <c r="GE244" s="11"/>
      <c r="GF244" s="11"/>
      <c r="GG244" s="11"/>
      <c r="GH244" s="11"/>
      <c r="GI244" s="11"/>
      <c r="GJ244" s="11"/>
      <c r="GK244" s="11"/>
      <c r="GL244" s="11"/>
      <c r="GM244" s="11"/>
      <c r="GN244" s="11"/>
      <c r="GO244" s="11"/>
      <c r="GP244" s="11"/>
      <c r="GQ244" s="11"/>
      <c r="GR244" s="11"/>
    </row>
    <row r="245" spans="2:200" x14ac:dyDescent="0.15"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11"/>
      <c r="CE245" s="11"/>
      <c r="CF245" s="11"/>
      <c r="CG245" s="11"/>
      <c r="CH245" s="11"/>
      <c r="CI245" s="11"/>
      <c r="CJ245" s="11"/>
      <c r="CK245" s="11"/>
      <c r="CL245" s="11"/>
      <c r="CM245" s="11"/>
      <c r="CN245" s="11"/>
      <c r="CO245" s="11"/>
      <c r="CP245" s="11"/>
      <c r="CQ245" s="11"/>
      <c r="CR245" s="11"/>
      <c r="CS245" s="11"/>
      <c r="CT245" s="11"/>
      <c r="CU245" s="11"/>
      <c r="CV245" s="11"/>
      <c r="CW245" s="11"/>
      <c r="CX245" s="11"/>
      <c r="CY245" s="11"/>
      <c r="CZ245" s="11"/>
      <c r="DA245" s="11"/>
      <c r="DB245" s="11"/>
      <c r="DC245" s="11"/>
      <c r="DD245" s="11"/>
      <c r="DE245" s="11"/>
      <c r="DF245" s="11"/>
      <c r="DG245" s="11"/>
      <c r="DH245" s="11"/>
      <c r="DI245" s="11"/>
      <c r="DJ245" s="11"/>
      <c r="DK245" s="11"/>
      <c r="DL245" s="11"/>
      <c r="DM245" s="11"/>
      <c r="DN245" s="11"/>
      <c r="DO245" s="11"/>
      <c r="DP245" s="11"/>
      <c r="DQ245" s="11"/>
      <c r="DR245" s="11"/>
      <c r="DS245" s="11"/>
      <c r="DT245" s="11"/>
      <c r="DU245" s="11"/>
      <c r="DV245" s="11"/>
      <c r="DW245" s="11"/>
      <c r="DX245" s="11"/>
      <c r="DY245" s="11"/>
      <c r="DZ245" s="11"/>
      <c r="EA245" s="11"/>
      <c r="EB245" s="11"/>
      <c r="EC245" s="11"/>
      <c r="ED245" s="11"/>
      <c r="EE245" s="11"/>
      <c r="EF245" s="11"/>
      <c r="EG245" s="11"/>
      <c r="EH245" s="11"/>
      <c r="EI245" s="11"/>
      <c r="EJ245" s="11"/>
      <c r="EK245" s="11"/>
      <c r="EL245" s="11"/>
      <c r="EM245" s="11"/>
      <c r="EN245" s="11"/>
      <c r="EO245" s="11"/>
      <c r="EP245" s="11"/>
      <c r="EQ245" s="11"/>
      <c r="ER245" s="11"/>
      <c r="ES245" s="11"/>
      <c r="ET245" s="11"/>
      <c r="EU245" s="11"/>
      <c r="EV245" s="11"/>
      <c r="EW245" s="11"/>
      <c r="EX245" s="11"/>
      <c r="EY245" s="11"/>
      <c r="EZ245" s="11"/>
      <c r="FA245" s="11"/>
      <c r="FB245" s="11"/>
      <c r="FC245" s="11"/>
      <c r="FD245" s="11"/>
      <c r="FE245" s="11"/>
      <c r="FF245" s="11"/>
      <c r="FG245" s="11"/>
      <c r="FH245" s="11"/>
      <c r="FI245" s="11"/>
      <c r="FJ245" s="11"/>
      <c r="FK245" s="11"/>
      <c r="FL245" s="11"/>
      <c r="FM245" s="11"/>
      <c r="FN245" s="11"/>
      <c r="FO245" s="11"/>
      <c r="FP245" s="11"/>
      <c r="FQ245" s="11"/>
      <c r="FR245" s="11"/>
      <c r="FS245" s="11"/>
      <c r="FT245" s="11"/>
      <c r="FU245" s="11"/>
      <c r="FV245" s="11"/>
      <c r="FW245" s="11"/>
      <c r="FX245" s="11"/>
      <c r="FY245" s="11"/>
      <c r="FZ245" s="11"/>
      <c r="GA245" s="11"/>
      <c r="GB245" s="11"/>
      <c r="GC245" s="11"/>
      <c r="GD245" s="11"/>
      <c r="GE245" s="11"/>
      <c r="GF245" s="11"/>
      <c r="GG245" s="11"/>
      <c r="GH245" s="11"/>
      <c r="GI245" s="11"/>
      <c r="GJ245" s="11"/>
      <c r="GK245" s="11"/>
      <c r="GL245" s="11"/>
      <c r="GM245" s="11"/>
      <c r="GN245" s="11"/>
      <c r="GO245" s="11"/>
      <c r="GP245" s="11"/>
      <c r="GQ245" s="11"/>
      <c r="GR245" s="11"/>
    </row>
    <row r="246" spans="2:200" x14ac:dyDescent="0.15"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11"/>
      <c r="CE246" s="11"/>
      <c r="CF246" s="11"/>
      <c r="CG246" s="11"/>
      <c r="CH246" s="11"/>
      <c r="CI246" s="11"/>
      <c r="CJ246" s="11"/>
      <c r="CK246" s="11"/>
      <c r="CL246" s="11"/>
      <c r="CM246" s="11"/>
      <c r="CN246" s="11"/>
      <c r="CO246" s="11"/>
      <c r="CP246" s="11"/>
      <c r="CQ246" s="11"/>
      <c r="CR246" s="11"/>
      <c r="CS246" s="11"/>
      <c r="CT246" s="11"/>
      <c r="CU246" s="11"/>
      <c r="CV246" s="11"/>
      <c r="CW246" s="11"/>
      <c r="CX246" s="11"/>
      <c r="CY246" s="11"/>
      <c r="CZ246" s="11"/>
      <c r="DA246" s="11"/>
      <c r="DB246" s="11"/>
      <c r="DC246" s="11"/>
      <c r="DD246" s="11"/>
      <c r="DE246" s="11"/>
      <c r="DF246" s="11"/>
      <c r="DG246" s="11"/>
      <c r="DH246" s="11"/>
      <c r="DI246" s="11"/>
      <c r="DJ246" s="11"/>
      <c r="DK246" s="11"/>
      <c r="DL246" s="11"/>
      <c r="DM246" s="11"/>
      <c r="DN246" s="11"/>
      <c r="DO246" s="11"/>
      <c r="DP246" s="11"/>
      <c r="DQ246" s="11"/>
      <c r="DR246" s="11"/>
      <c r="DS246" s="11"/>
      <c r="DT246" s="11"/>
      <c r="DU246" s="11"/>
      <c r="DV246" s="11"/>
      <c r="DW246" s="11"/>
      <c r="DX246" s="11"/>
      <c r="DY246" s="11"/>
      <c r="DZ246" s="11"/>
      <c r="EA246" s="11"/>
      <c r="EB246" s="11"/>
      <c r="EC246" s="11"/>
      <c r="ED246" s="11"/>
      <c r="EE246" s="11"/>
      <c r="EF246" s="11"/>
      <c r="EG246" s="11"/>
      <c r="EH246" s="11"/>
      <c r="EI246" s="11"/>
      <c r="EJ246" s="11"/>
      <c r="EK246" s="11"/>
      <c r="EL246" s="11"/>
      <c r="EM246" s="11"/>
      <c r="EN246" s="11"/>
      <c r="EO246" s="11"/>
      <c r="EP246" s="11"/>
      <c r="EQ246" s="11"/>
      <c r="ER246" s="11"/>
      <c r="ES246" s="11"/>
      <c r="ET246" s="11"/>
      <c r="EU246" s="11"/>
      <c r="EV246" s="11"/>
      <c r="EW246" s="11"/>
      <c r="EX246" s="11"/>
      <c r="EY246" s="11"/>
      <c r="EZ246" s="11"/>
      <c r="FA246" s="11"/>
      <c r="FB246" s="11"/>
      <c r="FC246" s="11"/>
      <c r="FD246" s="11"/>
      <c r="FE246" s="11"/>
      <c r="FF246" s="11"/>
      <c r="FG246" s="11"/>
      <c r="FH246" s="11"/>
      <c r="FI246" s="11"/>
      <c r="FJ246" s="11"/>
      <c r="FK246" s="11"/>
      <c r="FL246" s="11"/>
      <c r="FM246" s="11"/>
      <c r="FN246" s="11"/>
      <c r="FO246" s="11"/>
      <c r="FP246" s="11"/>
      <c r="FQ246" s="11"/>
      <c r="FR246" s="11"/>
      <c r="FS246" s="11"/>
      <c r="FT246" s="11"/>
      <c r="FU246" s="11"/>
      <c r="FV246" s="11"/>
      <c r="FW246" s="11"/>
      <c r="FX246" s="11"/>
      <c r="FY246" s="11"/>
      <c r="FZ246" s="11"/>
      <c r="GA246" s="11"/>
      <c r="GB246" s="11"/>
      <c r="GC246" s="11"/>
      <c r="GD246" s="11"/>
      <c r="GE246" s="11"/>
      <c r="GF246" s="11"/>
      <c r="GG246" s="11"/>
      <c r="GH246" s="11"/>
      <c r="GI246" s="11"/>
      <c r="GJ246" s="11"/>
      <c r="GK246" s="11"/>
      <c r="GL246" s="11"/>
      <c r="GM246" s="11"/>
      <c r="GN246" s="11"/>
      <c r="GO246" s="11"/>
      <c r="GP246" s="11"/>
      <c r="GQ246" s="11"/>
      <c r="GR246" s="11"/>
    </row>
    <row r="247" spans="2:200" x14ac:dyDescent="0.15"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11"/>
      <c r="CE247" s="11"/>
      <c r="CF247" s="11"/>
      <c r="CG247" s="11"/>
      <c r="CH247" s="11"/>
      <c r="CI247" s="11"/>
      <c r="CJ247" s="11"/>
      <c r="CK247" s="11"/>
      <c r="CL247" s="11"/>
      <c r="CM247" s="11"/>
      <c r="CN247" s="11"/>
      <c r="CO247" s="11"/>
      <c r="CP247" s="11"/>
      <c r="CQ247" s="11"/>
      <c r="CR247" s="11"/>
      <c r="CS247" s="11"/>
      <c r="CT247" s="11"/>
      <c r="CU247" s="11"/>
      <c r="CV247" s="11"/>
      <c r="CW247" s="11"/>
      <c r="CX247" s="11"/>
      <c r="CY247" s="11"/>
      <c r="CZ247" s="11"/>
      <c r="DA247" s="11"/>
      <c r="DB247" s="11"/>
      <c r="DC247" s="11"/>
      <c r="DD247" s="11"/>
      <c r="DE247" s="11"/>
      <c r="DF247" s="11"/>
      <c r="DG247" s="11"/>
      <c r="DH247" s="11"/>
      <c r="DI247" s="11"/>
      <c r="DJ247" s="11"/>
      <c r="DK247" s="11"/>
      <c r="DL247" s="11"/>
      <c r="DM247" s="11"/>
      <c r="DN247" s="11"/>
      <c r="DO247" s="11"/>
      <c r="DP247" s="11"/>
      <c r="DQ247" s="11"/>
      <c r="DR247" s="11"/>
      <c r="DS247" s="11"/>
      <c r="DT247" s="11"/>
      <c r="DU247" s="11"/>
      <c r="DV247" s="11"/>
      <c r="DW247" s="11"/>
      <c r="DX247" s="11"/>
      <c r="DY247" s="11"/>
      <c r="DZ247" s="11"/>
      <c r="EA247" s="11"/>
      <c r="EB247" s="11"/>
      <c r="EC247" s="11"/>
      <c r="ED247" s="11"/>
      <c r="EE247" s="11"/>
      <c r="EF247" s="11"/>
      <c r="EG247" s="11"/>
      <c r="EH247" s="11"/>
      <c r="EI247" s="11"/>
      <c r="EJ247" s="11"/>
      <c r="EK247" s="11"/>
      <c r="EL247" s="11"/>
      <c r="EM247" s="11"/>
      <c r="EN247" s="11"/>
      <c r="EO247" s="11"/>
      <c r="EP247" s="11"/>
      <c r="EQ247" s="11"/>
      <c r="ER247" s="11"/>
      <c r="ES247" s="11"/>
      <c r="ET247" s="11"/>
      <c r="EU247" s="11"/>
      <c r="EV247" s="11"/>
      <c r="EW247" s="11"/>
      <c r="EX247" s="11"/>
      <c r="EY247" s="11"/>
      <c r="EZ247" s="11"/>
      <c r="FA247" s="11"/>
      <c r="FB247" s="11"/>
      <c r="FC247" s="11"/>
      <c r="FD247" s="11"/>
      <c r="FE247" s="11"/>
      <c r="FF247" s="11"/>
      <c r="FG247" s="11"/>
      <c r="FH247" s="11"/>
      <c r="FI247" s="11"/>
      <c r="FJ247" s="11"/>
      <c r="FK247" s="11"/>
      <c r="FL247" s="11"/>
      <c r="FM247" s="11"/>
      <c r="FN247" s="11"/>
      <c r="FO247" s="11"/>
      <c r="FP247" s="11"/>
      <c r="FQ247" s="11"/>
      <c r="FR247" s="11"/>
      <c r="FS247" s="11"/>
      <c r="FT247" s="11"/>
      <c r="FU247" s="11"/>
      <c r="FV247" s="11"/>
      <c r="FW247" s="11"/>
      <c r="FX247" s="11"/>
      <c r="FY247" s="11"/>
      <c r="FZ247" s="11"/>
      <c r="GA247" s="11"/>
      <c r="GB247" s="11"/>
      <c r="GC247" s="11"/>
      <c r="GD247" s="11"/>
      <c r="GE247" s="11"/>
      <c r="GF247" s="11"/>
      <c r="GG247" s="11"/>
      <c r="GH247" s="11"/>
      <c r="GI247" s="11"/>
      <c r="GJ247" s="11"/>
      <c r="GK247" s="11"/>
      <c r="GL247" s="11"/>
      <c r="GM247" s="11"/>
      <c r="GN247" s="11"/>
      <c r="GO247" s="11"/>
      <c r="GP247" s="11"/>
      <c r="GQ247" s="11"/>
      <c r="GR247" s="11"/>
    </row>
    <row r="248" spans="2:200" x14ac:dyDescent="0.15"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11"/>
      <c r="CH248" s="11"/>
      <c r="CI248" s="11"/>
      <c r="CJ248" s="11"/>
      <c r="CK248" s="11"/>
      <c r="CL248" s="11"/>
      <c r="CM248" s="11"/>
      <c r="CN248" s="11"/>
      <c r="CO248" s="11"/>
      <c r="CP248" s="11"/>
      <c r="CQ248" s="11"/>
      <c r="CR248" s="11"/>
      <c r="CS248" s="11"/>
      <c r="CT248" s="11"/>
      <c r="CU248" s="11"/>
      <c r="CV248" s="11"/>
      <c r="CW248" s="11"/>
      <c r="CX248" s="11"/>
      <c r="CY248" s="11"/>
      <c r="CZ248" s="11"/>
      <c r="DA248" s="11"/>
      <c r="DB248" s="11"/>
      <c r="DC248" s="11"/>
      <c r="DD248" s="11"/>
      <c r="DE248" s="11"/>
      <c r="DF248" s="11"/>
      <c r="DG248" s="11"/>
      <c r="DH248" s="11"/>
      <c r="DI248" s="11"/>
      <c r="DJ248" s="11"/>
      <c r="DK248" s="11"/>
      <c r="DL248" s="11"/>
      <c r="DM248" s="11"/>
      <c r="DN248" s="11"/>
      <c r="DO248" s="11"/>
      <c r="DP248" s="11"/>
      <c r="DQ248" s="11"/>
      <c r="DR248" s="11"/>
      <c r="DS248" s="11"/>
      <c r="DT248" s="11"/>
      <c r="DU248" s="11"/>
      <c r="DV248" s="11"/>
      <c r="DW248" s="11"/>
      <c r="DX248" s="11"/>
      <c r="DY248" s="11"/>
      <c r="DZ248" s="11"/>
      <c r="EA248" s="11"/>
      <c r="EB248" s="11"/>
      <c r="EC248" s="11"/>
      <c r="ED248" s="11"/>
      <c r="EE248" s="11"/>
      <c r="EF248" s="11"/>
      <c r="EG248" s="11"/>
      <c r="EH248" s="11"/>
      <c r="EI248" s="11"/>
      <c r="EJ248" s="11"/>
      <c r="EK248" s="11"/>
      <c r="EL248" s="11"/>
      <c r="EM248" s="11"/>
      <c r="EN248" s="11"/>
      <c r="EO248" s="11"/>
      <c r="EP248" s="11"/>
      <c r="EQ248" s="11"/>
      <c r="ER248" s="11"/>
      <c r="ES248" s="11"/>
      <c r="ET248" s="11"/>
      <c r="EU248" s="11"/>
      <c r="EV248" s="11"/>
      <c r="EW248" s="11"/>
      <c r="EX248" s="11"/>
      <c r="EY248" s="11"/>
      <c r="EZ248" s="11"/>
      <c r="FA248" s="11"/>
      <c r="FB248" s="11"/>
      <c r="FC248" s="11"/>
      <c r="FD248" s="11"/>
      <c r="FE248" s="11"/>
      <c r="FF248" s="11"/>
      <c r="FG248" s="11"/>
      <c r="FH248" s="11"/>
      <c r="FI248" s="11"/>
      <c r="FJ248" s="11"/>
      <c r="FK248" s="11"/>
      <c r="FL248" s="11"/>
      <c r="FM248" s="11"/>
      <c r="FN248" s="11"/>
      <c r="FO248" s="11"/>
      <c r="FP248" s="11"/>
      <c r="FQ248" s="11"/>
      <c r="FR248" s="11"/>
      <c r="FS248" s="11"/>
      <c r="FT248" s="11"/>
      <c r="FU248" s="11"/>
      <c r="FV248" s="11"/>
      <c r="FW248" s="11"/>
      <c r="FX248" s="11"/>
      <c r="FY248" s="11"/>
      <c r="FZ248" s="11"/>
      <c r="GA248" s="11"/>
      <c r="GB248" s="11"/>
      <c r="GC248" s="11"/>
      <c r="GD248" s="11"/>
      <c r="GE248" s="11"/>
      <c r="GF248" s="11"/>
      <c r="GG248" s="11"/>
      <c r="GH248" s="11"/>
      <c r="GI248" s="11"/>
      <c r="GJ248" s="11"/>
      <c r="GK248" s="11"/>
      <c r="GL248" s="11"/>
      <c r="GM248" s="11"/>
      <c r="GN248" s="11"/>
      <c r="GO248" s="11"/>
      <c r="GP248" s="11"/>
      <c r="GQ248" s="11"/>
      <c r="GR248" s="11"/>
    </row>
    <row r="249" spans="2:200" x14ac:dyDescent="0.15"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11"/>
      <c r="CH249" s="11"/>
      <c r="CI249" s="11"/>
      <c r="CJ249" s="11"/>
      <c r="CK249" s="11"/>
      <c r="CL249" s="11"/>
      <c r="CM249" s="11"/>
      <c r="CN249" s="11"/>
      <c r="CO249" s="11"/>
      <c r="CP249" s="11"/>
      <c r="CQ249" s="11"/>
      <c r="CR249" s="11"/>
      <c r="CS249" s="11"/>
      <c r="CT249" s="11"/>
      <c r="CU249" s="11"/>
      <c r="CV249" s="11"/>
      <c r="CW249" s="11"/>
      <c r="CX249" s="11"/>
      <c r="CY249" s="11"/>
      <c r="CZ249" s="11"/>
      <c r="DA249" s="11"/>
      <c r="DB249" s="11"/>
      <c r="DC249" s="11"/>
      <c r="DD249" s="11"/>
      <c r="DE249" s="11"/>
      <c r="DF249" s="11"/>
      <c r="DG249" s="11"/>
      <c r="DH249" s="11"/>
      <c r="DI249" s="11"/>
      <c r="DJ249" s="11"/>
      <c r="DK249" s="11"/>
      <c r="DL249" s="11"/>
      <c r="DM249" s="11"/>
      <c r="DN249" s="11"/>
      <c r="DO249" s="11"/>
      <c r="DP249" s="11"/>
      <c r="DQ249" s="11"/>
      <c r="DR249" s="11"/>
      <c r="DS249" s="11"/>
      <c r="DT249" s="11"/>
      <c r="DU249" s="11"/>
      <c r="DV249" s="11"/>
      <c r="DW249" s="11"/>
      <c r="DX249" s="11"/>
      <c r="DY249" s="11"/>
      <c r="DZ249" s="11"/>
      <c r="EA249" s="11"/>
      <c r="EB249" s="11"/>
      <c r="EC249" s="11"/>
      <c r="ED249" s="11"/>
      <c r="EE249" s="11"/>
      <c r="EF249" s="11"/>
      <c r="EG249" s="11"/>
      <c r="EH249" s="11"/>
      <c r="EI249" s="11"/>
      <c r="EJ249" s="11"/>
      <c r="EK249" s="11"/>
      <c r="EL249" s="11"/>
      <c r="EM249" s="11"/>
      <c r="EN249" s="11"/>
      <c r="EO249" s="11"/>
      <c r="EP249" s="11"/>
      <c r="EQ249" s="11"/>
      <c r="ER249" s="11"/>
      <c r="ES249" s="11"/>
      <c r="ET249" s="11"/>
      <c r="EU249" s="11"/>
      <c r="EV249" s="11"/>
      <c r="EW249" s="11"/>
      <c r="EX249" s="11"/>
      <c r="EY249" s="11"/>
      <c r="EZ249" s="11"/>
      <c r="FA249" s="11"/>
      <c r="FB249" s="11"/>
      <c r="FC249" s="11"/>
      <c r="FD249" s="11"/>
      <c r="FE249" s="11"/>
      <c r="FF249" s="11"/>
      <c r="FG249" s="11"/>
      <c r="FH249" s="11"/>
      <c r="FI249" s="11"/>
      <c r="FJ249" s="11"/>
      <c r="FK249" s="11"/>
      <c r="FL249" s="11"/>
      <c r="FM249" s="11"/>
      <c r="FN249" s="11"/>
      <c r="FO249" s="11"/>
      <c r="FP249" s="11"/>
      <c r="FQ249" s="11"/>
      <c r="FR249" s="11"/>
      <c r="FS249" s="11"/>
      <c r="FT249" s="11"/>
      <c r="FU249" s="11"/>
      <c r="FV249" s="11"/>
      <c r="FW249" s="11"/>
      <c r="FX249" s="11"/>
      <c r="FY249" s="11"/>
      <c r="FZ249" s="11"/>
      <c r="GA249" s="11"/>
      <c r="GB249" s="11"/>
      <c r="GC249" s="11"/>
      <c r="GD249" s="11"/>
      <c r="GE249" s="11"/>
      <c r="GF249" s="11"/>
      <c r="GG249" s="11"/>
      <c r="GH249" s="11"/>
      <c r="GI249" s="11"/>
      <c r="GJ249" s="11"/>
      <c r="GK249" s="11"/>
      <c r="GL249" s="11"/>
      <c r="GM249" s="11"/>
      <c r="GN249" s="11"/>
      <c r="GO249" s="11"/>
      <c r="GP249" s="11"/>
      <c r="GQ249" s="11"/>
      <c r="GR249" s="11"/>
    </row>
    <row r="250" spans="2:200" x14ac:dyDescent="0.15"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11"/>
      <c r="CW250" s="11"/>
      <c r="CX250" s="11"/>
      <c r="CY250" s="11"/>
      <c r="CZ250" s="11"/>
      <c r="DA250" s="11"/>
      <c r="DB250" s="11"/>
      <c r="DC250" s="11"/>
      <c r="DD250" s="11"/>
      <c r="DE250" s="11"/>
      <c r="DF250" s="11"/>
      <c r="DG250" s="11"/>
      <c r="DH250" s="11"/>
      <c r="DI250" s="11"/>
      <c r="DJ250" s="11"/>
      <c r="DK250" s="11"/>
      <c r="DL250" s="11"/>
      <c r="DM250" s="11"/>
      <c r="DN250" s="11"/>
      <c r="DO250" s="11"/>
      <c r="DP250" s="11"/>
      <c r="DQ250" s="11"/>
      <c r="DR250" s="11"/>
      <c r="DS250" s="11"/>
      <c r="DT250" s="11"/>
      <c r="DU250" s="11"/>
      <c r="DV250" s="11"/>
      <c r="DW250" s="11"/>
      <c r="DX250" s="11"/>
      <c r="DY250" s="11"/>
      <c r="DZ250" s="11"/>
      <c r="EA250" s="11"/>
      <c r="EB250" s="11"/>
      <c r="EC250" s="11"/>
      <c r="ED250" s="11"/>
      <c r="EE250" s="11"/>
      <c r="EF250" s="11"/>
      <c r="EG250" s="11"/>
      <c r="EH250" s="11"/>
      <c r="EI250" s="11"/>
      <c r="EJ250" s="11"/>
      <c r="EK250" s="11"/>
      <c r="EL250" s="11"/>
      <c r="EM250" s="11"/>
      <c r="EN250" s="11"/>
      <c r="EO250" s="11"/>
      <c r="EP250" s="11"/>
      <c r="EQ250" s="11"/>
      <c r="ER250" s="11"/>
      <c r="ES250" s="11"/>
      <c r="ET250" s="11"/>
      <c r="EU250" s="11"/>
      <c r="EV250" s="11"/>
      <c r="EW250" s="11"/>
      <c r="EX250" s="11"/>
      <c r="EY250" s="11"/>
      <c r="EZ250" s="11"/>
      <c r="FA250" s="11"/>
      <c r="FB250" s="11"/>
      <c r="FC250" s="11"/>
      <c r="FD250" s="11"/>
      <c r="FE250" s="11"/>
      <c r="FF250" s="11"/>
      <c r="FG250" s="11"/>
      <c r="FH250" s="11"/>
      <c r="FI250" s="11"/>
      <c r="FJ250" s="11"/>
      <c r="FK250" s="11"/>
      <c r="FL250" s="11"/>
      <c r="FM250" s="11"/>
      <c r="FN250" s="11"/>
      <c r="FO250" s="11"/>
      <c r="FP250" s="11"/>
      <c r="FQ250" s="11"/>
      <c r="FR250" s="11"/>
      <c r="FS250" s="11"/>
      <c r="FT250" s="11"/>
      <c r="FU250" s="11"/>
      <c r="FV250" s="11"/>
      <c r="FW250" s="11"/>
      <c r="FX250" s="11"/>
      <c r="FY250" s="11"/>
      <c r="FZ250" s="11"/>
      <c r="GA250" s="11"/>
      <c r="GB250" s="11"/>
      <c r="GC250" s="11"/>
      <c r="GD250" s="11"/>
      <c r="GE250" s="11"/>
      <c r="GF250" s="11"/>
      <c r="GG250" s="11"/>
      <c r="GH250" s="11"/>
      <c r="GI250" s="11"/>
      <c r="GJ250" s="11"/>
      <c r="GK250" s="11"/>
      <c r="GL250" s="11"/>
      <c r="GM250" s="11"/>
      <c r="GN250" s="11"/>
      <c r="GO250" s="11"/>
      <c r="GP250" s="11"/>
      <c r="GQ250" s="11"/>
      <c r="GR250" s="11"/>
    </row>
    <row r="251" spans="2:200" x14ac:dyDescent="0.15"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P251" s="11"/>
      <c r="BQ251" s="11"/>
      <c r="BR251" s="11"/>
      <c r="BS251" s="11"/>
      <c r="BT251" s="11"/>
      <c r="BU251" s="11"/>
      <c r="BV251" s="11"/>
      <c r="BW251" s="11"/>
      <c r="BX251" s="11"/>
      <c r="BY251" s="11"/>
      <c r="BZ251" s="11"/>
      <c r="CA251" s="11"/>
      <c r="CB251" s="11"/>
      <c r="CC251" s="11"/>
      <c r="CD251" s="11"/>
      <c r="CE251" s="11"/>
      <c r="CF251" s="11"/>
      <c r="CG251" s="11"/>
      <c r="CH251" s="11"/>
      <c r="CI251" s="11"/>
      <c r="CJ251" s="11"/>
      <c r="CK251" s="11"/>
      <c r="CL251" s="11"/>
      <c r="CM251" s="11"/>
      <c r="CN251" s="11"/>
      <c r="CO251" s="11"/>
      <c r="CP251" s="11"/>
      <c r="CQ251" s="11"/>
      <c r="CR251" s="11"/>
      <c r="CS251" s="11"/>
      <c r="CT251" s="11"/>
      <c r="CU251" s="11"/>
      <c r="CV251" s="11"/>
      <c r="CW251" s="11"/>
      <c r="CX251" s="11"/>
      <c r="CY251" s="11"/>
      <c r="CZ251" s="11"/>
      <c r="DA251" s="11"/>
      <c r="DB251" s="11"/>
      <c r="DC251" s="11"/>
      <c r="DD251" s="11"/>
      <c r="DE251" s="11"/>
      <c r="DF251" s="11"/>
      <c r="DG251" s="11"/>
      <c r="DH251" s="11"/>
      <c r="DI251" s="11"/>
      <c r="DJ251" s="11"/>
      <c r="DK251" s="11"/>
      <c r="DL251" s="11"/>
      <c r="DM251" s="11"/>
      <c r="DN251" s="11"/>
      <c r="DO251" s="11"/>
      <c r="DP251" s="11"/>
      <c r="DQ251" s="11"/>
      <c r="DR251" s="11"/>
      <c r="DS251" s="11"/>
      <c r="DT251" s="11"/>
      <c r="DU251" s="11"/>
      <c r="DV251" s="11"/>
      <c r="DW251" s="11"/>
      <c r="DX251" s="11"/>
      <c r="DY251" s="11"/>
      <c r="DZ251" s="11"/>
      <c r="EA251" s="11"/>
      <c r="EB251" s="11"/>
      <c r="EC251" s="11"/>
      <c r="ED251" s="11"/>
      <c r="EE251" s="11"/>
      <c r="EF251" s="11"/>
      <c r="EG251" s="11"/>
      <c r="EH251" s="11"/>
      <c r="EI251" s="11"/>
      <c r="EJ251" s="11"/>
      <c r="EK251" s="11"/>
      <c r="EL251" s="11"/>
      <c r="EM251" s="11"/>
      <c r="EN251" s="11"/>
      <c r="EO251" s="11"/>
      <c r="EP251" s="11"/>
      <c r="EQ251" s="11"/>
      <c r="ER251" s="11"/>
      <c r="ES251" s="11"/>
      <c r="ET251" s="11"/>
      <c r="EU251" s="11"/>
      <c r="EV251" s="11"/>
      <c r="EW251" s="11"/>
      <c r="EX251" s="11"/>
      <c r="EY251" s="11"/>
      <c r="EZ251" s="11"/>
      <c r="FA251" s="11"/>
      <c r="FB251" s="11"/>
      <c r="FC251" s="11"/>
      <c r="FD251" s="11"/>
      <c r="FE251" s="11"/>
      <c r="FF251" s="11"/>
      <c r="FG251" s="11"/>
      <c r="FH251" s="11"/>
      <c r="FI251" s="11"/>
      <c r="FJ251" s="11"/>
      <c r="FK251" s="11"/>
      <c r="FL251" s="11"/>
      <c r="FM251" s="11"/>
      <c r="FN251" s="11"/>
      <c r="FO251" s="11"/>
      <c r="FP251" s="11"/>
      <c r="FQ251" s="11"/>
      <c r="FR251" s="11"/>
      <c r="FS251" s="11"/>
      <c r="FT251" s="11"/>
      <c r="FU251" s="11"/>
      <c r="FV251" s="11"/>
      <c r="FW251" s="11"/>
      <c r="FX251" s="11"/>
      <c r="FY251" s="11"/>
      <c r="FZ251" s="11"/>
      <c r="GA251" s="11"/>
      <c r="GB251" s="11"/>
      <c r="GC251" s="11"/>
      <c r="GD251" s="11"/>
      <c r="GE251" s="11"/>
      <c r="GF251" s="11"/>
      <c r="GG251" s="11"/>
      <c r="GH251" s="11"/>
      <c r="GI251" s="11"/>
      <c r="GJ251" s="11"/>
      <c r="GK251" s="11"/>
      <c r="GL251" s="11"/>
      <c r="GM251" s="11"/>
      <c r="GN251" s="11"/>
      <c r="GO251" s="11"/>
      <c r="GP251" s="11"/>
      <c r="GQ251" s="11"/>
      <c r="GR251" s="11"/>
    </row>
    <row r="252" spans="2:200" x14ac:dyDescent="0.15"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P252" s="11"/>
      <c r="BQ252" s="11"/>
      <c r="BR252" s="11"/>
      <c r="BS252" s="11"/>
      <c r="BT252" s="11"/>
      <c r="BU252" s="11"/>
      <c r="BV252" s="11"/>
      <c r="BW252" s="11"/>
      <c r="BX252" s="11"/>
      <c r="BY252" s="11"/>
      <c r="BZ252" s="11"/>
      <c r="CA252" s="11"/>
      <c r="CB252" s="11"/>
      <c r="CC252" s="11"/>
      <c r="CD252" s="11"/>
      <c r="CE252" s="11"/>
      <c r="CF252" s="11"/>
      <c r="CG252" s="11"/>
      <c r="CH252" s="11"/>
      <c r="CI252" s="11"/>
      <c r="CJ252" s="11"/>
      <c r="CK252" s="11"/>
      <c r="CL252" s="11"/>
      <c r="CM252" s="11"/>
      <c r="CN252" s="11"/>
      <c r="CO252" s="11"/>
      <c r="CP252" s="11"/>
      <c r="CQ252" s="11"/>
      <c r="CR252" s="11"/>
      <c r="CS252" s="11"/>
      <c r="CT252" s="11"/>
      <c r="CU252" s="11"/>
      <c r="CV252" s="11"/>
      <c r="CW252" s="11"/>
      <c r="CX252" s="11"/>
      <c r="CY252" s="11"/>
      <c r="CZ252" s="11"/>
      <c r="DA252" s="11"/>
      <c r="DB252" s="11"/>
      <c r="DC252" s="11"/>
      <c r="DD252" s="11"/>
      <c r="DE252" s="11"/>
      <c r="DF252" s="11"/>
      <c r="DG252" s="11"/>
      <c r="DH252" s="11"/>
      <c r="DI252" s="11"/>
      <c r="DJ252" s="11"/>
      <c r="DK252" s="11"/>
      <c r="DL252" s="11"/>
      <c r="DM252" s="11"/>
      <c r="DN252" s="11"/>
      <c r="DO252" s="11"/>
      <c r="DP252" s="11"/>
      <c r="DQ252" s="11"/>
      <c r="DR252" s="11"/>
      <c r="DS252" s="11"/>
      <c r="DT252" s="11"/>
      <c r="DU252" s="11"/>
      <c r="DV252" s="11"/>
      <c r="DW252" s="11"/>
      <c r="DX252" s="11"/>
      <c r="DY252" s="11"/>
      <c r="DZ252" s="11"/>
      <c r="EA252" s="11"/>
      <c r="EB252" s="11"/>
      <c r="EC252" s="11"/>
      <c r="ED252" s="11"/>
      <c r="EE252" s="11"/>
      <c r="EF252" s="11"/>
      <c r="EG252" s="11"/>
      <c r="EH252" s="11"/>
      <c r="EI252" s="11"/>
      <c r="EJ252" s="11"/>
      <c r="EK252" s="11"/>
      <c r="EL252" s="11"/>
      <c r="EM252" s="11"/>
      <c r="EN252" s="11"/>
      <c r="EO252" s="11"/>
      <c r="EP252" s="11"/>
      <c r="EQ252" s="11"/>
      <c r="ER252" s="11"/>
      <c r="ES252" s="11"/>
      <c r="ET252" s="11"/>
      <c r="EU252" s="11"/>
      <c r="EV252" s="11"/>
      <c r="EW252" s="11"/>
      <c r="EX252" s="11"/>
      <c r="EY252" s="11"/>
      <c r="EZ252" s="11"/>
      <c r="FA252" s="11"/>
      <c r="FB252" s="11"/>
      <c r="FC252" s="11"/>
      <c r="FD252" s="11"/>
      <c r="FE252" s="11"/>
      <c r="FF252" s="11"/>
      <c r="FG252" s="11"/>
      <c r="FH252" s="11"/>
      <c r="FI252" s="11"/>
      <c r="FJ252" s="11"/>
      <c r="FK252" s="11"/>
      <c r="FL252" s="11"/>
      <c r="FM252" s="11"/>
      <c r="FN252" s="11"/>
      <c r="FO252" s="11"/>
      <c r="FP252" s="11"/>
      <c r="FQ252" s="11"/>
      <c r="FR252" s="11"/>
      <c r="FS252" s="11"/>
      <c r="FT252" s="11"/>
      <c r="FU252" s="11"/>
      <c r="FV252" s="11"/>
      <c r="FW252" s="11"/>
      <c r="FX252" s="11"/>
      <c r="FY252" s="11"/>
      <c r="FZ252" s="11"/>
      <c r="GA252" s="11"/>
      <c r="GB252" s="11"/>
      <c r="GC252" s="11"/>
      <c r="GD252" s="11"/>
      <c r="GE252" s="11"/>
      <c r="GF252" s="11"/>
      <c r="GG252" s="11"/>
      <c r="GH252" s="11"/>
      <c r="GI252" s="11"/>
      <c r="GJ252" s="11"/>
      <c r="GK252" s="11"/>
      <c r="GL252" s="11"/>
      <c r="GM252" s="11"/>
      <c r="GN252" s="11"/>
      <c r="GO252" s="11"/>
      <c r="GP252" s="11"/>
      <c r="GQ252" s="11"/>
      <c r="GR252" s="11"/>
    </row>
    <row r="253" spans="2:200" x14ac:dyDescent="0.15"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P253" s="11"/>
      <c r="BQ253" s="11"/>
      <c r="BR253" s="11"/>
      <c r="BS253" s="11"/>
      <c r="BT253" s="11"/>
      <c r="BU253" s="11"/>
      <c r="BV253" s="11"/>
      <c r="BW253" s="11"/>
      <c r="BX253" s="11"/>
      <c r="BY253" s="11"/>
      <c r="BZ253" s="11"/>
      <c r="CA253" s="11"/>
      <c r="CB253" s="11"/>
      <c r="CC253" s="11"/>
      <c r="CD253" s="11"/>
      <c r="CE253" s="11"/>
      <c r="CF253" s="11"/>
      <c r="CG253" s="11"/>
      <c r="CH253" s="11"/>
      <c r="CI253" s="11"/>
      <c r="CJ253" s="11"/>
      <c r="CK253" s="11"/>
      <c r="CL253" s="11"/>
      <c r="CM253" s="11"/>
      <c r="CN253" s="11"/>
      <c r="CO253" s="11"/>
      <c r="CP253" s="11"/>
      <c r="CQ253" s="11"/>
      <c r="CR253" s="11"/>
      <c r="CS253" s="11"/>
      <c r="CT253" s="11"/>
      <c r="CU253" s="11"/>
      <c r="CV253" s="11"/>
      <c r="CW253" s="11"/>
      <c r="CX253" s="11"/>
      <c r="CY253" s="11"/>
      <c r="CZ253" s="11"/>
      <c r="DA253" s="11"/>
      <c r="DB253" s="11"/>
      <c r="DC253" s="11"/>
      <c r="DD253" s="11"/>
      <c r="DE253" s="11"/>
      <c r="DF253" s="11"/>
      <c r="DG253" s="11"/>
      <c r="DH253" s="11"/>
      <c r="DI253" s="11"/>
      <c r="DJ253" s="11"/>
      <c r="DK253" s="11"/>
      <c r="DL253" s="11"/>
      <c r="DM253" s="11"/>
      <c r="DN253" s="11"/>
      <c r="DO253" s="11"/>
      <c r="DP253" s="11"/>
      <c r="DQ253" s="11"/>
      <c r="DR253" s="11"/>
      <c r="DS253" s="11"/>
      <c r="DT253" s="11"/>
      <c r="DU253" s="11"/>
      <c r="DV253" s="11"/>
      <c r="DW253" s="11"/>
      <c r="DX253" s="11"/>
      <c r="DY253" s="11"/>
      <c r="DZ253" s="11"/>
      <c r="EA253" s="11"/>
      <c r="EB253" s="11"/>
      <c r="EC253" s="11"/>
      <c r="ED253" s="11"/>
      <c r="EE253" s="11"/>
      <c r="EF253" s="11"/>
      <c r="EG253" s="11"/>
      <c r="EH253" s="11"/>
      <c r="EI253" s="11"/>
      <c r="EJ253" s="11"/>
      <c r="EK253" s="11"/>
      <c r="EL253" s="11"/>
      <c r="EM253" s="11"/>
      <c r="EN253" s="11"/>
      <c r="EO253" s="11"/>
      <c r="EP253" s="11"/>
      <c r="EQ253" s="11"/>
      <c r="ER253" s="11"/>
      <c r="ES253" s="11"/>
      <c r="ET253" s="11"/>
      <c r="EU253" s="11"/>
      <c r="EV253" s="11"/>
      <c r="EW253" s="11"/>
      <c r="EX253" s="11"/>
      <c r="EY253" s="11"/>
      <c r="EZ253" s="11"/>
      <c r="FA253" s="11"/>
      <c r="FB253" s="11"/>
      <c r="FC253" s="11"/>
      <c r="FD253" s="11"/>
      <c r="FE253" s="11"/>
      <c r="FF253" s="11"/>
      <c r="FG253" s="11"/>
      <c r="FH253" s="11"/>
      <c r="FI253" s="11"/>
      <c r="FJ253" s="11"/>
      <c r="FK253" s="11"/>
      <c r="FL253" s="11"/>
      <c r="FM253" s="11"/>
      <c r="FN253" s="11"/>
      <c r="FO253" s="11"/>
      <c r="FP253" s="11"/>
      <c r="FQ253" s="11"/>
      <c r="FR253" s="11"/>
      <c r="FS253" s="11"/>
      <c r="FT253" s="11"/>
      <c r="FU253" s="11"/>
      <c r="FV253" s="11"/>
      <c r="FW253" s="11"/>
      <c r="FX253" s="11"/>
      <c r="FY253" s="11"/>
      <c r="FZ253" s="11"/>
      <c r="GA253" s="11"/>
      <c r="GB253" s="11"/>
      <c r="GC253" s="11"/>
      <c r="GD253" s="11"/>
      <c r="GE253" s="11"/>
      <c r="GF253" s="11"/>
      <c r="GG253" s="11"/>
      <c r="GH253" s="11"/>
      <c r="GI253" s="11"/>
      <c r="GJ253" s="11"/>
      <c r="GK253" s="11"/>
      <c r="GL253" s="11"/>
      <c r="GM253" s="11"/>
      <c r="GN253" s="11"/>
      <c r="GO253" s="11"/>
      <c r="GP253" s="11"/>
      <c r="GQ253" s="11"/>
      <c r="GR253" s="11"/>
    </row>
    <row r="254" spans="2:200" x14ac:dyDescent="0.15"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11"/>
      <c r="CJ254" s="11"/>
      <c r="CK254" s="11"/>
      <c r="CL254" s="11"/>
      <c r="CM254" s="11"/>
      <c r="CN254" s="11"/>
      <c r="CO254" s="11"/>
      <c r="CP254" s="11"/>
      <c r="CQ254" s="11"/>
      <c r="CR254" s="11"/>
      <c r="CS254" s="11"/>
      <c r="CT254" s="11"/>
      <c r="CU254" s="11"/>
      <c r="CV254" s="11"/>
      <c r="CW254" s="11"/>
      <c r="CX254" s="11"/>
      <c r="CY254" s="11"/>
      <c r="CZ254" s="11"/>
      <c r="DA254" s="11"/>
      <c r="DB254" s="11"/>
      <c r="DC254" s="11"/>
      <c r="DD254" s="11"/>
      <c r="DE254" s="11"/>
      <c r="DF254" s="11"/>
      <c r="DG254" s="11"/>
      <c r="DH254" s="11"/>
      <c r="DI254" s="11"/>
      <c r="DJ254" s="11"/>
      <c r="DK254" s="11"/>
      <c r="DL254" s="11"/>
      <c r="DM254" s="11"/>
      <c r="DN254" s="11"/>
      <c r="DO254" s="11"/>
      <c r="DP254" s="11"/>
      <c r="DQ254" s="11"/>
      <c r="DR254" s="11"/>
      <c r="DS254" s="11"/>
      <c r="DT254" s="11"/>
      <c r="DU254" s="11"/>
      <c r="DV254" s="11"/>
      <c r="DW254" s="11"/>
      <c r="DX254" s="11"/>
      <c r="DY254" s="11"/>
      <c r="DZ254" s="11"/>
      <c r="EA254" s="11"/>
      <c r="EB254" s="11"/>
      <c r="EC254" s="11"/>
      <c r="ED254" s="11"/>
      <c r="EE254" s="11"/>
      <c r="EF254" s="11"/>
      <c r="EG254" s="11"/>
      <c r="EH254" s="11"/>
      <c r="EI254" s="11"/>
      <c r="EJ254" s="11"/>
      <c r="EK254" s="11"/>
      <c r="EL254" s="11"/>
      <c r="EM254" s="11"/>
      <c r="EN254" s="11"/>
      <c r="EO254" s="11"/>
      <c r="EP254" s="11"/>
      <c r="EQ254" s="11"/>
      <c r="ER254" s="11"/>
      <c r="ES254" s="11"/>
      <c r="ET254" s="11"/>
      <c r="EU254" s="11"/>
      <c r="EV254" s="11"/>
      <c r="EW254" s="11"/>
      <c r="EX254" s="11"/>
      <c r="EY254" s="11"/>
      <c r="EZ254" s="11"/>
      <c r="FA254" s="11"/>
      <c r="FB254" s="11"/>
      <c r="FC254" s="11"/>
      <c r="FD254" s="11"/>
      <c r="FE254" s="11"/>
      <c r="FF254" s="11"/>
      <c r="FG254" s="11"/>
      <c r="FH254" s="11"/>
      <c r="FI254" s="11"/>
      <c r="FJ254" s="11"/>
      <c r="FK254" s="11"/>
      <c r="FL254" s="11"/>
      <c r="FM254" s="11"/>
      <c r="FN254" s="11"/>
      <c r="FO254" s="11"/>
      <c r="FP254" s="11"/>
      <c r="FQ254" s="11"/>
      <c r="FR254" s="11"/>
      <c r="FS254" s="11"/>
      <c r="FT254" s="11"/>
      <c r="FU254" s="11"/>
      <c r="FV254" s="11"/>
      <c r="FW254" s="11"/>
      <c r="FX254" s="11"/>
      <c r="FY254" s="11"/>
      <c r="FZ254" s="11"/>
      <c r="GA254" s="11"/>
      <c r="GB254" s="11"/>
      <c r="GC254" s="11"/>
      <c r="GD254" s="11"/>
      <c r="GE254" s="11"/>
      <c r="GF254" s="11"/>
      <c r="GG254" s="11"/>
      <c r="GH254" s="11"/>
      <c r="GI254" s="11"/>
      <c r="GJ254" s="11"/>
      <c r="GK254" s="11"/>
      <c r="GL254" s="11"/>
      <c r="GM254" s="11"/>
      <c r="GN254" s="11"/>
      <c r="GO254" s="11"/>
      <c r="GP254" s="11"/>
      <c r="GQ254" s="11"/>
      <c r="GR254" s="11"/>
    </row>
    <row r="255" spans="2:200" x14ac:dyDescent="0.15"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11"/>
      <c r="CJ255" s="11"/>
      <c r="CK255" s="11"/>
      <c r="CL255" s="11"/>
      <c r="CM255" s="11"/>
      <c r="CN255" s="11"/>
      <c r="CO255" s="11"/>
      <c r="CP255" s="11"/>
      <c r="CQ255" s="11"/>
      <c r="CR255" s="11"/>
      <c r="CS255" s="11"/>
      <c r="CT255" s="11"/>
      <c r="CU255" s="11"/>
      <c r="CV255" s="11"/>
      <c r="CW255" s="11"/>
      <c r="CX255" s="11"/>
      <c r="CY255" s="11"/>
      <c r="CZ255" s="11"/>
      <c r="DA255" s="11"/>
      <c r="DB255" s="11"/>
      <c r="DC255" s="11"/>
      <c r="DD255" s="11"/>
      <c r="DE255" s="11"/>
      <c r="DF255" s="11"/>
      <c r="DG255" s="11"/>
      <c r="DH255" s="11"/>
      <c r="DI255" s="11"/>
      <c r="DJ255" s="11"/>
      <c r="DK255" s="11"/>
      <c r="DL255" s="11"/>
      <c r="DM255" s="11"/>
      <c r="DN255" s="11"/>
      <c r="DO255" s="11"/>
      <c r="DP255" s="11"/>
      <c r="DQ255" s="11"/>
      <c r="DR255" s="11"/>
      <c r="DS255" s="11"/>
      <c r="DT255" s="11"/>
      <c r="DU255" s="11"/>
      <c r="DV255" s="11"/>
      <c r="DW255" s="11"/>
      <c r="DX255" s="11"/>
      <c r="DY255" s="11"/>
      <c r="DZ255" s="11"/>
      <c r="EA255" s="11"/>
      <c r="EB255" s="11"/>
      <c r="EC255" s="11"/>
      <c r="ED255" s="11"/>
      <c r="EE255" s="11"/>
      <c r="EF255" s="11"/>
      <c r="EG255" s="11"/>
      <c r="EH255" s="11"/>
      <c r="EI255" s="11"/>
      <c r="EJ255" s="11"/>
      <c r="EK255" s="11"/>
      <c r="EL255" s="11"/>
      <c r="EM255" s="11"/>
      <c r="EN255" s="11"/>
      <c r="EO255" s="11"/>
      <c r="EP255" s="11"/>
      <c r="EQ255" s="11"/>
      <c r="ER255" s="11"/>
      <c r="ES255" s="11"/>
      <c r="ET255" s="11"/>
      <c r="EU255" s="11"/>
      <c r="EV255" s="11"/>
      <c r="EW255" s="11"/>
      <c r="EX255" s="11"/>
      <c r="EY255" s="11"/>
      <c r="EZ255" s="11"/>
      <c r="FA255" s="11"/>
      <c r="FB255" s="11"/>
      <c r="FC255" s="11"/>
      <c r="FD255" s="11"/>
      <c r="FE255" s="11"/>
      <c r="FF255" s="11"/>
      <c r="FG255" s="11"/>
      <c r="FH255" s="11"/>
      <c r="FI255" s="11"/>
      <c r="FJ255" s="11"/>
      <c r="FK255" s="11"/>
      <c r="FL255" s="11"/>
      <c r="FM255" s="11"/>
      <c r="FN255" s="11"/>
      <c r="FO255" s="11"/>
      <c r="FP255" s="11"/>
      <c r="FQ255" s="11"/>
      <c r="FR255" s="11"/>
      <c r="FS255" s="11"/>
      <c r="FT255" s="11"/>
      <c r="FU255" s="11"/>
      <c r="FV255" s="11"/>
      <c r="FW255" s="11"/>
      <c r="FX255" s="11"/>
      <c r="FY255" s="11"/>
      <c r="FZ255" s="11"/>
      <c r="GA255" s="11"/>
      <c r="GB255" s="11"/>
      <c r="GC255" s="11"/>
      <c r="GD255" s="11"/>
      <c r="GE255" s="11"/>
      <c r="GF255" s="11"/>
      <c r="GG255" s="11"/>
      <c r="GH255" s="11"/>
      <c r="GI255" s="11"/>
      <c r="GJ255" s="11"/>
      <c r="GK255" s="11"/>
      <c r="GL255" s="11"/>
      <c r="GM255" s="11"/>
      <c r="GN255" s="11"/>
      <c r="GO255" s="11"/>
      <c r="GP255" s="11"/>
      <c r="GQ255" s="11"/>
      <c r="GR255" s="11"/>
    </row>
    <row r="256" spans="2:200" x14ac:dyDescent="0.15"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11"/>
      <c r="CJ256" s="11"/>
      <c r="CK256" s="11"/>
      <c r="CL256" s="11"/>
      <c r="CM256" s="11"/>
      <c r="CN256" s="11"/>
      <c r="CO256" s="11"/>
      <c r="CP256" s="11"/>
      <c r="CQ256" s="11"/>
      <c r="CR256" s="11"/>
      <c r="CS256" s="11"/>
      <c r="CT256" s="11"/>
      <c r="CU256" s="11"/>
      <c r="CV256" s="11"/>
      <c r="CW256" s="11"/>
      <c r="CX256" s="11"/>
      <c r="CY256" s="11"/>
      <c r="CZ256" s="11"/>
      <c r="DA256" s="11"/>
      <c r="DB256" s="11"/>
      <c r="DC256" s="11"/>
      <c r="DD256" s="11"/>
      <c r="DE256" s="11"/>
      <c r="DF256" s="11"/>
      <c r="DG256" s="11"/>
      <c r="DH256" s="11"/>
      <c r="DI256" s="11"/>
      <c r="DJ256" s="11"/>
      <c r="DK256" s="11"/>
      <c r="DL256" s="11"/>
      <c r="DM256" s="11"/>
      <c r="DN256" s="11"/>
      <c r="DO256" s="11"/>
      <c r="DP256" s="11"/>
      <c r="DQ256" s="11"/>
      <c r="DR256" s="11"/>
      <c r="DS256" s="11"/>
      <c r="DT256" s="11"/>
      <c r="DU256" s="11"/>
      <c r="DV256" s="11"/>
      <c r="DW256" s="11"/>
      <c r="DX256" s="11"/>
      <c r="DY256" s="11"/>
      <c r="DZ256" s="11"/>
      <c r="EA256" s="11"/>
      <c r="EB256" s="11"/>
      <c r="EC256" s="11"/>
      <c r="ED256" s="11"/>
      <c r="EE256" s="11"/>
      <c r="EF256" s="11"/>
      <c r="EG256" s="11"/>
      <c r="EH256" s="11"/>
      <c r="EI256" s="11"/>
      <c r="EJ256" s="11"/>
      <c r="EK256" s="11"/>
      <c r="EL256" s="11"/>
      <c r="EM256" s="11"/>
      <c r="EN256" s="11"/>
      <c r="EO256" s="11"/>
      <c r="EP256" s="11"/>
      <c r="EQ256" s="11"/>
      <c r="ER256" s="11"/>
      <c r="ES256" s="11"/>
      <c r="ET256" s="11"/>
      <c r="EU256" s="11"/>
      <c r="EV256" s="11"/>
      <c r="EW256" s="11"/>
      <c r="EX256" s="11"/>
      <c r="EY256" s="11"/>
      <c r="EZ256" s="11"/>
      <c r="FA256" s="11"/>
      <c r="FB256" s="11"/>
      <c r="FC256" s="11"/>
      <c r="FD256" s="11"/>
      <c r="FE256" s="11"/>
      <c r="FF256" s="11"/>
      <c r="FG256" s="11"/>
      <c r="FH256" s="11"/>
      <c r="FI256" s="11"/>
      <c r="FJ256" s="11"/>
      <c r="FK256" s="11"/>
      <c r="FL256" s="11"/>
      <c r="FM256" s="11"/>
      <c r="FN256" s="11"/>
      <c r="FO256" s="11"/>
      <c r="FP256" s="11"/>
      <c r="FQ256" s="11"/>
      <c r="FR256" s="11"/>
      <c r="FS256" s="11"/>
      <c r="FT256" s="11"/>
      <c r="FU256" s="11"/>
      <c r="FV256" s="11"/>
      <c r="FW256" s="11"/>
      <c r="FX256" s="11"/>
      <c r="FY256" s="11"/>
      <c r="FZ256" s="11"/>
      <c r="GA256" s="11"/>
      <c r="GB256" s="11"/>
      <c r="GC256" s="11"/>
      <c r="GD256" s="11"/>
      <c r="GE256" s="11"/>
      <c r="GF256" s="11"/>
      <c r="GG256" s="11"/>
      <c r="GH256" s="11"/>
      <c r="GI256" s="11"/>
      <c r="GJ256" s="11"/>
      <c r="GK256" s="11"/>
      <c r="GL256" s="11"/>
      <c r="GM256" s="11"/>
      <c r="GN256" s="11"/>
      <c r="GO256" s="11"/>
      <c r="GP256" s="11"/>
      <c r="GQ256" s="11"/>
      <c r="GR256" s="11"/>
    </row>
    <row r="257" spans="2:200" x14ac:dyDescent="0.15"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11"/>
      <c r="CJ257" s="11"/>
      <c r="CK257" s="11"/>
      <c r="CL257" s="11"/>
      <c r="CM257" s="11"/>
      <c r="CN257" s="11"/>
      <c r="CO257" s="11"/>
      <c r="CP257" s="11"/>
      <c r="CQ257" s="11"/>
      <c r="CR257" s="11"/>
      <c r="CS257" s="11"/>
      <c r="CT257" s="11"/>
      <c r="CU257" s="11"/>
      <c r="CV257" s="11"/>
      <c r="CW257" s="11"/>
      <c r="CX257" s="11"/>
      <c r="CY257" s="11"/>
      <c r="CZ257" s="11"/>
      <c r="DA257" s="11"/>
      <c r="DB257" s="11"/>
      <c r="DC257" s="11"/>
      <c r="DD257" s="11"/>
      <c r="DE257" s="11"/>
      <c r="DF257" s="11"/>
      <c r="DG257" s="11"/>
      <c r="DH257" s="11"/>
      <c r="DI257" s="11"/>
      <c r="DJ257" s="11"/>
      <c r="DK257" s="11"/>
      <c r="DL257" s="11"/>
      <c r="DM257" s="11"/>
      <c r="DN257" s="11"/>
      <c r="DO257" s="11"/>
      <c r="DP257" s="11"/>
      <c r="DQ257" s="11"/>
      <c r="DR257" s="11"/>
      <c r="DS257" s="11"/>
      <c r="DT257" s="11"/>
      <c r="DU257" s="11"/>
      <c r="DV257" s="11"/>
      <c r="DW257" s="11"/>
      <c r="DX257" s="11"/>
      <c r="DY257" s="11"/>
      <c r="DZ257" s="11"/>
      <c r="EA257" s="11"/>
      <c r="EB257" s="11"/>
      <c r="EC257" s="11"/>
      <c r="ED257" s="11"/>
      <c r="EE257" s="11"/>
      <c r="EF257" s="11"/>
      <c r="EG257" s="11"/>
      <c r="EH257" s="11"/>
      <c r="EI257" s="11"/>
      <c r="EJ257" s="11"/>
      <c r="EK257" s="11"/>
      <c r="EL257" s="11"/>
      <c r="EM257" s="11"/>
      <c r="EN257" s="11"/>
      <c r="EO257" s="11"/>
      <c r="EP257" s="11"/>
      <c r="EQ257" s="11"/>
      <c r="ER257" s="11"/>
      <c r="ES257" s="11"/>
      <c r="ET257" s="11"/>
      <c r="EU257" s="11"/>
      <c r="EV257" s="11"/>
      <c r="EW257" s="11"/>
      <c r="EX257" s="11"/>
      <c r="EY257" s="11"/>
      <c r="EZ257" s="11"/>
      <c r="FA257" s="11"/>
      <c r="FB257" s="11"/>
      <c r="FC257" s="11"/>
      <c r="FD257" s="11"/>
      <c r="FE257" s="11"/>
      <c r="FF257" s="11"/>
      <c r="FG257" s="11"/>
      <c r="FH257" s="11"/>
      <c r="FI257" s="11"/>
      <c r="FJ257" s="11"/>
      <c r="FK257" s="11"/>
      <c r="FL257" s="11"/>
      <c r="FM257" s="11"/>
      <c r="FN257" s="11"/>
      <c r="FO257" s="11"/>
      <c r="FP257" s="11"/>
      <c r="FQ257" s="11"/>
      <c r="FR257" s="11"/>
      <c r="FS257" s="11"/>
      <c r="FT257" s="11"/>
      <c r="FU257" s="11"/>
      <c r="FV257" s="11"/>
      <c r="FW257" s="11"/>
      <c r="FX257" s="11"/>
      <c r="FY257" s="11"/>
      <c r="FZ257" s="11"/>
      <c r="GA257" s="11"/>
      <c r="GB257" s="11"/>
      <c r="GC257" s="11"/>
      <c r="GD257" s="11"/>
      <c r="GE257" s="11"/>
      <c r="GF257" s="11"/>
      <c r="GG257" s="11"/>
      <c r="GH257" s="11"/>
      <c r="GI257" s="11"/>
      <c r="GJ257" s="11"/>
      <c r="GK257" s="11"/>
      <c r="GL257" s="11"/>
      <c r="GM257" s="11"/>
      <c r="GN257" s="11"/>
      <c r="GO257" s="11"/>
      <c r="GP257" s="11"/>
      <c r="GQ257" s="11"/>
      <c r="GR257" s="11"/>
    </row>
    <row r="258" spans="2:200" x14ac:dyDescent="0.15"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11"/>
      <c r="CJ258" s="11"/>
      <c r="CK258" s="11"/>
      <c r="CL258" s="11"/>
      <c r="CM258" s="11"/>
      <c r="CN258" s="11"/>
      <c r="CO258" s="11"/>
      <c r="CP258" s="11"/>
      <c r="CQ258" s="11"/>
      <c r="CR258" s="11"/>
      <c r="CS258" s="11"/>
      <c r="CT258" s="11"/>
      <c r="CU258" s="11"/>
      <c r="CV258" s="11"/>
      <c r="CW258" s="11"/>
      <c r="CX258" s="11"/>
      <c r="CY258" s="11"/>
      <c r="CZ258" s="11"/>
      <c r="DA258" s="11"/>
      <c r="DB258" s="11"/>
      <c r="DC258" s="11"/>
      <c r="DD258" s="11"/>
      <c r="DE258" s="11"/>
      <c r="DF258" s="11"/>
      <c r="DG258" s="11"/>
      <c r="DH258" s="11"/>
      <c r="DI258" s="11"/>
      <c r="DJ258" s="11"/>
      <c r="DK258" s="11"/>
      <c r="DL258" s="11"/>
      <c r="DM258" s="11"/>
      <c r="DN258" s="11"/>
      <c r="DO258" s="11"/>
      <c r="DP258" s="11"/>
      <c r="DQ258" s="11"/>
      <c r="DR258" s="11"/>
      <c r="DS258" s="11"/>
      <c r="DT258" s="11"/>
      <c r="DU258" s="11"/>
      <c r="DV258" s="11"/>
      <c r="DW258" s="11"/>
      <c r="DX258" s="11"/>
      <c r="DY258" s="11"/>
      <c r="DZ258" s="11"/>
      <c r="EA258" s="11"/>
      <c r="EB258" s="11"/>
      <c r="EC258" s="11"/>
      <c r="ED258" s="11"/>
      <c r="EE258" s="11"/>
      <c r="EF258" s="11"/>
      <c r="EG258" s="11"/>
      <c r="EH258" s="11"/>
      <c r="EI258" s="11"/>
      <c r="EJ258" s="11"/>
      <c r="EK258" s="11"/>
      <c r="EL258" s="11"/>
      <c r="EM258" s="11"/>
      <c r="EN258" s="11"/>
      <c r="EO258" s="11"/>
      <c r="EP258" s="11"/>
      <c r="EQ258" s="11"/>
      <c r="ER258" s="11"/>
      <c r="ES258" s="11"/>
      <c r="ET258" s="11"/>
      <c r="EU258" s="11"/>
      <c r="EV258" s="11"/>
      <c r="EW258" s="11"/>
      <c r="EX258" s="11"/>
      <c r="EY258" s="11"/>
      <c r="EZ258" s="11"/>
      <c r="FA258" s="11"/>
      <c r="FB258" s="11"/>
      <c r="FC258" s="11"/>
      <c r="FD258" s="11"/>
      <c r="FE258" s="11"/>
      <c r="FF258" s="11"/>
      <c r="FG258" s="11"/>
      <c r="FH258" s="11"/>
      <c r="FI258" s="11"/>
      <c r="FJ258" s="11"/>
      <c r="FK258" s="11"/>
      <c r="FL258" s="11"/>
      <c r="FM258" s="11"/>
      <c r="FN258" s="11"/>
      <c r="FO258" s="11"/>
      <c r="FP258" s="11"/>
      <c r="FQ258" s="11"/>
      <c r="FR258" s="11"/>
      <c r="FS258" s="11"/>
      <c r="FT258" s="11"/>
      <c r="FU258" s="11"/>
      <c r="FV258" s="11"/>
      <c r="FW258" s="11"/>
      <c r="FX258" s="11"/>
      <c r="FY258" s="11"/>
      <c r="FZ258" s="11"/>
      <c r="GA258" s="11"/>
      <c r="GB258" s="11"/>
      <c r="GC258" s="11"/>
      <c r="GD258" s="11"/>
      <c r="GE258" s="11"/>
      <c r="GF258" s="11"/>
      <c r="GG258" s="11"/>
      <c r="GH258" s="11"/>
      <c r="GI258" s="11"/>
      <c r="GJ258" s="11"/>
      <c r="GK258" s="11"/>
      <c r="GL258" s="11"/>
      <c r="GM258" s="11"/>
      <c r="GN258" s="11"/>
      <c r="GO258" s="11"/>
      <c r="GP258" s="11"/>
      <c r="GQ258" s="11"/>
      <c r="GR258" s="11"/>
    </row>
    <row r="259" spans="2:200" x14ac:dyDescent="0.15"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11"/>
      <c r="CJ259" s="11"/>
      <c r="CK259" s="11"/>
      <c r="CL259" s="11"/>
      <c r="CM259" s="11"/>
      <c r="CN259" s="11"/>
      <c r="CO259" s="11"/>
      <c r="CP259" s="11"/>
      <c r="CQ259" s="11"/>
      <c r="CR259" s="11"/>
      <c r="CS259" s="11"/>
      <c r="CT259" s="11"/>
      <c r="CU259" s="11"/>
      <c r="CV259" s="11"/>
      <c r="CW259" s="11"/>
      <c r="CX259" s="11"/>
      <c r="CY259" s="11"/>
      <c r="CZ259" s="11"/>
      <c r="DA259" s="11"/>
      <c r="DB259" s="11"/>
      <c r="DC259" s="11"/>
      <c r="DD259" s="11"/>
      <c r="DE259" s="11"/>
      <c r="DF259" s="11"/>
      <c r="DG259" s="11"/>
      <c r="DH259" s="11"/>
      <c r="DI259" s="11"/>
      <c r="DJ259" s="11"/>
      <c r="DK259" s="11"/>
      <c r="DL259" s="11"/>
      <c r="DM259" s="11"/>
      <c r="DN259" s="11"/>
      <c r="DO259" s="11"/>
      <c r="DP259" s="11"/>
      <c r="DQ259" s="11"/>
      <c r="DR259" s="11"/>
      <c r="DS259" s="11"/>
      <c r="DT259" s="11"/>
      <c r="DU259" s="11"/>
      <c r="DV259" s="11"/>
      <c r="DW259" s="11"/>
      <c r="DX259" s="11"/>
      <c r="DY259" s="11"/>
      <c r="DZ259" s="11"/>
      <c r="EA259" s="11"/>
      <c r="EB259" s="11"/>
      <c r="EC259" s="11"/>
      <c r="ED259" s="11"/>
      <c r="EE259" s="11"/>
      <c r="EF259" s="11"/>
      <c r="EG259" s="11"/>
      <c r="EH259" s="11"/>
      <c r="EI259" s="11"/>
      <c r="EJ259" s="11"/>
      <c r="EK259" s="11"/>
      <c r="EL259" s="11"/>
      <c r="EM259" s="11"/>
      <c r="EN259" s="11"/>
      <c r="EO259" s="11"/>
      <c r="EP259" s="11"/>
      <c r="EQ259" s="11"/>
      <c r="ER259" s="11"/>
      <c r="ES259" s="11"/>
      <c r="ET259" s="11"/>
      <c r="EU259" s="11"/>
      <c r="EV259" s="11"/>
      <c r="EW259" s="11"/>
      <c r="EX259" s="11"/>
      <c r="EY259" s="11"/>
      <c r="EZ259" s="11"/>
      <c r="FA259" s="11"/>
      <c r="FB259" s="11"/>
      <c r="FC259" s="11"/>
      <c r="FD259" s="11"/>
      <c r="FE259" s="11"/>
      <c r="FF259" s="11"/>
      <c r="FG259" s="11"/>
      <c r="FH259" s="11"/>
      <c r="FI259" s="11"/>
      <c r="FJ259" s="11"/>
      <c r="FK259" s="11"/>
      <c r="FL259" s="11"/>
      <c r="FM259" s="11"/>
      <c r="FN259" s="11"/>
      <c r="FO259" s="11"/>
      <c r="FP259" s="11"/>
      <c r="FQ259" s="11"/>
      <c r="FR259" s="11"/>
      <c r="FS259" s="11"/>
      <c r="FT259" s="11"/>
      <c r="FU259" s="11"/>
      <c r="FV259" s="11"/>
      <c r="FW259" s="11"/>
      <c r="FX259" s="11"/>
      <c r="FY259" s="11"/>
      <c r="FZ259" s="11"/>
      <c r="GA259" s="11"/>
      <c r="GB259" s="11"/>
      <c r="GC259" s="11"/>
      <c r="GD259" s="11"/>
      <c r="GE259" s="11"/>
      <c r="GF259" s="11"/>
      <c r="GG259" s="11"/>
      <c r="GH259" s="11"/>
      <c r="GI259" s="11"/>
      <c r="GJ259" s="11"/>
      <c r="GK259" s="11"/>
      <c r="GL259" s="11"/>
      <c r="GM259" s="11"/>
      <c r="GN259" s="11"/>
      <c r="GO259" s="11"/>
      <c r="GP259" s="11"/>
      <c r="GQ259" s="11"/>
      <c r="GR259" s="11"/>
    </row>
    <row r="260" spans="2:200" x14ac:dyDescent="0.15"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P260" s="11"/>
      <c r="BQ260" s="11"/>
      <c r="BR260" s="11"/>
      <c r="BS260" s="11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11"/>
      <c r="CJ260" s="11"/>
      <c r="CK260" s="11"/>
      <c r="CL260" s="11"/>
      <c r="CM260" s="11"/>
      <c r="CN260" s="11"/>
      <c r="CO260" s="11"/>
      <c r="CP260" s="11"/>
      <c r="CQ260" s="11"/>
      <c r="CR260" s="11"/>
      <c r="CS260" s="11"/>
      <c r="CT260" s="11"/>
      <c r="CU260" s="11"/>
      <c r="CV260" s="11"/>
      <c r="CW260" s="11"/>
      <c r="CX260" s="11"/>
      <c r="CY260" s="11"/>
      <c r="CZ260" s="11"/>
      <c r="DA260" s="11"/>
      <c r="DB260" s="11"/>
      <c r="DC260" s="11"/>
      <c r="DD260" s="11"/>
      <c r="DE260" s="11"/>
      <c r="DF260" s="11"/>
      <c r="DG260" s="11"/>
      <c r="DH260" s="11"/>
      <c r="DI260" s="11"/>
      <c r="DJ260" s="11"/>
      <c r="DK260" s="11"/>
      <c r="DL260" s="11"/>
      <c r="DM260" s="11"/>
      <c r="DN260" s="11"/>
      <c r="DO260" s="11"/>
      <c r="DP260" s="11"/>
      <c r="DQ260" s="11"/>
      <c r="DR260" s="11"/>
      <c r="DS260" s="11"/>
      <c r="DT260" s="11"/>
      <c r="DU260" s="11"/>
      <c r="DV260" s="11"/>
      <c r="DW260" s="11"/>
      <c r="DX260" s="11"/>
      <c r="DY260" s="11"/>
      <c r="DZ260" s="11"/>
      <c r="EA260" s="11"/>
      <c r="EB260" s="11"/>
      <c r="EC260" s="11"/>
      <c r="ED260" s="11"/>
      <c r="EE260" s="11"/>
      <c r="EF260" s="11"/>
      <c r="EG260" s="11"/>
      <c r="EH260" s="11"/>
      <c r="EI260" s="11"/>
      <c r="EJ260" s="11"/>
      <c r="EK260" s="11"/>
      <c r="EL260" s="11"/>
      <c r="EM260" s="11"/>
      <c r="EN260" s="11"/>
      <c r="EO260" s="11"/>
      <c r="EP260" s="11"/>
      <c r="EQ260" s="11"/>
      <c r="ER260" s="11"/>
      <c r="ES260" s="11"/>
      <c r="ET260" s="11"/>
      <c r="EU260" s="11"/>
      <c r="EV260" s="11"/>
      <c r="EW260" s="11"/>
      <c r="EX260" s="11"/>
      <c r="EY260" s="11"/>
      <c r="EZ260" s="11"/>
      <c r="FA260" s="11"/>
      <c r="FB260" s="11"/>
      <c r="FC260" s="11"/>
      <c r="FD260" s="11"/>
      <c r="FE260" s="11"/>
      <c r="FF260" s="11"/>
      <c r="FG260" s="11"/>
      <c r="FH260" s="11"/>
      <c r="FI260" s="11"/>
      <c r="FJ260" s="11"/>
      <c r="FK260" s="11"/>
      <c r="FL260" s="11"/>
      <c r="FM260" s="11"/>
      <c r="FN260" s="11"/>
      <c r="FO260" s="11"/>
      <c r="FP260" s="11"/>
      <c r="FQ260" s="11"/>
      <c r="FR260" s="11"/>
      <c r="FS260" s="11"/>
      <c r="FT260" s="11"/>
      <c r="FU260" s="11"/>
      <c r="FV260" s="11"/>
      <c r="FW260" s="11"/>
      <c r="FX260" s="11"/>
      <c r="FY260" s="11"/>
      <c r="FZ260" s="11"/>
      <c r="GA260" s="11"/>
      <c r="GB260" s="11"/>
      <c r="GC260" s="11"/>
      <c r="GD260" s="11"/>
      <c r="GE260" s="11"/>
      <c r="GF260" s="11"/>
      <c r="GG260" s="11"/>
      <c r="GH260" s="11"/>
      <c r="GI260" s="11"/>
      <c r="GJ260" s="11"/>
      <c r="GK260" s="11"/>
      <c r="GL260" s="11"/>
      <c r="GM260" s="11"/>
      <c r="GN260" s="11"/>
      <c r="GO260" s="11"/>
      <c r="GP260" s="11"/>
      <c r="GQ260" s="11"/>
      <c r="GR260" s="11"/>
    </row>
    <row r="261" spans="2:200" x14ac:dyDescent="0.15"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P261" s="11"/>
      <c r="BQ261" s="11"/>
      <c r="BR261" s="11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11"/>
      <c r="CI261" s="11"/>
      <c r="CJ261" s="11"/>
      <c r="CK261" s="11"/>
      <c r="CL261" s="11"/>
      <c r="CM261" s="11"/>
      <c r="CN261" s="11"/>
      <c r="CO261" s="11"/>
      <c r="CP261" s="11"/>
      <c r="CQ261" s="11"/>
      <c r="CR261" s="11"/>
      <c r="CS261" s="11"/>
      <c r="CT261" s="11"/>
      <c r="CU261" s="11"/>
      <c r="CV261" s="11"/>
      <c r="CW261" s="11"/>
      <c r="CX261" s="11"/>
      <c r="CY261" s="11"/>
      <c r="CZ261" s="11"/>
      <c r="DA261" s="11"/>
      <c r="DB261" s="11"/>
      <c r="DC261" s="11"/>
      <c r="DD261" s="11"/>
      <c r="DE261" s="11"/>
      <c r="DF261" s="11"/>
      <c r="DG261" s="11"/>
      <c r="DH261" s="11"/>
      <c r="DI261" s="11"/>
      <c r="DJ261" s="11"/>
      <c r="DK261" s="11"/>
      <c r="DL261" s="11"/>
      <c r="DM261" s="11"/>
      <c r="DN261" s="11"/>
      <c r="DO261" s="11"/>
      <c r="DP261" s="11"/>
      <c r="DQ261" s="11"/>
      <c r="DR261" s="11"/>
      <c r="DS261" s="11"/>
      <c r="DT261" s="11"/>
      <c r="DU261" s="11"/>
      <c r="DV261" s="11"/>
      <c r="DW261" s="11"/>
      <c r="DX261" s="11"/>
      <c r="DY261" s="11"/>
      <c r="DZ261" s="11"/>
      <c r="EA261" s="11"/>
      <c r="EB261" s="11"/>
      <c r="EC261" s="11"/>
      <c r="ED261" s="11"/>
      <c r="EE261" s="11"/>
      <c r="EF261" s="11"/>
      <c r="EG261" s="11"/>
      <c r="EH261" s="11"/>
      <c r="EI261" s="11"/>
      <c r="EJ261" s="11"/>
      <c r="EK261" s="11"/>
      <c r="EL261" s="11"/>
      <c r="EM261" s="11"/>
      <c r="EN261" s="11"/>
      <c r="EO261" s="11"/>
      <c r="EP261" s="11"/>
      <c r="EQ261" s="11"/>
      <c r="ER261" s="11"/>
      <c r="ES261" s="11"/>
      <c r="ET261" s="11"/>
      <c r="EU261" s="11"/>
      <c r="EV261" s="11"/>
      <c r="EW261" s="11"/>
      <c r="EX261" s="11"/>
      <c r="EY261" s="11"/>
      <c r="EZ261" s="11"/>
      <c r="FA261" s="11"/>
      <c r="FB261" s="11"/>
      <c r="FC261" s="11"/>
      <c r="FD261" s="11"/>
      <c r="FE261" s="11"/>
      <c r="FF261" s="11"/>
      <c r="FG261" s="11"/>
      <c r="FH261" s="11"/>
      <c r="FI261" s="11"/>
      <c r="FJ261" s="11"/>
      <c r="FK261" s="11"/>
      <c r="FL261" s="11"/>
      <c r="FM261" s="11"/>
      <c r="FN261" s="11"/>
      <c r="FO261" s="11"/>
      <c r="FP261" s="11"/>
      <c r="FQ261" s="11"/>
      <c r="FR261" s="11"/>
      <c r="FS261" s="11"/>
      <c r="FT261" s="11"/>
      <c r="FU261" s="11"/>
      <c r="FV261" s="11"/>
      <c r="FW261" s="11"/>
      <c r="FX261" s="11"/>
      <c r="FY261" s="11"/>
      <c r="FZ261" s="11"/>
      <c r="GA261" s="11"/>
      <c r="GB261" s="11"/>
      <c r="GC261" s="11"/>
      <c r="GD261" s="11"/>
      <c r="GE261" s="11"/>
      <c r="GF261" s="11"/>
      <c r="GG261" s="11"/>
      <c r="GH261" s="11"/>
      <c r="GI261" s="11"/>
      <c r="GJ261" s="11"/>
      <c r="GK261" s="11"/>
      <c r="GL261" s="11"/>
      <c r="GM261" s="11"/>
      <c r="GN261" s="11"/>
      <c r="GO261" s="11"/>
      <c r="GP261" s="11"/>
      <c r="GQ261" s="11"/>
      <c r="GR261" s="11"/>
    </row>
    <row r="262" spans="2:200" x14ac:dyDescent="0.15"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P262" s="11"/>
      <c r="BQ262" s="11"/>
      <c r="BR262" s="11"/>
      <c r="BS262" s="11"/>
      <c r="BT262" s="11"/>
      <c r="BU262" s="11"/>
      <c r="BV262" s="11"/>
      <c r="BW262" s="11"/>
      <c r="BX262" s="11"/>
      <c r="BY262" s="11"/>
      <c r="BZ262" s="11"/>
      <c r="CA262" s="11"/>
      <c r="CB262" s="11"/>
      <c r="CC262" s="11"/>
      <c r="CD262" s="11"/>
      <c r="CE262" s="11"/>
      <c r="CF262" s="11"/>
      <c r="CG262" s="11"/>
      <c r="CH262" s="11"/>
      <c r="CI262" s="11"/>
      <c r="CJ262" s="11"/>
      <c r="CK262" s="11"/>
      <c r="CL262" s="11"/>
      <c r="CM262" s="11"/>
      <c r="CN262" s="11"/>
      <c r="CO262" s="11"/>
      <c r="CP262" s="11"/>
      <c r="CQ262" s="11"/>
      <c r="CR262" s="11"/>
      <c r="CS262" s="11"/>
      <c r="CT262" s="11"/>
      <c r="CU262" s="11"/>
      <c r="CV262" s="11"/>
      <c r="CW262" s="11"/>
      <c r="CX262" s="11"/>
      <c r="CY262" s="11"/>
      <c r="CZ262" s="11"/>
      <c r="DA262" s="11"/>
      <c r="DB262" s="11"/>
      <c r="DC262" s="11"/>
      <c r="DD262" s="11"/>
      <c r="DE262" s="11"/>
      <c r="DF262" s="11"/>
      <c r="DG262" s="11"/>
      <c r="DH262" s="11"/>
      <c r="DI262" s="11"/>
      <c r="DJ262" s="11"/>
      <c r="DK262" s="11"/>
      <c r="DL262" s="11"/>
      <c r="DM262" s="11"/>
      <c r="DN262" s="11"/>
      <c r="DO262" s="11"/>
      <c r="DP262" s="11"/>
      <c r="DQ262" s="11"/>
      <c r="DR262" s="11"/>
      <c r="DS262" s="11"/>
      <c r="DT262" s="11"/>
      <c r="DU262" s="11"/>
      <c r="DV262" s="11"/>
      <c r="DW262" s="11"/>
      <c r="DX262" s="11"/>
      <c r="DY262" s="11"/>
      <c r="DZ262" s="11"/>
      <c r="EA262" s="11"/>
      <c r="EB262" s="11"/>
      <c r="EC262" s="11"/>
      <c r="ED262" s="11"/>
      <c r="EE262" s="11"/>
      <c r="EF262" s="11"/>
      <c r="EG262" s="11"/>
      <c r="EH262" s="11"/>
      <c r="EI262" s="11"/>
      <c r="EJ262" s="11"/>
      <c r="EK262" s="11"/>
      <c r="EL262" s="11"/>
      <c r="EM262" s="11"/>
      <c r="EN262" s="11"/>
      <c r="EO262" s="11"/>
      <c r="EP262" s="11"/>
      <c r="EQ262" s="11"/>
      <c r="ER262" s="11"/>
      <c r="ES262" s="11"/>
      <c r="ET262" s="11"/>
      <c r="EU262" s="11"/>
      <c r="EV262" s="11"/>
      <c r="EW262" s="11"/>
      <c r="EX262" s="11"/>
      <c r="EY262" s="11"/>
      <c r="EZ262" s="11"/>
      <c r="FA262" s="11"/>
      <c r="FB262" s="11"/>
      <c r="FC262" s="11"/>
      <c r="FD262" s="11"/>
      <c r="FE262" s="11"/>
      <c r="FF262" s="11"/>
      <c r="FG262" s="11"/>
      <c r="FH262" s="11"/>
      <c r="FI262" s="11"/>
      <c r="FJ262" s="11"/>
      <c r="FK262" s="11"/>
      <c r="FL262" s="11"/>
      <c r="FM262" s="11"/>
      <c r="FN262" s="11"/>
      <c r="FO262" s="11"/>
      <c r="FP262" s="11"/>
      <c r="FQ262" s="11"/>
      <c r="FR262" s="11"/>
      <c r="FS262" s="11"/>
      <c r="FT262" s="11"/>
      <c r="FU262" s="11"/>
      <c r="FV262" s="11"/>
      <c r="FW262" s="11"/>
      <c r="FX262" s="11"/>
      <c r="FY262" s="11"/>
      <c r="FZ262" s="11"/>
      <c r="GA262" s="11"/>
      <c r="GB262" s="11"/>
      <c r="GC262" s="11"/>
      <c r="GD262" s="11"/>
      <c r="GE262" s="11"/>
      <c r="GF262" s="11"/>
      <c r="GG262" s="11"/>
      <c r="GH262" s="11"/>
      <c r="GI262" s="11"/>
      <c r="GJ262" s="11"/>
      <c r="GK262" s="11"/>
      <c r="GL262" s="11"/>
      <c r="GM262" s="11"/>
      <c r="GN262" s="11"/>
      <c r="GO262" s="11"/>
      <c r="GP262" s="11"/>
      <c r="GQ262" s="11"/>
      <c r="GR262" s="11"/>
    </row>
    <row r="263" spans="2:200" x14ac:dyDescent="0.15"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P263" s="11"/>
      <c r="BQ263" s="11"/>
      <c r="BR263" s="11"/>
      <c r="BS263" s="11"/>
      <c r="BT263" s="11"/>
      <c r="BU263" s="11"/>
      <c r="BV263" s="11"/>
      <c r="BW263" s="11"/>
      <c r="BX263" s="11"/>
      <c r="BY263" s="11"/>
      <c r="BZ263" s="11"/>
      <c r="CA263" s="11"/>
      <c r="CB263" s="11"/>
      <c r="CC263" s="11"/>
      <c r="CD263" s="11"/>
      <c r="CE263" s="11"/>
      <c r="CF263" s="11"/>
      <c r="CG263" s="11"/>
      <c r="CH263" s="11"/>
      <c r="CI263" s="11"/>
      <c r="CJ263" s="11"/>
      <c r="CK263" s="11"/>
      <c r="CL263" s="11"/>
      <c r="CM263" s="11"/>
      <c r="CN263" s="11"/>
      <c r="CO263" s="11"/>
      <c r="CP263" s="11"/>
      <c r="CQ263" s="11"/>
      <c r="CR263" s="11"/>
      <c r="CS263" s="11"/>
      <c r="CT263" s="11"/>
      <c r="CU263" s="11"/>
      <c r="CV263" s="11"/>
      <c r="CW263" s="11"/>
      <c r="CX263" s="11"/>
      <c r="CY263" s="11"/>
      <c r="CZ263" s="11"/>
      <c r="DA263" s="11"/>
      <c r="DB263" s="11"/>
      <c r="DC263" s="11"/>
      <c r="DD263" s="11"/>
      <c r="DE263" s="11"/>
      <c r="DF263" s="11"/>
      <c r="DG263" s="11"/>
      <c r="DH263" s="11"/>
      <c r="DI263" s="11"/>
      <c r="DJ263" s="11"/>
      <c r="DK263" s="11"/>
      <c r="DL263" s="11"/>
      <c r="DM263" s="11"/>
      <c r="DN263" s="11"/>
      <c r="DO263" s="11"/>
      <c r="DP263" s="11"/>
      <c r="DQ263" s="11"/>
      <c r="DR263" s="11"/>
      <c r="DS263" s="11"/>
      <c r="DT263" s="11"/>
      <c r="DU263" s="11"/>
      <c r="DV263" s="11"/>
      <c r="DW263" s="11"/>
      <c r="DX263" s="11"/>
      <c r="DY263" s="11"/>
      <c r="DZ263" s="11"/>
      <c r="EA263" s="11"/>
      <c r="EB263" s="11"/>
      <c r="EC263" s="11"/>
      <c r="ED263" s="11"/>
      <c r="EE263" s="11"/>
      <c r="EF263" s="11"/>
      <c r="EG263" s="11"/>
      <c r="EH263" s="11"/>
      <c r="EI263" s="11"/>
      <c r="EJ263" s="11"/>
      <c r="EK263" s="11"/>
      <c r="EL263" s="11"/>
      <c r="EM263" s="11"/>
      <c r="EN263" s="11"/>
      <c r="EO263" s="11"/>
      <c r="EP263" s="11"/>
      <c r="EQ263" s="11"/>
      <c r="ER263" s="11"/>
      <c r="ES263" s="11"/>
      <c r="ET263" s="11"/>
      <c r="EU263" s="11"/>
      <c r="EV263" s="11"/>
      <c r="EW263" s="11"/>
      <c r="EX263" s="11"/>
      <c r="EY263" s="11"/>
      <c r="EZ263" s="11"/>
      <c r="FA263" s="11"/>
      <c r="FB263" s="11"/>
      <c r="FC263" s="11"/>
      <c r="FD263" s="11"/>
      <c r="FE263" s="11"/>
      <c r="FF263" s="11"/>
      <c r="FG263" s="11"/>
      <c r="FH263" s="11"/>
      <c r="FI263" s="11"/>
      <c r="FJ263" s="11"/>
      <c r="FK263" s="11"/>
      <c r="FL263" s="11"/>
      <c r="FM263" s="11"/>
      <c r="FN263" s="11"/>
      <c r="FO263" s="11"/>
      <c r="FP263" s="11"/>
      <c r="FQ263" s="11"/>
      <c r="FR263" s="11"/>
      <c r="FS263" s="11"/>
      <c r="FT263" s="11"/>
      <c r="FU263" s="11"/>
      <c r="FV263" s="11"/>
      <c r="FW263" s="11"/>
      <c r="FX263" s="11"/>
      <c r="FY263" s="11"/>
      <c r="FZ263" s="11"/>
      <c r="GA263" s="11"/>
      <c r="GB263" s="11"/>
      <c r="GC263" s="11"/>
      <c r="GD263" s="11"/>
      <c r="GE263" s="11"/>
      <c r="GF263" s="11"/>
      <c r="GG263" s="11"/>
      <c r="GH263" s="11"/>
      <c r="GI263" s="11"/>
      <c r="GJ263" s="11"/>
      <c r="GK263" s="11"/>
      <c r="GL263" s="11"/>
      <c r="GM263" s="11"/>
      <c r="GN263" s="11"/>
      <c r="GO263" s="11"/>
      <c r="GP263" s="11"/>
      <c r="GQ263" s="11"/>
      <c r="GR263" s="11"/>
    </row>
    <row r="264" spans="2:200" x14ac:dyDescent="0.15"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P264" s="11"/>
      <c r="BQ264" s="11"/>
      <c r="BR264" s="11"/>
      <c r="BS264" s="11"/>
      <c r="BT264" s="11"/>
      <c r="BU264" s="11"/>
      <c r="BV264" s="11"/>
      <c r="BW264" s="11"/>
      <c r="BX264" s="11"/>
      <c r="BY264" s="11"/>
      <c r="BZ264" s="11"/>
      <c r="CA264" s="11"/>
      <c r="CB264" s="11"/>
      <c r="CC264" s="11"/>
      <c r="CD264" s="11"/>
      <c r="CE264" s="11"/>
      <c r="CF264" s="11"/>
      <c r="CG264" s="11"/>
      <c r="CH264" s="11"/>
      <c r="CI264" s="11"/>
      <c r="CJ264" s="11"/>
      <c r="CK264" s="11"/>
      <c r="CL264" s="11"/>
      <c r="CM264" s="11"/>
      <c r="CN264" s="11"/>
      <c r="CO264" s="11"/>
      <c r="CP264" s="11"/>
      <c r="CQ264" s="11"/>
      <c r="CR264" s="11"/>
      <c r="CS264" s="11"/>
      <c r="CT264" s="11"/>
      <c r="CU264" s="11"/>
      <c r="CV264" s="11"/>
      <c r="CW264" s="11"/>
      <c r="CX264" s="11"/>
      <c r="CY264" s="11"/>
      <c r="CZ264" s="11"/>
      <c r="DA264" s="11"/>
      <c r="DB264" s="11"/>
      <c r="DC264" s="11"/>
      <c r="DD264" s="11"/>
      <c r="DE264" s="11"/>
      <c r="DF264" s="11"/>
      <c r="DG264" s="11"/>
      <c r="DH264" s="11"/>
      <c r="DI264" s="11"/>
      <c r="DJ264" s="11"/>
      <c r="DK264" s="11"/>
      <c r="DL264" s="11"/>
      <c r="DM264" s="11"/>
      <c r="DN264" s="11"/>
      <c r="DO264" s="11"/>
      <c r="DP264" s="11"/>
      <c r="DQ264" s="11"/>
      <c r="DR264" s="11"/>
      <c r="DS264" s="11"/>
      <c r="DT264" s="11"/>
      <c r="DU264" s="11"/>
      <c r="DV264" s="11"/>
      <c r="DW264" s="11"/>
      <c r="DX264" s="11"/>
      <c r="DY264" s="11"/>
      <c r="DZ264" s="11"/>
      <c r="EA264" s="11"/>
      <c r="EB264" s="11"/>
      <c r="EC264" s="11"/>
      <c r="ED264" s="11"/>
      <c r="EE264" s="11"/>
      <c r="EF264" s="11"/>
      <c r="EG264" s="11"/>
      <c r="EH264" s="11"/>
      <c r="EI264" s="11"/>
      <c r="EJ264" s="11"/>
      <c r="EK264" s="11"/>
      <c r="EL264" s="11"/>
      <c r="EM264" s="11"/>
      <c r="EN264" s="11"/>
      <c r="EO264" s="11"/>
      <c r="EP264" s="11"/>
      <c r="EQ264" s="11"/>
      <c r="ER264" s="11"/>
      <c r="ES264" s="11"/>
      <c r="ET264" s="11"/>
      <c r="EU264" s="11"/>
      <c r="EV264" s="11"/>
      <c r="EW264" s="11"/>
      <c r="EX264" s="11"/>
      <c r="EY264" s="11"/>
      <c r="EZ264" s="11"/>
      <c r="FA264" s="11"/>
      <c r="FB264" s="11"/>
      <c r="FC264" s="11"/>
      <c r="FD264" s="11"/>
      <c r="FE264" s="11"/>
      <c r="FF264" s="11"/>
      <c r="FG264" s="11"/>
      <c r="FH264" s="11"/>
      <c r="FI264" s="11"/>
      <c r="FJ264" s="11"/>
      <c r="FK264" s="11"/>
      <c r="FL264" s="11"/>
      <c r="FM264" s="11"/>
      <c r="FN264" s="11"/>
      <c r="FO264" s="11"/>
      <c r="FP264" s="11"/>
      <c r="FQ264" s="11"/>
      <c r="FR264" s="11"/>
      <c r="FS264" s="11"/>
      <c r="FT264" s="11"/>
      <c r="FU264" s="11"/>
      <c r="FV264" s="11"/>
      <c r="FW264" s="11"/>
      <c r="FX264" s="11"/>
      <c r="FY264" s="11"/>
      <c r="FZ264" s="11"/>
      <c r="GA264" s="11"/>
      <c r="GB264" s="11"/>
      <c r="GC264" s="11"/>
      <c r="GD264" s="11"/>
      <c r="GE264" s="11"/>
      <c r="GF264" s="11"/>
      <c r="GG264" s="11"/>
      <c r="GH264" s="11"/>
      <c r="GI264" s="11"/>
      <c r="GJ264" s="11"/>
      <c r="GK264" s="11"/>
      <c r="GL264" s="11"/>
      <c r="GM264" s="11"/>
      <c r="GN264" s="11"/>
      <c r="GO264" s="11"/>
      <c r="GP264" s="11"/>
      <c r="GQ264" s="11"/>
      <c r="GR264" s="11"/>
    </row>
    <row r="265" spans="2:200" x14ac:dyDescent="0.15"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P265" s="11"/>
      <c r="BQ265" s="11"/>
      <c r="BR265" s="11"/>
      <c r="BS265" s="11"/>
      <c r="BT265" s="11"/>
      <c r="BU265" s="11"/>
      <c r="BV265" s="11"/>
      <c r="BW265" s="11"/>
      <c r="BX265" s="11"/>
      <c r="BY265" s="11"/>
      <c r="BZ265" s="11"/>
      <c r="CA265" s="11"/>
      <c r="CB265" s="11"/>
      <c r="CC265" s="11"/>
      <c r="CD265" s="11"/>
      <c r="CE265" s="11"/>
      <c r="CF265" s="11"/>
      <c r="CG265" s="11"/>
      <c r="CH265" s="11"/>
      <c r="CI265" s="11"/>
      <c r="CJ265" s="11"/>
      <c r="CK265" s="11"/>
      <c r="CL265" s="11"/>
      <c r="CM265" s="11"/>
      <c r="CN265" s="11"/>
      <c r="CO265" s="11"/>
      <c r="CP265" s="11"/>
      <c r="CQ265" s="11"/>
      <c r="CR265" s="11"/>
      <c r="CS265" s="11"/>
      <c r="CT265" s="11"/>
      <c r="CU265" s="11"/>
      <c r="CV265" s="11"/>
      <c r="CW265" s="11"/>
      <c r="CX265" s="11"/>
      <c r="CY265" s="11"/>
      <c r="CZ265" s="11"/>
      <c r="DA265" s="11"/>
      <c r="DB265" s="11"/>
      <c r="DC265" s="11"/>
      <c r="DD265" s="11"/>
      <c r="DE265" s="11"/>
      <c r="DF265" s="11"/>
      <c r="DG265" s="11"/>
      <c r="DH265" s="11"/>
      <c r="DI265" s="11"/>
      <c r="DJ265" s="11"/>
      <c r="DK265" s="11"/>
      <c r="DL265" s="11"/>
      <c r="DM265" s="11"/>
      <c r="DN265" s="11"/>
      <c r="DO265" s="11"/>
      <c r="DP265" s="11"/>
      <c r="DQ265" s="11"/>
      <c r="DR265" s="11"/>
      <c r="DS265" s="11"/>
      <c r="DT265" s="11"/>
      <c r="DU265" s="11"/>
      <c r="DV265" s="11"/>
      <c r="DW265" s="11"/>
      <c r="DX265" s="11"/>
      <c r="DY265" s="11"/>
      <c r="DZ265" s="11"/>
      <c r="EA265" s="11"/>
      <c r="EB265" s="11"/>
      <c r="EC265" s="11"/>
      <c r="ED265" s="11"/>
      <c r="EE265" s="11"/>
      <c r="EF265" s="11"/>
      <c r="EG265" s="11"/>
      <c r="EH265" s="11"/>
      <c r="EI265" s="11"/>
      <c r="EJ265" s="11"/>
      <c r="EK265" s="11"/>
      <c r="EL265" s="11"/>
      <c r="EM265" s="11"/>
      <c r="EN265" s="11"/>
      <c r="EO265" s="11"/>
      <c r="EP265" s="11"/>
      <c r="EQ265" s="11"/>
      <c r="ER265" s="11"/>
      <c r="ES265" s="11"/>
      <c r="ET265" s="11"/>
      <c r="EU265" s="11"/>
      <c r="EV265" s="11"/>
      <c r="EW265" s="11"/>
      <c r="EX265" s="11"/>
      <c r="EY265" s="11"/>
      <c r="EZ265" s="11"/>
      <c r="FA265" s="11"/>
      <c r="FB265" s="11"/>
      <c r="FC265" s="11"/>
      <c r="FD265" s="11"/>
      <c r="FE265" s="11"/>
      <c r="FF265" s="11"/>
      <c r="FG265" s="11"/>
      <c r="FH265" s="11"/>
      <c r="FI265" s="11"/>
      <c r="FJ265" s="11"/>
      <c r="FK265" s="11"/>
      <c r="FL265" s="11"/>
      <c r="FM265" s="11"/>
      <c r="FN265" s="11"/>
      <c r="FO265" s="11"/>
      <c r="FP265" s="11"/>
      <c r="FQ265" s="11"/>
      <c r="FR265" s="11"/>
      <c r="FS265" s="11"/>
      <c r="FT265" s="11"/>
      <c r="FU265" s="11"/>
      <c r="FV265" s="11"/>
      <c r="FW265" s="11"/>
      <c r="FX265" s="11"/>
      <c r="FY265" s="11"/>
      <c r="FZ265" s="11"/>
      <c r="GA265" s="11"/>
      <c r="GB265" s="11"/>
      <c r="GC265" s="11"/>
      <c r="GD265" s="11"/>
      <c r="GE265" s="11"/>
      <c r="GF265" s="11"/>
      <c r="GG265" s="11"/>
      <c r="GH265" s="11"/>
      <c r="GI265" s="11"/>
      <c r="GJ265" s="11"/>
      <c r="GK265" s="11"/>
      <c r="GL265" s="11"/>
      <c r="GM265" s="11"/>
      <c r="GN265" s="11"/>
      <c r="GO265" s="11"/>
      <c r="GP265" s="11"/>
      <c r="GQ265" s="11"/>
      <c r="GR265" s="11"/>
    </row>
    <row r="266" spans="2:200" x14ac:dyDescent="0.15"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P266" s="11"/>
      <c r="BQ266" s="11"/>
      <c r="BR266" s="11"/>
      <c r="BS266" s="11"/>
      <c r="BT266" s="11"/>
      <c r="BU266" s="11"/>
      <c r="BV266" s="11"/>
      <c r="BW266" s="11"/>
      <c r="BX266" s="11"/>
      <c r="BY266" s="11"/>
      <c r="BZ266" s="11"/>
      <c r="CA266" s="11"/>
      <c r="CB266" s="11"/>
      <c r="CC266" s="11"/>
      <c r="CD266" s="11"/>
      <c r="CE266" s="11"/>
      <c r="CF266" s="11"/>
      <c r="CG266" s="11"/>
      <c r="CH266" s="11"/>
      <c r="CI266" s="11"/>
      <c r="CJ266" s="11"/>
      <c r="CK266" s="11"/>
      <c r="CL266" s="11"/>
      <c r="CM266" s="11"/>
      <c r="CN266" s="11"/>
      <c r="CO266" s="11"/>
      <c r="CP266" s="11"/>
      <c r="CQ266" s="11"/>
      <c r="CR266" s="11"/>
      <c r="CS266" s="11"/>
      <c r="CT266" s="11"/>
      <c r="CU266" s="11"/>
      <c r="CV266" s="11"/>
      <c r="CW266" s="11"/>
      <c r="CX266" s="11"/>
      <c r="CY266" s="11"/>
      <c r="CZ266" s="11"/>
      <c r="DA266" s="11"/>
      <c r="DB266" s="11"/>
      <c r="DC266" s="11"/>
      <c r="DD266" s="11"/>
      <c r="DE266" s="11"/>
      <c r="DF266" s="11"/>
      <c r="DG266" s="11"/>
      <c r="DH266" s="11"/>
      <c r="DI266" s="11"/>
      <c r="DJ266" s="11"/>
      <c r="DK266" s="11"/>
      <c r="DL266" s="11"/>
      <c r="DM266" s="11"/>
      <c r="DN266" s="11"/>
      <c r="DO266" s="11"/>
      <c r="DP266" s="11"/>
      <c r="DQ266" s="11"/>
      <c r="DR266" s="11"/>
      <c r="DS266" s="11"/>
      <c r="DT266" s="11"/>
      <c r="DU266" s="11"/>
      <c r="DV266" s="11"/>
      <c r="DW266" s="11"/>
      <c r="DX266" s="11"/>
      <c r="DY266" s="11"/>
      <c r="DZ266" s="11"/>
      <c r="EA266" s="11"/>
      <c r="EB266" s="11"/>
      <c r="EC266" s="11"/>
      <c r="ED266" s="11"/>
      <c r="EE266" s="11"/>
      <c r="EF266" s="11"/>
      <c r="EG266" s="11"/>
      <c r="EH266" s="11"/>
      <c r="EI266" s="11"/>
      <c r="EJ266" s="11"/>
      <c r="EK266" s="11"/>
      <c r="EL266" s="11"/>
      <c r="EM266" s="11"/>
      <c r="EN266" s="11"/>
      <c r="EO266" s="11"/>
      <c r="EP266" s="11"/>
      <c r="EQ266" s="11"/>
      <c r="ER266" s="11"/>
      <c r="ES266" s="11"/>
      <c r="ET266" s="11"/>
      <c r="EU266" s="11"/>
      <c r="EV266" s="11"/>
      <c r="EW266" s="11"/>
      <c r="EX266" s="11"/>
      <c r="EY266" s="11"/>
      <c r="EZ266" s="11"/>
      <c r="FA266" s="11"/>
      <c r="FB266" s="11"/>
      <c r="FC266" s="11"/>
      <c r="FD266" s="11"/>
      <c r="FE266" s="11"/>
      <c r="FF266" s="11"/>
      <c r="FG266" s="11"/>
      <c r="FH266" s="11"/>
      <c r="FI266" s="11"/>
      <c r="FJ266" s="11"/>
      <c r="FK266" s="11"/>
      <c r="FL266" s="11"/>
      <c r="FM266" s="11"/>
      <c r="FN266" s="11"/>
      <c r="FO266" s="11"/>
      <c r="FP266" s="11"/>
      <c r="FQ266" s="11"/>
      <c r="FR266" s="11"/>
      <c r="FS266" s="11"/>
      <c r="FT266" s="11"/>
      <c r="FU266" s="11"/>
      <c r="FV266" s="11"/>
      <c r="FW266" s="11"/>
      <c r="FX266" s="11"/>
      <c r="FY266" s="11"/>
      <c r="FZ266" s="11"/>
      <c r="GA266" s="11"/>
      <c r="GB266" s="11"/>
      <c r="GC266" s="11"/>
      <c r="GD266" s="11"/>
      <c r="GE266" s="11"/>
      <c r="GF266" s="11"/>
      <c r="GG266" s="11"/>
      <c r="GH266" s="11"/>
      <c r="GI266" s="11"/>
      <c r="GJ266" s="11"/>
      <c r="GK266" s="11"/>
      <c r="GL266" s="11"/>
      <c r="GM266" s="11"/>
      <c r="GN266" s="11"/>
      <c r="GO266" s="11"/>
      <c r="GP266" s="11"/>
      <c r="GQ266" s="11"/>
      <c r="GR266" s="11"/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4E719-61E6-4C86-9B1F-07CFA38D719A}">
  <sheetPr codeName="Sheet14"/>
  <dimension ref="A1:AA38"/>
  <sheetViews>
    <sheetView workbookViewId="0">
      <selection activeCell="B4" sqref="B4"/>
    </sheetView>
  </sheetViews>
  <sheetFormatPr defaultRowHeight="14.25" x14ac:dyDescent="0.15"/>
  <cols>
    <col min="1" max="12" width="9.140625" style="11"/>
    <col min="13" max="22" width="8.7109375" style="11" customWidth="1"/>
    <col min="23" max="16384" width="9.140625" style="11"/>
  </cols>
  <sheetData>
    <row r="1" spans="1:22" x14ac:dyDescent="0.15">
      <c r="A1" s="11">
        <v>1</v>
      </c>
      <c r="B1" s="11">
        <v>2</v>
      </c>
      <c r="C1" s="11">
        <v>3</v>
      </c>
      <c r="D1" s="11">
        <v>4</v>
      </c>
      <c r="E1" s="11">
        <v>5</v>
      </c>
      <c r="F1" s="11">
        <v>6</v>
      </c>
      <c r="G1" s="11">
        <v>7</v>
      </c>
      <c r="H1" s="11">
        <v>8</v>
      </c>
      <c r="I1" s="11">
        <v>9</v>
      </c>
    </row>
    <row r="2" spans="1:22" x14ac:dyDescent="0.15">
      <c r="E2" s="54" t="s">
        <v>24</v>
      </c>
      <c r="F2" s="54" t="s">
        <v>25</v>
      </c>
      <c r="J2" s="42"/>
      <c r="O2" s="11">
        <v>1.5800000429153442</v>
      </c>
      <c r="P2" s="11">
        <v>2.0350000858306885</v>
      </c>
    </row>
    <row r="3" spans="1:22" x14ac:dyDescent="0.15">
      <c r="D3" s="54" t="s">
        <v>183</v>
      </c>
      <c r="E3" s="11">
        <v>1.5800000429153442</v>
      </c>
      <c r="F3" s="11">
        <v>2.0350000858306885</v>
      </c>
      <c r="H3" s="11" t="s">
        <v>175</v>
      </c>
      <c r="I3" s="11">
        <v>2.0249999999999999</v>
      </c>
      <c r="O3" s="11">
        <v>3845</v>
      </c>
      <c r="P3" s="11">
        <v>3917</v>
      </c>
    </row>
    <row r="4" spans="1:22" ht="15.75" x14ac:dyDescent="0.15">
      <c r="D4" s="42" t="s">
        <v>171</v>
      </c>
      <c r="E4" s="11">
        <v>3845</v>
      </c>
      <c r="F4" s="11">
        <v>3917</v>
      </c>
      <c r="H4" s="11" t="s">
        <v>176</v>
      </c>
      <c r="I4" s="11">
        <v>2.0249999999999999</v>
      </c>
      <c r="N4" s="45"/>
      <c r="O4" s="11">
        <v>0.75400000810623169</v>
      </c>
      <c r="P4" s="11">
        <v>0.76800000667572021</v>
      </c>
      <c r="Q4" s="45"/>
      <c r="R4" s="45"/>
      <c r="S4" s="45"/>
      <c r="T4" s="45"/>
      <c r="U4" s="45"/>
      <c r="V4" s="45"/>
    </row>
    <row r="5" spans="1:22" x14ac:dyDescent="0.15">
      <c r="D5" s="42" t="s">
        <v>182</v>
      </c>
      <c r="E5" s="11">
        <v>0.75400000810623169</v>
      </c>
      <c r="F5" s="11">
        <v>0.76800000667572021</v>
      </c>
      <c r="H5" s="11" t="s">
        <v>177</v>
      </c>
      <c r="K5" s="42"/>
      <c r="O5" s="11">
        <v>7057</v>
      </c>
      <c r="P5" s="11">
        <v>6444</v>
      </c>
    </row>
    <row r="6" spans="1:22" x14ac:dyDescent="0.15">
      <c r="D6" s="54" t="s">
        <v>181</v>
      </c>
      <c r="E6" s="11">
        <v>24088</v>
      </c>
      <c r="F6" s="11">
        <v>17532</v>
      </c>
      <c r="H6" s="11" t="s">
        <v>178</v>
      </c>
      <c r="J6" s="55"/>
      <c r="K6" s="42"/>
      <c r="O6" s="11">
        <v>18553</v>
      </c>
      <c r="P6" s="11">
        <v>12984</v>
      </c>
    </row>
    <row r="7" spans="1:22" x14ac:dyDescent="0.15">
      <c r="D7" s="54" t="s">
        <v>179</v>
      </c>
      <c r="E7" s="11">
        <v>18553</v>
      </c>
      <c r="F7" s="11">
        <v>12984</v>
      </c>
      <c r="J7" s="55"/>
      <c r="O7" s="11">
        <v>0.37999999523162842</v>
      </c>
      <c r="P7" s="11">
        <v>0.49599999189376831</v>
      </c>
    </row>
    <row r="8" spans="1:22" x14ac:dyDescent="0.15">
      <c r="D8" s="54" t="s">
        <v>180</v>
      </c>
      <c r="E8" s="11">
        <v>1.2979999780654907</v>
      </c>
      <c r="F8" s="11">
        <v>1.3500000238418579</v>
      </c>
      <c r="J8" s="55"/>
      <c r="O8" s="42"/>
      <c r="P8" s="42"/>
    </row>
    <row r="9" spans="1:22" x14ac:dyDescent="0.15">
      <c r="D9" s="54" t="s">
        <v>157</v>
      </c>
      <c r="H9" s="11">
        <v>0.7353338414824212</v>
      </c>
      <c r="I9" s="11">
        <v>0.65059944760276622</v>
      </c>
      <c r="J9" s="55"/>
      <c r="O9" s="42"/>
      <c r="P9" s="42"/>
    </row>
    <row r="10" spans="1:22" x14ac:dyDescent="0.15">
      <c r="O10" s="42"/>
      <c r="P10" s="42"/>
    </row>
    <row r="11" spans="1:22" x14ac:dyDescent="0.15">
      <c r="J11" s="55"/>
      <c r="O11" s="42"/>
      <c r="P11" s="42"/>
    </row>
    <row r="12" spans="1:22" x14ac:dyDescent="0.15">
      <c r="B12" s="11" t="s">
        <v>19</v>
      </c>
      <c r="C12" s="11" t="s">
        <v>124</v>
      </c>
      <c r="D12" s="11" t="s">
        <v>125</v>
      </c>
      <c r="E12" s="11" t="s">
        <v>5</v>
      </c>
      <c r="F12" s="11" t="s">
        <v>349</v>
      </c>
      <c r="G12" s="11" t="s">
        <v>350</v>
      </c>
      <c r="H12" s="11" t="s">
        <v>158</v>
      </c>
      <c r="I12" s="11" t="s">
        <v>127</v>
      </c>
      <c r="O12" s="42"/>
    </row>
    <row r="13" spans="1:22" x14ac:dyDescent="0.15">
      <c r="J13" s="55"/>
      <c r="O13" s="42"/>
    </row>
    <row r="14" spans="1:22" x14ac:dyDescent="0.15">
      <c r="B14" s="11">
        <v>11</v>
      </c>
      <c r="C14" s="11">
        <v>1</v>
      </c>
      <c r="D14" s="11">
        <v>1</v>
      </c>
      <c r="E14" s="11">
        <v>251</v>
      </c>
      <c r="F14" s="11">
        <v>3.372999906539917</v>
      </c>
      <c r="G14" s="11">
        <v>2.5429999828338623</v>
      </c>
      <c r="H14" s="11">
        <v>3080</v>
      </c>
      <c r="I14" s="11">
        <v>3080</v>
      </c>
      <c r="J14" s="92">
        <v>4.9215689301490784E-2</v>
      </c>
      <c r="L14" s="11">
        <v>3.3730266094207764</v>
      </c>
      <c r="O14" s="22"/>
    </row>
    <row r="15" spans="1:22" x14ac:dyDescent="0.15">
      <c r="B15" s="11">
        <v>10</v>
      </c>
      <c r="C15" s="11">
        <v>1</v>
      </c>
      <c r="D15" s="11">
        <v>1</v>
      </c>
      <c r="E15" s="11">
        <v>640</v>
      </c>
      <c r="F15" s="11">
        <v>1.7130000591278076</v>
      </c>
      <c r="G15" s="11">
        <v>1.2910000085830688</v>
      </c>
      <c r="H15" s="11">
        <v>3988</v>
      </c>
      <c r="I15" s="11">
        <v>7068</v>
      </c>
      <c r="J15" s="92">
        <v>0.1747058779001236</v>
      </c>
      <c r="L15" s="11">
        <v>1.7126973867416382</v>
      </c>
      <c r="O15" s="22"/>
    </row>
    <row r="16" spans="1:22" x14ac:dyDescent="0.15">
      <c r="B16" s="11">
        <v>9</v>
      </c>
      <c r="C16" s="11">
        <v>1</v>
      </c>
      <c r="D16" s="11">
        <v>1</v>
      </c>
      <c r="E16" s="11">
        <v>454</v>
      </c>
      <c r="F16" s="11">
        <v>1.3380000591278076</v>
      </c>
      <c r="G16" s="11">
        <v>1.0089999437332153</v>
      </c>
      <c r="H16" s="11">
        <v>2210</v>
      </c>
      <c r="I16" s="11">
        <v>9277</v>
      </c>
      <c r="J16" s="92">
        <v>0.26372548937797546</v>
      </c>
      <c r="L16" s="11">
        <v>1.3380277156829834</v>
      </c>
      <c r="O16" s="22"/>
    </row>
    <row r="17" spans="1:27" x14ac:dyDescent="0.15">
      <c r="B17" s="11">
        <v>8</v>
      </c>
      <c r="C17" s="11">
        <v>1</v>
      </c>
      <c r="D17" s="11">
        <v>1</v>
      </c>
      <c r="E17" s="11">
        <v>455</v>
      </c>
      <c r="F17" s="11">
        <v>1.1519999504089355</v>
      </c>
      <c r="G17" s="11">
        <v>0.86900001764297485</v>
      </c>
      <c r="H17" s="11">
        <v>1907</v>
      </c>
      <c r="I17" s="11">
        <v>11185</v>
      </c>
      <c r="J17" s="11">
        <v>0.35294118523597717</v>
      </c>
      <c r="L17" s="11">
        <v>1.1523116827011108</v>
      </c>
      <c r="O17" s="22"/>
    </row>
    <row r="18" spans="1:27" x14ac:dyDescent="0.15">
      <c r="B18" s="11">
        <v>7</v>
      </c>
      <c r="C18" s="11">
        <v>1</v>
      </c>
      <c r="D18" s="11">
        <v>1</v>
      </c>
      <c r="E18" s="11">
        <v>460</v>
      </c>
      <c r="F18" s="11">
        <v>0.99900001287460327</v>
      </c>
      <c r="G18" s="11">
        <v>0.75300002098083496</v>
      </c>
      <c r="H18" s="11">
        <v>1671</v>
      </c>
      <c r="I18" s="11">
        <v>12856</v>
      </c>
      <c r="J18" s="11">
        <v>0.44313725829124451</v>
      </c>
      <c r="L18" s="11">
        <v>0.99878358840942383</v>
      </c>
      <c r="O18" s="22"/>
    </row>
    <row r="19" spans="1:27" x14ac:dyDescent="0.15">
      <c r="B19" s="11">
        <v>6</v>
      </c>
      <c r="C19" s="11">
        <v>1</v>
      </c>
      <c r="D19" s="11">
        <v>1</v>
      </c>
      <c r="E19" s="11">
        <v>467</v>
      </c>
      <c r="F19" s="11">
        <v>0.86100000143051147</v>
      </c>
      <c r="G19" s="11">
        <v>0.64899998903274536</v>
      </c>
      <c r="H19" s="11">
        <v>1462</v>
      </c>
      <c r="I19" s="11">
        <v>14318</v>
      </c>
      <c r="J19" s="11">
        <v>0.53470587730407715</v>
      </c>
      <c r="L19" s="11">
        <v>0.86055731773376465</v>
      </c>
      <c r="O19" s="22"/>
    </row>
    <row r="20" spans="1:27" x14ac:dyDescent="0.15">
      <c r="B20" s="11">
        <v>5</v>
      </c>
      <c r="C20" s="11">
        <v>1</v>
      </c>
      <c r="D20" s="11">
        <v>1</v>
      </c>
      <c r="E20" s="11">
        <v>469</v>
      </c>
      <c r="F20" s="11">
        <v>0.73100000619888306</v>
      </c>
      <c r="G20" s="11">
        <v>0.55099999904632568</v>
      </c>
      <c r="H20" s="11">
        <v>1248</v>
      </c>
      <c r="I20" s="56">
        <v>15566</v>
      </c>
      <c r="J20" s="11">
        <v>0.62666666507720947</v>
      </c>
      <c r="L20" s="11">
        <v>0.73136252164840698</v>
      </c>
    </row>
    <row r="21" spans="1:27" x14ac:dyDescent="0.15">
      <c r="B21" s="11">
        <v>4</v>
      </c>
      <c r="C21" s="11">
        <v>1</v>
      </c>
      <c r="D21" s="11">
        <v>1</v>
      </c>
      <c r="E21" s="11">
        <v>471</v>
      </c>
      <c r="F21" s="11">
        <v>0.60799998044967651</v>
      </c>
      <c r="G21" s="11">
        <v>0.45899999141693115</v>
      </c>
      <c r="H21" s="11">
        <v>1042</v>
      </c>
      <c r="I21" s="56">
        <v>16608</v>
      </c>
      <c r="J21" s="11">
        <v>0.71901959180831909</v>
      </c>
      <c r="K21" s="56"/>
      <c r="L21" s="11">
        <v>0.60837984085083008</v>
      </c>
      <c r="O21" s="42"/>
    </row>
    <row r="22" spans="1:27" x14ac:dyDescent="0.15">
      <c r="B22" s="11">
        <v>3</v>
      </c>
      <c r="C22" s="11">
        <v>1</v>
      </c>
      <c r="D22" s="11">
        <v>1</v>
      </c>
      <c r="E22" s="11">
        <v>475</v>
      </c>
      <c r="F22" s="11">
        <v>0.48899999260902405</v>
      </c>
      <c r="G22" s="11">
        <v>0.36899998784065247</v>
      </c>
      <c r="H22" s="11">
        <v>846</v>
      </c>
      <c r="I22" s="56">
        <v>17454</v>
      </c>
      <c r="J22" s="11">
        <v>0.81215685606002808</v>
      </c>
      <c r="K22" s="56"/>
      <c r="L22" s="11">
        <v>0.48931461572647095</v>
      </c>
    </row>
    <row r="23" spans="1:27" x14ac:dyDescent="0.15">
      <c r="B23" s="11">
        <v>2</v>
      </c>
      <c r="C23" s="11">
        <v>1</v>
      </c>
      <c r="D23" s="11">
        <v>1</v>
      </c>
      <c r="E23" s="11">
        <v>477</v>
      </c>
      <c r="F23" s="11">
        <v>0.37299999594688416</v>
      </c>
      <c r="G23" s="11">
        <v>0.28099998831748962</v>
      </c>
      <c r="H23" s="11">
        <v>647</v>
      </c>
      <c r="I23" s="56">
        <v>18101</v>
      </c>
      <c r="J23" s="11">
        <v>0.90568625926971436</v>
      </c>
      <c r="K23" s="56"/>
      <c r="L23" s="11">
        <v>0.37292516231536865</v>
      </c>
    </row>
    <row r="24" spans="1:27" x14ac:dyDescent="0.15">
      <c r="B24" s="11">
        <v>1</v>
      </c>
      <c r="C24" s="11">
        <v>1</v>
      </c>
      <c r="D24" s="11">
        <v>1</v>
      </c>
      <c r="E24" s="11">
        <v>481</v>
      </c>
      <c r="F24" s="11">
        <v>0.25799998641014099</v>
      </c>
      <c r="G24" s="11">
        <v>0.19499999284744263</v>
      </c>
      <c r="H24" s="11">
        <v>452</v>
      </c>
      <c r="I24" s="56">
        <v>18553</v>
      </c>
      <c r="J24" s="11">
        <v>1</v>
      </c>
      <c r="K24" s="56"/>
      <c r="L24" s="11">
        <v>0.2584015429019928</v>
      </c>
    </row>
    <row r="25" spans="1:27" x14ac:dyDescent="0.15">
      <c r="E25" s="11">
        <v>5100</v>
      </c>
      <c r="I25" s="56"/>
      <c r="K25" s="56"/>
    </row>
    <row r="26" spans="1:27" x14ac:dyDescent="0.15">
      <c r="B26" s="11" t="s">
        <v>19</v>
      </c>
      <c r="C26" s="11" t="s">
        <v>124</v>
      </c>
      <c r="D26" s="11" t="s">
        <v>125</v>
      </c>
      <c r="E26" s="11" t="s">
        <v>5</v>
      </c>
      <c r="F26" s="11" t="s">
        <v>129</v>
      </c>
      <c r="G26" s="11" t="s">
        <v>152</v>
      </c>
      <c r="H26" s="11" t="s">
        <v>153</v>
      </c>
      <c r="I26" s="56" t="s">
        <v>174</v>
      </c>
      <c r="K26" s="56"/>
    </row>
    <row r="27" spans="1:27" x14ac:dyDescent="0.15">
      <c r="A27" s="11">
        <v>1</v>
      </c>
      <c r="B27" s="11">
        <v>2</v>
      </c>
      <c r="C27" s="11">
        <v>3</v>
      </c>
      <c r="D27" s="11">
        <v>4</v>
      </c>
      <c r="E27" s="11">
        <v>5</v>
      </c>
      <c r="F27" s="11">
        <v>6</v>
      </c>
      <c r="G27" s="11">
        <v>7</v>
      </c>
      <c r="H27" s="11">
        <v>8</v>
      </c>
      <c r="I27" s="11">
        <v>9</v>
      </c>
      <c r="K27" s="56"/>
    </row>
    <row r="28" spans="1:27" x14ac:dyDescent="0.15">
      <c r="B28" s="11">
        <v>11</v>
      </c>
      <c r="C28" s="11">
        <v>1</v>
      </c>
      <c r="D28" s="11">
        <v>1</v>
      </c>
      <c r="E28" s="11">
        <v>251</v>
      </c>
      <c r="F28" s="11">
        <v>3.372999906539917</v>
      </c>
      <c r="G28" s="11">
        <v>2.5910000801086426</v>
      </c>
      <c r="H28" s="11">
        <v>2155</v>
      </c>
      <c r="I28" s="56">
        <v>2155</v>
      </c>
      <c r="K28" s="56"/>
      <c r="Z28" s="42"/>
      <c r="AA28" s="43"/>
    </row>
    <row r="29" spans="1:27" x14ac:dyDescent="0.15">
      <c r="B29" s="11">
        <v>10</v>
      </c>
      <c r="C29" s="11">
        <v>1</v>
      </c>
      <c r="D29" s="11">
        <v>1</v>
      </c>
      <c r="E29" s="11">
        <v>640</v>
      </c>
      <c r="F29" s="11">
        <v>1.7130000591278076</v>
      </c>
      <c r="G29" s="11">
        <v>1.315000057220459</v>
      </c>
      <c r="H29" s="11">
        <v>2791</v>
      </c>
      <c r="I29" s="56">
        <v>4946</v>
      </c>
      <c r="K29" s="56"/>
      <c r="Z29" s="42"/>
      <c r="AA29" s="43"/>
    </row>
    <row r="30" spans="1:27" x14ac:dyDescent="0.15">
      <c r="B30" s="11">
        <v>9</v>
      </c>
      <c r="C30" s="11">
        <v>1</v>
      </c>
      <c r="D30" s="11">
        <v>1</v>
      </c>
      <c r="E30" s="11">
        <v>454</v>
      </c>
      <c r="F30" s="11">
        <v>1.3380000591278076</v>
      </c>
      <c r="G30" s="11">
        <v>1.0279999971389771</v>
      </c>
      <c r="H30" s="11">
        <v>1546</v>
      </c>
      <c r="I30" s="56">
        <v>6492</v>
      </c>
      <c r="J30" s="44"/>
      <c r="K30" s="56"/>
      <c r="Z30" s="42"/>
      <c r="AA30" s="43"/>
    </row>
    <row r="31" spans="1:27" x14ac:dyDescent="0.15">
      <c r="B31" s="11">
        <v>8</v>
      </c>
      <c r="C31" s="11">
        <v>1</v>
      </c>
      <c r="D31" s="11">
        <v>1</v>
      </c>
      <c r="E31" s="11">
        <v>455</v>
      </c>
      <c r="F31" s="11">
        <v>1.1519999504089355</v>
      </c>
      <c r="G31" s="11">
        <v>0.88499999046325684</v>
      </c>
      <c r="H31" s="11">
        <v>1335</v>
      </c>
      <c r="I31" s="11">
        <v>7827</v>
      </c>
      <c r="Z31" s="42"/>
      <c r="AA31" s="43"/>
    </row>
    <row r="32" spans="1:27" x14ac:dyDescent="0.15">
      <c r="B32" s="11">
        <v>7</v>
      </c>
      <c r="C32" s="11">
        <v>1</v>
      </c>
      <c r="D32" s="11">
        <v>1</v>
      </c>
      <c r="E32" s="11">
        <v>460</v>
      </c>
      <c r="F32" s="11">
        <v>0.99900001287460327</v>
      </c>
      <c r="G32" s="11">
        <v>0.76700001955032349</v>
      </c>
      <c r="H32" s="11">
        <v>1170</v>
      </c>
      <c r="I32" s="11">
        <v>8997</v>
      </c>
    </row>
    <row r="33" spans="2:9" x14ac:dyDescent="0.15">
      <c r="B33" s="11">
        <v>6</v>
      </c>
      <c r="C33" s="11">
        <v>1</v>
      </c>
      <c r="D33" s="11">
        <v>1</v>
      </c>
      <c r="E33" s="11">
        <v>467</v>
      </c>
      <c r="F33" s="11">
        <v>0.86100000143051147</v>
      </c>
      <c r="G33" s="11">
        <v>0.66100001335144043</v>
      </c>
      <c r="H33" s="11">
        <v>1023</v>
      </c>
      <c r="I33" s="11">
        <v>10020</v>
      </c>
    </row>
    <row r="34" spans="2:9" x14ac:dyDescent="0.15">
      <c r="B34" s="11">
        <v>5</v>
      </c>
      <c r="C34" s="11">
        <v>1</v>
      </c>
      <c r="D34" s="11">
        <v>1</v>
      </c>
      <c r="E34" s="11">
        <v>469</v>
      </c>
      <c r="F34" s="11">
        <v>0.73100000619888306</v>
      </c>
      <c r="G34" s="11">
        <v>0.56199997663497925</v>
      </c>
      <c r="H34" s="11">
        <v>873</v>
      </c>
      <c r="I34" s="11">
        <v>10893</v>
      </c>
    </row>
    <row r="35" spans="2:9" x14ac:dyDescent="0.15">
      <c r="B35" s="11">
        <v>4</v>
      </c>
      <c r="C35" s="11">
        <v>1</v>
      </c>
      <c r="D35" s="11">
        <v>1</v>
      </c>
      <c r="E35" s="11">
        <v>471</v>
      </c>
      <c r="F35" s="11">
        <v>0.60799998044967651</v>
      </c>
      <c r="G35" s="11">
        <v>0.46700000762939453</v>
      </c>
      <c r="H35" s="11">
        <v>729</v>
      </c>
      <c r="I35" s="11">
        <v>11623</v>
      </c>
    </row>
    <row r="36" spans="2:9" x14ac:dyDescent="0.15">
      <c r="B36" s="11">
        <v>3</v>
      </c>
      <c r="C36" s="11">
        <v>1</v>
      </c>
      <c r="D36" s="11">
        <v>1</v>
      </c>
      <c r="E36" s="11">
        <v>475</v>
      </c>
      <c r="F36" s="11">
        <v>0.48899999260902405</v>
      </c>
      <c r="G36" s="11">
        <v>0.37599998712539673</v>
      </c>
      <c r="H36" s="11">
        <v>592</v>
      </c>
      <c r="I36" s="11">
        <v>12214</v>
      </c>
    </row>
    <row r="37" spans="2:9" x14ac:dyDescent="0.15">
      <c r="B37" s="11">
        <v>2</v>
      </c>
      <c r="C37" s="11">
        <v>1</v>
      </c>
      <c r="D37" s="11">
        <v>1</v>
      </c>
      <c r="E37" s="11">
        <v>477</v>
      </c>
      <c r="F37" s="11">
        <v>0.37299999594688416</v>
      </c>
      <c r="G37" s="11">
        <v>0.28600001335144043</v>
      </c>
      <c r="H37" s="11">
        <v>453</v>
      </c>
      <c r="I37" s="11">
        <v>12667</v>
      </c>
    </row>
    <row r="38" spans="2:9" x14ac:dyDescent="0.15">
      <c r="B38" s="11">
        <v>1</v>
      </c>
      <c r="C38" s="11">
        <v>1</v>
      </c>
      <c r="D38" s="11">
        <v>1</v>
      </c>
      <c r="E38" s="11">
        <v>481</v>
      </c>
      <c r="F38" s="11">
        <v>0.25799998641014099</v>
      </c>
      <c r="G38" s="11">
        <v>0.19799999892711639</v>
      </c>
      <c r="H38" s="11">
        <v>316</v>
      </c>
      <c r="I38" s="11">
        <v>12984</v>
      </c>
    </row>
  </sheetData>
  <phoneticPr fontId="2"/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need_SQ">
                <anchor moveWithCells="1" sizeWithCells="1">
                  <from>
                    <xdr:col>0</xdr:col>
                    <xdr:colOff>200025</xdr:colOff>
                    <xdr:row>1</xdr:row>
                    <xdr:rowOff>123825</xdr:rowOff>
                  </from>
                  <to>
                    <xdr:col>1</xdr:col>
                    <xdr:colOff>285750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D8FBE-26B0-4980-BFEB-6CFE4EDD43B9}">
  <sheetPr codeName="Sheet16"/>
  <dimension ref="A1:GR1000"/>
  <sheetViews>
    <sheetView zoomScale="150" zoomScaleNormal="150" workbookViewId="0">
      <selection activeCell="I8" sqref="I8"/>
    </sheetView>
  </sheetViews>
  <sheetFormatPr defaultColWidth="17.85546875" defaultRowHeight="14.25" x14ac:dyDescent="0.15"/>
  <cols>
    <col min="1" max="1" width="5.28515625" style="65" customWidth="1"/>
    <col min="2" max="54" width="11" style="65" customWidth="1"/>
    <col min="55" max="256" width="17.85546875" style="65"/>
    <col min="257" max="257" width="5.28515625" style="65" customWidth="1"/>
    <col min="258" max="310" width="11" style="65" customWidth="1"/>
    <col min="311" max="512" width="17.85546875" style="65"/>
    <col min="513" max="513" width="5.28515625" style="65" customWidth="1"/>
    <col min="514" max="566" width="11" style="65" customWidth="1"/>
    <col min="567" max="768" width="17.85546875" style="65"/>
    <col min="769" max="769" width="5.28515625" style="65" customWidth="1"/>
    <col min="770" max="822" width="11" style="65" customWidth="1"/>
    <col min="823" max="1024" width="17.85546875" style="65"/>
    <col min="1025" max="1025" width="5.28515625" style="65" customWidth="1"/>
    <col min="1026" max="1078" width="11" style="65" customWidth="1"/>
    <col min="1079" max="1280" width="17.85546875" style="65"/>
    <col min="1281" max="1281" width="5.28515625" style="65" customWidth="1"/>
    <col min="1282" max="1334" width="11" style="65" customWidth="1"/>
    <col min="1335" max="1536" width="17.85546875" style="65"/>
    <col min="1537" max="1537" width="5.28515625" style="65" customWidth="1"/>
    <col min="1538" max="1590" width="11" style="65" customWidth="1"/>
    <col min="1591" max="1792" width="17.85546875" style="65"/>
    <col min="1793" max="1793" width="5.28515625" style="65" customWidth="1"/>
    <col min="1794" max="1846" width="11" style="65" customWidth="1"/>
    <col min="1847" max="2048" width="17.85546875" style="65"/>
    <col min="2049" max="2049" width="5.28515625" style="65" customWidth="1"/>
    <col min="2050" max="2102" width="11" style="65" customWidth="1"/>
    <col min="2103" max="2304" width="17.85546875" style="65"/>
    <col min="2305" max="2305" width="5.28515625" style="65" customWidth="1"/>
    <col min="2306" max="2358" width="11" style="65" customWidth="1"/>
    <col min="2359" max="2560" width="17.85546875" style="65"/>
    <col min="2561" max="2561" width="5.28515625" style="65" customWidth="1"/>
    <col min="2562" max="2614" width="11" style="65" customWidth="1"/>
    <col min="2615" max="2816" width="17.85546875" style="65"/>
    <col min="2817" max="2817" width="5.28515625" style="65" customWidth="1"/>
    <col min="2818" max="2870" width="11" style="65" customWidth="1"/>
    <col min="2871" max="3072" width="17.85546875" style="65"/>
    <col min="3073" max="3073" width="5.28515625" style="65" customWidth="1"/>
    <col min="3074" max="3126" width="11" style="65" customWidth="1"/>
    <col min="3127" max="3328" width="17.85546875" style="65"/>
    <col min="3329" max="3329" width="5.28515625" style="65" customWidth="1"/>
    <col min="3330" max="3382" width="11" style="65" customWidth="1"/>
    <col min="3383" max="3584" width="17.85546875" style="65"/>
    <col min="3585" max="3585" width="5.28515625" style="65" customWidth="1"/>
    <col min="3586" max="3638" width="11" style="65" customWidth="1"/>
    <col min="3639" max="3840" width="17.85546875" style="65"/>
    <col min="3841" max="3841" width="5.28515625" style="65" customWidth="1"/>
    <col min="3842" max="3894" width="11" style="65" customWidth="1"/>
    <col min="3895" max="4096" width="17.85546875" style="65"/>
    <col min="4097" max="4097" width="5.28515625" style="65" customWidth="1"/>
    <col min="4098" max="4150" width="11" style="65" customWidth="1"/>
    <col min="4151" max="4352" width="17.85546875" style="65"/>
    <col min="4353" max="4353" width="5.28515625" style="65" customWidth="1"/>
    <col min="4354" max="4406" width="11" style="65" customWidth="1"/>
    <col min="4407" max="4608" width="17.85546875" style="65"/>
    <col min="4609" max="4609" width="5.28515625" style="65" customWidth="1"/>
    <col min="4610" max="4662" width="11" style="65" customWidth="1"/>
    <col min="4663" max="4864" width="17.85546875" style="65"/>
    <col min="4865" max="4865" width="5.28515625" style="65" customWidth="1"/>
    <col min="4866" max="4918" width="11" style="65" customWidth="1"/>
    <col min="4919" max="5120" width="17.85546875" style="65"/>
    <col min="5121" max="5121" width="5.28515625" style="65" customWidth="1"/>
    <col min="5122" max="5174" width="11" style="65" customWidth="1"/>
    <col min="5175" max="5376" width="17.85546875" style="65"/>
    <col min="5377" max="5377" width="5.28515625" style="65" customWidth="1"/>
    <col min="5378" max="5430" width="11" style="65" customWidth="1"/>
    <col min="5431" max="5632" width="17.85546875" style="65"/>
    <col min="5633" max="5633" width="5.28515625" style="65" customWidth="1"/>
    <col min="5634" max="5686" width="11" style="65" customWidth="1"/>
    <col min="5687" max="5888" width="17.85546875" style="65"/>
    <col min="5889" max="5889" width="5.28515625" style="65" customWidth="1"/>
    <col min="5890" max="5942" width="11" style="65" customWidth="1"/>
    <col min="5943" max="6144" width="17.85546875" style="65"/>
    <col min="6145" max="6145" width="5.28515625" style="65" customWidth="1"/>
    <col min="6146" max="6198" width="11" style="65" customWidth="1"/>
    <col min="6199" max="6400" width="17.85546875" style="65"/>
    <col min="6401" max="6401" width="5.28515625" style="65" customWidth="1"/>
    <col min="6402" max="6454" width="11" style="65" customWidth="1"/>
    <col min="6455" max="6656" width="17.85546875" style="65"/>
    <col min="6657" max="6657" width="5.28515625" style="65" customWidth="1"/>
    <col min="6658" max="6710" width="11" style="65" customWidth="1"/>
    <col min="6711" max="6912" width="17.85546875" style="65"/>
    <col min="6913" max="6913" width="5.28515625" style="65" customWidth="1"/>
    <col min="6914" max="6966" width="11" style="65" customWidth="1"/>
    <col min="6967" max="7168" width="17.85546875" style="65"/>
    <col min="7169" max="7169" width="5.28515625" style="65" customWidth="1"/>
    <col min="7170" max="7222" width="11" style="65" customWidth="1"/>
    <col min="7223" max="7424" width="17.85546875" style="65"/>
    <col min="7425" max="7425" width="5.28515625" style="65" customWidth="1"/>
    <col min="7426" max="7478" width="11" style="65" customWidth="1"/>
    <col min="7479" max="7680" width="17.85546875" style="65"/>
    <col min="7681" max="7681" width="5.28515625" style="65" customWidth="1"/>
    <col min="7682" max="7734" width="11" style="65" customWidth="1"/>
    <col min="7735" max="7936" width="17.85546875" style="65"/>
    <col min="7937" max="7937" width="5.28515625" style="65" customWidth="1"/>
    <col min="7938" max="7990" width="11" style="65" customWidth="1"/>
    <col min="7991" max="8192" width="17.85546875" style="65"/>
    <col min="8193" max="8193" width="5.28515625" style="65" customWidth="1"/>
    <col min="8194" max="8246" width="11" style="65" customWidth="1"/>
    <col min="8247" max="8448" width="17.85546875" style="65"/>
    <col min="8449" max="8449" width="5.28515625" style="65" customWidth="1"/>
    <col min="8450" max="8502" width="11" style="65" customWidth="1"/>
    <col min="8503" max="8704" width="17.85546875" style="65"/>
    <col min="8705" max="8705" width="5.28515625" style="65" customWidth="1"/>
    <col min="8706" max="8758" width="11" style="65" customWidth="1"/>
    <col min="8759" max="8960" width="17.85546875" style="65"/>
    <col min="8961" max="8961" width="5.28515625" style="65" customWidth="1"/>
    <col min="8962" max="9014" width="11" style="65" customWidth="1"/>
    <col min="9015" max="9216" width="17.85546875" style="65"/>
    <col min="9217" max="9217" width="5.28515625" style="65" customWidth="1"/>
    <col min="9218" max="9270" width="11" style="65" customWidth="1"/>
    <col min="9271" max="9472" width="17.85546875" style="65"/>
    <col min="9473" max="9473" width="5.28515625" style="65" customWidth="1"/>
    <col min="9474" max="9526" width="11" style="65" customWidth="1"/>
    <col min="9527" max="9728" width="17.85546875" style="65"/>
    <col min="9729" max="9729" width="5.28515625" style="65" customWidth="1"/>
    <col min="9730" max="9782" width="11" style="65" customWidth="1"/>
    <col min="9783" max="9984" width="17.85546875" style="65"/>
    <col min="9985" max="9985" width="5.28515625" style="65" customWidth="1"/>
    <col min="9986" max="10038" width="11" style="65" customWidth="1"/>
    <col min="10039" max="10240" width="17.85546875" style="65"/>
    <col min="10241" max="10241" width="5.28515625" style="65" customWidth="1"/>
    <col min="10242" max="10294" width="11" style="65" customWidth="1"/>
    <col min="10295" max="10496" width="17.85546875" style="65"/>
    <col min="10497" max="10497" width="5.28515625" style="65" customWidth="1"/>
    <col min="10498" max="10550" width="11" style="65" customWidth="1"/>
    <col min="10551" max="10752" width="17.85546875" style="65"/>
    <col min="10753" max="10753" width="5.28515625" style="65" customWidth="1"/>
    <col min="10754" max="10806" width="11" style="65" customWidth="1"/>
    <col min="10807" max="11008" width="17.85546875" style="65"/>
    <col min="11009" max="11009" width="5.28515625" style="65" customWidth="1"/>
    <col min="11010" max="11062" width="11" style="65" customWidth="1"/>
    <col min="11063" max="11264" width="17.85546875" style="65"/>
    <col min="11265" max="11265" width="5.28515625" style="65" customWidth="1"/>
    <col min="11266" max="11318" width="11" style="65" customWidth="1"/>
    <col min="11319" max="11520" width="17.85546875" style="65"/>
    <col min="11521" max="11521" width="5.28515625" style="65" customWidth="1"/>
    <col min="11522" max="11574" width="11" style="65" customWidth="1"/>
    <col min="11575" max="11776" width="17.85546875" style="65"/>
    <col min="11777" max="11777" width="5.28515625" style="65" customWidth="1"/>
    <col min="11778" max="11830" width="11" style="65" customWidth="1"/>
    <col min="11831" max="12032" width="17.85546875" style="65"/>
    <col min="12033" max="12033" width="5.28515625" style="65" customWidth="1"/>
    <col min="12034" max="12086" width="11" style="65" customWidth="1"/>
    <col min="12087" max="12288" width="17.85546875" style="65"/>
    <col min="12289" max="12289" width="5.28515625" style="65" customWidth="1"/>
    <col min="12290" max="12342" width="11" style="65" customWidth="1"/>
    <col min="12343" max="12544" width="17.85546875" style="65"/>
    <col min="12545" max="12545" width="5.28515625" style="65" customWidth="1"/>
    <col min="12546" max="12598" width="11" style="65" customWidth="1"/>
    <col min="12599" max="12800" width="17.85546875" style="65"/>
    <col min="12801" max="12801" width="5.28515625" style="65" customWidth="1"/>
    <col min="12802" max="12854" width="11" style="65" customWidth="1"/>
    <col min="12855" max="13056" width="17.85546875" style="65"/>
    <col min="13057" max="13057" width="5.28515625" style="65" customWidth="1"/>
    <col min="13058" max="13110" width="11" style="65" customWidth="1"/>
    <col min="13111" max="13312" width="17.85546875" style="65"/>
    <col min="13313" max="13313" width="5.28515625" style="65" customWidth="1"/>
    <col min="13314" max="13366" width="11" style="65" customWidth="1"/>
    <col min="13367" max="13568" width="17.85546875" style="65"/>
    <col min="13569" max="13569" width="5.28515625" style="65" customWidth="1"/>
    <col min="13570" max="13622" width="11" style="65" customWidth="1"/>
    <col min="13623" max="13824" width="17.85546875" style="65"/>
    <col min="13825" max="13825" width="5.28515625" style="65" customWidth="1"/>
    <col min="13826" max="13878" width="11" style="65" customWidth="1"/>
    <col min="13879" max="14080" width="17.85546875" style="65"/>
    <col min="14081" max="14081" width="5.28515625" style="65" customWidth="1"/>
    <col min="14082" max="14134" width="11" style="65" customWidth="1"/>
    <col min="14135" max="14336" width="17.85546875" style="65"/>
    <col min="14337" max="14337" width="5.28515625" style="65" customWidth="1"/>
    <col min="14338" max="14390" width="11" style="65" customWidth="1"/>
    <col min="14391" max="14592" width="17.85546875" style="65"/>
    <col min="14593" max="14593" width="5.28515625" style="65" customWidth="1"/>
    <col min="14594" max="14646" width="11" style="65" customWidth="1"/>
    <col min="14647" max="14848" width="17.85546875" style="65"/>
    <col min="14849" max="14849" width="5.28515625" style="65" customWidth="1"/>
    <col min="14850" max="14902" width="11" style="65" customWidth="1"/>
    <col min="14903" max="15104" width="17.85546875" style="65"/>
    <col min="15105" max="15105" width="5.28515625" style="65" customWidth="1"/>
    <col min="15106" max="15158" width="11" style="65" customWidth="1"/>
    <col min="15159" max="15360" width="17.85546875" style="65"/>
    <col min="15361" max="15361" width="5.28515625" style="65" customWidth="1"/>
    <col min="15362" max="15414" width="11" style="65" customWidth="1"/>
    <col min="15415" max="15616" width="17.85546875" style="65"/>
    <col min="15617" max="15617" width="5.28515625" style="65" customWidth="1"/>
    <col min="15618" max="15670" width="11" style="65" customWidth="1"/>
    <col min="15671" max="15872" width="17.85546875" style="65"/>
    <col min="15873" max="15873" width="5.28515625" style="65" customWidth="1"/>
    <col min="15874" max="15926" width="11" style="65" customWidth="1"/>
    <col min="15927" max="16128" width="17.85546875" style="65"/>
    <col min="16129" max="16129" width="5.28515625" style="65" customWidth="1"/>
    <col min="16130" max="16182" width="11" style="65" customWidth="1"/>
    <col min="16183" max="16384" width="17.85546875" style="65"/>
  </cols>
  <sheetData>
    <row r="1" spans="1:200" x14ac:dyDescent="0.15">
      <c r="A1" s="11"/>
      <c r="B1" s="65">
        <v>2</v>
      </c>
      <c r="C1" s="65">
        <v>3</v>
      </c>
      <c r="D1" s="65">
        <v>4</v>
      </c>
      <c r="E1" s="65">
        <v>5</v>
      </c>
      <c r="F1" s="65">
        <v>6</v>
      </c>
      <c r="G1" s="65">
        <v>7</v>
      </c>
      <c r="H1" s="65">
        <v>8</v>
      </c>
      <c r="I1" s="65">
        <v>9</v>
      </c>
      <c r="J1" s="65">
        <v>10</v>
      </c>
      <c r="K1" s="65">
        <v>11</v>
      </c>
      <c r="L1" s="65">
        <v>12</v>
      </c>
      <c r="M1" s="65">
        <v>13</v>
      </c>
      <c r="N1" s="65">
        <v>14</v>
      </c>
      <c r="O1" s="65">
        <v>15</v>
      </c>
      <c r="P1" s="65">
        <v>16</v>
      </c>
      <c r="Q1" s="65">
        <v>17</v>
      </c>
    </row>
    <row r="2" spans="1:200" x14ac:dyDescent="0.15">
      <c r="B2" s="75" t="s">
        <v>161</v>
      </c>
      <c r="C2" s="65" t="s">
        <v>51</v>
      </c>
      <c r="D2" s="75" t="s">
        <v>162</v>
      </c>
      <c r="E2" s="75" t="s">
        <v>86</v>
      </c>
      <c r="F2" s="75" t="s">
        <v>163</v>
      </c>
    </row>
    <row r="3" spans="1:200" x14ac:dyDescent="0.15">
      <c r="B3" s="75">
        <v>6</v>
      </c>
    </row>
    <row r="4" spans="1:200" x14ac:dyDescent="0.15">
      <c r="B4" s="75" t="s">
        <v>55</v>
      </c>
      <c r="C4" s="75" t="s">
        <v>56</v>
      </c>
      <c r="D4" s="75" t="s">
        <v>57</v>
      </c>
      <c r="E4" s="75" t="s">
        <v>58</v>
      </c>
      <c r="F4" s="75" t="s">
        <v>59</v>
      </c>
      <c r="G4" s="75" t="s">
        <v>60</v>
      </c>
      <c r="H4" s="89" t="s">
        <v>290</v>
      </c>
      <c r="I4"/>
      <c r="J4" s="89" t="s">
        <v>292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</row>
    <row r="5" spans="1:200" x14ac:dyDescent="0.15">
      <c r="B5" s="65">
        <v>1</v>
      </c>
      <c r="C5" s="65">
        <v>5.5</v>
      </c>
      <c r="D5" s="65">
        <v>1.4</v>
      </c>
      <c r="E5" s="90">
        <v>360</v>
      </c>
      <c r="F5" s="90">
        <v>120</v>
      </c>
      <c r="G5" s="22" t="s">
        <v>189</v>
      </c>
      <c r="H5">
        <v>20160</v>
      </c>
      <c r="I5"/>
      <c r="J5">
        <v>1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</row>
    <row r="6" spans="1:200" x14ac:dyDescent="0.15">
      <c r="B6" s="65">
        <v>2</v>
      </c>
      <c r="C6" s="65">
        <v>3.9</v>
      </c>
      <c r="D6" s="65">
        <v>1.5</v>
      </c>
      <c r="E6" s="90">
        <v>680</v>
      </c>
      <c r="F6" s="90">
        <v>210</v>
      </c>
      <c r="G6" s="22" t="s">
        <v>189</v>
      </c>
      <c r="H6">
        <v>66150</v>
      </c>
      <c r="I6"/>
      <c r="J6">
        <v>0.53001600503921509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</row>
    <row r="7" spans="1:200" x14ac:dyDescent="0.15">
      <c r="B7" s="65">
        <v>3</v>
      </c>
      <c r="C7" s="65">
        <v>4.7</v>
      </c>
      <c r="D7" s="65">
        <v>1.5</v>
      </c>
      <c r="E7" s="90">
        <v>680</v>
      </c>
      <c r="F7" s="90">
        <v>230</v>
      </c>
      <c r="G7" s="22" t="s">
        <v>189</v>
      </c>
      <c r="H7">
        <v>79350</v>
      </c>
      <c r="I7"/>
      <c r="J7">
        <v>0.33364999294281006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</row>
    <row r="8" spans="1:200" x14ac:dyDescent="0.15">
      <c r="B8" s="65">
        <v>4</v>
      </c>
      <c r="C8" s="65">
        <v>3.1</v>
      </c>
      <c r="D8" s="65">
        <v>2</v>
      </c>
      <c r="E8" s="90">
        <v>1220</v>
      </c>
      <c r="F8" s="90">
        <v>470</v>
      </c>
      <c r="G8" s="22" t="s">
        <v>291</v>
      </c>
      <c r="H8">
        <v>441800</v>
      </c>
      <c r="I8"/>
      <c r="J8">
        <v>7.9312525689601898E-2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</row>
    <row r="9" spans="1:200" x14ac:dyDescent="0.15">
      <c r="B9" s="65">
        <v>5</v>
      </c>
      <c r="C9" s="65">
        <v>2.4</v>
      </c>
      <c r="D9" s="65">
        <v>1.7</v>
      </c>
      <c r="E9" s="90">
        <v>1220</v>
      </c>
      <c r="F9" s="90">
        <v>380</v>
      </c>
      <c r="G9" s="22" t="s">
        <v>189</v>
      </c>
      <c r="H9">
        <v>245480</v>
      </c>
      <c r="I9"/>
      <c r="J9">
        <v>4.7531194984912872E-2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</row>
    <row r="10" spans="1:200" x14ac:dyDescent="0.15">
      <c r="A10" s="11"/>
      <c r="B10" s="65">
        <v>6</v>
      </c>
      <c r="C10" s="65">
        <v>5.7</v>
      </c>
      <c r="D10" s="65">
        <v>2.1</v>
      </c>
      <c r="E10" s="90">
        <v>2000</v>
      </c>
      <c r="F10" s="90">
        <v>590</v>
      </c>
      <c r="G10" s="22" t="s">
        <v>189</v>
      </c>
      <c r="H10">
        <v>731010</v>
      </c>
      <c r="I10"/>
      <c r="J10">
        <v>2.1795444190502167E-3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</row>
    <row r="11" spans="1:200" x14ac:dyDescent="0.15">
      <c r="A11" s="11"/>
      <c r="B11" s="11"/>
      <c r="C11" s="11"/>
      <c r="D11" s="11"/>
      <c r="E11" s="11"/>
      <c r="F11" s="11"/>
      <c r="G11" s="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</row>
    <row r="12" spans="1:200" x14ac:dyDescent="0.15">
      <c r="A12" s="11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</row>
    <row r="13" spans="1:200" x14ac:dyDescent="0.15">
      <c r="A13" s="11"/>
      <c r="B13" t="s">
        <v>283</v>
      </c>
      <c r="C13" t="s">
        <v>284</v>
      </c>
      <c r="D13" t="s">
        <v>285</v>
      </c>
      <c r="E13" t="s">
        <v>286</v>
      </c>
      <c r="F13" t="s">
        <v>287</v>
      </c>
      <c r="G13" t="s">
        <v>288</v>
      </c>
      <c r="H13" t="s">
        <v>85</v>
      </c>
      <c r="I13" t="s">
        <v>86</v>
      </c>
      <c r="J13" t="s">
        <v>289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</row>
    <row r="14" spans="1:200" x14ac:dyDescent="0.15">
      <c r="A14" s="11"/>
      <c r="B14">
        <v>6</v>
      </c>
      <c r="C14">
        <v>20160</v>
      </c>
      <c r="D14">
        <v>1</v>
      </c>
      <c r="E14">
        <v>20160</v>
      </c>
      <c r="F14">
        <v>3665</v>
      </c>
      <c r="G14">
        <v>3.85</v>
      </c>
      <c r="H14">
        <v>0.312</v>
      </c>
      <c r="I14">
        <v>0.104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</row>
    <row r="15" spans="1:200" x14ac:dyDescent="0.15">
      <c r="A15" s="11"/>
      <c r="B15">
        <v>5</v>
      </c>
      <c r="C15">
        <v>66150</v>
      </c>
      <c r="D15">
        <v>1</v>
      </c>
      <c r="E15">
        <v>66150</v>
      </c>
      <c r="F15">
        <v>16962</v>
      </c>
      <c r="G15">
        <v>6.78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</row>
    <row r="16" spans="1:200" x14ac:dyDescent="0.15">
      <c r="A16" s="11"/>
      <c r="B16">
        <v>4</v>
      </c>
      <c r="C16">
        <v>79350</v>
      </c>
      <c r="D16">
        <v>1</v>
      </c>
      <c r="E16">
        <v>79350</v>
      </c>
      <c r="F16">
        <v>16883</v>
      </c>
      <c r="G16">
        <v>6.45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</row>
    <row r="17" spans="1:200" x14ac:dyDescent="0.15">
      <c r="A17" s="11"/>
      <c r="B17">
        <v>3</v>
      </c>
      <c r="C17">
        <v>441800</v>
      </c>
      <c r="D17">
        <v>1</v>
      </c>
      <c r="E17">
        <v>441800</v>
      </c>
      <c r="F17">
        <v>142516</v>
      </c>
      <c r="G17">
        <v>6.63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</row>
    <row r="18" spans="1:200" x14ac:dyDescent="0.15">
      <c r="A18" s="11"/>
      <c r="B18">
        <v>2</v>
      </c>
      <c r="C18">
        <v>245480</v>
      </c>
      <c r="D18">
        <v>1</v>
      </c>
      <c r="E18">
        <v>245480</v>
      </c>
      <c r="F18">
        <v>102283</v>
      </c>
      <c r="G18">
        <v>5.14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</row>
    <row r="19" spans="1:200" x14ac:dyDescent="0.15">
      <c r="A19" s="11"/>
      <c r="B19">
        <v>1</v>
      </c>
      <c r="C19">
        <v>731010</v>
      </c>
      <c r="D19">
        <v>1</v>
      </c>
      <c r="E19">
        <v>731010</v>
      </c>
      <c r="F19">
        <v>2131880</v>
      </c>
      <c r="G19">
        <v>8.02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</row>
    <row r="20" spans="1:200" x14ac:dyDescent="0.15">
      <c r="A20" s="11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</row>
    <row r="21" spans="1:200" x14ac:dyDescent="0.15">
      <c r="A21" s="1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</row>
    <row r="22" spans="1:200" x14ac:dyDescent="0.15">
      <c r="A22" s="11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</row>
    <row r="23" spans="1:200" x14ac:dyDescent="0.15">
      <c r="A23" s="11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</row>
    <row r="24" spans="1:200" x14ac:dyDescent="0.15">
      <c r="A24" s="11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</row>
    <row r="25" spans="1:200" x14ac:dyDescent="0.15">
      <c r="A25" s="11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</row>
    <row r="26" spans="1:200" x14ac:dyDescent="0.15">
      <c r="A26" s="11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</row>
    <row r="27" spans="1:200" x14ac:dyDescent="0.15">
      <c r="A27" s="11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</row>
    <row r="28" spans="1:200" x14ac:dyDescent="0.15">
      <c r="A28" s="11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</row>
    <row r="29" spans="1:200" x14ac:dyDescent="0.15">
      <c r="A29" s="11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</row>
    <row r="30" spans="1:200" x14ac:dyDescent="0.15">
      <c r="A30" s="11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</row>
    <row r="31" spans="1:200" x14ac:dyDescent="0.15">
      <c r="A31" s="1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</row>
    <row r="32" spans="1:200" x14ac:dyDescent="0.15">
      <c r="A32" s="11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</row>
    <row r="33" spans="1:200" x14ac:dyDescent="0.15">
      <c r="A33" s="11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</row>
    <row r="34" spans="1:200" x14ac:dyDescent="0.15">
      <c r="A34" s="11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</row>
    <row r="35" spans="1:200" x14ac:dyDescent="0.15">
      <c r="A35" s="11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</row>
    <row r="36" spans="1:200" x14ac:dyDescent="0.15">
      <c r="A36" s="11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</row>
    <row r="37" spans="1:200" x14ac:dyDescent="0.15">
      <c r="A37" s="11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</row>
    <row r="38" spans="1:200" x14ac:dyDescent="0.15">
      <c r="A38" s="11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</row>
    <row r="39" spans="1:200" x14ac:dyDescent="0.15">
      <c r="A39" s="11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</row>
    <row r="40" spans="1:200" x14ac:dyDescent="0.15">
      <c r="A40" s="11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</row>
    <row r="41" spans="1:200" x14ac:dyDescent="0.15">
      <c r="A41" s="1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</row>
    <row r="42" spans="1:200" x14ac:dyDescent="0.15">
      <c r="A42" s="11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</row>
    <row r="43" spans="1:200" x14ac:dyDescent="0.15">
      <c r="A43" s="11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</row>
    <row r="44" spans="1:200" x14ac:dyDescent="0.15">
      <c r="A44" s="11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</row>
    <row r="45" spans="1:200" x14ac:dyDescent="0.15">
      <c r="A45" s="11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</row>
    <row r="46" spans="1:200" x14ac:dyDescent="0.15">
      <c r="A46" s="11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</row>
    <row r="47" spans="1:200" x14ac:dyDescent="0.15">
      <c r="A47" s="11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</row>
    <row r="48" spans="1:200" x14ac:dyDescent="0.15">
      <c r="A48" s="11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</row>
    <row r="49" spans="1:200" x14ac:dyDescent="0.15">
      <c r="A49" s="11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</row>
    <row r="50" spans="1:200" x14ac:dyDescent="0.15">
      <c r="A50" s="11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</row>
    <row r="51" spans="1:200" x14ac:dyDescent="0.15">
      <c r="A51" s="1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</row>
    <row r="52" spans="1:200" x14ac:dyDescent="0.15">
      <c r="A52" s="11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</row>
    <row r="53" spans="1:200" x14ac:dyDescent="0.15">
      <c r="A53" s="11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</row>
    <row r="54" spans="1:200" x14ac:dyDescent="0.15">
      <c r="A54" s="11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</row>
    <row r="55" spans="1:200" x14ac:dyDescent="0.15">
      <c r="A55" s="11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</row>
    <row r="56" spans="1:200" x14ac:dyDescent="0.15">
      <c r="A56" s="11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</row>
    <row r="57" spans="1:200" x14ac:dyDescent="0.15">
      <c r="A57" s="11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</row>
    <row r="58" spans="1:200" x14ac:dyDescent="0.15">
      <c r="A58" s="11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</row>
    <row r="59" spans="1:200" x14ac:dyDescent="0.15">
      <c r="A59" s="11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</row>
    <row r="60" spans="1:200" x14ac:dyDescent="0.15">
      <c r="A60" s="11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</row>
    <row r="61" spans="1:200" x14ac:dyDescent="0.15">
      <c r="A61" s="1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</row>
    <row r="62" spans="1:200" x14ac:dyDescent="0.15">
      <c r="A62" s="11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</row>
    <row r="63" spans="1:200" x14ac:dyDescent="0.15">
      <c r="A63" s="11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</row>
    <row r="64" spans="1:200" x14ac:dyDescent="0.15">
      <c r="A64" s="11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</row>
    <row r="65" spans="1:200" x14ac:dyDescent="0.15">
      <c r="A65" s="11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</row>
    <row r="66" spans="1:200" x14ac:dyDescent="0.15">
      <c r="A66" s="11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</row>
    <row r="67" spans="1:200" x14ac:dyDescent="0.15">
      <c r="A67" s="1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</row>
    <row r="68" spans="1:200" x14ac:dyDescent="0.15">
      <c r="A68" s="11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</row>
    <row r="69" spans="1:200" x14ac:dyDescent="0.15">
      <c r="A69" s="11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</row>
    <row r="70" spans="1:200" x14ac:dyDescent="0.15">
      <c r="A70" s="11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</row>
    <row r="71" spans="1:200" x14ac:dyDescent="0.15">
      <c r="A71" s="1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</row>
    <row r="72" spans="1:200" x14ac:dyDescent="0.15">
      <c r="A72" s="11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</row>
    <row r="73" spans="1:200" x14ac:dyDescent="0.15">
      <c r="A73" s="11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</row>
    <row r="74" spans="1:200" x14ac:dyDescent="0.15">
      <c r="A74" s="11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</row>
    <row r="75" spans="1:200" x14ac:dyDescent="0.15">
      <c r="A75" s="11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</row>
    <row r="76" spans="1:200" x14ac:dyDescent="0.15">
      <c r="A76" s="11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</row>
    <row r="77" spans="1:200" x14ac:dyDescent="0.15">
      <c r="A77" s="11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</row>
    <row r="78" spans="1:200" x14ac:dyDescent="0.15">
      <c r="A78" s="11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</row>
    <row r="79" spans="1:200" x14ac:dyDescent="0.15">
      <c r="A79" s="11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</row>
    <row r="80" spans="1:200" x14ac:dyDescent="0.15">
      <c r="A80" s="11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</row>
    <row r="81" spans="1:200" x14ac:dyDescent="0.15">
      <c r="A81" s="1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</row>
    <row r="82" spans="1:200" x14ac:dyDescent="0.15">
      <c r="A82" s="11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</row>
    <row r="83" spans="1:200" x14ac:dyDescent="0.15">
      <c r="A83" s="11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</row>
    <row r="84" spans="1:200" x14ac:dyDescent="0.15">
      <c r="A84" s="11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</row>
    <row r="85" spans="1:200" x14ac:dyDescent="0.15">
      <c r="A85" s="11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</row>
    <row r="86" spans="1:200" x14ac:dyDescent="0.15">
      <c r="A86" s="11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</row>
    <row r="87" spans="1:200" x14ac:dyDescent="0.15">
      <c r="A87" s="11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</row>
    <row r="88" spans="1:200" x14ac:dyDescent="0.15">
      <c r="A88" s="11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</row>
    <row r="89" spans="1:200" x14ac:dyDescent="0.15">
      <c r="A89" s="11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</row>
    <row r="90" spans="1:200" x14ac:dyDescent="0.15">
      <c r="A90" s="11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</row>
    <row r="91" spans="1:200" x14ac:dyDescent="0.15">
      <c r="A91" s="1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</row>
    <row r="92" spans="1:200" x14ac:dyDescent="0.15">
      <c r="A92" s="11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</row>
    <row r="93" spans="1:200" x14ac:dyDescent="0.15">
      <c r="A93" s="11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</row>
    <row r="94" spans="1:200" x14ac:dyDescent="0.15">
      <c r="A94" s="11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</row>
    <row r="95" spans="1:200" x14ac:dyDescent="0.15">
      <c r="A95" s="11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</row>
    <row r="96" spans="1:200" x14ac:dyDescent="0.15">
      <c r="A96" s="11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</row>
    <row r="97" spans="1:200" x14ac:dyDescent="0.15">
      <c r="A97" s="11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</row>
    <row r="98" spans="1:200" x14ac:dyDescent="0.15">
      <c r="A98" s="11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</row>
    <row r="99" spans="1:200" x14ac:dyDescent="0.15">
      <c r="A99" s="11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</row>
    <row r="100" spans="1:200" x14ac:dyDescent="0.15">
      <c r="A100" s="11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</row>
    <row r="101" spans="1:200" x14ac:dyDescent="0.15">
      <c r="A101" s="1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</row>
    <row r="102" spans="1:200" x14ac:dyDescent="0.15">
      <c r="A102" s="11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</row>
    <row r="103" spans="1:200" x14ac:dyDescent="0.15">
      <c r="A103" s="11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</row>
    <row r="104" spans="1:200" x14ac:dyDescent="0.15">
      <c r="A104" s="11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</row>
    <row r="105" spans="1:200" x14ac:dyDescent="0.15">
      <c r="A105" s="11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</row>
    <row r="106" spans="1:200" x14ac:dyDescent="0.15">
      <c r="A106" s="11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</row>
    <row r="107" spans="1:200" x14ac:dyDescent="0.15">
      <c r="A107" s="11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</row>
    <row r="108" spans="1:200" x14ac:dyDescent="0.15">
      <c r="A108" s="11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</row>
    <row r="109" spans="1:200" x14ac:dyDescent="0.15">
      <c r="A109" s="11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</row>
    <row r="110" spans="1:200" x14ac:dyDescent="0.15">
      <c r="A110" s="11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</row>
    <row r="111" spans="1:200" x14ac:dyDescent="0.15">
      <c r="A111" s="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</row>
    <row r="112" spans="1:200" x14ac:dyDescent="0.15">
      <c r="A112" s="11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</row>
    <row r="113" spans="1:200" x14ac:dyDescent="0.15">
      <c r="A113" s="11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</row>
    <row r="114" spans="1:200" x14ac:dyDescent="0.15">
      <c r="A114" s="11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</row>
    <row r="115" spans="1:200" x14ac:dyDescent="0.15">
      <c r="A115" s="11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</row>
    <row r="116" spans="1:200" x14ac:dyDescent="0.15">
      <c r="A116" s="11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</row>
    <row r="117" spans="1:200" x14ac:dyDescent="0.15">
      <c r="A117" s="11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</row>
    <row r="118" spans="1:200" x14ac:dyDescent="0.15">
      <c r="A118" s="11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</row>
    <row r="119" spans="1:200" x14ac:dyDescent="0.15">
      <c r="A119" s="11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</row>
    <row r="120" spans="1:200" x14ac:dyDescent="0.15">
      <c r="A120" s="11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</row>
    <row r="121" spans="1:200" x14ac:dyDescent="0.15">
      <c r="A121" s="1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</row>
    <row r="122" spans="1:200" x14ac:dyDescent="0.15">
      <c r="A122" s="11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</row>
    <row r="123" spans="1:200" x14ac:dyDescent="0.15">
      <c r="A123" s="11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</row>
    <row r="124" spans="1:200" x14ac:dyDescent="0.15">
      <c r="A124" s="11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</row>
    <row r="125" spans="1:200" x14ac:dyDescent="0.15">
      <c r="A125" s="11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</row>
    <row r="126" spans="1:200" x14ac:dyDescent="0.15">
      <c r="A126" s="11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</row>
    <row r="127" spans="1:200" x14ac:dyDescent="0.15">
      <c r="A127" s="11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</row>
    <row r="128" spans="1:200" x14ac:dyDescent="0.15">
      <c r="A128" s="11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</row>
    <row r="129" spans="1:200" x14ac:dyDescent="0.15">
      <c r="A129" s="11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</row>
    <row r="130" spans="1:200" x14ac:dyDescent="0.15">
      <c r="A130" s="11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</row>
    <row r="131" spans="1:200" x14ac:dyDescent="0.15">
      <c r="A131" s="1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</row>
    <row r="132" spans="1:200" x14ac:dyDescent="0.15">
      <c r="A132" s="11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</row>
    <row r="133" spans="1:200" x14ac:dyDescent="0.15">
      <c r="A133" s="11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</row>
    <row r="134" spans="1:200" x14ac:dyDescent="0.15">
      <c r="A134" s="11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</row>
    <row r="135" spans="1:200" x14ac:dyDescent="0.15">
      <c r="A135" s="11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</row>
    <row r="136" spans="1:200" x14ac:dyDescent="0.15">
      <c r="A136" s="11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</row>
    <row r="137" spans="1:200" x14ac:dyDescent="0.15">
      <c r="A137" s="11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</row>
    <row r="138" spans="1:200" x14ac:dyDescent="0.15">
      <c r="A138" s="11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</row>
    <row r="139" spans="1:200" x14ac:dyDescent="0.15">
      <c r="A139" s="11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</row>
    <row r="140" spans="1:200" x14ac:dyDescent="0.15">
      <c r="A140" s="11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</row>
    <row r="141" spans="1:200" x14ac:dyDescent="0.15">
      <c r="A141" s="1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</row>
    <row r="142" spans="1:200" x14ac:dyDescent="0.15">
      <c r="A142" s="11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</row>
    <row r="143" spans="1:200" x14ac:dyDescent="0.15">
      <c r="A143" s="11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</row>
    <row r="144" spans="1:200" x14ac:dyDescent="0.15">
      <c r="A144" s="11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</row>
    <row r="145" spans="1:200" x14ac:dyDescent="0.15">
      <c r="A145" s="11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</row>
    <row r="146" spans="1:200" x14ac:dyDescent="0.15">
      <c r="A146" s="11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</row>
    <row r="147" spans="1:200" x14ac:dyDescent="0.15">
      <c r="A147" s="11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</row>
    <row r="148" spans="1:200" x14ac:dyDescent="0.15">
      <c r="A148" s="11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</row>
    <row r="149" spans="1:200" x14ac:dyDescent="0.15">
      <c r="A149" s="11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</row>
    <row r="150" spans="1:200" x14ac:dyDescent="0.15">
      <c r="A150" s="11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</row>
    <row r="151" spans="1:200" x14ac:dyDescent="0.15">
      <c r="A151" s="1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</row>
    <row r="152" spans="1:200" x14ac:dyDescent="0.15">
      <c r="A152" s="11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</row>
    <row r="153" spans="1:200" x14ac:dyDescent="0.15">
      <c r="A153" s="11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</row>
    <row r="154" spans="1:200" x14ac:dyDescent="0.15">
      <c r="A154" s="11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</row>
    <row r="155" spans="1:200" x14ac:dyDescent="0.15">
      <c r="A155" s="11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</row>
    <row r="156" spans="1:200" x14ac:dyDescent="0.15">
      <c r="A156" s="11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</row>
    <row r="157" spans="1:200" x14ac:dyDescent="0.15">
      <c r="A157" s="11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</row>
    <row r="158" spans="1:200" x14ac:dyDescent="0.15">
      <c r="A158" s="11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</row>
    <row r="159" spans="1:200" x14ac:dyDescent="0.15">
      <c r="A159" s="11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</row>
    <row r="160" spans="1:200" x14ac:dyDescent="0.15">
      <c r="A160" s="11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</row>
    <row r="161" spans="1:200" x14ac:dyDescent="0.15">
      <c r="A161" s="1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</row>
    <row r="162" spans="1:200" x14ac:dyDescent="0.15">
      <c r="A162" s="11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</row>
    <row r="163" spans="1:200" x14ac:dyDescent="0.15">
      <c r="A163" s="11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</row>
    <row r="164" spans="1:200" x14ac:dyDescent="0.15">
      <c r="A164" s="11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</row>
    <row r="165" spans="1:200" x14ac:dyDescent="0.15">
      <c r="A165" s="11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</row>
    <row r="166" spans="1:200" x14ac:dyDescent="0.15">
      <c r="A166" s="11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</row>
    <row r="167" spans="1:200" x14ac:dyDescent="0.15">
      <c r="A167" s="11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</row>
    <row r="168" spans="1:200" x14ac:dyDescent="0.15">
      <c r="A168" s="11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</row>
    <row r="169" spans="1:200" x14ac:dyDescent="0.15">
      <c r="A169" s="11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</row>
    <row r="170" spans="1:200" x14ac:dyDescent="0.15">
      <c r="A170" s="11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</row>
    <row r="171" spans="1:200" x14ac:dyDescent="0.15">
      <c r="A171" s="1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</row>
    <row r="172" spans="1:200" x14ac:dyDescent="0.15">
      <c r="A172" s="11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</row>
    <row r="173" spans="1:200" x14ac:dyDescent="0.15">
      <c r="A173" s="11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</row>
    <row r="174" spans="1:200" x14ac:dyDescent="0.15">
      <c r="A174" s="11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</row>
    <row r="175" spans="1:200" x14ac:dyDescent="0.15">
      <c r="A175" s="11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</row>
    <row r="176" spans="1:200" x14ac:dyDescent="0.15">
      <c r="A176" s="11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</row>
    <row r="177" spans="1:200" x14ac:dyDescent="0.15">
      <c r="A177" s="11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</row>
    <row r="178" spans="1:200" x14ac:dyDescent="0.15">
      <c r="A178" s="11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</row>
    <row r="179" spans="1:200" x14ac:dyDescent="0.15">
      <c r="A179" s="11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</row>
    <row r="180" spans="1:200" x14ac:dyDescent="0.15">
      <c r="A180" s="11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</row>
    <row r="181" spans="1:200" x14ac:dyDescent="0.15">
      <c r="A181" s="1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</row>
    <row r="182" spans="1:200" x14ac:dyDescent="0.15">
      <c r="A182" s="11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</row>
    <row r="183" spans="1:200" x14ac:dyDescent="0.15">
      <c r="A183" s="11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</row>
    <row r="184" spans="1:200" x14ac:dyDescent="0.15">
      <c r="A184" s="11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</row>
    <row r="185" spans="1:200" x14ac:dyDescent="0.15">
      <c r="A185" s="11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</row>
    <row r="186" spans="1:200" x14ac:dyDescent="0.15">
      <c r="A186" s="11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</row>
    <row r="187" spans="1:200" x14ac:dyDescent="0.15">
      <c r="A187" s="11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</row>
    <row r="188" spans="1:200" x14ac:dyDescent="0.15">
      <c r="A188" s="11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</row>
    <row r="189" spans="1:200" x14ac:dyDescent="0.15">
      <c r="A189" s="11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</row>
    <row r="190" spans="1:200" x14ac:dyDescent="0.15">
      <c r="A190" s="11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</row>
    <row r="191" spans="1:200" x14ac:dyDescent="0.15">
      <c r="A191" s="1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</row>
    <row r="192" spans="1:200" x14ac:dyDescent="0.15">
      <c r="A192" s="11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</row>
    <row r="193" spans="1:200" x14ac:dyDescent="0.15">
      <c r="A193" s="11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</row>
    <row r="194" spans="1:200" x14ac:dyDescent="0.15">
      <c r="A194" s="11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</row>
    <row r="195" spans="1:200" x14ac:dyDescent="0.15">
      <c r="A195" s="11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</row>
    <row r="196" spans="1:200" x14ac:dyDescent="0.15">
      <c r="A196" s="11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</row>
    <row r="197" spans="1:200" x14ac:dyDescent="0.15">
      <c r="A197" s="11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</row>
    <row r="198" spans="1:200" x14ac:dyDescent="0.15">
      <c r="A198" s="11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</row>
    <row r="199" spans="1:200" x14ac:dyDescent="0.15">
      <c r="A199" s="11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</row>
    <row r="200" spans="1:200" x14ac:dyDescent="0.15">
      <c r="A200" s="11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</row>
    <row r="201" spans="1:200" x14ac:dyDescent="0.15">
      <c r="A201" s="1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</row>
    <row r="202" spans="1:200" x14ac:dyDescent="0.15">
      <c r="A202" s="11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</row>
    <row r="203" spans="1:200" x14ac:dyDescent="0.15">
      <c r="A203" s="11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</row>
    <row r="204" spans="1:200" x14ac:dyDescent="0.15">
      <c r="A204" s="11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</row>
    <row r="205" spans="1:200" x14ac:dyDescent="0.15">
      <c r="A205" s="11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</row>
    <row r="206" spans="1:200" x14ac:dyDescent="0.15">
      <c r="A206" s="11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</row>
    <row r="207" spans="1:200" x14ac:dyDescent="0.15">
      <c r="A207" s="11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</row>
    <row r="208" spans="1:200" x14ac:dyDescent="0.15">
      <c r="A208" s="11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</row>
    <row r="209" spans="1:200" x14ac:dyDescent="0.15">
      <c r="A209" s="11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</row>
    <row r="210" spans="1:200" x14ac:dyDescent="0.15">
      <c r="A210" s="11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</row>
    <row r="211" spans="1:200" x14ac:dyDescent="0.15">
      <c r="A211" s="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</row>
    <row r="212" spans="1:200" x14ac:dyDescent="0.15">
      <c r="A212" s="11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</row>
    <row r="213" spans="1:200" x14ac:dyDescent="0.15">
      <c r="A213" s="11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</row>
    <row r="214" spans="1:200" x14ac:dyDescent="0.15">
      <c r="A214" s="11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</row>
    <row r="215" spans="1:200" x14ac:dyDescent="0.15">
      <c r="A215" s="11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</row>
    <row r="216" spans="1:200" x14ac:dyDescent="0.15">
      <c r="A216" s="11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</row>
    <row r="217" spans="1:200" x14ac:dyDescent="0.15">
      <c r="A217" s="11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</row>
    <row r="218" spans="1:200" x14ac:dyDescent="0.15">
      <c r="A218" s="11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</row>
    <row r="219" spans="1:200" x14ac:dyDescent="0.15">
      <c r="A219" s="11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</row>
    <row r="220" spans="1:200" x14ac:dyDescent="0.15">
      <c r="A220" s="11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</row>
    <row r="221" spans="1:200" x14ac:dyDescent="0.15">
      <c r="A221" s="1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</row>
    <row r="222" spans="1:200" x14ac:dyDescent="0.15">
      <c r="A222" s="11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</row>
    <row r="223" spans="1:200" x14ac:dyDescent="0.15">
      <c r="A223" s="11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</row>
    <row r="224" spans="1:200" x14ac:dyDescent="0.15">
      <c r="A224" s="11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</row>
    <row r="225" spans="1:200" x14ac:dyDescent="0.15">
      <c r="A225" s="11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</row>
    <row r="226" spans="1:200" x14ac:dyDescent="0.15">
      <c r="A226" s="11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</row>
    <row r="227" spans="1:200" x14ac:dyDescent="0.15">
      <c r="A227" s="11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</row>
    <row r="228" spans="1:200" x14ac:dyDescent="0.15">
      <c r="A228" s="11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</row>
    <row r="229" spans="1:200" x14ac:dyDescent="0.15">
      <c r="A229" s="11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</row>
    <row r="230" spans="1:200" x14ac:dyDescent="0.15">
      <c r="A230" s="11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</row>
    <row r="231" spans="1:200" x14ac:dyDescent="0.15">
      <c r="A231" s="1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</row>
    <row r="232" spans="1:200" x14ac:dyDescent="0.15">
      <c r="A232" s="11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</row>
    <row r="233" spans="1:200" x14ac:dyDescent="0.15">
      <c r="A233" s="11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</row>
    <row r="234" spans="1:200" x14ac:dyDescent="0.15">
      <c r="A234" s="11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</row>
    <row r="235" spans="1:200" x14ac:dyDescent="0.15">
      <c r="A235" s="11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</row>
    <row r="236" spans="1:200" x14ac:dyDescent="0.15">
      <c r="A236" s="11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</row>
    <row r="237" spans="1:200" x14ac:dyDescent="0.15">
      <c r="A237" s="11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</row>
    <row r="238" spans="1:200" x14ac:dyDescent="0.15">
      <c r="A238" s="11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</row>
    <row r="239" spans="1:200" x14ac:dyDescent="0.15">
      <c r="A239" s="11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</row>
    <row r="240" spans="1:200" x14ac:dyDescent="0.15">
      <c r="A240" s="11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</row>
    <row r="241" spans="1:200" x14ac:dyDescent="0.15">
      <c r="A241" s="1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</row>
    <row r="242" spans="1:200" x14ac:dyDescent="0.15">
      <c r="A242" s="11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</row>
    <row r="243" spans="1:200" x14ac:dyDescent="0.15">
      <c r="A243" s="11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</row>
    <row r="244" spans="1:200" x14ac:dyDescent="0.15">
      <c r="A244" s="11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</row>
    <row r="245" spans="1:200" x14ac:dyDescent="0.15">
      <c r="A245" s="11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</row>
    <row r="246" spans="1:200" x14ac:dyDescent="0.15">
      <c r="A246" s="11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</row>
    <row r="247" spans="1:200" x14ac:dyDescent="0.15">
      <c r="A247" s="11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</row>
    <row r="248" spans="1:200" x14ac:dyDescent="0.15">
      <c r="A248" s="11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</row>
    <row r="249" spans="1:200" x14ac:dyDescent="0.15">
      <c r="A249" s="11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</row>
    <row r="250" spans="1:200" x14ac:dyDescent="0.15">
      <c r="A250" s="11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</row>
    <row r="251" spans="1:200" x14ac:dyDescent="0.15">
      <c r="A251" s="1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200" x14ac:dyDescent="0.15">
      <c r="A252" s="11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200" x14ac:dyDescent="0.15">
      <c r="A253" s="11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200" x14ac:dyDescent="0.15">
      <c r="A254" s="11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200" x14ac:dyDescent="0.15">
      <c r="A255" s="11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200" x14ac:dyDescent="0.15">
      <c r="A256" s="11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:30" x14ac:dyDescent="0.15">
      <c r="A257" s="11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:30" x14ac:dyDescent="0.15">
      <c r="A258" s="11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:30" x14ac:dyDescent="0.15">
      <c r="A259" s="11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:30" x14ac:dyDescent="0.15">
      <c r="A260" s="11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1:30" x14ac:dyDescent="0.15">
      <c r="A261" s="1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1:30" x14ac:dyDescent="0.15">
      <c r="A262" s="11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1:30" x14ac:dyDescent="0.15">
      <c r="A263" s="11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1:30" x14ac:dyDescent="0.15">
      <c r="A264" s="11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1:30" x14ac:dyDescent="0.15">
      <c r="A265" s="11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1:30" x14ac:dyDescent="0.15">
      <c r="A266" s="11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1:30" x14ac:dyDescent="0.15">
      <c r="A267" s="11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1:30" x14ac:dyDescent="0.15">
      <c r="A268" s="11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1:30" x14ac:dyDescent="0.15">
      <c r="A269" s="11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1:30" x14ac:dyDescent="0.15">
      <c r="A270" s="11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1:30" x14ac:dyDescent="0.15">
      <c r="A271" s="1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1:30" x14ac:dyDescent="0.15">
      <c r="A272" s="11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1:30" x14ac:dyDescent="0.15">
      <c r="A273" s="11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1:30" x14ac:dyDescent="0.15">
      <c r="A274" s="11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1:30" x14ac:dyDescent="0.15">
      <c r="A275" s="11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1:30" x14ac:dyDescent="0.15">
      <c r="A276" s="11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1:30" x14ac:dyDescent="0.15">
      <c r="A277" s="11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1:30" x14ac:dyDescent="0.15">
      <c r="A278" s="11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1:30" x14ac:dyDescent="0.15">
      <c r="A279" s="11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1:30" x14ac:dyDescent="0.15">
      <c r="A280" s="11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1:30" x14ac:dyDescent="0.15">
      <c r="A281" s="1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1:30" x14ac:dyDescent="0.15">
      <c r="A282" s="11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1:30" x14ac:dyDescent="0.15">
      <c r="A283" s="11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1:30" x14ac:dyDescent="0.15">
      <c r="A284" s="11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1:30" x14ac:dyDescent="0.15">
      <c r="A285" s="11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1:30" x14ac:dyDescent="0.15">
      <c r="A286" s="11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1:30" x14ac:dyDescent="0.15">
      <c r="A287" s="11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1:30" x14ac:dyDescent="0.15">
      <c r="A288" s="11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1:30" x14ac:dyDescent="0.15">
      <c r="A289" s="11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1:30" x14ac:dyDescent="0.15">
      <c r="A290" s="11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1:30" x14ac:dyDescent="0.15">
      <c r="A291" s="1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1:30" x14ac:dyDescent="0.15">
      <c r="A292" s="11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1:30" x14ac:dyDescent="0.15">
      <c r="A293" s="11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1:30" x14ac:dyDescent="0.15">
      <c r="A294" s="11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1:30" x14ac:dyDescent="0.15">
      <c r="A295" s="11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1:30" x14ac:dyDescent="0.15">
      <c r="A296" s="1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1:30" x14ac:dyDescent="0.15">
      <c r="A297" s="1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1:30" x14ac:dyDescent="0.15">
      <c r="A298" s="11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1:30" x14ac:dyDescent="0.15">
      <c r="A299" s="11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1:30" x14ac:dyDescent="0.15">
      <c r="A300" s="11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1:30" x14ac:dyDescent="0.15">
      <c r="A301" s="1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1:30" x14ac:dyDescent="0.15">
      <c r="A302" s="11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1:30" x14ac:dyDescent="0.15">
      <c r="A303" s="11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1:30" x14ac:dyDescent="0.15">
      <c r="A304" s="11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1:30" x14ac:dyDescent="0.15">
      <c r="A305" s="11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1:30" x14ac:dyDescent="0.15">
      <c r="A306" s="11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1:30" x14ac:dyDescent="0.15">
      <c r="A307" s="11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1:30" x14ac:dyDescent="0.15">
      <c r="A308" s="11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1:30" x14ac:dyDescent="0.15">
      <c r="A309" s="11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1:30" x14ac:dyDescent="0.15">
      <c r="A310" s="11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1:30" x14ac:dyDescent="0.15">
      <c r="A311" s="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1:30" x14ac:dyDescent="0.15">
      <c r="A312" s="11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1:30" x14ac:dyDescent="0.15">
      <c r="A313" s="11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1:30" x14ac:dyDescent="0.15">
      <c r="A314" s="11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1:30" x14ac:dyDescent="0.15">
      <c r="A315" s="11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1:30" x14ac:dyDescent="0.15">
      <c r="A316" s="11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1:30" x14ac:dyDescent="0.15">
      <c r="A317" s="11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1:30" x14ac:dyDescent="0.15">
      <c r="A318" s="11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1:30" x14ac:dyDescent="0.15">
      <c r="A319" s="11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1:30" x14ac:dyDescent="0.15">
      <c r="A320" s="11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1:30" x14ac:dyDescent="0.15">
      <c r="A321" s="1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1:30" x14ac:dyDescent="0.15">
      <c r="A322" s="11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1:30" x14ac:dyDescent="0.15">
      <c r="A323" s="11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1:30" x14ac:dyDescent="0.15">
      <c r="A324" s="11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1:30" x14ac:dyDescent="0.15">
      <c r="A325" s="11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1:30" x14ac:dyDescent="0.15">
      <c r="A326" s="11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1:30" x14ac:dyDescent="0.15">
      <c r="A327" s="11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1:30" x14ac:dyDescent="0.15">
      <c r="A328" s="11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1:30" x14ac:dyDescent="0.15">
      <c r="A329" s="1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1:30" x14ac:dyDescent="0.15">
      <c r="A330" s="1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1:30" x14ac:dyDescent="0.15">
      <c r="A331" s="1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1:30" x14ac:dyDescent="0.15">
      <c r="A332" s="1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1:30" x14ac:dyDescent="0.15">
      <c r="A333" s="1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1:30" x14ac:dyDescent="0.15">
      <c r="A334" s="1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1:30" x14ac:dyDescent="0.15">
      <c r="A335" s="1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1:30" x14ac:dyDescent="0.15">
      <c r="A336" s="1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1:30" x14ac:dyDescent="0.15">
      <c r="A337" s="1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1:30" x14ac:dyDescent="0.15">
      <c r="A338" s="11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1:30" x14ac:dyDescent="0.15">
      <c r="A339" s="1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1:30" x14ac:dyDescent="0.15">
      <c r="A340" s="1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1:30" x14ac:dyDescent="0.15">
      <c r="A341" s="1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1:30" x14ac:dyDescent="0.15">
      <c r="A342" s="1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1:30" x14ac:dyDescent="0.15">
      <c r="A343" s="1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1:30" x14ac:dyDescent="0.15">
      <c r="A344" s="1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1:30" x14ac:dyDescent="0.15">
      <c r="A345" s="1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1:30" x14ac:dyDescent="0.15">
      <c r="A346" s="1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1:30" x14ac:dyDescent="0.15">
      <c r="A347" s="1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1:30" x14ac:dyDescent="0.15">
      <c r="A348" s="11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1:30" x14ac:dyDescent="0.15">
      <c r="A349" s="11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1:30" x14ac:dyDescent="0.15">
      <c r="A350" s="11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1:30" x14ac:dyDescent="0.15">
      <c r="A351" s="1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1:30" x14ac:dyDescent="0.15">
      <c r="A352" s="11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1:30" x14ac:dyDescent="0.15">
      <c r="A353" s="11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1:30" x14ac:dyDescent="0.15">
      <c r="A354" s="11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1:30" x14ac:dyDescent="0.15">
      <c r="A355" s="11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1:30" x14ac:dyDescent="0.15">
      <c r="A356" s="11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1:30" x14ac:dyDescent="0.15">
      <c r="A357" s="11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1:30" x14ac:dyDescent="0.15">
      <c r="A358" s="11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1:30" x14ac:dyDescent="0.15">
      <c r="A359" s="11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1:30" x14ac:dyDescent="0.15">
      <c r="A360" s="11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1:30" x14ac:dyDescent="0.15">
      <c r="A361" s="1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1:30" x14ac:dyDescent="0.15">
      <c r="A362" s="11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1:30" x14ac:dyDescent="0.15">
      <c r="A363" s="11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1:30" x14ac:dyDescent="0.15">
      <c r="A364" s="11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1:30" x14ac:dyDescent="0.15">
      <c r="A365" s="11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1:30" x14ac:dyDescent="0.15">
      <c r="A366" s="11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1:30" x14ac:dyDescent="0.15">
      <c r="A367" s="11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1:30" x14ac:dyDescent="0.15">
      <c r="A368" s="11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1:30" x14ac:dyDescent="0.15">
      <c r="A369" s="11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1:30" x14ac:dyDescent="0.15">
      <c r="A370" s="11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1:30" x14ac:dyDescent="0.15">
      <c r="A371" s="1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1:30" x14ac:dyDescent="0.15">
      <c r="A372" s="11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1:30" x14ac:dyDescent="0.15">
      <c r="A373" s="11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1:30" x14ac:dyDescent="0.15">
      <c r="A374" s="11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1:30" x14ac:dyDescent="0.15">
      <c r="A375" s="11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1:30" x14ac:dyDescent="0.15">
      <c r="A376" s="11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1:30" x14ac:dyDescent="0.15">
      <c r="A377" s="11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1:30" x14ac:dyDescent="0.15">
      <c r="A378" s="11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1:30" x14ac:dyDescent="0.15">
      <c r="A379" s="11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1:30" x14ac:dyDescent="0.15">
      <c r="A380" s="11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1:30" x14ac:dyDescent="0.15">
      <c r="A381" s="1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1:30" x14ac:dyDescent="0.15">
      <c r="A382" s="11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1:30" x14ac:dyDescent="0.15">
      <c r="A383" s="11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1:30" x14ac:dyDescent="0.15">
      <c r="A384" s="11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1:30" x14ac:dyDescent="0.15">
      <c r="A385" s="11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1:30" x14ac:dyDescent="0.15">
      <c r="A386" s="11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1:30" x14ac:dyDescent="0.15">
      <c r="A387" s="11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1:30" x14ac:dyDescent="0.15">
      <c r="A388" s="11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1:30" x14ac:dyDescent="0.15">
      <c r="A389" s="11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1:30" x14ac:dyDescent="0.15">
      <c r="A390" s="11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1:30" x14ac:dyDescent="0.15">
      <c r="A391" s="1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1:30" x14ac:dyDescent="0.15">
      <c r="A392" s="11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1:30" x14ac:dyDescent="0.15">
      <c r="A393" s="11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1:30" x14ac:dyDescent="0.15">
      <c r="A394" s="11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1:30" x14ac:dyDescent="0.15">
      <c r="A395" s="11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1:30" x14ac:dyDescent="0.15">
      <c r="A396" s="11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1:30" x14ac:dyDescent="0.15">
      <c r="A397" s="11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1:30" x14ac:dyDescent="0.15">
      <c r="A398" s="11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1:30" x14ac:dyDescent="0.15">
      <c r="A399" s="11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1:30" x14ac:dyDescent="0.15">
      <c r="A400" s="11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1:30" x14ac:dyDescent="0.15">
      <c r="A401" s="1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1:30" x14ac:dyDescent="0.15">
      <c r="A402" s="11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1:30" x14ac:dyDescent="0.15">
      <c r="A403" s="11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1:30" x14ac:dyDescent="0.15">
      <c r="A404" s="11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1:30" x14ac:dyDescent="0.15">
      <c r="A405" s="11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1:30" x14ac:dyDescent="0.15">
      <c r="A406" s="11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1:30" x14ac:dyDescent="0.15">
      <c r="A407" s="11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1:30" x14ac:dyDescent="0.15">
      <c r="A408" s="11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1:30" x14ac:dyDescent="0.15">
      <c r="A409" s="11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1:30" x14ac:dyDescent="0.15">
      <c r="A410" s="11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1:30" x14ac:dyDescent="0.15">
      <c r="A411" s="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1:30" x14ac:dyDescent="0.15">
      <c r="A412" s="11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1:30" x14ac:dyDescent="0.15">
      <c r="A413" s="11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1:30" x14ac:dyDescent="0.15">
      <c r="A414" s="11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1:30" x14ac:dyDescent="0.15">
      <c r="A415" s="11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1:30" x14ac:dyDescent="0.15">
      <c r="A416" s="11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1:30" x14ac:dyDescent="0.15">
      <c r="A417" s="11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1:30" x14ac:dyDescent="0.15">
      <c r="A418" s="11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1:30" x14ac:dyDescent="0.15">
      <c r="A419" s="11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1:30" x14ac:dyDescent="0.15">
      <c r="A420" s="11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1:30" x14ac:dyDescent="0.15">
      <c r="A421" s="1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1:30" x14ac:dyDescent="0.15">
      <c r="A422" s="11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1:30" x14ac:dyDescent="0.15">
      <c r="A423" s="11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1:30" x14ac:dyDescent="0.15">
      <c r="A424" s="11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1:30" x14ac:dyDescent="0.15">
      <c r="A425" s="11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1:30" x14ac:dyDescent="0.15">
      <c r="A426" s="11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1:30" x14ac:dyDescent="0.15">
      <c r="A427" s="11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1:30" x14ac:dyDescent="0.15">
      <c r="A428" s="11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1:30" x14ac:dyDescent="0.15">
      <c r="A429" s="11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1:30" x14ac:dyDescent="0.15">
      <c r="A430" s="11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1:30" x14ac:dyDescent="0.15">
      <c r="A431" s="1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1:30" x14ac:dyDescent="0.15">
      <c r="A432" s="11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1:30" x14ac:dyDescent="0.15">
      <c r="A433" s="11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1:30" x14ac:dyDescent="0.15">
      <c r="A434" s="11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1:30" x14ac:dyDescent="0.15">
      <c r="A435" s="11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1:30" x14ac:dyDescent="0.15">
      <c r="A436" s="11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1:30" x14ac:dyDescent="0.15">
      <c r="A437" s="11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1:30" x14ac:dyDescent="0.15">
      <c r="A438" s="11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1:30" x14ac:dyDescent="0.15">
      <c r="A439" s="11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1:30" x14ac:dyDescent="0.15">
      <c r="A440" s="11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1:30" x14ac:dyDescent="0.15">
      <c r="A441" s="1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1:30" x14ac:dyDescent="0.15">
      <c r="A442" s="11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1:30" x14ac:dyDescent="0.15">
      <c r="A443" s="11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1:30" x14ac:dyDescent="0.15">
      <c r="A444" s="11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1:30" x14ac:dyDescent="0.15">
      <c r="A445" s="11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1:30" x14ac:dyDescent="0.15">
      <c r="A446" s="11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1:30" x14ac:dyDescent="0.15">
      <c r="A447" s="11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1:30" x14ac:dyDescent="0.15">
      <c r="A448" s="11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1:30" x14ac:dyDescent="0.15">
      <c r="A449" s="11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1:30" x14ac:dyDescent="0.15">
      <c r="A450" s="11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1:30" x14ac:dyDescent="0.15">
      <c r="A451" s="1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1:30" x14ac:dyDescent="0.15">
      <c r="A452" s="11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1:30" x14ac:dyDescent="0.15">
      <c r="A453" s="11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1:30" x14ac:dyDescent="0.15">
      <c r="A454" s="11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1:30" x14ac:dyDescent="0.15">
      <c r="A455" s="11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1:30" x14ac:dyDescent="0.15">
      <c r="A456" s="11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1:30" x14ac:dyDescent="0.15">
      <c r="A457" s="11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1:30" x14ac:dyDescent="0.15">
      <c r="A458" s="11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1:30" x14ac:dyDescent="0.15">
      <c r="A459" s="11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1:30" x14ac:dyDescent="0.15">
      <c r="A460" s="11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1:30" x14ac:dyDescent="0.15">
      <c r="A461" s="1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1:30" x14ac:dyDescent="0.15">
      <c r="A462" s="11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1:30" x14ac:dyDescent="0.15">
      <c r="A463" s="11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1:30" x14ac:dyDescent="0.15">
      <c r="A464" s="11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1:30" x14ac:dyDescent="0.15">
      <c r="A465" s="11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1:30" x14ac:dyDescent="0.15">
      <c r="A466" s="11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1:30" x14ac:dyDescent="0.15">
      <c r="A467" s="11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1:30" x14ac:dyDescent="0.15">
      <c r="A468" s="11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1:30" x14ac:dyDescent="0.15">
      <c r="A469" s="11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1:30" x14ac:dyDescent="0.15">
      <c r="A470" s="11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1:30" x14ac:dyDescent="0.15">
      <c r="A471" s="1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1:30" x14ac:dyDescent="0.15">
      <c r="A472" s="11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1:30" x14ac:dyDescent="0.15">
      <c r="A473" s="11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1:30" x14ac:dyDescent="0.15">
      <c r="A474" s="11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1:30" x14ac:dyDescent="0.15">
      <c r="A475" s="11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1:30" x14ac:dyDescent="0.15">
      <c r="A476" s="11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1:30" x14ac:dyDescent="0.15">
      <c r="A477" s="11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1:30" x14ac:dyDescent="0.15">
      <c r="A478" s="11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1:30" x14ac:dyDescent="0.15">
      <c r="A479" s="11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1:30" x14ac:dyDescent="0.15">
      <c r="A480" s="11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1:30" x14ac:dyDescent="0.15">
      <c r="A481" s="1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1:30" x14ac:dyDescent="0.15">
      <c r="A482" s="11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1:30" x14ac:dyDescent="0.15">
      <c r="A483" s="11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1:30" x14ac:dyDescent="0.15">
      <c r="A484" s="11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1:30" x14ac:dyDescent="0.15">
      <c r="A485" s="11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1:30" x14ac:dyDescent="0.15">
      <c r="A486" s="11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1:30" x14ac:dyDescent="0.15">
      <c r="A487" s="11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1:30" x14ac:dyDescent="0.15">
      <c r="A488" s="11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1:30" x14ac:dyDescent="0.15">
      <c r="A489" s="11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1:30" x14ac:dyDescent="0.15">
      <c r="A490" s="11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1:30" x14ac:dyDescent="0.15">
      <c r="A491" s="1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1:30" x14ac:dyDescent="0.15">
      <c r="A492" s="11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1:30" x14ac:dyDescent="0.15">
      <c r="A493" s="11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1:30" x14ac:dyDescent="0.15">
      <c r="A494" s="11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1:30" x14ac:dyDescent="0.15">
      <c r="A495" s="11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1:30" x14ac:dyDescent="0.15">
      <c r="A496" s="11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1:30" x14ac:dyDescent="0.15">
      <c r="A497" s="11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1:30" x14ac:dyDescent="0.15">
      <c r="A498" s="11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1:30" x14ac:dyDescent="0.15">
      <c r="A499" s="11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1:30" x14ac:dyDescent="0.15">
      <c r="A500" s="11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1:30" x14ac:dyDescent="0.15">
      <c r="A501" s="1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1:30" x14ac:dyDescent="0.15">
      <c r="A502" s="11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1:30" x14ac:dyDescent="0.15">
      <c r="A503" s="11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1:30" x14ac:dyDescent="0.15">
      <c r="A504" s="11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1:30" x14ac:dyDescent="0.15">
      <c r="A505" s="11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1:30" x14ac:dyDescent="0.15">
      <c r="A506" s="11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1:30" x14ac:dyDescent="0.15">
      <c r="A507" s="11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1:30" x14ac:dyDescent="0.15">
      <c r="A508" s="11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1:30" x14ac:dyDescent="0.15">
      <c r="A509" s="11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1:30" x14ac:dyDescent="0.15">
      <c r="A510" s="11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1:30" x14ac:dyDescent="0.15">
      <c r="A511" s="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1:30" x14ac:dyDescent="0.15">
      <c r="A512" s="11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1:30" x14ac:dyDescent="0.15">
      <c r="A513" s="11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1:30" x14ac:dyDescent="0.15">
      <c r="A514" s="11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1:30" x14ac:dyDescent="0.15">
      <c r="A515" s="11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 x14ac:dyDescent="0.15">
      <c r="A516" s="11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 x14ac:dyDescent="0.15">
      <c r="A517" s="11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 x14ac:dyDescent="0.15">
      <c r="A518" s="11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 x14ac:dyDescent="0.15">
      <c r="A519" s="11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 x14ac:dyDescent="0.15">
      <c r="A520" s="11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 x14ac:dyDescent="0.15">
      <c r="A521" s="1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1:30" x14ac:dyDescent="0.15">
      <c r="A522" s="11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1:30" x14ac:dyDescent="0.15">
      <c r="A523" s="11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1:30" x14ac:dyDescent="0.15">
      <c r="A524" s="11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1:30" x14ac:dyDescent="0.15">
      <c r="A525" s="11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1:30" x14ac:dyDescent="0.15">
      <c r="A526" s="11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1:30" x14ac:dyDescent="0.15">
      <c r="A527" s="11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1:30" x14ac:dyDescent="0.15">
      <c r="A528" s="11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1:30" x14ac:dyDescent="0.15">
      <c r="A529" s="11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1:30" x14ac:dyDescent="0.15">
      <c r="A530" s="11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1:30" x14ac:dyDescent="0.15">
      <c r="A531" s="1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1:30" x14ac:dyDescent="0.15">
      <c r="A532" s="11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1:30" x14ac:dyDescent="0.15">
      <c r="A533" s="11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1:30" x14ac:dyDescent="0.15">
      <c r="A534" s="11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1:30" x14ac:dyDescent="0.15">
      <c r="A535" s="11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1:30" x14ac:dyDescent="0.15">
      <c r="A536" s="11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1:30" x14ac:dyDescent="0.15">
      <c r="A537" s="11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1:30" x14ac:dyDescent="0.15">
      <c r="A538" s="11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1:30" x14ac:dyDescent="0.15">
      <c r="A539" s="11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1:30" x14ac:dyDescent="0.15">
      <c r="A540" s="11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1:30" x14ac:dyDescent="0.15">
      <c r="A541" s="1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1:30" x14ac:dyDescent="0.15">
      <c r="A542" s="11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1:30" x14ac:dyDescent="0.15">
      <c r="A543" s="11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1:30" x14ac:dyDescent="0.15">
      <c r="A544" s="11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1:30" x14ac:dyDescent="0.15">
      <c r="A545" s="11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1:30" x14ac:dyDescent="0.15">
      <c r="A546" s="11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1:30" x14ac:dyDescent="0.15">
      <c r="A547" s="11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1:30" x14ac:dyDescent="0.15">
      <c r="A548" s="11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1:30" x14ac:dyDescent="0.15">
      <c r="A549" s="11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1:30" x14ac:dyDescent="0.15">
      <c r="A550" s="11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1:30" x14ac:dyDescent="0.15">
      <c r="A551" s="1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1:30" x14ac:dyDescent="0.15">
      <c r="A552" s="11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1:30" x14ac:dyDescent="0.15">
      <c r="A553" s="11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1:30" x14ac:dyDescent="0.15">
      <c r="A554" s="11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1:30" x14ac:dyDescent="0.15">
      <c r="A555" s="11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1:30" x14ac:dyDescent="0.15">
      <c r="A556" s="11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1:30" x14ac:dyDescent="0.15">
      <c r="A557" s="11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1:30" x14ac:dyDescent="0.15">
      <c r="A558" s="11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1:30" x14ac:dyDescent="0.15">
      <c r="A559" s="11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1:30" x14ac:dyDescent="0.15">
      <c r="A560" s="11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1:30" x14ac:dyDescent="0.15">
      <c r="A561" s="1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1:30" x14ac:dyDescent="0.15">
      <c r="A562" s="11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1:30" x14ac:dyDescent="0.15">
      <c r="A563" s="11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1:30" x14ac:dyDescent="0.15">
      <c r="A564" s="11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1:30" x14ac:dyDescent="0.15">
      <c r="A565" s="11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1:30" x14ac:dyDescent="0.15">
      <c r="A566" s="11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1:30" x14ac:dyDescent="0.15">
      <c r="A567" s="11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1:30" x14ac:dyDescent="0.15">
      <c r="A568" s="11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1:30" x14ac:dyDescent="0.15">
      <c r="A569" s="11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1:30" x14ac:dyDescent="0.15">
      <c r="A570" s="11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1:30" x14ac:dyDescent="0.15">
      <c r="A571" s="1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1:30" x14ac:dyDescent="0.15">
      <c r="A572" s="11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1:30" x14ac:dyDescent="0.15">
      <c r="A573" s="11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1:30" x14ac:dyDescent="0.15">
      <c r="A574" s="11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1:30" x14ac:dyDescent="0.15">
      <c r="A575" s="11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1:30" x14ac:dyDescent="0.15">
      <c r="A576" s="11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1:30" x14ac:dyDescent="0.15">
      <c r="A577" s="11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1:30" x14ac:dyDescent="0.15">
      <c r="A578" s="11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1:30" x14ac:dyDescent="0.15">
      <c r="A579" s="11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1:30" x14ac:dyDescent="0.15">
      <c r="A580" s="11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1:30" x14ac:dyDescent="0.15">
      <c r="A581" s="1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1:30" x14ac:dyDescent="0.15">
      <c r="A582" s="11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1:30" x14ac:dyDescent="0.15">
      <c r="A583" s="11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1:30" x14ac:dyDescent="0.15">
      <c r="A584" s="11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1:30" x14ac:dyDescent="0.15">
      <c r="A585" s="11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1:30" x14ac:dyDescent="0.15">
      <c r="A586" s="11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1:30" x14ac:dyDescent="0.15">
      <c r="A587" s="11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1:30" x14ac:dyDescent="0.15">
      <c r="A588" s="11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1:30" x14ac:dyDescent="0.15">
      <c r="A589" s="11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1:30" x14ac:dyDescent="0.15">
      <c r="A590" s="11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1:30" x14ac:dyDescent="0.15">
      <c r="A591" s="1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1:30" x14ac:dyDescent="0.15">
      <c r="A592" s="11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1:30" x14ac:dyDescent="0.15">
      <c r="A593" s="11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1:30" x14ac:dyDescent="0.15">
      <c r="A594" s="11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1:30" x14ac:dyDescent="0.15">
      <c r="A595" s="11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1:30" x14ac:dyDescent="0.15">
      <c r="A596" s="11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1:30" x14ac:dyDescent="0.15">
      <c r="A597" s="11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1:30" x14ac:dyDescent="0.15">
      <c r="A598" s="11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1:30" x14ac:dyDescent="0.15">
      <c r="A599" s="11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1:30" x14ac:dyDescent="0.15">
      <c r="A600" s="11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1:30" x14ac:dyDescent="0.15">
      <c r="A601" s="1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1:30" x14ac:dyDescent="0.15">
      <c r="A602" s="11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1:30" x14ac:dyDescent="0.15">
      <c r="A603" s="11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1:30" x14ac:dyDescent="0.15">
      <c r="A604" s="11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1:30" x14ac:dyDescent="0.15">
      <c r="A605" s="11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1:30" x14ac:dyDescent="0.15">
      <c r="A606" s="11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1:30" x14ac:dyDescent="0.15">
      <c r="A607" s="11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1:30" x14ac:dyDescent="0.15">
      <c r="A608" s="11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1:30" x14ac:dyDescent="0.15">
      <c r="A609" s="11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1:30" x14ac:dyDescent="0.15">
      <c r="A610" s="11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1:30" x14ac:dyDescent="0.15">
      <c r="A611" s="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1:30" x14ac:dyDescent="0.15">
      <c r="A612" s="11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1:30" x14ac:dyDescent="0.15">
      <c r="A613" s="11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1:30" x14ac:dyDescent="0.15">
      <c r="A614" s="11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1:30" x14ac:dyDescent="0.15">
      <c r="A615" s="11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1:30" x14ac:dyDescent="0.15">
      <c r="A616" s="11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1:30" x14ac:dyDescent="0.15">
      <c r="A617" s="11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1:30" x14ac:dyDescent="0.15">
      <c r="A618" s="11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1:30" x14ac:dyDescent="0.15">
      <c r="A619" s="11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1:30" x14ac:dyDescent="0.15">
      <c r="A620" s="11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1:30" x14ac:dyDescent="0.15">
      <c r="A621" s="1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1:30" x14ac:dyDescent="0.15">
      <c r="A622" s="11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1:30" x14ac:dyDescent="0.15">
      <c r="A623" s="11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1:30" x14ac:dyDescent="0.15">
      <c r="A624" s="11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1:30" x14ac:dyDescent="0.15">
      <c r="A625" s="11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1:30" x14ac:dyDescent="0.15">
      <c r="A626" s="11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1:30" x14ac:dyDescent="0.15">
      <c r="A627" s="11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1:30" x14ac:dyDescent="0.15">
      <c r="A628" s="11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1:30" x14ac:dyDescent="0.15">
      <c r="A629" s="11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1:30" x14ac:dyDescent="0.15">
      <c r="A630" s="11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1:30" x14ac:dyDescent="0.15">
      <c r="A631" s="1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1:30" x14ac:dyDescent="0.15">
      <c r="A632" s="11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1:30" x14ac:dyDescent="0.15">
      <c r="A633" s="11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1:30" x14ac:dyDescent="0.15">
      <c r="A634" s="11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1:30" x14ac:dyDescent="0.15">
      <c r="A635" s="11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1:30" x14ac:dyDescent="0.15">
      <c r="A636" s="11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1:30" x14ac:dyDescent="0.15">
      <c r="A637" s="11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1:30" x14ac:dyDescent="0.15">
      <c r="A638" s="11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1:30" x14ac:dyDescent="0.15">
      <c r="A639" s="11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1:30" x14ac:dyDescent="0.15">
      <c r="A640" s="11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1:30" x14ac:dyDescent="0.15">
      <c r="A641" s="1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1:30" x14ac:dyDescent="0.15">
      <c r="A642" s="11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1:30" x14ac:dyDescent="0.15">
      <c r="A643" s="11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1:30" x14ac:dyDescent="0.15">
      <c r="A644" s="11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1:30" x14ac:dyDescent="0.15">
      <c r="A645" s="11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1:30" x14ac:dyDescent="0.15">
      <c r="A646" s="11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1:30" x14ac:dyDescent="0.15">
      <c r="A647" s="11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1:30" x14ac:dyDescent="0.15">
      <c r="A648" s="11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1:30" x14ac:dyDescent="0.15">
      <c r="A649" s="11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1:30" x14ac:dyDescent="0.15">
      <c r="A650" s="11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1:30" x14ac:dyDescent="0.15">
      <c r="A651" s="1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1:30" x14ac:dyDescent="0.15">
      <c r="A652" s="11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1:30" x14ac:dyDescent="0.15">
      <c r="A653" s="11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1:30" x14ac:dyDescent="0.15">
      <c r="A654" s="11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1:30" x14ac:dyDescent="0.15">
      <c r="A655" s="11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1:30" x14ac:dyDescent="0.15">
      <c r="A656" s="11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1:30" x14ac:dyDescent="0.15">
      <c r="A657" s="11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1:30" x14ac:dyDescent="0.15">
      <c r="A658" s="11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1:30" x14ac:dyDescent="0.15">
      <c r="A659" s="11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1:30" x14ac:dyDescent="0.15">
      <c r="A660" s="11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1:30" x14ac:dyDescent="0.15">
      <c r="A661" s="1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1:30" x14ac:dyDescent="0.15">
      <c r="A662" s="11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1:30" x14ac:dyDescent="0.15">
      <c r="A663" s="11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1:30" x14ac:dyDescent="0.15">
      <c r="A664" s="11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1:30" x14ac:dyDescent="0.15">
      <c r="A665" s="11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1:30" x14ac:dyDescent="0.15">
      <c r="A666" s="11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1:30" x14ac:dyDescent="0.15">
      <c r="A667" s="11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1:30" x14ac:dyDescent="0.15">
      <c r="A668" s="11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1:30" x14ac:dyDescent="0.15">
      <c r="A669" s="11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1:30" x14ac:dyDescent="0.15">
      <c r="A670" s="11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1:30" x14ac:dyDescent="0.15">
      <c r="A671" s="1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1:30" x14ac:dyDescent="0.15">
      <c r="A672" s="11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1:30" x14ac:dyDescent="0.15">
      <c r="A673" s="11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1:30" x14ac:dyDescent="0.15">
      <c r="A674" s="11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1:30" x14ac:dyDescent="0.15">
      <c r="A675" s="11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1:30" x14ac:dyDescent="0.15">
      <c r="A676" s="11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1:30" x14ac:dyDescent="0.15">
      <c r="A677" s="11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1:30" x14ac:dyDescent="0.15">
      <c r="A678" s="11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1:30" x14ac:dyDescent="0.15">
      <c r="A679" s="11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1:30" x14ac:dyDescent="0.15">
      <c r="A680" s="11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1:30" x14ac:dyDescent="0.15">
      <c r="A681" s="1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1:30" x14ac:dyDescent="0.15">
      <c r="A682" s="11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1:30" x14ac:dyDescent="0.15">
      <c r="A683" s="11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1:30" x14ac:dyDescent="0.15">
      <c r="A684" s="11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1:30" x14ac:dyDescent="0.15">
      <c r="A685" s="11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1:30" x14ac:dyDescent="0.15">
      <c r="A686" s="11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1:30" x14ac:dyDescent="0.15">
      <c r="A687" s="11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1:30" x14ac:dyDescent="0.15">
      <c r="A688" s="11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1:30" x14ac:dyDescent="0.15">
      <c r="A689" s="11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1:30" x14ac:dyDescent="0.15">
      <c r="A690" s="11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1:30" x14ac:dyDescent="0.15">
      <c r="A691" s="1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1:30" x14ac:dyDescent="0.15">
      <c r="A692" s="11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1:30" x14ac:dyDescent="0.15">
      <c r="A693" s="11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1:30" x14ac:dyDescent="0.15">
      <c r="A694" s="11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1:30" x14ac:dyDescent="0.15">
      <c r="A695" s="11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1:30" x14ac:dyDescent="0.15">
      <c r="A696" s="11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1:30" x14ac:dyDescent="0.15">
      <c r="A697" s="11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1:30" x14ac:dyDescent="0.15">
      <c r="A698" s="11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1:30" x14ac:dyDescent="0.15">
      <c r="A699" s="11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1:30" x14ac:dyDescent="0.15">
      <c r="A700" s="11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1:30" x14ac:dyDescent="0.15">
      <c r="A701" s="1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1:30" x14ac:dyDescent="0.15">
      <c r="A702" s="11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1:30" x14ac:dyDescent="0.15">
      <c r="A703" s="11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1:30" x14ac:dyDescent="0.15">
      <c r="A704" s="11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1:30" x14ac:dyDescent="0.15">
      <c r="A705" s="11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1:30" x14ac:dyDescent="0.15">
      <c r="A706" s="11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1:30" x14ac:dyDescent="0.15">
      <c r="A707" s="11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1:30" x14ac:dyDescent="0.15">
      <c r="A708" s="11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1:30" x14ac:dyDescent="0.15">
      <c r="A709" s="11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1:30" x14ac:dyDescent="0.15">
      <c r="A710" s="11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1:30" x14ac:dyDescent="0.15">
      <c r="A711" s="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1:30" x14ac:dyDescent="0.15">
      <c r="A712" s="11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1:30" x14ac:dyDescent="0.15">
      <c r="A713" s="11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1:30" x14ac:dyDescent="0.15">
      <c r="A714" s="11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1:30" x14ac:dyDescent="0.15">
      <c r="A715" s="11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1:30" x14ac:dyDescent="0.15">
      <c r="A716" s="11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1:30" x14ac:dyDescent="0.15">
      <c r="A717" s="11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1:30" x14ac:dyDescent="0.15">
      <c r="A718" s="11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1:30" x14ac:dyDescent="0.15">
      <c r="A719" s="11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1:30" x14ac:dyDescent="0.15">
      <c r="A720" s="11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1:30" x14ac:dyDescent="0.15">
      <c r="A721" s="1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1:30" x14ac:dyDescent="0.15">
      <c r="A722" s="11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1:30" x14ac:dyDescent="0.15">
      <c r="A723" s="11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1:30" x14ac:dyDescent="0.15">
      <c r="A724" s="11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1:30" x14ac:dyDescent="0.15">
      <c r="A725" s="11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1:30" x14ac:dyDescent="0.15">
      <c r="A726" s="11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1:30" x14ac:dyDescent="0.15">
      <c r="A727" s="11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1:30" x14ac:dyDescent="0.15">
      <c r="A728" s="11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1:30" x14ac:dyDescent="0.15">
      <c r="A729" s="11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1:30" x14ac:dyDescent="0.15">
      <c r="A730" s="11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1:30" x14ac:dyDescent="0.15">
      <c r="A731" s="1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1:30" x14ac:dyDescent="0.15">
      <c r="A732" s="11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1:30" x14ac:dyDescent="0.15">
      <c r="A733" s="11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1:30" x14ac:dyDescent="0.15">
      <c r="A734" s="11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1:30" x14ac:dyDescent="0.15">
      <c r="A735" s="11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1:30" x14ac:dyDescent="0.15">
      <c r="A736" s="11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1:30" x14ac:dyDescent="0.15">
      <c r="A737" s="11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1:30" x14ac:dyDescent="0.15">
      <c r="A738" s="11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1:30" x14ac:dyDescent="0.15">
      <c r="A739" s="11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1:30" x14ac:dyDescent="0.15">
      <c r="A740" s="11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1:30" x14ac:dyDescent="0.15">
      <c r="A741" s="1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1:30" x14ac:dyDescent="0.15">
      <c r="A742" s="11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1:30" x14ac:dyDescent="0.15">
      <c r="A743" s="11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1:30" x14ac:dyDescent="0.15">
      <c r="A744" s="11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1:30" x14ac:dyDescent="0.15">
      <c r="A745" s="11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1:30" x14ac:dyDescent="0.15">
      <c r="A746" s="11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1:30" x14ac:dyDescent="0.15">
      <c r="A747" s="11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1:30" x14ac:dyDescent="0.15">
      <c r="A748" s="11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1:30" x14ac:dyDescent="0.15">
      <c r="A749" s="11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1:30" x14ac:dyDescent="0.15">
      <c r="A750" s="11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1:30" x14ac:dyDescent="0.15">
      <c r="A751" s="1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1:30" x14ac:dyDescent="0.15">
      <c r="A752" s="11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1:30" x14ac:dyDescent="0.15">
      <c r="A753" s="11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1:30" x14ac:dyDescent="0.15">
      <c r="A754" s="11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1:30" x14ac:dyDescent="0.15">
      <c r="A755" s="11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1:30" x14ac:dyDescent="0.15">
      <c r="A756" s="11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1:30" x14ac:dyDescent="0.15">
      <c r="A757" s="11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1:30" x14ac:dyDescent="0.15">
      <c r="A758" s="11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1:30" x14ac:dyDescent="0.15">
      <c r="A759" s="11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1:30" x14ac:dyDescent="0.15">
      <c r="A760" s="11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1:30" x14ac:dyDescent="0.15">
      <c r="A761" s="1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1:30" x14ac:dyDescent="0.15">
      <c r="A762" s="11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1:30" x14ac:dyDescent="0.15">
      <c r="A763" s="11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1:30" x14ac:dyDescent="0.15">
      <c r="A764" s="11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1:30" x14ac:dyDescent="0.15">
      <c r="A765" s="11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1:30" x14ac:dyDescent="0.15">
      <c r="A766" s="11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1:30" x14ac:dyDescent="0.15">
      <c r="A767" s="11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1:30" x14ac:dyDescent="0.15">
      <c r="A768" s="11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1:30" x14ac:dyDescent="0.15">
      <c r="A769" s="11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1:30" x14ac:dyDescent="0.15">
      <c r="A770" s="11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1:30" x14ac:dyDescent="0.15">
      <c r="A771" s="1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1:30" x14ac:dyDescent="0.15">
      <c r="A772" s="11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1:30" x14ac:dyDescent="0.15">
      <c r="A773" s="11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1:30" x14ac:dyDescent="0.15">
      <c r="A774" s="11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1:30" x14ac:dyDescent="0.15">
      <c r="A775" s="11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1:30" x14ac:dyDescent="0.15">
      <c r="A776" s="11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1:30" x14ac:dyDescent="0.15">
      <c r="A777" s="11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1:30" x14ac:dyDescent="0.15">
      <c r="A778" s="11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1:30" x14ac:dyDescent="0.15">
      <c r="A779" s="11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1:30" x14ac:dyDescent="0.15">
      <c r="A780" s="11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1:30" x14ac:dyDescent="0.15">
      <c r="A781" s="1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1:30" x14ac:dyDescent="0.15">
      <c r="A782" s="11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1:30" x14ac:dyDescent="0.15">
      <c r="A783" s="11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1:30" x14ac:dyDescent="0.15">
      <c r="A784" s="11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1:30" x14ac:dyDescent="0.15">
      <c r="A785" s="11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1:30" x14ac:dyDescent="0.15">
      <c r="A786" s="11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1:30" x14ac:dyDescent="0.15">
      <c r="A787" s="11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1:30" x14ac:dyDescent="0.15">
      <c r="A788" s="11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1:30" x14ac:dyDescent="0.15">
      <c r="A789" s="11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1:30" x14ac:dyDescent="0.15">
      <c r="A790" s="11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1:30" x14ac:dyDescent="0.15">
      <c r="A791" s="1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1:30" x14ac:dyDescent="0.15">
      <c r="A792" s="11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1:30" x14ac:dyDescent="0.15">
      <c r="A793" s="11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1:30" x14ac:dyDescent="0.15">
      <c r="A794" s="11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1:30" x14ac:dyDescent="0.15">
      <c r="A795" s="11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1:30" x14ac:dyDescent="0.15">
      <c r="A796" s="11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1:30" x14ac:dyDescent="0.15">
      <c r="A797" s="11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1:30" x14ac:dyDescent="0.15">
      <c r="A798" s="11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1:30" x14ac:dyDescent="0.15">
      <c r="A799" s="11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1:30" x14ac:dyDescent="0.15">
      <c r="A800" s="11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1:30" x14ac:dyDescent="0.15">
      <c r="A801" s="1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1:30" x14ac:dyDescent="0.15">
      <c r="A802" s="11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1:30" x14ac:dyDescent="0.15">
      <c r="A803" s="11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1:30" x14ac:dyDescent="0.15">
      <c r="A804" s="11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1:30" x14ac:dyDescent="0.15">
      <c r="A805" s="11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1:30" x14ac:dyDescent="0.15">
      <c r="A806" s="11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1:30" x14ac:dyDescent="0.15">
      <c r="A807" s="11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1:30" x14ac:dyDescent="0.15">
      <c r="A808" s="11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1:30" x14ac:dyDescent="0.15">
      <c r="A809" s="11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1:30" x14ac:dyDescent="0.15">
      <c r="A810" s="11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1:30" x14ac:dyDescent="0.15">
      <c r="A811" s="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1:30" x14ac:dyDescent="0.15">
      <c r="A812" s="11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1:30" x14ac:dyDescent="0.15">
      <c r="A813" s="11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1:30" x14ac:dyDescent="0.15">
      <c r="A814" s="11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1:30" x14ac:dyDescent="0.15">
      <c r="A815" s="11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1:30" x14ac:dyDescent="0.15">
      <c r="A816" s="11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1:30" x14ac:dyDescent="0.15">
      <c r="A817" s="11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1:30" x14ac:dyDescent="0.15">
      <c r="A818" s="11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1:30" x14ac:dyDescent="0.15">
      <c r="A819" s="11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1:30" x14ac:dyDescent="0.15">
      <c r="A820" s="11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1:30" x14ac:dyDescent="0.15">
      <c r="A821" s="1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1:30" x14ac:dyDescent="0.15">
      <c r="A822" s="11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1:30" x14ac:dyDescent="0.15">
      <c r="A823" s="11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1:30" x14ac:dyDescent="0.15">
      <c r="A824" s="11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1:30" x14ac:dyDescent="0.15">
      <c r="A825" s="11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1:30" x14ac:dyDescent="0.15">
      <c r="A826" s="11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1:30" x14ac:dyDescent="0.15">
      <c r="A827" s="11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1:30" x14ac:dyDescent="0.15">
      <c r="A828" s="11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1:30" x14ac:dyDescent="0.15">
      <c r="A829" s="11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1:30" x14ac:dyDescent="0.15">
      <c r="A830" s="11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1:30" x14ac:dyDescent="0.15">
      <c r="A831" s="1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1:30" x14ac:dyDescent="0.15">
      <c r="A832" s="11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1:30" x14ac:dyDescent="0.15">
      <c r="A833" s="11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1:30" x14ac:dyDescent="0.15">
      <c r="A834" s="11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1:30" x14ac:dyDescent="0.15">
      <c r="A835" s="11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1:30" x14ac:dyDescent="0.15">
      <c r="A836" s="11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1:30" x14ac:dyDescent="0.15">
      <c r="A837" s="11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1:30" x14ac:dyDescent="0.15">
      <c r="A838" s="11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1:30" x14ac:dyDescent="0.15">
      <c r="A839" s="11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1:30" x14ac:dyDescent="0.15">
      <c r="A840" s="11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1:30" x14ac:dyDescent="0.15">
      <c r="A841" s="1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1:30" x14ac:dyDescent="0.15">
      <c r="A842" s="11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1:30" x14ac:dyDescent="0.15">
      <c r="A843" s="11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1:30" x14ac:dyDescent="0.15">
      <c r="A844" s="11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1:30" x14ac:dyDescent="0.15">
      <c r="A845" s="11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1:30" x14ac:dyDescent="0.15">
      <c r="A846" s="11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1:30" x14ac:dyDescent="0.15">
      <c r="A847" s="11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1:30" x14ac:dyDescent="0.15">
      <c r="A848" s="11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1:30" x14ac:dyDescent="0.15">
      <c r="A849" s="11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1:30" x14ac:dyDescent="0.15">
      <c r="A850" s="11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1:30" x14ac:dyDescent="0.15">
      <c r="A851" s="1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1:30" x14ac:dyDescent="0.15">
      <c r="A852" s="11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1:30" x14ac:dyDescent="0.15">
      <c r="A853" s="11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1:30" x14ac:dyDescent="0.15">
      <c r="A854" s="11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1:30" x14ac:dyDescent="0.15">
      <c r="A855" s="11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1:30" x14ac:dyDescent="0.15">
      <c r="A856" s="11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1:30" x14ac:dyDescent="0.15">
      <c r="A857" s="11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1:30" x14ac:dyDescent="0.15">
      <c r="A858" s="11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1:30" x14ac:dyDescent="0.15">
      <c r="A859" s="11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1:30" x14ac:dyDescent="0.15">
      <c r="A860" s="11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1:30" x14ac:dyDescent="0.15">
      <c r="A861" s="1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1:30" x14ac:dyDescent="0.15">
      <c r="A862" s="11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1:30" x14ac:dyDescent="0.15">
      <c r="A863" s="11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1:30" x14ac:dyDescent="0.15">
      <c r="A864" s="11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1:30" x14ac:dyDescent="0.15">
      <c r="A865" s="11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1:30" x14ac:dyDescent="0.15">
      <c r="A866" s="11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1:30" x14ac:dyDescent="0.15">
      <c r="A867" s="11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1:30" x14ac:dyDescent="0.15">
      <c r="A868" s="11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1:30" x14ac:dyDescent="0.15">
      <c r="A869" s="11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1:30" x14ac:dyDescent="0.15">
      <c r="A870" s="11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1:30" x14ac:dyDescent="0.15">
      <c r="A871" s="1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1:30" x14ac:dyDescent="0.15">
      <c r="A872" s="11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1:30" x14ac:dyDescent="0.15">
      <c r="A873" s="11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1:30" x14ac:dyDescent="0.15">
      <c r="A874" s="11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1:30" x14ac:dyDescent="0.15">
      <c r="A875" s="11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1:30" x14ac:dyDescent="0.15">
      <c r="A876" s="11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1:30" x14ac:dyDescent="0.15">
      <c r="A877" s="11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1:30" x14ac:dyDescent="0.15">
      <c r="A878" s="11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1:30" x14ac:dyDescent="0.15">
      <c r="A879" s="11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1:30" x14ac:dyDescent="0.15">
      <c r="A880" s="11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1:30" x14ac:dyDescent="0.15">
      <c r="A881" s="1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1:30" x14ac:dyDescent="0.15">
      <c r="A882" s="11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1:30" x14ac:dyDescent="0.15">
      <c r="A883" s="11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1:30" x14ac:dyDescent="0.15">
      <c r="A884" s="11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1:30" x14ac:dyDescent="0.15">
      <c r="A885" s="11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1:30" x14ac:dyDescent="0.15">
      <c r="A886" s="11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1:30" x14ac:dyDescent="0.15">
      <c r="A887" s="11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1:30" x14ac:dyDescent="0.15">
      <c r="A888" s="11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1:30" x14ac:dyDescent="0.15">
      <c r="A889" s="11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1:30" x14ac:dyDescent="0.15">
      <c r="A890" s="11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1:30" x14ac:dyDescent="0.15">
      <c r="A891" s="1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1:30" x14ac:dyDescent="0.15">
      <c r="A892" s="11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1:30" x14ac:dyDescent="0.15">
      <c r="A893" s="11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1:30" x14ac:dyDescent="0.15">
      <c r="A894" s="11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1:30" x14ac:dyDescent="0.15">
      <c r="A895" s="11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1:30" x14ac:dyDescent="0.15">
      <c r="A896" s="11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1:30" x14ac:dyDescent="0.15">
      <c r="A897" s="11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1:30" x14ac:dyDescent="0.15">
      <c r="A898" s="11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1:30" x14ac:dyDescent="0.15">
      <c r="A899" s="11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1:30" x14ac:dyDescent="0.15">
      <c r="A900" s="11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1:30" x14ac:dyDescent="0.15">
      <c r="A901" s="1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1:30" x14ac:dyDescent="0.15">
      <c r="A902" s="11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1:30" x14ac:dyDescent="0.15">
      <c r="A903" s="11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1:30" x14ac:dyDescent="0.15">
      <c r="A904" s="11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1:30" x14ac:dyDescent="0.15">
      <c r="A905" s="11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1:30" x14ac:dyDescent="0.15">
      <c r="A906" s="11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1:30" x14ac:dyDescent="0.15">
      <c r="A907" s="11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1:30" x14ac:dyDescent="0.15">
      <c r="A908" s="11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1:30" x14ac:dyDescent="0.15">
      <c r="A909" s="11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1:30" x14ac:dyDescent="0.15">
      <c r="A910" s="11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1:30" x14ac:dyDescent="0.15">
      <c r="A911" s="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1:30" x14ac:dyDescent="0.15">
      <c r="A912" s="11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1:30" x14ac:dyDescent="0.15">
      <c r="A913" s="11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1:30" x14ac:dyDescent="0.15">
      <c r="A914" s="11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1:30" x14ac:dyDescent="0.15">
      <c r="A915" s="11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1:30" x14ac:dyDescent="0.15">
      <c r="A916" s="11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1:30" x14ac:dyDescent="0.15">
      <c r="A917" s="11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1:30" x14ac:dyDescent="0.15">
      <c r="A918" s="11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1:30" x14ac:dyDescent="0.15">
      <c r="A919" s="11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1:30" x14ac:dyDescent="0.15">
      <c r="A920" s="11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1:30" x14ac:dyDescent="0.15">
      <c r="A921" s="1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1:30" x14ac:dyDescent="0.15">
      <c r="A922" s="11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1:30" x14ac:dyDescent="0.15">
      <c r="A923" s="11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1:30" x14ac:dyDescent="0.15">
      <c r="A924" s="11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1:30" x14ac:dyDescent="0.15">
      <c r="A925" s="11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1:30" x14ac:dyDescent="0.15">
      <c r="A926" s="11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1:30" x14ac:dyDescent="0.15">
      <c r="A927" s="11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1:30" x14ac:dyDescent="0.15">
      <c r="A928" s="11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1:30" x14ac:dyDescent="0.15">
      <c r="A929" s="11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1:30" x14ac:dyDescent="0.15">
      <c r="A930" s="11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1:30" x14ac:dyDescent="0.15">
      <c r="A931" s="1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1:30" x14ac:dyDescent="0.15">
      <c r="A932" s="11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1:30" x14ac:dyDescent="0.15">
      <c r="A933" s="11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1:30" x14ac:dyDescent="0.15">
      <c r="A934" s="11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1:30" x14ac:dyDescent="0.15">
      <c r="A935" s="11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1:30" x14ac:dyDescent="0.15">
      <c r="A936" s="11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1:30" x14ac:dyDescent="0.15">
      <c r="A937" s="11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1:30" x14ac:dyDescent="0.15">
      <c r="A938" s="11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1:30" x14ac:dyDescent="0.15">
      <c r="A939" s="11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1:30" x14ac:dyDescent="0.15">
      <c r="A940" s="11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1:30" x14ac:dyDescent="0.15">
      <c r="A941" s="1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1:30" x14ac:dyDescent="0.15">
      <c r="A942" s="11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1:30" x14ac:dyDescent="0.15">
      <c r="A943" s="11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1:30" x14ac:dyDescent="0.15">
      <c r="A944" s="11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1:30" x14ac:dyDescent="0.15">
      <c r="A945" s="11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1:30" x14ac:dyDescent="0.15">
      <c r="A946" s="11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1:30" x14ac:dyDescent="0.15">
      <c r="A947" s="11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1:30" x14ac:dyDescent="0.15">
      <c r="A948" s="11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1:30" x14ac:dyDescent="0.15">
      <c r="A949" s="11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1:30" x14ac:dyDescent="0.15">
      <c r="A950" s="11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1:30" x14ac:dyDescent="0.15">
      <c r="A951" s="1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1:30" x14ac:dyDescent="0.15">
      <c r="A952" s="11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1:30" x14ac:dyDescent="0.15">
      <c r="A953" s="11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1:30" x14ac:dyDescent="0.15">
      <c r="A954" s="11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1:30" x14ac:dyDescent="0.15">
      <c r="A955" s="11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1:30" x14ac:dyDescent="0.15">
      <c r="A956" s="11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1:30" x14ac:dyDescent="0.15">
      <c r="A957" s="11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1:30" x14ac:dyDescent="0.15">
      <c r="A958" s="11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1:30" x14ac:dyDescent="0.15">
      <c r="A959" s="11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1:30" x14ac:dyDescent="0.15">
      <c r="A960" s="11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1:30" x14ac:dyDescent="0.15">
      <c r="A961" s="1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1:30" x14ac:dyDescent="0.15">
      <c r="A962" s="11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1:30" x14ac:dyDescent="0.15">
      <c r="A963" s="11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1:30" x14ac:dyDescent="0.15">
      <c r="A964" s="11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1:30" x14ac:dyDescent="0.15">
      <c r="A965" s="11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1:30" x14ac:dyDescent="0.15">
      <c r="A966" s="11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1:30" x14ac:dyDescent="0.15">
      <c r="A967" s="11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1:30" x14ac:dyDescent="0.15">
      <c r="A968" s="11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1:30" x14ac:dyDescent="0.15">
      <c r="A969" s="11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1:30" x14ac:dyDescent="0.15">
      <c r="A970" s="11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1:30" x14ac:dyDescent="0.15">
      <c r="A971" s="1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1:30" x14ac:dyDescent="0.15">
      <c r="A972" s="11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1:30" x14ac:dyDescent="0.15">
      <c r="A973" s="11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1:30" x14ac:dyDescent="0.15">
      <c r="A974" s="11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1:30" x14ac:dyDescent="0.15">
      <c r="A975" s="11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1:30" x14ac:dyDescent="0.15">
      <c r="A976" s="11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1:30" x14ac:dyDescent="0.15">
      <c r="A977" s="11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1:30" x14ac:dyDescent="0.15">
      <c r="A978" s="11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1:30" x14ac:dyDescent="0.15">
      <c r="A979" s="11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1:30" x14ac:dyDescent="0.15">
      <c r="A980" s="11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1:30" x14ac:dyDescent="0.15">
      <c r="A981" s="1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1:30" x14ac:dyDescent="0.15">
      <c r="A982" s="11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1:30" x14ac:dyDescent="0.15">
      <c r="A983" s="11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1:30" x14ac:dyDescent="0.15">
      <c r="A984" s="11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1:30" x14ac:dyDescent="0.15">
      <c r="A985" s="11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1:30" x14ac:dyDescent="0.15">
      <c r="A986" s="11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1:30" x14ac:dyDescent="0.15">
      <c r="A987" s="11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1:30" x14ac:dyDescent="0.15">
      <c r="A988" s="11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1:30" x14ac:dyDescent="0.15">
      <c r="A989" s="11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1:30" x14ac:dyDescent="0.15">
      <c r="A990" s="11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1:30" x14ac:dyDescent="0.15">
      <c r="A991" s="1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1:30" x14ac:dyDescent="0.15">
      <c r="A992" s="11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1:30" x14ac:dyDescent="0.15">
      <c r="A993" s="11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1:30" x14ac:dyDescent="0.15">
      <c r="A994" s="11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1:30" x14ac:dyDescent="0.15">
      <c r="A995" s="11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1:30" x14ac:dyDescent="0.15">
      <c r="A996" s="11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1:30" x14ac:dyDescent="0.15">
      <c r="A997" s="11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1:30" x14ac:dyDescent="0.15">
      <c r="A998" s="11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1:30" x14ac:dyDescent="0.15">
      <c r="A999" s="11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1:30" x14ac:dyDescent="0.15">
      <c r="A1000" s="11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</sheetData>
  <phoneticPr fontId="2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Gs_Ready.Gs_Ready">
                <anchor moveWithCells="1" sizeWithCells="1">
                  <from>
                    <xdr:col>7</xdr:col>
                    <xdr:colOff>0</xdr:colOff>
                    <xdr:row>0</xdr:row>
                    <xdr:rowOff>152400</xdr:rowOff>
                  </from>
                  <to>
                    <xdr:col>7</xdr:col>
                    <xdr:colOff>714375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Gs_clear1">
                <anchor moveWithCells="1" sizeWithCells="1">
                  <from>
                    <xdr:col>5</xdr:col>
                    <xdr:colOff>723900</xdr:colOff>
                    <xdr:row>0</xdr:row>
                    <xdr:rowOff>171450</xdr:rowOff>
                  </from>
                  <to>
                    <xdr:col>6</xdr:col>
                    <xdr:colOff>714375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stodola_go">
                <anchor moveWithCells="1" sizeWithCells="1">
                  <from>
                    <xdr:col>8</xdr:col>
                    <xdr:colOff>9525</xdr:colOff>
                    <xdr:row>0</xdr:row>
                    <xdr:rowOff>171450</xdr:rowOff>
                  </from>
                  <to>
                    <xdr:col>8</xdr:col>
                    <xdr:colOff>704850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9A9FD-1CBA-4D88-9F5A-F61DB97C7B40}">
  <sheetPr codeName="Sheet7"/>
  <dimension ref="A1:GR250"/>
  <sheetViews>
    <sheetView topLeftCell="A13" zoomScaleNormal="100" workbookViewId="0">
      <selection activeCell="D12" sqref="D12"/>
    </sheetView>
  </sheetViews>
  <sheetFormatPr defaultColWidth="17.85546875" defaultRowHeight="14.25" x14ac:dyDescent="0.15"/>
  <cols>
    <col min="1" max="1" width="5.28515625" style="65" customWidth="1"/>
    <col min="2" max="3" width="9.85546875" style="65" customWidth="1"/>
    <col min="4" max="4" width="11" style="65" customWidth="1"/>
    <col min="5" max="8" width="9.85546875" style="65" customWidth="1"/>
    <col min="9" max="17" width="8.7109375" style="65" customWidth="1"/>
    <col min="18" max="18" width="11" style="65" customWidth="1"/>
    <col min="19" max="19" width="17.42578125" style="65" customWidth="1"/>
    <col min="20" max="54" width="11" style="65" customWidth="1"/>
    <col min="55" max="256" width="17.85546875" style="65"/>
    <col min="257" max="257" width="5.28515625" style="65" customWidth="1"/>
    <col min="258" max="310" width="11" style="65" customWidth="1"/>
    <col min="311" max="512" width="17.85546875" style="65"/>
    <col min="513" max="513" width="5.28515625" style="65" customWidth="1"/>
    <col min="514" max="566" width="11" style="65" customWidth="1"/>
    <col min="567" max="768" width="17.85546875" style="65"/>
    <col min="769" max="769" width="5.28515625" style="65" customWidth="1"/>
    <col min="770" max="822" width="11" style="65" customWidth="1"/>
    <col min="823" max="1024" width="17.85546875" style="65"/>
    <col min="1025" max="1025" width="5.28515625" style="65" customWidth="1"/>
    <col min="1026" max="1078" width="11" style="65" customWidth="1"/>
    <col min="1079" max="1280" width="17.85546875" style="65"/>
    <col min="1281" max="1281" width="5.28515625" style="65" customWidth="1"/>
    <col min="1282" max="1334" width="11" style="65" customWidth="1"/>
    <col min="1335" max="1536" width="17.85546875" style="65"/>
    <col min="1537" max="1537" width="5.28515625" style="65" customWidth="1"/>
    <col min="1538" max="1590" width="11" style="65" customWidth="1"/>
    <col min="1591" max="1792" width="17.85546875" style="65"/>
    <col min="1793" max="1793" width="5.28515625" style="65" customWidth="1"/>
    <col min="1794" max="1846" width="11" style="65" customWidth="1"/>
    <col min="1847" max="2048" width="17.85546875" style="65"/>
    <col min="2049" max="2049" width="5.28515625" style="65" customWidth="1"/>
    <col min="2050" max="2102" width="11" style="65" customWidth="1"/>
    <col min="2103" max="2304" width="17.85546875" style="65"/>
    <col min="2305" max="2305" width="5.28515625" style="65" customWidth="1"/>
    <col min="2306" max="2358" width="11" style="65" customWidth="1"/>
    <col min="2359" max="2560" width="17.85546875" style="65"/>
    <col min="2561" max="2561" width="5.28515625" style="65" customWidth="1"/>
    <col min="2562" max="2614" width="11" style="65" customWidth="1"/>
    <col min="2615" max="2816" width="17.85546875" style="65"/>
    <col min="2817" max="2817" width="5.28515625" style="65" customWidth="1"/>
    <col min="2818" max="2870" width="11" style="65" customWidth="1"/>
    <col min="2871" max="3072" width="17.85546875" style="65"/>
    <col min="3073" max="3073" width="5.28515625" style="65" customWidth="1"/>
    <col min="3074" max="3126" width="11" style="65" customWidth="1"/>
    <col min="3127" max="3328" width="17.85546875" style="65"/>
    <col min="3329" max="3329" width="5.28515625" style="65" customWidth="1"/>
    <col min="3330" max="3382" width="11" style="65" customWidth="1"/>
    <col min="3383" max="3584" width="17.85546875" style="65"/>
    <col min="3585" max="3585" width="5.28515625" style="65" customWidth="1"/>
    <col min="3586" max="3638" width="11" style="65" customWidth="1"/>
    <col min="3639" max="3840" width="17.85546875" style="65"/>
    <col min="3841" max="3841" width="5.28515625" style="65" customWidth="1"/>
    <col min="3842" max="3894" width="11" style="65" customWidth="1"/>
    <col min="3895" max="4096" width="17.85546875" style="65"/>
    <col min="4097" max="4097" width="5.28515625" style="65" customWidth="1"/>
    <col min="4098" max="4150" width="11" style="65" customWidth="1"/>
    <col min="4151" max="4352" width="17.85546875" style="65"/>
    <col min="4353" max="4353" width="5.28515625" style="65" customWidth="1"/>
    <col min="4354" max="4406" width="11" style="65" customWidth="1"/>
    <col min="4407" max="4608" width="17.85546875" style="65"/>
    <col min="4609" max="4609" width="5.28515625" style="65" customWidth="1"/>
    <col min="4610" max="4662" width="11" style="65" customWidth="1"/>
    <col min="4663" max="4864" width="17.85546875" style="65"/>
    <col min="4865" max="4865" width="5.28515625" style="65" customWidth="1"/>
    <col min="4866" max="4918" width="11" style="65" customWidth="1"/>
    <col min="4919" max="5120" width="17.85546875" style="65"/>
    <col min="5121" max="5121" width="5.28515625" style="65" customWidth="1"/>
    <col min="5122" max="5174" width="11" style="65" customWidth="1"/>
    <col min="5175" max="5376" width="17.85546875" style="65"/>
    <col min="5377" max="5377" width="5.28515625" style="65" customWidth="1"/>
    <col min="5378" max="5430" width="11" style="65" customWidth="1"/>
    <col min="5431" max="5632" width="17.85546875" style="65"/>
    <col min="5633" max="5633" width="5.28515625" style="65" customWidth="1"/>
    <col min="5634" max="5686" width="11" style="65" customWidth="1"/>
    <col min="5687" max="5888" width="17.85546875" style="65"/>
    <col min="5889" max="5889" width="5.28515625" style="65" customWidth="1"/>
    <col min="5890" max="5942" width="11" style="65" customWidth="1"/>
    <col min="5943" max="6144" width="17.85546875" style="65"/>
    <col min="6145" max="6145" width="5.28515625" style="65" customWidth="1"/>
    <col min="6146" max="6198" width="11" style="65" customWidth="1"/>
    <col min="6199" max="6400" width="17.85546875" style="65"/>
    <col min="6401" max="6401" width="5.28515625" style="65" customWidth="1"/>
    <col min="6402" max="6454" width="11" style="65" customWidth="1"/>
    <col min="6455" max="6656" width="17.85546875" style="65"/>
    <col min="6657" max="6657" width="5.28515625" style="65" customWidth="1"/>
    <col min="6658" max="6710" width="11" style="65" customWidth="1"/>
    <col min="6711" max="6912" width="17.85546875" style="65"/>
    <col min="6913" max="6913" width="5.28515625" style="65" customWidth="1"/>
    <col min="6914" max="6966" width="11" style="65" customWidth="1"/>
    <col min="6967" max="7168" width="17.85546875" style="65"/>
    <col min="7169" max="7169" width="5.28515625" style="65" customWidth="1"/>
    <col min="7170" max="7222" width="11" style="65" customWidth="1"/>
    <col min="7223" max="7424" width="17.85546875" style="65"/>
    <col min="7425" max="7425" width="5.28515625" style="65" customWidth="1"/>
    <col min="7426" max="7478" width="11" style="65" customWidth="1"/>
    <col min="7479" max="7680" width="17.85546875" style="65"/>
    <col min="7681" max="7681" width="5.28515625" style="65" customWidth="1"/>
    <col min="7682" max="7734" width="11" style="65" customWidth="1"/>
    <col min="7735" max="7936" width="17.85546875" style="65"/>
    <col min="7937" max="7937" width="5.28515625" style="65" customWidth="1"/>
    <col min="7938" max="7990" width="11" style="65" customWidth="1"/>
    <col min="7991" max="8192" width="17.85546875" style="65"/>
    <col min="8193" max="8193" width="5.28515625" style="65" customWidth="1"/>
    <col min="8194" max="8246" width="11" style="65" customWidth="1"/>
    <col min="8247" max="8448" width="17.85546875" style="65"/>
    <col min="8449" max="8449" width="5.28515625" style="65" customWidth="1"/>
    <col min="8450" max="8502" width="11" style="65" customWidth="1"/>
    <col min="8503" max="8704" width="17.85546875" style="65"/>
    <col min="8705" max="8705" width="5.28515625" style="65" customWidth="1"/>
    <col min="8706" max="8758" width="11" style="65" customWidth="1"/>
    <col min="8759" max="8960" width="17.85546875" style="65"/>
    <col min="8961" max="8961" width="5.28515625" style="65" customWidth="1"/>
    <col min="8962" max="9014" width="11" style="65" customWidth="1"/>
    <col min="9015" max="9216" width="17.85546875" style="65"/>
    <col min="9217" max="9217" width="5.28515625" style="65" customWidth="1"/>
    <col min="9218" max="9270" width="11" style="65" customWidth="1"/>
    <col min="9271" max="9472" width="17.85546875" style="65"/>
    <col min="9473" max="9473" width="5.28515625" style="65" customWidth="1"/>
    <col min="9474" max="9526" width="11" style="65" customWidth="1"/>
    <col min="9527" max="9728" width="17.85546875" style="65"/>
    <col min="9729" max="9729" width="5.28515625" style="65" customWidth="1"/>
    <col min="9730" max="9782" width="11" style="65" customWidth="1"/>
    <col min="9783" max="9984" width="17.85546875" style="65"/>
    <col min="9985" max="9985" width="5.28515625" style="65" customWidth="1"/>
    <col min="9986" max="10038" width="11" style="65" customWidth="1"/>
    <col min="10039" max="10240" width="17.85546875" style="65"/>
    <col min="10241" max="10241" width="5.28515625" style="65" customWidth="1"/>
    <col min="10242" max="10294" width="11" style="65" customWidth="1"/>
    <col min="10295" max="10496" width="17.85546875" style="65"/>
    <col min="10497" max="10497" width="5.28515625" style="65" customWidth="1"/>
    <col min="10498" max="10550" width="11" style="65" customWidth="1"/>
    <col min="10551" max="10752" width="17.85546875" style="65"/>
    <col min="10753" max="10753" width="5.28515625" style="65" customWidth="1"/>
    <col min="10754" max="10806" width="11" style="65" customWidth="1"/>
    <col min="10807" max="11008" width="17.85546875" style="65"/>
    <col min="11009" max="11009" width="5.28515625" style="65" customWidth="1"/>
    <col min="11010" max="11062" width="11" style="65" customWidth="1"/>
    <col min="11063" max="11264" width="17.85546875" style="65"/>
    <col min="11265" max="11265" width="5.28515625" style="65" customWidth="1"/>
    <col min="11266" max="11318" width="11" style="65" customWidth="1"/>
    <col min="11319" max="11520" width="17.85546875" style="65"/>
    <col min="11521" max="11521" width="5.28515625" style="65" customWidth="1"/>
    <col min="11522" max="11574" width="11" style="65" customWidth="1"/>
    <col min="11575" max="11776" width="17.85546875" style="65"/>
    <col min="11777" max="11777" width="5.28515625" style="65" customWidth="1"/>
    <col min="11778" max="11830" width="11" style="65" customWidth="1"/>
    <col min="11831" max="12032" width="17.85546875" style="65"/>
    <col min="12033" max="12033" width="5.28515625" style="65" customWidth="1"/>
    <col min="12034" max="12086" width="11" style="65" customWidth="1"/>
    <col min="12087" max="12288" width="17.85546875" style="65"/>
    <col min="12289" max="12289" width="5.28515625" style="65" customWidth="1"/>
    <col min="12290" max="12342" width="11" style="65" customWidth="1"/>
    <col min="12343" max="12544" width="17.85546875" style="65"/>
    <col min="12545" max="12545" width="5.28515625" style="65" customWidth="1"/>
    <col min="12546" max="12598" width="11" style="65" customWidth="1"/>
    <col min="12599" max="12800" width="17.85546875" style="65"/>
    <col min="12801" max="12801" width="5.28515625" style="65" customWidth="1"/>
    <col min="12802" max="12854" width="11" style="65" customWidth="1"/>
    <col min="12855" max="13056" width="17.85546875" style="65"/>
    <col min="13057" max="13057" width="5.28515625" style="65" customWidth="1"/>
    <col min="13058" max="13110" width="11" style="65" customWidth="1"/>
    <col min="13111" max="13312" width="17.85546875" style="65"/>
    <col min="13313" max="13313" width="5.28515625" style="65" customWidth="1"/>
    <col min="13314" max="13366" width="11" style="65" customWidth="1"/>
    <col min="13367" max="13568" width="17.85546875" style="65"/>
    <col min="13569" max="13569" width="5.28515625" style="65" customWidth="1"/>
    <col min="13570" max="13622" width="11" style="65" customWidth="1"/>
    <col min="13623" max="13824" width="17.85546875" style="65"/>
    <col min="13825" max="13825" width="5.28515625" style="65" customWidth="1"/>
    <col min="13826" max="13878" width="11" style="65" customWidth="1"/>
    <col min="13879" max="14080" width="17.85546875" style="65"/>
    <col min="14081" max="14081" width="5.28515625" style="65" customWidth="1"/>
    <col min="14082" max="14134" width="11" style="65" customWidth="1"/>
    <col min="14135" max="14336" width="17.85546875" style="65"/>
    <col min="14337" max="14337" width="5.28515625" style="65" customWidth="1"/>
    <col min="14338" max="14390" width="11" style="65" customWidth="1"/>
    <col min="14391" max="14592" width="17.85546875" style="65"/>
    <col min="14593" max="14593" width="5.28515625" style="65" customWidth="1"/>
    <col min="14594" max="14646" width="11" style="65" customWidth="1"/>
    <col min="14647" max="14848" width="17.85546875" style="65"/>
    <col min="14849" max="14849" width="5.28515625" style="65" customWidth="1"/>
    <col min="14850" max="14902" width="11" style="65" customWidth="1"/>
    <col min="14903" max="15104" width="17.85546875" style="65"/>
    <col min="15105" max="15105" width="5.28515625" style="65" customWidth="1"/>
    <col min="15106" max="15158" width="11" style="65" customWidth="1"/>
    <col min="15159" max="15360" width="17.85546875" style="65"/>
    <col min="15361" max="15361" width="5.28515625" style="65" customWidth="1"/>
    <col min="15362" max="15414" width="11" style="65" customWidth="1"/>
    <col min="15415" max="15616" width="17.85546875" style="65"/>
    <col min="15617" max="15617" width="5.28515625" style="65" customWidth="1"/>
    <col min="15618" max="15670" width="11" style="65" customWidth="1"/>
    <col min="15671" max="15872" width="17.85546875" style="65"/>
    <col min="15873" max="15873" width="5.28515625" style="65" customWidth="1"/>
    <col min="15874" max="15926" width="11" style="65" customWidth="1"/>
    <col min="15927" max="16128" width="17.85546875" style="65"/>
    <col min="16129" max="16129" width="5.28515625" style="65" customWidth="1"/>
    <col min="16130" max="16182" width="11" style="65" customWidth="1"/>
    <col min="16183" max="16384" width="17.85546875" style="65"/>
  </cols>
  <sheetData>
    <row r="1" spans="1:200" x14ac:dyDescent="0.15">
      <c r="A1" s="65">
        <v>1</v>
      </c>
      <c r="B1" s="65">
        <v>2</v>
      </c>
      <c r="C1" s="65">
        <v>3</v>
      </c>
      <c r="D1" s="65">
        <v>4</v>
      </c>
      <c r="E1" s="65">
        <v>5</v>
      </c>
      <c r="F1" s="65">
        <v>6</v>
      </c>
      <c r="G1" s="65">
        <v>7</v>
      </c>
    </row>
    <row r="2" spans="1:200" x14ac:dyDescent="0.15">
      <c r="B2" s="65" t="s">
        <v>212</v>
      </c>
    </row>
    <row r="3" spans="1:200" x14ac:dyDescent="0.15">
      <c r="B3" s="65" t="s">
        <v>144</v>
      </c>
      <c r="C3" s="65" t="s">
        <v>151</v>
      </c>
    </row>
    <row r="4" spans="1:200" x14ac:dyDescent="0.15">
      <c r="B4" s="65">
        <f>損傷限界固有周期!H9</f>
        <v>1.2359999418258667</v>
      </c>
      <c r="C4" s="65">
        <f>損傷限界固有周期!H10</f>
        <v>1.3940000534057617</v>
      </c>
    </row>
    <row r="5" spans="1:200" x14ac:dyDescent="0.15">
      <c r="B5" s="11" t="str">
        <f>ji_zofuku!B2</f>
        <v>GS1</v>
      </c>
      <c r="C5" s="11" t="str">
        <f>ji_zofuku!C2</f>
        <v>GS2</v>
      </c>
      <c r="D5" s="11" t="str">
        <f>ji_zofuku!D2</f>
        <v>T1</v>
      </c>
      <c r="E5" s="11" t="str">
        <f>ji_zofuku!E2</f>
        <v>T2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200" x14ac:dyDescent="0.15">
      <c r="B6" s="11">
        <f>ji_zofuku!B3</f>
        <v>2.5799999237060547</v>
      </c>
      <c r="C6" s="11">
        <f>ji_zofuku!C3</f>
        <v>1.7200000286102295</v>
      </c>
      <c r="D6" s="11">
        <f>ji_zofuku!D3</f>
        <v>0.34400001168251038</v>
      </c>
      <c r="E6" s="11">
        <f>ji_zofuku!E3</f>
        <v>0.11500000208616257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</row>
    <row r="7" spans="1:200" x14ac:dyDescent="0.15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</row>
    <row r="8" spans="1:200" x14ac:dyDescent="0.15"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</row>
    <row r="9" spans="1:200" x14ac:dyDescent="0.15">
      <c r="B9" s="11"/>
      <c r="C9" s="42"/>
      <c r="D9" s="4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</row>
    <row r="10" spans="1:200" x14ac:dyDescent="0.15">
      <c r="B10" s="11"/>
      <c r="C10" s="42" t="s">
        <v>354</v>
      </c>
      <c r="D10" s="43" t="s">
        <v>358</v>
      </c>
      <c r="E10" s="11"/>
      <c r="F10" s="11">
        <v>1.5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</row>
    <row r="11" spans="1:200" x14ac:dyDescent="0.15">
      <c r="B11" s="11"/>
      <c r="C11" s="42" t="s">
        <v>355</v>
      </c>
      <c r="D11" s="43" t="s">
        <v>359</v>
      </c>
      <c r="E11" s="11"/>
      <c r="F11" s="11">
        <v>1.5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1:200" x14ac:dyDescent="0.15">
      <c r="B12" s="11"/>
      <c r="C12" s="42" t="s">
        <v>356</v>
      </c>
      <c r="D12" s="43">
        <v>2.58</v>
      </c>
      <c r="E12" s="11"/>
      <c r="F12" s="11">
        <v>1.5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</row>
    <row r="13" spans="1:200" x14ac:dyDescent="0.15">
      <c r="C13" s="65" t="s">
        <v>357</v>
      </c>
      <c r="D13" s="65" t="s">
        <v>360</v>
      </c>
      <c r="F13" s="11">
        <v>1.35</v>
      </c>
      <c r="G13" s="11"/>
      <c r="H13" s="11"/>
      <c r="I13" s="11"/>
      <c r="J13" s="11"/>
      <c r="K13" s="11"/>
      <c r="L13" s="68"/>
      <c r="M13" s="69"/>
      <c r="N13" s="70"/>
      <c r="O13" s="71"/>
      <c r="P13" s="71"/>
      <c r="Q13" s="11"/>
      <c r="R13" s="11"/>
      <c r="S13" s="68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</row>
    <row r="14" spans="1:200" x14ac:dyDescent="0.15">
      <c r="G14" s="11"/>
      <c r="H14" s="11"/>
      <c r="I14" s="11"/>
      <c r="J14" s="11"/>
      <c r="K14" s="11"/>
      <c r="L14" s="68"/>
      <c r="M14" s="69"/>
      <c r="N14" s="70"/>
      <c r="O14" s="71"/>
      <c r="P14" s="7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</row>
    <row r="15" spans="1:200" x14ac:dyDescent="0.15">
      <c r="B15" s="87" t="s">
        <v>214</v>
      </c>
      <c r="C15" s="84" t="s">
        <v>213</v>
      </c>
      <c r="H15" s="11"/>
      <c r="I15" s="11"/>
      <c r="J15" s="11"/>
      <c r="K15" s="11"/>
      <c r="L15" s="68"/>
      <c r="M15" s="69"/>
      <c r="N15" s="70"/>
      <c r="O15" s="71"/>
      <c r="P15" s="7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</row>
    <row r="16" spans="1:200" x14ac:dyDescent="0.15">
      <c r="B16" s="87">
        <v>1.4801617860794067</v>
      </c>
      <c r="C16" s="87">
        <v>1.4178048372268677</v>
      </c>
      <c r="I16" s="11"/>
      <c r="J16" s="11"/>
      <c r="K16" s="11"/>
      <c r="L16" s="68"/>
      <c r="M16" s="69"/>
      <c r="N16" s="70"/>
      <c r="O16" s="71"/>
      <c r="P16" s="7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</row>
    <row r="17" spans="2:200" x14ac:dyDescent="0.15">
      <c r="I17" s="11"/>
      <c r="J17" s="11"/>
      <c r="K17" s="11"/>
      <c r="L17" s="68"/>
      <c r="M17" s="69"/>
      <c r="N17" s="70"/>
      <c r="O17" s="71"/>
      <c r="P17" s="7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</row>
    <row r="18" spans="2:200" x14ac:dyDescent="0.15">
      <c r="I18" s="11"/>
      <c r="J18" s="11"/>
      <c r="K18" s="11"/>
      <c r="L18" s="68"/>
      <c r="M18" s="69"/>
      <c r="N18" s="70"/>
      <c r="O18" s="71"/>
      <c r="P18" s="7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</row>
    <row r="19" spans="2:200" x14ac:dyDescent="0.15">
      <c r="I19" s="11"/>
      <c r="J19" s="11"/>
      <c r="K19" s="11"/>
      <c r="L19" s="72"/>
      <c r="M19" s="72"/>
      <c r="N19" s="73"/>
      <c r="O19" s="72"/>
      <c r="P19" s="72"/>
      <c r="Q19" s="73"/>
      <c r="R19" s="73"/>
      <c r="S19" s="74"/>
      <c r="T19" s="73"/>
      <c r="U19" s="73"/>
      <c r="V19" s="73"/>
      <c r="W19" s="73"/>
      <c r="X19" s="73"/>
      <c r="Y19" s="73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</row>
    <row r="20" spans="2:200" x14ac:dyDescent="0.15">
      <c r="I20" s="11"/>
      <c r="J20" s="11"/>
      <c r="K20" s="11"/>
      <c r="L20" s="72"/>
      <c r="M20" s="72"/>
      <c r="N20" s="73"/>
      <c r="O20" s="72"/>
      <c r="P20" s="72"/>
      <c r="Q20" s="73"/>
      <c r="R20" s="73"/>
      <c r="S20" s="74"/>
      <c r="T20" s="73"/>
      <c r="U20" s="73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</row>
    <row r="21" spans="2:200" x14ac:dyDescent="0.15">
      <c r="B21" s="65" t="s">
        <v>215</v>
      </c>
      <c r="H21" s="11"/>
      <c r="I21" s="11"/>
      <c r="J21" s="11"/>
      <c r="K21" s="11"/>
      <c r="L21" s="72"/>
      <c r="M21" s="72"/>
      <c r="N21" s="73"/>
      <c r="O21" s="72"/>
      <c r="P21" s="72"/>
      <c r="Q21" s="73"/>
      <c r="R21" s="73"/>
      <c r="S21" s="74"/>
      <c r="T21" s="73"/>
      <c r="U21" s="73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</row>
    <row r="22" spans="2:200" x14ac:dyDescent="0.15">
      <c r="B22" s="65" t="s">
        <v>216</v>
      </c>
      <c r="C22" s="65" t="s">
        <v>217</v>
      </c>
      <c r="H22" s="11"/>
      <c r="I22" s="11"/>
      <c r="J22" s="11"/>
      <c r="K22" s="11"/>
      <c r="L22" s="72"/>
      <c r="M22" s="72"/>
      <c r="N22" s="73"/>
      <c r="O22" s="72"/>
      <c r="P22" s="72"/>
      <c r="Q22" s="73"/>
      <c r="R22" s="73"/>
      <c r="S22" s="74"/>
      <c r="T22" s="73"/>
      <c r="U22" s="73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</row>
    <row r="23" spans="2:200" x14ac:dyDescent="0.15">
      <c r="B23" s="65">
        <f>安全限界固有周期!H9</f>
        <v>1.5800000429153442</v>
      </c>
      <c r="C23" s="65">
        <f>安全限界固有周期!H10</f>
        <v>2.0350000858306885</v>
      </c>
      <c r="F23" s="11"/>
      <c r="G23" s="11"/>
      <c r="H23" s="11"/>
      <c r="I23" s="11"/>
      <c r="J23" s="11"/>
      <c r="K23" s="11"/>
      <c r="L23" s="72"/>
      <c r="M23" s="72"/>
      <c r="N23" s="73"/>
      <c r="O23" s="72"/>
      <c r="P23" s="72"/>
      <c r="Q23" s="73"/>
      <c r="R23" s="73"/>
      <c r="S23" s="74"/>
      <c r="T23" s="73"/>
      <c r="U23" s="73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</row>
    <row r="24" spans="2:200" x14ac:dyDescent="0.15">
      <c r="B24" s="11" t="str">
        <f>ji_zofuku!S2</f>
        <v>GS1</v>
      </c>
      <c r="C24" s="11" t="str">
        <f>ji_zofuku!T2</f>
        <v>GS2</v>
      </c>
      <c r="D24" s="11" t="str">
        <f>ji_zofuku!U2</f>
        <v>T1</v>
      </c>
      <c r="E24" s="11" t="str">
        <f>ji_zofuku!V2</f>
        <v>T2</v>
      </c>
      <c r="F24" s="11"/>
      <c r="G24" s="11"/>
      <c r="H24" s="11"/>
      <c r="I24" s="11"/>
      <c r="J24" s="11"/>
      <c r="K24" s="11"/>
      <c r="L24" s="72"/>
      <c r="M24" s="72"/>
      <c r="N24" s="73"/>
      <c r="O24" s="72"/>
      <c r="P24" s="72"/>
      <c r="Q24" s="73"/>
      <c r="R24" s="73"/>
      <c r="S24" s="74"/>
      <c r="T24" s="73"/>
      <c r="U24" s="73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</row>
    <row r="25" spans="2:200" x14ac:dyDescent="0.15">
      <c r="B25" s="11">
        <f>ji_zofuku!S3</f>
        <v>2.1700000762939453</v>
      </c>
      <c r="C25" s="11">
        <f>ji_zofuku!T3</f>
        <v>1.0499999523162842</v>
      </c>
      <c r="D25" s="11">
        <f>ji_zofuku!U3</f>
        <v>0.45800000429153442</v>
      </c>
      <c r="E25" s="11">
        <f>ji_zofuku!V3</f>
        <v>0.15299999713897705</v>
      </c>
      <c r="F25" s="11"/>
      <c r="G25" s="11"/>
      <c r="H25" s="11"/>
      <c r="I25" s="11"/>
      <c r="J25" s="11"/>
      <c r="K25" s="11"/>
      <c r="L25" s="72"/>
      <c r="M25" s="72"/>
      <c r="N25" s="72"/>
      <c r="O25" s="72"/>
      <c r="P25" s="72"/>
      <c r="Q25" s="73"/>
      <c r="R25" s="73"/>
      <c r="S25" s="74"/>
      <c r="T25" s="73"/>
      <c r="U25" s="73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</row>
    <row r="26" spans="2:200" x14ac:dyDescent="0.15">
      <c r="H26" s="11"/>
      <c r="I26" s="11"/>
      <c r="J26" s="11"/>
      <c r="K26" s="11"/>
      <c r="L26" s="72"/>
      <c r="M26" s="72"/>
      <c r="N26" s="72"/>
      <c r="O26" s="72"/>
      <c r="P26" s="72"/>
      <c r="Q26" s="73"/>
      <c r="R26" s="73"/>
      <c r="S26" s="74"/>
      <c r="T26" s="73"/>
      <c r="U26" s="73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</row>
    <row r="27" spans="2:200" x14ac:dyDescent="0.1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72"/>
      <c r="M27" s="72"/>
      <c r="N27" s="72"/>
      <c r="O27" s="72"/>
      <c r="P27" s="72"/>
      <c r="Q27" s="73"/>
      <c r="R27" s="73"/>
      <c r="S27" s="74"/>
      <c r="T27" s="73"/>
      <c r="U27" s="73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</row>
    <row r="28" spans="2:200" x14ac:dyDescent="0.1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72"/>
      <c r="M28" s="72"/>
      <c r="N28" s="72"/>
      <c r="O28" s="72"/>
      <c r="P28" s="72"/>
      <c r="Q28" s="73"/>
      <c r="R28" s="73"/>
      <c r="S28" s="74"/>
      <c r="T28" s="73"/>
      <c r="U28" s="73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</row>
    <row r="29" spans="2:200" x14ac:dyDescent="0.15">
      <c r="B29" s="11"/>
      <c r="C29" s="11" t="s">
        <v>271</v>
      </c>
      <c r="D29" s="43" t="s">
        <v>275</v>
      </c>
      <c r="E29" s="11"/>
      <c r="F29" s="11">
        <v>1.2</v>
      </c>
      <c r="G29" s="11"/>
      <c r="H29" s="11"/>
      <c r="I29" s="11"/>
      <c r="J29" s="11"/>
      <c r="K29" s="11"/>
      <c r="L29" s="72"/>
      <c r="M29" s="72"/>
      <c r="N29" s="72"/>
      <c r="O29" s="72"/>
      <c r="P29" s="72"/>
      <c r="Q29" s="73"/>
      <c r="R29" s="73"/>
      <c r="S29" s="74"/>
      <c r="T29" s="73"/>
      <c r="U29" s="73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</row>
    <row r="30" spans="2:200" x14ac:dyDescent="0.15">
      <c r="B30" s="11"/>
      <c r="C30" s="42" t="s">
        <v>272</v>
      </c>
      <c r="D30" s="43" t="s">
        <v>276</v>
      </c>
      <c r="E30" s="11"/>
      <c r="F30" s="11">
        <v>1.2</v>
      </c>
      <c r="G30" s="11"/>
      <c r="H30" s="11"/>
      <c r="I30" s="11"/>
      <c r="J30" s="11"/>
      <c r="K30" s="11"/>
      <c r="L30" s="72"/>
      <c r="M30" s="72"/>
      <c r="N30" s="72"/>
      <c r="O30" s="72"/>
      <c r="P30" s="72"/>
      <c r="Q30" s="73"/>
      <c r="R30" s="73"/>
      <c r="S30" s="74"/>
      <c r="T30" s="73"/>
      <c r="U30" s="73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</row>
    <row r="31" spans="2:200" x14ac:dyDescent="0.15">
      <c r="B31" s="11"/>
      <c r="C31" s="42" t="s">
        <v>273</v>
      </c>
      <c r="D31" s="43">
        <v>2.17</v>
      </c>
      <c r="E31" s="11"/>
      <c r="F31" s="11">
        <v>1.2</v>
      </c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73"/>
      <c r="R31" s="73"/>
      <c r="S31" s="74"/>
      <c r="T31" s="73"/>
      <c r="U31" s="73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</row>
    <row r="32" spans="2:200" x14ac:dyDescent="0.15">
      <c r="B32" s="11"/>
      <c r="C32" s="42" t="s">
        <v>274</v>
      </c>
      <c r="D32" s="43" t="s">
        <v>270</v>
      </c>
      <c r="E32" s="11"/>
      <c r="F32" s="11">
        <v>1</v>
      </c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73"/>
      <c r="R32" s="73"/>
      <c r="S32" s="74"/>
      <c r="T32" s="73"/>
      <c r="U32" s="73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</row>
    <row r="33" spans="2:200" x14ac:dyDescent="0.15">
      <c r="B33" s="11"/>
      <c r="C33" s="42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73"/>
      <c r="R33" s="73"/>
      <c r="S33" s="74"/>
      <c r="T33" s="73"/>
      <c r="U33" s="73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</row>
    <row r="34" spans="2:200" x14ac:dyDescent="0.15">
      <c r="B34" s="11"/>
      <c r="C34" s="42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73"/>
      <c r="R34" s="73"/>
      <c r="S34" s="74"/>
      <c r="T34" s="73"/>
      <c r="U34" s="73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</row>
    <row r="35" spans="2:200" x14ac:dyDescent="0.15">
      <c r="B35" s="87" t="s">
        <v>214</v>
      </c>
      <c r="C35" s="84" t="s">
        <v>213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73"/>
      <c r="R35" s="73"/>
      <c r="S35" s="74"/>
      <c r="T35" s="73"/>
      <c r="U35" s="73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</row>
    <row r="36" spans="2:200" x14ac:dyDescent="0.15">
      <c r="B36" s="84">
        <v>1.360379695892334</v>
      </c>
      <c r="C36" s="88">
        <v>1.2641522884368896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73"/>
      <c r="R36" s="73"/>
      <c r="S36" s="74"/>
      <c r="T36" s="73"/>
      <c r="U36" s="73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</row>
    <row r="37" spans="2:200" x14ac:dyDescent="0.1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73"/>
      <c r="R37" s="73"/>
      <c r="S37" s="74"/>
      <c r="T37" s="73"/>
      <c r="U37" s="73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</row>
    <row r="38" spans="2:200" x14ac:dyDescent="0.1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73"/>
      <c r="R38" s="73"/>
      <c r="S38" s="74"/>
      <c r="T38" s="73"/>
      <c r="U38" s="73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</row>
    <row r="39" spans="2:200" x14ac:dyDescent="0.15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73"/>
      <c r="R39" s="73"/>
      <c r="S39" s="74"/>
      <c r="T39" s="73"/>
      <c r="U39" s="73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</row>
    <row r="40" spans="2:200" x14ac:dyDescent="0.15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73"/>
      <c r="R40" s="73"/>
      <c r="S40" s="74"/>
      <c r="T40" s="73"/>
      <c r="U40" s="73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</row>
    <row r="41" spans="2:200" x14ac:dyDescent="0.15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73"/>
      <c r="R41" s="73"/>
      <c r="S41" s="74"/>
      <c r="T41" s="73"/>
      <c r="U41" s="73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</row>
    <row r="42" spans="2:200" x14ac:dyDescent="0.15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73"/>
      <c r="R42" s="73"/>
      <c r="S42" s="74"/>
      <c r="T42" s="73"/>
      <c r="U42" s="73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</row>
    <row r="43" spans="2:200" x14ac:dyDescent="0.15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73"/>
      <c r="R43" s="73"/>
      <c r="S43" s="73"/>
      <c r="T43" s="73"/>
      <c r="U43" s="73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</row>
    <row r="44" spans="2:200" x14ac:dyDescent="0.1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73"/>
      <c r="R44" s="73"/>
      <c r="S44" s="73"/>
      <c r="T44" s="73"/>
      <c r="U44" s="73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</row>
    <row r="45" spans="2:200" x14ac:dyDescent="0.15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73"/>
      <c r="R45" s="73"/>
      <c r="S45" s="73"/>
      <c r="T45" s="73"/>
      <c r="U45" s="73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</row>
    <row r="46" spans="2:200" x14ac:dyDescent="0.1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73"/>
      <c r="R46" s="73"/>
      <c r="S46" s="73"/>
      <c r="T46" s="73"/>
      <c r="U46" s="73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</row>
    <row r="47" spans="2:200" x14ac:dyDescent="0.15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73"/>
      <c r="R47" s="73"/>
      <c r="S47" s="73"/>
      <c r="T47" s="73"/>
      <c r="U47" s="73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</row>
    <row r="48" spans="2:200" x14ac:dyDescent="0.15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73"/>
      <c r="R48" s="73"/>
      <c r="S48" s="73"/>
      <c r="T48" s="73"/>
      <c r="U48" s="73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</row>
    <row r="49" spans="2:200" x14ac:dyDescent="0.15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73"/>
      <c r="R49" s="73"/>
      <c r="S49" s="73"/>
      <c r="T49" s="73"/>
      <c r="U49" s="73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</row>
    <row r="50" spans="2:200" x14ac:dyDescent="0.1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73"/>
      <c r="R50" s="73"/>
      <c r="S50" s="73"/>
      <c r="T50" s="73"/>
      <c r="U50" s="73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</row>
    <row r="51" spans="2:200" x14ac:dyDescent="0.1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73"/>
      <c r="R51" s="73"/>
      <c r="S51" s="73"/>
      <c r="T51" s="73"/>
      <c r="U51" s="73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</row>
    <row r="52" spans="2:200" x14ac:dyDescent="0.15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73"/>
      <c r="R52" s="73"/>
      <c r="S52" s="73"/>
      <c r="T52" s="73"/>
      <c r="U52" s="73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</row>
    <row r="53" spans="2:200" x14ac:dyDescent="0.15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73"/>
      <c r="R53" s="73"/>
      <c r="S53" s="73"/>
      <c r="T53" s="73"/>
      <c r="U53" s="73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</row>
    <row r="54" spans="2:200" x14ac:dyDescent="0.15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73"/>
      <c r="R54" s="73"/>
      <c r="S54" s="73"/>
      <c r="T54" s="73"/>
      <c r="U54" s="73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</row>
    <row r="55" spans="2:200" x14ac:dyDescent="0.1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73"/>
      <c r="R55" s="73"/>
      <c r="S55" s="73"/>
      <c r="T55" s="73"/>
      <c r="U55" s="73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</row>
    <row r="56" spans="2:200" x14ac:dyDescent="0.15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73"/>
      <c r="R56" s="73"/>
      <c r="S56" s="73"/>
      <c r="T56" s="73"/>
      <c r="U56" s="73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</row>
    <row r="57" spans="2:200" x14ac:dyDescent="0.15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73"/>
      <c r="R57" s="73"/>
      <c r="S57" s="73"/>
      <c r="T57" s="73"/>
      <c r="U57" s="73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</row>
    <row r="58" spans="2:200" x14ac:dyDescent="0.1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73"/>
      <c r="R58" s="73"/>
      <c r="S58" s="73"/>
      <c r="T58" s="73"/>
      <c r="U58" s="73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</row>
    <row r="59" spans="2:200" x14ac:dyDescent="0.15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73"/>
      <c r="R59" s="73"/>
      <c r="S59" s="73"/>
      <c r="T59" s="73"/>
      <c r="U59" s="73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</row>
    <row r="60" spans="2:200" x14ac:dyDescent="0.15"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73"/>
      <c r="R60" s="73"/>
      <c r="S60" s="73"/>
      <c r="T60" s="73"/>
      <c r="U60" s="73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</row>
    <row r="61" spans="2:200" x14ac:dyDescent="0.15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73"/>
      <c r="R61" s="73"/>
      <c r="S61" s="73"/>
      <c r="T61" s="73"/>
      <c r="U61" s="73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</row>
    <row r="62" spans="2:200" x14ac:dyDescent="0.15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</row>
    <row r="63" spans="2:200" x14ac:dyDescent="0.15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</row>
    <row r="64" spans="2:200" x14ac:dyDescent="0.1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</row>
    <row r="65" spans="2:200" x14ac:dyDescent="0.1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</row>
    <row r="66" spans="2:200" x14ac:dyDescent="0.15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</row>
    <row r="67" spans="2:200" x14ac:dyDescent="0.15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</row>
    <row r="68" spans="2:200" x14ac:dyDescent="0.15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</row>
    <row r="69" spans="2:200" x14ac:dyDescent="0.15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</row>
    <row r="70" spans="2:200" x14ac:dyDescent="0.15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</row>
    <row r="71" spans="2:200" x14ac:dyDescent="0.15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</row>
    <row r="72" spans="2:200" x14ac:dyDescent="0.1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</row>
    <row r="73" spans="2:200" x14ac:dyDescent="0.1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</row>
    <row r="74" spans="2:200" x14ac:dyDescent="0.15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</row>
    <row r="75" spans="2:200" x14ac:dyDescent="0.15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</row>
    <row r="76" spans="2:200" x14ac:dyDescent="0.15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</row>
    <row r="77" spans="2:200" x14ac:dyDescent="0.15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</row>
    <row r="78" spans="2:200" x14ac:dyDescent="0.15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</row>
    <row r="79" spans="2:200" x14ac:dyDescent="0.15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</row>
    <row r="80" spans="2:200" x14ac:dyDescent="0.15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</row>
    <row r="81" spans="2:200" x14ac:dyDescent="0.15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</row>
    <row r="82" spans="2:200" x14ac:dyDescent="0.1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</row>
    <row r="83" spans="2:200" x14ac:dyDescent="0.15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</row>
    <row r="84" spans="2:200" x14ac:dyDescent="0.15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</row>
    <row r="85" spans="2:200" x14ac:dyDescent="0.15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</row>
    <row r="86" spans="2:200" x14ac:dyDescent="0.15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</row>
    <row r="87" spans="2:200" x14ac:dyDescent="0.15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</row>
    <row r="88" spans="2:200" x14ac:dyDescent="0.15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</row>
    <row r="89" spans="2:200" x14ac:dyDescent="0.15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</row>
    <row r="90" spans="2:200" x14ac:dyDescent="0.15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</row>
    <row r="91" spans="2:200" x14ac:dyDescent="0.1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</row>
    <row r="92" spans="2:200" x14ac:dyDescent="0.15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</row>
    <row r="93" spans="2:200" x14ac:dyDescent="0.15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</row>
    <row r="94" spans="2:200" x14ac:dyDescent="0.15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</row>
    <row r="95" spans="2:200" x14ac:dyDescent="0.15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</row>
    <row r="96" spans="2:200" x14ac:dyDescent="0.15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</row>
    <row r="97" spans="2:200" x14ac:dyDescent="0.15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</row>
    <row r="98" spans="2:200" x14ac:dyDescent="0.15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</row>
    <row r="99" spans="2:200" x14ac:dyDescent="0.15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</row>
    <row r="100" spans="2:200" x14ac:dyDescent="0.1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</row>
    <row r="101" spans="2:200" x14ac:dyDescent="0.15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</row>
    <row r="102" spans="2:200" x14ac:dyDescent="0.15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</row>
    <row r="103" spans="2:200" x14ac:dyDescent="0.15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</row>
    <row r="104" spans="2:200" x14ac:dyDescent="0.15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</row>
    <row r="105" spans="2:200" x14ac:dyDescent="0.15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</row>
    <row r="106" spans="2:200" x14ac:dyDescent="0.15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</row>
    <row r="107" spans="2:200" x14ac:dyDescent="0.15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</row>
    <row r="108" spans="2:200" x14ac:dyDescent="0.15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  <c r="DV108" s="11"/>
      <c r="DW108" s="11"/>
      <c r="DX108" s="11"/>
      <c r="DY108" s="11"/>
      <c r="DZ108" s="11"/>
      <c r="EA108" s="11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  <c r="FD108" s="11"/>
      <c r="FE108" s="11"/>
      <c r="FF108" s="11"/>
      <c r="FG108" s="11"/>
      <c r="FH108" s="11"/>
      <c r="FI108" s="11"/>
      <c r="FJ108" s="11"/>
      <c r="FK108" s="11"/>
      <c r="FL108" s="11"/>
      <c r="FM108" s="11"/>
      <c r="FN108" s="11"/>
      <c r="FO108" s="11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M108" s="11"/>
      <c r="GN108" s="11"/>
      <c r="GO108" s="11"/>
      <c r="GP108" s="11"/>
      <c r="GQ108" s="11"/>
      <c r="GR108" s="11"/>
    </row>
    <row r="109" spans="2:200" x14ac:dyDescent="0.1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</row>
    <row r="110" spans="2:200" x14ac:dyDescent="0.15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</row>
    <row r="111" spans="2:200" x14ac:dyDescent="0.15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</row>
    <row r="112" spans="2:200" x14ac:dyDescent="0.15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</row>
    <row r="113" spans="2:200" x14ac:dyDescent="0.15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</row>
    <row r="114" spans="2:200" x14ac:dyDescent="0.15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</row>
    <row r="115" spans="2:200" x14ac:dyDescent="0.15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</row>
    <row r="116" spans="2:200" x14ac:dyDescent="0.15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</row>
    <row r="117" spans="2:200" x14ac:dyDescent="0.15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</row>
    <row r="118" spans="2:200" x14ac:dyDescent="0.1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1"/>
      <c r="DQ118" s="11"/>
      <c r="DR118" s="11"/>
      <c r="DS118" s="11"/>
      <c r="DT118" s="11"/>
      <c r="DU118" s="11"/>
      <c r="DV118" s="11"/>
      <c r="DW118" s="11"/>
      <c r="DX118" s="11"/>
      <c r="DY118" s="11"/>
      <c r="DZ118" s="11"/>
      <c r="EA118" s="11"/>
      <c r="EB118" s="11"/>
      <c r="EC118" s="11"/>
      <c r="ED118" s="11"/>
      <c r="EE118" s="11"/>
      <c r="EF118" s="11"/>
      <c r="EG118" s="11"/>
      <c r="EH118" s="11"/>
      <c r="EI118" s="11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1"/>
      <c r="EY118" s="11"/>
      <c r="EZ118" s="11"/>
      <c r="FA118" s="11"/>
      <c r="FB118" s="11"/>
      <c r="FC118" s="11"/>
      <c r="FD118" s="11"/>
      <c r="FE118" s="11"/>
      <c r="FF118" s="11"/>
      <c r="FG118" s="11"/>
      <c r="FH118" s="11"/>
      <c r="FI118" s="11"/>
      <c r="FJ118" s="11"/>
      <c r="FK118" s="11"/>
      <c r="FL118" s="11"/>
      <c r="FM118" s="11"/>
      <c r="FN118" s="11"/>
      <c r="FO118" s="11"/>
      <c r="FP118" s="11"/>
      <c r="FQ118" s="11"/>
      <c r="FR118" s="11"/>
      <c r="FS118" s="11"/>
      <c r="FT118" s="11"/>
      <c r="FU118" s="11"/>
      <c r="FV118" s="11"/>
      <c r="FW118" s="11"/>
      <c r="FX118" s="11"/>
      <c r="FY118" s="11"/>
      <c r="FZ118" s="11"/>
      <c r="GA118" s="11"/>
      <c r="GB118" s="11"/>
      <c r="GC118" s="11"/>
      <c r="GD118" s="11"/>
      <c r="GE118" s="11"/>
      <c r="GF118" s="11"/>
      <c r="GG118" s="11"/>
      <c r="GH118" s="11"/>
      <c r="GI118" s="11"/>
      <c r="GJ118" s="11"/>
      <c r="GK118" s="11"/>
      <c r="GL118" s="11"/>
      <c r="GM118" s="11"/>
      <c r="GN118" s="11"/>
      <c r="GO118" s="11"/>
      <c r="GP118" s="11"/>
      <c r="GQ118" s="11"/>
      <c r="GR118" s="11"/>
    </row>
    <row r="119" spans="2:200" x14ac:dyDescent="0.15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</row>
    <row r="120" spans="2:200" x14ac:dyDescent="0.15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  <c r="DV120" s="11"/>
      <c r="DW120" s="11"/>
      <c r="DX120" s="11"/>
      <c r="DY120" s="11"/>
      <c r="DZ120" s="11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1"/>
      <c r="FI120" s="11"/>
      <c r="FJ120" s="11"/>
      <c r="FK120" s="11"/>
      <c r="FL120" s="11"/>
      <c r="FM120" s="11"/>
      <c r="FN120" s="11"/>
      <c r="FO120" s="11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1"/>
      <c r="GE120" s="11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</row>
    <row r="121" spans="2:200" x14ac:dyDescent="0.15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</row>
    <row r="122" spans="2:200" x14ac:dyDescent="0.15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</row>
    <row r="123" spans="2:200" x14ac:dyDescent="0.15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  <c r="CW123" s="11"/>
      <c r="CX123" s="11"/>
      <c r="CY123" s="11"/>
      <c r="CZ123" s="11"/>
      <c r="DA123" s="11"/>
      <c r="DB123" s="11"/>
      <c r="DC123" s="11"/>
      <c r="DD123" s="11"/>
      <c r="DE123" s="11"/>
      <c r="DF123" s="11"/>
      <c r="DG123" s="11"/>
      <c r="DH123" s="11"/>
      <c r="DI123" s="11"/>
      <c r="DJ123" s="11"/>
      <c r="DK123" s="11"/>
      <c r="DL123" s="11"/>
      <c r="DM123" s="11"/>
      <c r="DN123" s="11"/>
      <c r="DO123" s="11"/>
      <c r="DP123" s="11"/>
      <c r="DQ123" s="11"/>
      <c r="DR123" s="11"/>
      <c r="DS123" s="11"/>
      <c r="DT123" s="11"/>
      <c r="DU123" s="11"/>
      <c r="DV123" s="11"/>
      <c r="DW123" s="11"/>
      <c r="DX123" s="11"/>
      <c r="DY123" s="11"/>
      <c r="DZ123" s="11"/>
      <c r="EA123" s="11"/>
      <c r="EB123" s="11"/>
      <c r="EC123" s="11"/>
      <c r="ED123" s="11"/>
      <c r="EE123" s="11"/>
      <c r="EF123" s="11"/>
      <c r="EG123" s="11"/>
      <c r="EH123" s="11"/>
      <c r="EI123" s="11"/>
      <c r="EJ123" s="11"/>
      <c r="EK123" s="11"/>
      <c r="EL123" s="11"/>
      <c r="EM123" s="11"/>
      <c r="EN123" s="11"/>
      <c r="EO123" s="11"/>
      <c r="EP123" s="11"/>
      <c r="EQ123" s="11"/>
      <c r="ER123" s="11"/>
      <c r="ES123" s="11"/>
      <c r="ET123" s="11"/>
      <c r="EU123" s="11"/>
      <c r="EV123" s="11"/>
      <c r="EW123" s="11"/>
      <c r="EX123" s="11"/>
      <c r="EY123" s="11"/>
      <c r="EZ123" s="11"/>
      <c r="FA123" s="11"/>
      <c r="FB123" s="11"/>
      <c r="FC123" s="11"/>
      <c r="FD123" s="11"/>
      <c r="FE123" s="11"/>
      <c r="FF123" s="11"/>
      <c r="FG123" s="11"/>
      <c r="FH123" s="11"/>
      <c r="FI123" s="11"/>
      <c r="FJ123" s="11"/>
      <c r="FK123" s="11"/>
      <c r="FL123" s="11"/>
      <c r="FM123" s="11"/>
      <c r="FN123" s="11"/>
      <c r="FO123" s="11"/>
      <c r="FP123" s="11"/>
      <c r="FQ123" s="11"/>
      <c r="FR123" s="11"/>
      <c r="FS123" s="11"/>
      <c r="FT123" s="11"/>
      <c r="FU123" s="11"/>
      <c r="FV123" s="11"/>
      <c r="FW123" s="11"/>
      <c r="FX123" s="11"/>
      <c r="FY123" s="11"/>
      <c r="FZ123" s="11"/>
      <c r="GA123" s="11"/>
      <c r="GB123" s="11"/>
      <c r="GC123" s="11"/>
      <c r="GD123" s="11"/>
      <c r="GE123" s="11"/>
      <c r="GF123" s="11"/>
      <c r="GG123" s="11"/>
      <c r="GH123" s="11"/>
      <c r="GI123" s="11"/>
      <c r="GJ123" s="11"/>
      <c r="GK123" s="11"/>
      <c r="GL123" s="11"/>
      <c r="GM123" s="11"/>
      <c r="GN123" s="11"/>
      <c r="GO123" s="11"/>
      <c r="GP123" s="11"/>
      <c r="GQ123" s="11"/>
      <c r="GR123" s="11"/>
    </row>
    <row r="124" spans="2:200" x14ac:dyDescent="0.15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</row>
    <row r="125" spans="2:200" x14ac:dyDescent="0.15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</row>
    <row r="126" spans="2:200" x14ac:dyDescent="0.15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</row>
    <row r="127" spans="2:200" x14ac:dyDescent="0.1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  <c r="CW127" s="11"/>
      <c r="CX127" s="11"/>
      <c r="CY127" s="11"/>
      <c r="CZ127" s="11"/>
      <c r="DA127" s="11"/>
      <c r="DB127" s="11"/>
      <c r="DC127" s="11"/>
      <c r="DD127" s="11"/>
      <c r="DE127" s="11"/>
      <c r="DF127" s="11"/>
      <c r="DG127" s="11"/>
      <c r="DH127" s="11"/>
      <c r="DI127" s="11"/>
      <c r="DJ127" s="11"/>
      <c r="DK127" s="11"/>
      <c r="DL127" s="11"/>
      <c r="DM127" s="11"/>
      <c r="DN127" s="11"/>
      <c r="DO127" s="11"/>
      <c r="DP127" s="11"/>
      <c r="DQ127" s="11"/>
      <c r="DR127" s="11"/>
      <c r="DS127" s="11"/>
      <c r="DT127" s="11"/>
      <c r="DU127" s="11"/>
      <c r="DV127" s="11"/>
      <c r="DW127" s="11"/>
      <c r="DX127" s="11"/>
      <c r="DY127" s="11"/>
      <c r="DZ127" s="11"/>
      <c r="EA127" s="11"/>
      <c r="EB127" s="11"/>
      <c r="EC127" s="11"/>
      <c r="ED127" s="11"/>
      <c r="EE127" s="11"/>
      <c r="EF127" s="11"/>
      <c r="EG127" s="11"/>
      <c r="EH127" s="11"/>
      <c r="EI127" s="11"/>
      <c r="EJ127" s="11"/>
      <c r="EK127" s="11"/>
      <c r="EL127" s="11"/>
      <c r="EM127" s="11"/>
      <c r="EN127" s="11"/>
      <c r="EO127" s="11"/>
      <c r="EP127" s="11"/>
      <c r="EQ127" s="11"/>
      <c r="ER127" s="11"/>
      <c r="ES127" s="11"/>
      <c r="ET127" s="11"/>
      <c r="EU127" s="11"/>
      <c r="EV127" s="11"/>
      <c r="EW127" s="11"/>
      <c r="EX127" s="11"/>
      <c r="EY127" s="11"/>
      <c r="EZ127" s="11"/>
      <c r="FA127" s="11"/>
      <c r="FB127" s="11"/>
      <c r="FC127" s="11"/>
      <c r="FD127" s="11"/>
      <c r="FE127" s="11"/>
      <c r="FF127" s="11"/>
      <c r="FG127" s="11"/>
      <c r="FH127" s="11"/>
      <c r="FI127" s="11"/>
      <c r="FJ127" s="11"/>
      <c r="FK127" s="11"/>
      <c r="FL127" s="11"/>
      <c r="FM127" s="11"/>
      <c r="FN127" s="11"/>
      <c r="FO127" s="11"/>
      <c r="FP127" s="11"/>
      <c r="FQ127" s="11"/>
      <c r="FR127" s="11"/>
      <c r="FS127" s="11"/>
      <c r="FT127" s="11"/>
      <c r="FU127" s="11"/>
      <c r="FV127" s="11"/>
      <c r="FW127" s="11"/>
      <c r="FX127" s="11"/>
      <c r="FY127" s="11"/>
      <c r="FZ127" s="11"/>
      <c r="GA127" s="11"/>
      <c r="GB127" s="11"/>
      <c r="GC127" s="11"/>
      <c r="GD127" s="11"/>
      <c r="GE127" s="11"/>
      <c r="GF127" s="11"/>
      <c r="GG127" s="11"/>
      <c r="GH127" s="11"/>
      <c r="GI127" s="11"/>
      <c r="GJ127" s="11"/>
      <c r="GK127" s="11"/>
      <c r="GL127" s="11"/>
      <c r="GM127" s="11"/>
      <c r="GN127" s="11"/>
      <c r="GO127" s="11"/>
      <c r="GP127" s="11"/>
      <c r="GQ127" s="11"/>
      <c r="GR127" s="11"/>
    </row>
    <row r="128" spans="2:200" x14ac:dyDescent="0.15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  <c r="CW128" s="11"/>
      <c r="CX128" s="11"/>
      <c r="CY128" s="11"/>
      <c r="CZ128" s="11"/>
      <c r="DA128" s="11"/>
      <c r="DB128" s="11"/>
      <c r="DC128" s="11"/>
      <c r="DD128" s="11"/>
      <c r="DE128" s="11"/>
      <c r="DF128" s="11"/>
      <c r="DG128" s="11"/>
      <c r="DH128" s="11"/>
      <c r="DI128" s="11"/>
      <c r="DJ128" s="11"/>
      <c r="DK128" s="11"/>
      <c r="DL128" s="11"/>
      <c r="DM128" s="11"/>
      <c r="DN128" s="11"/>
      <c r="DO128" s="11"/>
      <c r="DP128" s="11"/>
      <c r="DQ128" s="11"/>
      <c r="DR128" s="11"/>
      <c r="DS128" s="11"/>
      <c r="DT128" s="11"/>
      <c r="DU128" s="11"/>
      <c r="DV128" s="11"/>
      <c r="DW128" s="11"/>
      <c r="DX128" s="11"/>
      <c r="DY128" s="11"/>
      <c r="DZ128" s="11"/>
      <c r="EA128" s="11"/>
      <c r="EB128" s="11"/>
      <c r="EC128" s="11"/>
      <c r="ED128" s="11"/>
      <c r="EE128" s="11"/>
      <c r="EF128" s="11"/>
      <c r="EG128" s="11"/>
      <c r="EH128" s="11"/>
      <c r="EI128" s="11"/>
      <c r="EJ128" s="11"/>
      <c r="EK128" s="11"/>
      <c r="EL128" s="11"/>
      <c r="EM128" s="11"/>
      <c r="EN128" s="11"/>
      <c r="EO128" s="11"/>
      <c r="EP128" s="11"/>
      <c r="EQ128" s="11"/>
      <c r="ER128" s="11"/>
      <c r="ES128" s="11"/>
      <c r="ET128" s="11"/>
      <c r="EU128" s="11"/>
      <c r="EV128" s="11"/>
      <c r="EW128" s="11"/>
      <c r="EX128" s="11"/>
      <c r="EY128" s="11"/>
      <c r="EZ128" s="11"/>
      <c r="FA128" s="11"/>
      <c r="FB128" s="11"/>
      <c r="FC128" s="11"/>
      <c r="FD128" s="11"/>
      <c r="FE128" s="11"/>
      <c r="FF128" s="11"/>
      <c r="FG128" s="11"/>
      <c r="FH128" s="11"/>
      <c r="FI128" s="11"/>
      <c r="FJ128" s="11"/>
      <c r="FK128" s="11"/>
      <c r="FL128" s="11"/>
      <c r="FM128" s="11"/>
      <c r="FN128" s="11"/>
      <c r="FO128" s="11"/>
      <c r="FP128" s="11"/>
      <c r="FQ128" s="11"/>
      <c r="FR128" s="11"/>
      <c r="FS128" s="11"/>
      <c r="FT128" s="11"/>
      <c r="FU128" s="11"/>
      <c r="FV128" s="11"/>
      <c r="FW128" s="11"/>
      <c r="FX128" s="11"/>
      <c r="FY128" s="11"/>
      <c r="FZ128" s="11"/>
      <c r="GA128" s="11"/>
      <c r="GB128" s="11"/>
      <c r="GC128" s="11"/>
      <c r="GD128" s="11"/>
      <c r="GE128" s="11"/>
      <c r="GF128" s="11"/>
      <c r="GG128" s="11"/>
      <c r="GH128" s="11"/>
      <c r="GI128" s="11"/>
      <c r="GJ128" s="11"/>
      <c r="GK128" s="11"/>
      <c r="GL128" s="11"/>
      <c r="GM128" s="11"/>
      <c r="GN128" s="11"/>
      <c r="GO128" s="11"/>
      <c r="GP128" s="11"/>
      <c r="GQ128" s="11"/>
      <c r="GR128" s="11"/>
    </row>
    <row r="129" spans="2:200" x14ac:dyDescent="0.15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  <c r="CW129" s="11"/>
      <c r="CX129" s="11"/>
      <c r="CY129" s="11"/>
      <c r="CZ129" s="11"/>
      <c r="DA129" s="11"/>
      <c r="DB129" s="11"/>
      <c r="DC129" s="11"/>
      <c r="DD129" s="11"/>
      <c r="DE129" s="11"/>
      <c r="DF129" s="11"/>
      <c r="DG129" s="11"/>
      <c r="DH129" s="11"/>
      <c r="DI129" s="11"/>
      <c r="DJ129" s="11"/>
      <c r="DK129" s="11"/>
      <c r="DL129" s="11"/>
      <c r="DM129" s="11"/>
      <c r="DN129" s="11"/>
      <c r="DO129" s="11"/>
      <c r="DP129" s="11"/>
      <c r="DQ129" s="11"/>
      <c r="DR129" s="11"/>
      <c r="DS129" s="11"/>
      <c r="DT129" s="11"/>
      <c r="DU129" s="11"/>
      <c r="DV129" s="11"/>
      <c r="DW129" s="11"/>
      <c r="DX129" s="11"/>
      <c r="DY129" s="11"/>
      <c r="DZ129" s="11"/>
      <c r="EA129" s="11"/>
      <c r="EB129" s="11"/>
      <c r="EC129" s="11"/>
      <c r="ED129" s="11"/>
      <c r="EE129" s="11"/>
      <c r="EF129" s="11"/>
      <c r="EG129" s="11"/>
      <c r="EH129" s="11"/>
      <c r="EI129" s="11"/>
      <c r="EJ129" s="11"/>
      <c r="EK129" s="11"/>
      <c r="EL129" s="11"/>
      <c r="EM129" s="11"/>
      <c r="EN129" s="11"/>
      <c r="EO129" s="11"/>
      <c r="EP129" s="11"/>
      <c r="EQ129" s="11"/>
      <c r="ER129" s="11"/>
      <c r="ES129" s="11"/>
      <c r="ET129" s="11"/>
      <c r="EU129" s="11"/>
      <c r="EV129" s="11"/>
      <c r="EW129" s="11"/>
      <c r="EX129" s="11"/>
      <c r="EY129" s="11"/>
      <c r="EZ129" s="11"/>
      <c r="FA129" s="11"/>
      <c r="FB129" s="11"/>
      <c r="FC129" s="11"/>
      <c r="FD129" s="11"/>
      <c r="FE129" s="11"/>
      <c r="FF129" s="11"/>
      <c r="FG129" s="11"/>
      <c r="FH129" s="11"/>
      <c r="FI129" s="11"/>
      <c r="FJ129" s="11"/>
      <c r="FK129" s="11"/>
      <c r="FL129" s="11"/>
      <c r="FM129" s="11"/>
      <c r="FN129" s="11"/>
      <c r="FO129" s="11"/>
      <c r="FP129" s="11"/>
      <c r="FQ129" s="11"/>
      <c r="FR129" s="11"/>
      <c r="FS129" s="11"/>
      <c r="FT129" s="11"/>
      <c r="FU129" s="11"/>
      <c r="FV129" s="11"/>
      <c r="FW129" s="11"/>
      <c r="FX129" s="11"/>
      <c r="FY129" s="11"/>
      <c r="FZ129" s="11"/>
      <c r="GA129" s="11"/>
      <c r="GB129" s="11"/>
      <c r="GC129" s="11"/>
      <c r="GD129" s="11"/>
      <c r="GE129" s="11"/>
      <c r="GF129" s="11"/>
      <c r="GG129" s="11"/>
      <c r="GH129" s="11"/>
      <c r="GI129" s="11"/>
      <c r="GJ129" s="11"/>
      <c r="GK129" s="11"/>
      <c r="GL129" s="11"/>
      <c r="GM129" s="11"/>
      <c r="GN129" s="11"/>
      <c r="GO129" s="11"/>
      <c r="GP129" s="11"/>
      <c r="GQ129" s="11"/>
      <c r="GR129" s="11"/>
    </row>
    <row r="130" spans="2:200" x14ac:dyDescent="0.15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  <c r="DV130" s="11"/>
      <c r="DW130" s="11"/>
      <c r="DX130" s="11"/>
      <c r="DY130" s="11"/>
      <c r="DZ130" s="11"/>
      <c r="EA130" s="11"/>
      <c r="EB130" s="11"/>
      <c r="EC130" s="11"/>
      <c r="ED130" s="11"/>
      <c r="EE130" s="11"/>
      <c r="EF130" s="11"/>
      <c r="EG130" s="11"/>
      <c r="EH130" s="11"/>
      <c r="EI130" s="11"/>
      <c r="EJ130" s="11"/>
      <c r="EK130" s="11"/>
      <c r="EL130" s="11"/>
      <c r="EM130" s="11"/>
      <c r="EN130" s="11"/>
      <c r="EO130" s="11"/>
      <c r="EP130" s="11"/>
      <c r="EQ130" s="11"/>
      <c r="ER130" s="11"/>
      <c r="ES130" s="11"/>
      <c r="ET130" s="11"/>
      <c r="EU130" s="11"/>
      <c r="EV130" s="11"/>
      <c r="EW130" s="11"/>
      <c r="EX130" s="11"/>
      <c r="EY130" s="11"/>
      <c r="EZ130" s="11"/>
      <c r="FA130" s="11"/>
      <c r="FB130" s="11"/>
      <c r="FC130" s="11"/>
      <c r="FD130" s="11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M130" s="11"/>
      <c r="GN130" s="11"/>
      <c r="GO130" s="11"/>
      <c r="GP130" s="11"/>
      <c r="GQ130" s="11"/>
      <c r="GR130" s="11"/>
    </row>
    <row r="131" spans="2:200" x14ac:dyDescent="0.15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  <c r="CW131" s="11"/>
      <c r="CX131" s="11"/>
      <c r="CY131" s="11"/>
      <c r="CZ131" s="11"/>
      <c r="DA131" s="11"/>
      <c r="DB131" s="11"/>
      <c r="DC131" s="11"/>
      <c r="DD131" s="11"/>
      <c r="DE131" s="11"/>
      <c r="DF131" s="11"/>
      <c r="DG131" s="11"/>
      <c r="DH131" s="11"/>
      <c r="DI131" s="11"/>
      <c r="DJ131" s="11"/>
      <c r="DK131" s="11"/>
      <c r="DL131" s="11"/>
      <c r="DM131" s="11"/>
      <c r="DN131" s="11"/>
      <c r="DO131" s="11"/>
      <c r="DP131" s="11"/>
      <c r="DQ131" s="11"/>
      <c r="DR131" s="11"/>
      <c r="DS131" s="11"/>
      <c r="DT131" s="11"/>
      <c r="DU131" s="11"/>
      <c r="DV131" s="11"/>
      <c r="DW131" s="11"/>
      <c r="DX131" s="11"/>
      <c r="DY131" s="11"/>
      <c r="DZ131" s="11"/>
      <c r="EA131" s="11"/>
      <c r="EB131" s="11"/>
      <c r="EC131" s="11"/>
      <c r="ED131" s="11"/>
      <c r="EE131" s="11"/>
      <c r="EF131" s="11"/>
      <c r="EG131" s="11"/>
      <c r="EH131" s="11"/>
      <c r="EI131" s="11"/>
      <c r="EJ131" s="11"/>
      <c r="EK131" s="11"/>
      <c r="EL131" s="11"/>
      <c r="EM131" s="11"/>
      <c r="EN131" s="11"/>
      <c r="EO131" s="11"/>
      <c r="EP131" s="11"/>
      <c r="EQ131" s="11"/>
      <c r="ER131" s="11"/>
      <c r="ES131" s="11"/>
      <c r="ET131" s="11"/>
      <c r="EU131" s="11"/>
      <c r="EV131" s="11"/>
      <c r="EW131" s="11"/>
      <c r="EX131" s="11"/>
      <c r="EY131" s="11"/>
      <c r="EZ131" s="11"/>
      <c r="FA131" s="11"/>
      <c r="FB131" s="11"/>
      <c r="FC131" s="11"/>
      <c r="FD131" s="11"/>
      <c r="FE131" s="11"/>
      <c r="FF131" s="11"/>
      <c r="FG131" s="11"/>
      <c r="FH131" s="11"/>
      <c r="FI131" s="11"/>
      <c r="FJ131" s="11"/>
      <c r="FK131" s="11"/>
      <c r="FL131" s="11"/>
      <c r="FM131" s="11"/>
      <c r="FN131" s="11"/>
      <c r="FO131" s="11"/>
      <c r="FP131" s="11"/>
      <c r="FQ131" s="11"/>
      <c r="FR131" s="11"/>
      <c r="FS131" s="11"/>
      <c r="FT131" s="11"/>
      <c r="FU131" s="11"/>
      <c r="FV131" s="11"/>
      <c r="FW131" s="11"/>
      <c r="FX131" s="11"/>
      <c r="FY131" s="11"/>
      <c r="FZ131" s="11"/>
      <c r="GA131" s="11"/>
      <c r="GB131" s="11"/>
      <c r="GC131" s="11"/>
      <c r="GD131" s="11"/>
      <c r="GE131" s="11"/>
      <c r="GF131" s="11"/>
      <c r="GG131" s="11"/>
      <c r="GH131" s="11"/>
      <c r="GI131" s="11"/>
      <c r="GJ131" s="11"/>
      <c r="GK131" s="11"/>
      <c r="GL131" s="11"/>
      <c r="GM131" s="11"/>
      <c r="GN131" s="11"/>
      <c r="GO131" s="11"/>
      <c r="GP131" s="11"/>
      <c r="GQ131" s="11"/>
      <c r="GR131" s="11"/>
    </row>
    <row r="132" spans="2:200" x14ac:dyDescent="0.15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  <c r="CW132" s="11"/>
      <c r="CX132" s="11"/>
      <c r="CY132" s="11"/>
      <c r="CZ132" s="11"/>
      <c r="DA132" s="11"/>
      <c r="DB132" s="11"/>
      <c r="DC132" s="11"/>
      <c r="DD132" s="11"/>
      <c r="DE132" s="11"/>
      <c r="DF132" s="11"/>
      <c r="DG132" s="11"/>
      <c r="DH132" s="11"/>
      <c r="DI132" s="11"/>
      <c r="DJ132" s="11"/>
      <c r="DK132" s="11"/>
      <c r="DL132" s="11"/>
      <c r="DM132" s="11"/>
      <c r="DN132" s="11"/>
      <c r="DO132" s="11"/>
      <c r="DP132" s="11"/>
      <c r="DQ132" s="11"/>
      <c r="DR132" s="11"/>
      <c r="DS132" s="11"/>
      <c r="DT132" s="11"/>
      <c r="DU132" s="11"/>
      <c r="DV132" s="11"/>
      <c r="DW132" s="11"/>
      <c r="DX132" s="11"/>
      <c r="DY132" s="11"/>
      <c r="DZ132" s="11"/>
      <c r="EA132" s="11"/>
      <c r="EB132" s="11"/>
      <c r="EC132" s="11"/>
      <c r="ED132" s="11"/>
      <c r="EE132" s="11"/>
      <c r="EF132" s="11"/>
      <c r="EG132" s="11"/>
      <c r="EH132" s="11"/>
      <c r="EI132" s="11"/>
      <c r="EJ132" s="11"/>
      <c r="EK132" s="11"/>
      <c r="EL132" s="11"/>
      <c r="EM132" s="11"/>
      <c r="EN132" s="11"/>
      <c r="EO132" s="11"/>
      <c r="EP132" s="11"/>
      <c r="EQ132" s="11"/>
      <c r="ER132" s="11"/>
      <c r="ES132" s="11"/>
      <c r="ET132" s="11"/>
      <c r="EU132" s="11"/>
      <c r="EV132" s="11"/>
      <c r="EW132" s="11"/>
      <c r="EX132" s="11"/>
      <c r="EY132" s="11"/>
      <c r="EZ132" s="11"/>
      <c r="FA132" s="11"/>
      <c r="FB132" s="11"/>
      <c r="FC132" s="11"/>
      <c r="FD132" s="11"/>
      <c r="FE132" s="11"/>
      <c r="FF132" s="11"/>
      <c r="FG132" s="11"/>
      <c r="FH132" s="11"/>
      <c r="FI132" s="11"/>
      <c r="FJ132" s="11"/>
      <c r="FK132" s="11"/>
      <c r="FL132" s="11"/>
      <c r="FM132" s="11"/>
      <c r="FN132" s="11"/>
      <c r="FO132" s="11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11"/>
      <c r="GA132" s="11"/>
      <c r="GB132" s="11"/>
      <c r="GC132" s="11"/>
      <c r="GD132" s="11"/>
      <c r="GE132" s="11"/>
      <c r="GF132" s="11"/>
      <c r="GG132" s="11"/>
      <c r="GH132" s="11"/>
      <c r="GI132" s="11"/>
      <c r="GJ132" s="11"/>
      <c r="GK132" s="11"/>
      <c r="GL132" s="11"/>
      <c r="GM132" s="11"/>
      <c r="GN132" s="11"/>
      <c r="GO132" s="11"/>
      <c r="GP132" s="11"/>
      <c r="GQ132" s="11"/>
      <c r="GR132" s="11"/>
    </row>
    <row r="133" spans="2:200" x14ac:dyDescent="0.15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  <c r="CW133" s="11"/>
      <c r="CX133" s="11"/>
      <c r="CY133" s="11"/>
      <c r="CZ133" s="11"/>
      <c r="DA133" s="11"/>
      <c r="DB133" s="11"/>
      <c r="DC133" s="11"/>
      <c r="DD133" s="11"/>
      <c r="DE133" s="11"/>
      <c r="DF133" s="11"/>
      <c r="DG133" s="11"/>
      <c r="DH133" s="11"/>
      <c r="DI133" s="11"/>
      <c r="DJ133" s="11"/>
      <c r="DK133" s="11"/>
      <c r="DL133" s="11"/>
      <c r="DM133" s="11"/>
      <c r="DN133" s="11"/>
      <c r="DO133" s="11"/>
      <c r="DP133" s="11"/>
      <c r="DQ133" s="11"/>
      <c r="DR133" s="11"/>
      <c r="DS133" s="11"/>
      <c r="DT133" s="11"/>
      <c r="DU133" s="11"/>
      <c r="DV133" s="11"/>
      <c r="DW133" s="11"/>
      <c r="DX133" s="11"/>
      <c r="DY133" s="11"/>
      <c r="DZ133" s="11"/>
      <c r="EA133" s="11"/>
      <c r="EB133" s="11"/>
      <c r="EC133" s="11"/>
      <c r="ED133" s="11"/>
      <c r="EE133" s="11"/>
      <c r="EF133" s="11"/>
      <c r="EG133" s="11"/>
      <c r="EH133" s="11"/>
      <c r="EI133" s="11"/>
      <c r="EJ133" s="11"/>
      <c r="EK133" s="11"/>
      <c r="EL133" s="11"/>
      <c r="EM133" s="11"/>
      <c r="EN133" s="11"/>
      <c r="EO133" s="11"/>
      <c r="EP133" s="11"/>
      <c r="EQ133" s="11"/>
      <c r="ER133" s="11"/>
      <c r="ES133" s="11"/>
      <c r="ET133" s="11"/>
      <c r="EU133" s="11"/>
      <c r="EV133" s="11"/>
      <c r="EW133" s="11"/>
      <c r="EX133" s="11"/>
      <c r="EY133" s="11"/>
      <c r="EZ133" s="11"/>
      <c r="FA133" s="11"/>
      <c r="FB133" s="11"/>
      <c r="FC133" s="11"/>
      <c r="FD133" s="11"/>
      <c r="FE133" s="11"/>
      <c r="FF133" s="11"/>
      <c r="FG133" s="11"/>
      <c r="FH133" s="11"/>
      <c r="FI133" s="11"/>
      <c r="FJ133" s="11"/>
      <c r="FK133" s="11"/>
      <c r="FL133" s="11"/>
      <c r="FM133" s="11"/>
      <c r="FN133" s="11"/>
      <c r="FO133" s="11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11"/>
      <c r="GC133" s="11"/>
      <c r="GD133" s="11"/>
      <c r="GE133" s="11"/>
      <c r="GF133" s="11"/>
      <c r="GG133" s="11"/>
      <c r="GH133" s="11"/>
      <c r="GI133" s="11"/>
      <c r="GJ133" s="11"/>
      <c r="GK133" s="11"/>
      <c r="GL133" s="11"/>
      <c r="GM133" s="11"/>
      <c r="GN133" s="11"/>
      <c r="GO133" s="11"/>
      <c r="GP133" s="11"/>
      <c r="GQ133" s="11"/>
      <c r="GR133" s="11"/>
    </row>
    <row r="134" spans="2:200" x14ac:dyDescent="0.15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</row>
    <row r="135" spans="2:200" x14ac:dyDescent="0.15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1"/>
      <c r="DK135" s="11"/>
      <c r="DL135" s="11"/>
      <c r="DM135" s="11"/>
      <c r="DN135" s="11"/>
      <c r="DO135" s="11"/>
      <c r="DP135" s="11"/>
      <c r="DQ135" s="11"/>
      <c r="DR135" s="11"/>
      <c r="DS135" s="11"/>
      <c r="DT135" s="11"/>
      <c r="DU135" s="11"/>
      <c r="DV135" s="11"/>
      <c r="DW135" s="11"/>
      <c r="DX135" s="11"/>
      <c r="DY135" s="11"/>
      <c r="DZ135" s="11"/>
      <c r="EA135" s="11"/>
      <c r="EB135" s="11"/>
      <c r="EC135" s="11"/>
      <c r="ED135" s="11"/>
      <c r="EE135" s="11"/>
      <c r="EF135" s="11"/>
      <c r="EG135" s="11"/>
      <c r="EH135" s="11"/>
      <c r="EI135" s="11"/>
      <c r="EJ135" s="11"/>
      <c r="EK135" s="11"/>
      <c r="EL135" s="11"/>
      <c r="EM135" s="11"/>
      <c r="EN135" s="11"/>
      <c r="EO135" s="11"/>
      <c r="EP135" s="11"/>
      <c r="EQ135" s="11"/>
      <c r="ER135" s="11"/>
      <c r="ES135" s="11"/>
      <c r="ET135" s="11"/>
      <c r="EU135" s="11"/>
      <c r="EV135" s="11"/>
      <c r="EW135" s="11"/>
      <c r="EX135" s="11"/>
      <c r="EY135" s="11"/>
      <c r="EZ135" s="11"/>
      <c r="FA135" s="11"/>
      <c r="FB135" s="11"/>
      <c r="FC135" s="11"/>
      <c r="FD135" s="11"/>
      <c r="FE135" s="11"/>
      <c r="FF135" s="11"/>
      <c r="FG135" s="11"/>
      <c r="FH135" s="11"/>
      <c r="FI135" s="11"/>
      <c r="FJ135" s="11"/>
      <c r="FK135" s="11"/>
      <c r="FL135" s="11"/>
      <c r="FM135" s="11"/>
      <c r="FN135" s="11"/>
      <c r="FO135" s="11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1"/>
      <c r="GF135" s="11"/>
      <c r="GG135" s="11"/>
      <c r="GH135" s="11"/>
      <c r="GI135" s="11"/>
      <c r="GJ135" s="11"/>
      <c r="GK135" s="11"/>
      <c r="GL135" s="11"/>
      <c r="GM135" s="11"/>
      <c r="GN135" s="11"/>
      <c r="GO135" s="11"/>
      <c r="GP135" s="11"/>
      <c r="GQ135" s="11"/>
      <c r="GR135" s="11"/>
    </row>
    <row r="136" spans="2:200" x14ac:dyDescent="0.15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11"/>
      <c r="DU136" s="11"/>
      <c r="DV136" s="11"/>
      <c r="DW136" s="11"/>
      <c r="DX136" s="11"/>
      <c r="DY136" s="11"/>
      <c r="DZ136" s="11"/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11"/>
      <c r="FI136" s="11"/>
      <c r="FJ136" s="11"/>
      <c r="FK136" s="11"/>
      <c r="FL136" s="11"/>
      <c r="FM136" s="11"/>
      <c r="FN136" s="11"/>
      <c r="FO136" s="11"/>
      <c r="FP136" s="11"/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1"/>
      <c r="GF136" s="11"/>
      <c r="GG136" s="11"/>
      <c r="GH136" s="11"/>
      <c r="GI136" s="11"/>
      <c r="GJ136" s="11"/>
      <c r="GK136" s="11"/>
      <c r="GL136" s="11"/>
      <c r="GM136" s="11"/>
      <c r="GN136" s="11"/>
      <c r="GO136" s="11"/>
      <c r="GP136" s="11"/>
      <c r="GQ136" s="11"/>
      <c r="GR136" s="11"/>
    </row>
    <row r="137" spans="2:200" x14ac:dyDescent="0.15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</row>
    <row r="138" spans="2:200" x14ac:dyDescent="0.15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  <c r="CW138" s="11"/>
      <c r="CX138" s="11"/>
      <c r="CY138" s="11"/>
      <c r="CZ138" s="11"/>
      <c r="DA138" s="11"/>
      <c r="DB138" s="11"/>
      <c r="DC138" s="11"/>
      <c r="DD138" s="11"/>
      <c r="DE138" s="11"/>
      <c r="DF138" s="11"/>
      <c r="DG138" s="11"/>
      <c r="DH138" s="11"/>
      <c r="DI138" s="11"/>
      <c r="DJ138" s="11"/>
      <c r="DK138" s="11"/>
      <c r="DL138" s="11"/>
      <c r="DM138" s="11"/>
      <c r="DN138" s="11"/>
      <c r="DO138" s="11"/>
      <c r="DP138" s="11"/>
      <c r="DQ138" s="11"/>
      <c r="DR138" s="11"/>
      <c r="DS138" s="11"/>
      <c r="DT138" s="11"/>
      <c r="DU138" s="11"/>
      <c r="DV138" s="11"/>
      <c r="DW138" s="11"/>
      <c r="DX138" s="11"/>
      <c r="DY138" s="11"/>
      <c r="DZ138" s="11"/>
      <c r="EA138" s="11"/>
      <c r="EB138" s="11"/>
      <c r="EC138" s="11"/>
      <c r="ED138" s="11"/>
      <c r="EE138" s="11"/>
      <c r="EF138" s="11"/>
      <c r="EG138" s="11"/>
      <c r="EH138" s="11"/>
      <c r="EI138" s="11"/>
      <c r="EJ138" s="11"/>
      <c r="EK138" s="11"/>
      <c r="EL138" s="11"/>
      <c r="EM138" s="11"/>
      <c r="EN138" s="11"/>
      <c r="EO138" s="11"/>
      <c r="EP138" s="11"/>
      <c r="EQ138" s="11"/>
      <c r="ER138" s="11"/>
      <c r="ES138" s="11"/>
      <c r="ET138" s="11"/>
      <c r="EU138" s="11"/>
      <c r="EV138" s="11"/>
      <c r="EW138" s="11"/>
      <c r="EX138" s="11"/>
      <c r="EY138" s="11"/>
      <c r="EZ138" s="11"/>
      <c r="FA138" s="11"/>
      <c r="FB138" s="11"/>
      <c r="FC138" s="11"/>
      <c r="FD138" s="11"/>
      <c r="FE138" s="11"/>
      <c r="FF138" s="11"/>
      <c r="FG138" s="11"/>
      <c r="FH138" s="11"/>
      <c r="FI138" s="11"/>
      <c r="FJ138" s="11"/>
      <c r="FK138" s="11"/>
      <c r="FL138" s="11"/>
      <c r="FM138" s="11"/>
      <c r="FN138" s="11"/>
      <c r="FO138" s="11"/>
      <c r="FP138" s="11"/>
      <c r="FQ138" s="11"/>
      <c r="FR138" s="11"/>
      <c r="FS138" s="11"/>
      <c r="FT138" s="11"/>
      <c r="FU138" s="11"/>
      <c r="FV138" s="11"/>
      <c r="FW138" s="11"/>
      <c r="FX138" s="11"/>
      <c r="FY138" s="11"/>
      <c r="FZ138" s="11"/>
      <c r="GA138" s="11"/>
      <c r="GB138" s="11"/>
      <c r="GC138" s="11"/>
      <c r="GD138" s="11"/>
      <c r="GE138" s="11"/>
      <c r="GF138" s="11"/>
      <c r="GG138" s="11"/>
      <c r="GH138" s="11"/>
      <c r="GI138" s="11"/>
      <c r="GJ138" s="11"/>
      <c r="GK138" s="11"/>
      <c r="GL138" s="11"/>
      <c r="GM138" s="11"/>
      <c r="GN138" s="11"/>
      <c r="GO138" s="11"/>
      <c r="GP138" s="11"/>
      <c r="GQ138" s="11"/>
      <c r="GR138" s="11"/>
    </row>
    <row r="139" spans="2:200" x14ac:dyDescent="0.15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  <c r="CW139" s="11"/>
      <c r="CX139" s="11"/>
      <c r="CY139" s="11"/>
      <c r="CZ139" s="11"/>
      <c r="DA139" s="11"/>
      <c r="DB139" s="11"/>
      <c r="DC139" s="11"/>
      <c r="DD139" s="11"/>
      <c r="DE139" s="11"/>
      <c r="DF139" s="11"/>
      <c r="DG139" s="11"/>
      <c r="DH139" s="11"/>
      <c r="DI139" s="11"/>
      <c r="DJ139" s="11"/>
      <c r="DK139" s="11"/>
      <c r="DL139" s="11"/>
      <c r="DM139" s="11"/>
      <c r="DN139" s="11"/>
      <c r="DO139" s="11"/>
      <c r="DP139" s="11"/>
      <c r="DQ139" s="11"/>
      <c r="DR139" s="11"/>
      <c r="DS139" s="11"/>
      <c r="DT139" s="11"/>
      <c r="DU139" s="11"/>
      <c r="DV139" s="11"/>
      <c r="DW139" s="11"/>
      <c r="DX139" s="11"/>
      <c r="DY139" s="11"/>
      <c r="DZ139" s="11"/>
      <c r="EA139" s="11"/>
      <c r="EB139" s="11"/>
      <c r="EC139" s="11"/>
      <c r="ED139" s="11"/>
      <c r="EE139" s="11"/>
      <c r="EF139" s="11"/>
      <c r="EG139" s="11"/>
      <c r="EH139" s="11"/>
      <c r="EI139" s="11"/>
      <c r="EJ139" s="11"/>
      <c r="EK139" s="11"/>
      <c r="EL139" s="11"/>
      <c r="EM139" s="11"/>
      <c r="EN139" s="11"/>
      <c r="EO139" s="11"/>
      <c r="EP139" s="11"/>
      <c r="EQ139" s="11"/>
      <c r="ER139" s="11"/>
      <c r="ES139" s="11"/>
      <c r="ET139" s="11"/>
      <c r="EU139" s="11"/>
      <c r="EV139" s="11"/>
      <c r="EW139" s="11"/>
      <c r="EX139" s="11"/>
      <c r="EY139" s="11"/>
      <c r="EZ139" s="11"/>
      <c r="FA139" s="11"/>
      <c r="FB139" s="11"/>
      <c r="FC139" s="11"/>
      <c r="FD139" s="11"/>
      <c r="FE139" s="11"/>
      <c r="FF139" s="11"/>
      <c r="FG139" s="11"/>
      <c r="FH139" s="11"/>
      <c r="FI139" s="11"/>
      <c r="FJ139" s="11"/>
      <c r="FK139" s="11"/>
      <c r="FL139" s="11"/>
      <c r="FM139" s="11"/>
      <c r="FN139" s="11"/>
      <c r="FO139" s="11"/>
      <c r="FP139" s="11"/>
      <c r="FQ139" s="11"/>
      <c r="FR139" s="11"/>
      <c r="FS139" s="11"/>
      <c r="FT139" s="11"/>
      <c r="FU139" s="11"/>
      <c r="FV139" s="11"/>
      <c r="FW139" s="11"/>
      <c r="FX139" s="11"/>
      <c r="FY139" s="11"/>
      <c r="FZ139" s="11"/>
      <c r="GA139" s="11"/>
      <c r="GB139" s="11"/>
      <c r="GC139" s="11"/>
      <c r="GD139" s="11"/>
      <c r="GE139" s="11"/>
      <c r="GF139" s="11"/>
      <c r="GG139" s="11"/>
      <c r="GH139" s="11"/>
      <c r="GI139" s="11"/>
      <c r="GJ139" s="11"/>
      <c r="GK139" s="11"/>
      <c r="GL139" s="11"/>
      <c r="GM139" s="11"/>
      <c r="GN139" s="11"/>
      <c r="GO139" s="11"/>
      <c r="GP139" s="11"/>
      <c r="GQ139" s="11"/>
      <c r="GR139" s="11"/>
    </row>
    <row r="140" spans="2:200" x14ac:dyDescent="0.15"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  <c r="CW140" s="11"/>
      <c r="CX140" s="11"/>
      <c r="CY140" s="11"/>
      <c r="CZ140" s="11"/>
      <c r="DA140" s="11"/>
      <c r="DB140" s="11"/>
      <c r="DC140" s="11"/>
      <c r="DD140" s="11"/>
      <c r="DE140" s="11"/>
      <c r="DF140" s="11"/>
      <c r="DG140" s="11"/>
      <c r="DH140" s="11"/>
      <c r="DI140" s="11"/>
      <c r="DJ140" s="11"/>
      <c r="DK140" s="11"/>
      <c r="DL140" s="11"/>
      <c r="DM140" s="11"/>
      <c r="DN140" s="11"/>
      <c r="DO140" s="11"/>
      <c r="DP140" s="11"/>
      <c r="DQ140" s="11"/>
      <c r="DR140" s="11"/>
      <c r="DS140" s="11"/>
      <c r="DT140" s="11"/>
      <c r="DU140" s="11"/>
      <c r="DV140" s="11"/>
      <c r="DW140" s="11"/>
      <c r="DX140" s="11"/>
      <c r="DY140" s="11"/>
      <c r="DZ140" s="11"/>
      <c r="EA140" s="11"/>
      <c r="EB140" s="11"/>
      <c r="EC140" s="11"/>
      <c r="ED140" s="11"/>
      <c r="EE140" s="11"/>
      <c r="EF140" s="11"/>
      <c r="EG140" s="11"/>
      <c r="EH140" s="11"/>
      <c r="EI140" s="11"/>
      <c r="EJ140" s="11"/>
      <c r="EK140" s="11"/>
      <c r="EL140" s="11"/>
      <c r="EM140" s="11"/>
      <c r="EN140" s="11"/>
      <c r="EO140" s="11"/>
      <c r="EP140" s="11"/>
      <c r="EQ140" s="11"/>
      <c r="ER140" s="11"/>
      <c r="ES140" s="11"/>
      <c r="ET140" s="11"/>
      <c r="EU140" s="11"/>
      <c r="EV140" s="11"/>
      <c r="EW140" s="11"/>
      <c r="EX140" s="11"/>
      <c r="EY140" s="11"/>
      <c r="EZ140" s="11"/>
      <c r="FA140" s="11"/>
      <c r="FB140" s="11"/>
      <c r="FC140" s="11"/>
      <c r="FD140" s="11"/>
      <c r="FE140" s="11"/>
      <c r="FF140" s="11"/>
      <c r="FG140" s="11"/>
      <c r="FH140" s="11"/>
      <c r="FI140" s="11"/>
      <c r="FJ140" s="11"/>
      <c r="FK140" s="11"/>
      <c r="FL140" s="11"/>
      <c r="FM140" s="11"/>
      <c r="FN140" s="11"/>
      <c r="FO140" s="11"/>
      <c r="FP140" s="11"/>
      <c r="FQ140" s="11"/>
      <c r="FR140" s="11"/>
      <c r="FS140" s="11"/>
      <c r="FT140" s="11"/>
      <c r="FU140" s="11"/>
      <c r="FV140" s="11"/>
      <c r="FW140" s="11"/>
      <c r="FX140" s="11"/>
      <c r="FY140" s="11"/>
      <c r="FZ140" s="11"/>
      <c r="GA140" s="11"/>
      <c r="GB140" s="11"/>
      <c r="GC140" s="11"/>
      <c r="GD140" s="11"/>
      <c r="GE140" s="11"/>
      <c r="GF140" s="11"/>
      <c r="GG140" s="11"/>
      <c r="GH140" s="11"/>
      <c r="GI140" s="11"/>
      <c r="GJ140" s="11"/>
      <c r="GK140" s="11"/>
      <c r="GL140" s="11"/>
      <c r="GM140" s="11"/>
      <c r="GN140" s="11"/>
      <c r="GO140" s="11"/>
      <c r="GP140" s="11"/>
      <c r="GQ140" s="11"/>
      <c r="GR140" s="11"/>
    </row>
    <row r="141" spans="2:200" x14ac:dyDescent="0.15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  <c r="CW141" s="11"/>
      <c r="CX141" s="11"/>
      <c r="CY141" s="11"/>
      <c r="CZ141" s="11"/>
      <c r="DA141" s="11"/>
      <c r="DB141" s="11"/>
      <c r="DC141" s="11"/>
      <c r="DD141" s="11"/>
      <c r="DE141" s="11"/>
      <c r="DF141" s="11"/>
      <c r="DG141" s="11"/>
      <c r="DH141" s="11"/>
      <c r="DI141" s="11"/>
      <c r="DJ141" s="11"/>
      <c r="DK141" s="11"/>
      <c r="DL141" s="11"/>
      <c r="DM141" s="11"/>
      <c r="DN141" s="11"/>
      <c r="DO141" s="11"/>
      <c r="DP141" s="11"/>
      <c r="DQ141" s="11"/>
      <c r="DR141" s="11"/>
      <c r="DS141" s="11"/>
      <c r="DT141" s="11"/>
      <c r="DU141" s="11"/>
      <c r="DV141" s="11"/>
      <c r="DW141" s="11"/>
      <c r="DX141" s="11"/>
      <c r="DY141" s="11"/>
      <c r="DZ141" s="11"/>
      <c r="EA141" s="11"/>
      <c r="EB141" s="11"/>
      <c r="EC141" s="11"/>
      <c r="ED141" s="11"/>
      <c r="EE141" s="11"/>
      <c r="EF141" s="11"/>
      <c r="EG141" s="11"/>
      <c r="EH141" s="11"/>
      <c r="EI141" s="11"/>
      <c r="EJ141" s="11"/>
      <c r="EK141" s="11"/>
      <c r="EL141" s="11"/>
      <c r="EM141" s="11"/>
      <c r="EN141" s="11"/>
      <c r="EO141" s="11"/>
      <c r="EP141" s="11"/>
      <c r="EQ141" s="11"/>
      <c r="ER141" s="11"/>
      <c r="ES141" s="11"/>
      <c r="ET141" s="11"/>
      <c r="EU141" s="11"/>
      <c r="EV141" s="11"/>
      <c r="EW141" s="11"/>
      <c r="EX141" s="11"/>
      <c r="EY141" s="11"/>
      <c r="EZ141" s="11"/>
      <c r="FA141" s="11"/>
      <c r="FB141" s="11"/>
      <c r="FC141" s="11"/>
      <c r="FD141" s="11"/>
      <c r="FE141" s="11"/>
      <c r="FF141" s="11"/>
      <c r="FG141" s="11"/>
      <c r="FH141" s="11"/>
      <c r="FI141" s="11"/>
      <c r="FJ141" s="11"/>
      <c r="FK141" s="11"/>
      <c r="FL141" s="11"/>
      <c r="FM141" s="11"/>
      <c r="FN141" s="11"/>
      <c r="FO141" s="11"/>
      <c r="FP141" s="11"/>
      <c r="FQ141" s="11"/>
      <c r="FR141" s="11"/>
      <c r="FS141" s="11"/>
      <c r="FT141" s="11"/>
      <c r="FU141" s="11"/>
      <c r="FV141" s="11"/>
      <c r="FW141" s="11"/>
      <c r="FX141" s="11"/>
      <c r="FY141" s="11"/>
      <c r="FZ141" s="11"/>
      <c r="GA141" s="11"/>
      <c r="GB141" s="11"/>
      <c r="GC141" s="11"/>
      <c r="GD141" s="11"/>
      <c r="GE141" s="11"/>
      <c r="GF141" s="11"/>
      <c r="GG141" s="11"/>
      <c r="GH141" s="11"/>
      <c r="GI141" s="11"/>
      <c r="GJ141" s="11"/>
      <c r="GK141" s="11"/>
      <c r="GL141" s="11"/>
      <c r="GM141" s="11"/>
      <c r="GN141" s="11"/>
      <c r="GO141" s="11"/>
      <c r="GP141" s="11"/>
      <c r="GQ141" s="11"/>
      <c r="GR141" s="11"/>
    </row>
    <row r="142" spans="2:200" x14ac:dyDescent="0.15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  <c r="CW142" s="11"/>
      <c r="CX142" s="11"/>
      <c r="CY142" s="11"/>
      <c r="CZ142" s="11"/>
      <c r="DA142" s="11"/>
      <c r="DB142" s="11"/>
      <c r="DC142" s="11"/>
      <c r="DD142" s="11"/>
      <c r="DE142" s="11"/>
      <c r="DF142" s="11"/>
      <c r="DG142" s="11"/>
      <c r="DH142" s="11"/>
      <c r="DI142" s="11"/>
      <c r="DJ142" s="11"/>
      <c r="DK142" s="11"/>
      <c r="DL142" s="11"/>
      <c r="DM142" s="11"/>
      <c r="DN142" s="11"/>
      <c r="DO142" s="11"/>
      <c r="DP142" s="11"/>
      <c r="DQ142" s="11"/>
      <c r="DR142" s="11"/>
      <c r="DS142" s="11"/>
      <c r="DT142" s="11"/>
      <c r="DU142" s="11"/>
      <c r="DV142" s="11"/>
      <c r="DW142" s="11"/>
      <c r="DX142" s="11"/>
      <c r="DY142" s="11"/>
      <c r="DZ142" s="11"/>
      <c r="EA142" s="11"/>
      <c r="EB142" s="11"/>
      <c r="EC142" s="11"/>
      <c r="ED142" s="11"/>
      <c r="EE142" s="11"/>
      <c r="EF142" s="11"/>
      <c r="EG142" s="11"/>
      <c r="EH142" s="11"/>
      <c r="EI142" s="11"/>
      <c r="EJ142" s="11"/>
      <c r="EK142" s="11"/>
      <c r="EL142" s="11"/>
      <c r="EM142" s="11"/>
      <c r="EN142" s="11"/>
      <c r="EO142" s="11"/>
      <c r="EP142" s="11"/>
      <c r="EQ142" s="11"/>
      <c r="ER142" s="11"/>
      <c r="ES142" s="11"/>
      <c r="ET142" s="11"/>
      <c r="EU142" s="11"/>
      <c r="EV142" s="11"/>
      <c r="EW142" s="11"/>
      <c r="EX142" s="11"/>
      <c r="EY142" s="11"/>
      <c r="EZ142" s="11"/>
      <c r="FA142" s="11"/>
      <c r="FB142" s="11"/>
      <c r="FC142" s="11"/>
      <c r="FD142" s="11"/>
      <c r="FE142" s="11"/>
      <c r="FF142" s="11"/>
      <c r="FG142" s="11"/>
      <c r="FH142" s="11"/>
      <c r="FI142" s="11"/>
      <c r="FJ142" s="11"/>
      <c r="FK142" s="11"/>
      <c r="FL142" s="11"/>
      <c r="FM142" s="11"/>
      <c r="FN142" s="11"/>
      <c r="FO142" s="11"/>
      <c r="FP142" s="11"/>
      <c r="FQ142" s="11"/>
      <c r="FR142" s="11"/>
      <c r="FS142" s="11"/>
      <c r="FT142" s="11"/>
      <c r="FU142" s="11"/>
      <c r="FV142" s="11"/>
      <c r="FW142" s="11"/>
      <c r="FX142" s="11"/>
      <c r="FY142" s="11"/>
      <c r="FZ142" s="11"/>
      <c r="GA142" s="11"/>
      <c r="GB142" s="11"/>
      <c r="GC142" s="11"/>
      <c r="GD142" s="11"/>
      <c r="GE142" s="11"/>
      <c r="GF142" s="11"/>
      <c r="GG142" s="11"/>
      <c r="GH142" s="11"/>
      <c r="GI142" s="11"/>
      <c r="GJ142" s="11"/>
      <c r="GK142" s="11"/>
      <c r="GL142" s="11"/>
      <c r="GM142" s="11"/>
      <c r="GN142" s="11"/>
      <c r="GO142" s="11"/>
      <c r="GP142" s="11"/>
      <c r="GQ142" s="11"/>
      <c r="GR142" s="11"/>
    </row>
    <row r="143" spans="2:200" x14ac:dyDescent="0.15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 s="11"/>
      <c r="GL143" s="11"/>
      <c r="GM143" s="11"/>
      <c r="GN143" s="11"/>
      <c r="GO143" s="11"/>
      <c r="GP143" s="11"/>
      <c r="GQ143" s="11"/>
      <c r="GR143" s="11"/>
    </row>
    <row r="144" spans="2:200" x14ac:dyDescent="0.15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  <c r="CW144" s="11"/>
      <c r="CX144" s="11"/>
      <c r="CY144" s="11"/>
      <c r="CZ144" s="11"/>
      <c r="DA144" s="11"/>
      <c r="DB144" s="11"/>
      <c r="DC144" s="11"/>
      <c r="DD144" s="11"/>
      <c r="DE144" s="11"/>
      <c r="DF144" s="11"/>
      <c r="DG144" s="11"/>
      <c r="DH144" s="11"/>
      <c r="DI144" s="11"/>
      <c r="DJ144" s="11"/>
      <c r="DK144" s="11"/>
      <c r="DL144" s="11"/>
      <c r="DM144" s="11"/>
      <c r="DN144" s="11"/>
      <c r="DO144" s="11"/>
      <c r="DP144" s="11"/>
      <c r="DQ144" s="11"/>
      <c r="DR144" s="11"/>
      <c r="DS144" s="11"/>
      <c r="DT144" s="11"/>
      <c r="DU144" s="11"/>
      <c r="DV144" s="11"/>
      <c r="DW144" s="11"/>
      <c r="DX144" s="11"/>
      <c r="DY144" s="11"/>
      <c r="DZ144" s="11"/>
      <c r="EA144" s="11"/>
      <c r="EB144" s="11"/>
      <c r="EC144" s="11"/>
      <c r="ED144" s="11"/>
      <c r="EE144" s="11"/>
      <c r="EF144" s="11"/>
      <c r="EG144" s="11"/>
      <c r="EH144" s="11"/>
      <c r="EI144" s="11"/>
      <c r="EJ144" s="11"/>
      <c r="EK144" s="11"/>
      <c r="EL144" s="11"/>
      <c r="EM144" s="11"/>
      <c r="EN144" s="11"/>
      <c r="EO144" s="11"/>
      <c r="EP144" s="11"/>
      <c r="EQ144" s="11"/>
      <c r="ER144" s="11"/>
      <c r="ES144" s="11"/>
      <c r="ET144" s="11"/>
      <c r="EU144" s="11"/>
      <c r="EV144" s="11"/>
      <c r="EW144" s="11"/>
      <c r="EX144" s="11"/>
      <c r="EY144" s="11"/>
      <c r="EZ144" s="11"/>
      <c r="FA144" s="11"/>
      <c r="FB144" s="11"/>
      <c r="FC144" s="11"/>
      <c r="FD144" s="11"/>
      <c r="FE144" s="11"/>
      <c r="FF144" s="11"/>
      <c r="FG144" s="11"/>
      <c r="FH144" s="11"/>
      <c r="FI144" s="11"/>
      <c r="FJ144" s="11"/>
      <c r="FK144" s="11"/>
      <c r="FL144" s="11"/>
      <c r="FM144" s="11"/>
      <c r="FN144" s="11"/>
      <c r="FO144" s="11"/>
      <c r="FP144" s="11"/>
      <c r="FQ144" s="11"/>
      <c r="FR144" s="11"/>
      <c r="FS144" s="11"/>
      <c r="FT144" s="11"/>
      <c r="FU144" s="11"/>
      <c r="FV144" s="11"/>
      <c r="FW144" s="11"/>
      <c r="FX144" s="11"/>
      <c r="FY144" s="11"/>
      <c r="FZ144" s="11"/>
      <c r="GA144" s="11"/>
      <c r="GB144" s="11"/>
      <c r="GC144" s="11"/>
      <c r="GD144" s="11"/>
      <c r="GE144" s="11"/>
      <c r="GF144" s="11"/>
      <c r="GG144" s="11"/>
      <c r="GH144" s="11"/>
      <c r="GI144" s="11"/>
      <c r="GJ144" s="11"/>
      <c r="GK144" s="11"/>
      <c r="GL144" s="11"/>
      <c r="GM144" s="11"/>
      <c r="GN144" s="11"/>
      <c r="GO144" s="11"/>
      <c r="GP144" s="11"/>
      <c r="GQ144" s="11"/>
      <c r="GR144" s="11"/>
    </row>
    <row r="145" spans="2:200" x14ac:dyDescent="0.15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  <c r="CW145" s="11"/>
      <c r="CX145" s="11"/>
      <c r="CY145" s="11"/>
      <c r="CZ145" s="11"/>
      <c r="DA145" s="11"/>
      <c r="DB145" s="11"/>
      <c r="DC145" s="11"/>
      <c r="DD145" s="11"/>
      <c r="DE145" s="11"/>
      <c r="DF145" s="11"/>
      <c r="DG145" s="11"/>
      <c r="DH145" s="11"/>
      <c r="DI145" s="11"/>
      <c r="DJ145" s="11"/>
      <c r="DK145" s="11"/>
      <c r="DL145" s="11"/>
      <c r="DM145" s="11"/>
      <c r="DN145" s="11"/>
      <c r="DO145" s="11"/>
      <c r="DP145" s="11"/>
      <c r="DQ145" s="11"/>
      <c r="DR145" s="11"/>
      <c r="DS145" s="11"/>
      <c r="DT145" s="11"/>
      <c r="DU145" s="11"/>
      <c r="DV145" s="11"/>
      <c r="DW145" s="11"/>
      <c r="DX145" s="11"/>
      <c r="DY145" s="11"/>
      <c r="DZ145" s="11"/>
      <c r="EA145" s="11"/>
      <c r="EB145" s="11"/>
      <c r="EC145" s="11"/>
      <c r="ED145" s="11"/>
      <c r="EE145" s="11"/>
      <c r="EF145" s="11"/>
      <c r="EG145" s="11"/>
      <c r="EH145" s="11"/>
      <c r="EI145" s="11"/>
      <c r="EJ145" s="11"/>
      <c r="EK145" s="11"/>
      <c r="EL145" s="11"/>
      <c r="EM145" s="11"/>
      <c r="EN145" s="11"/>
      <c r="EO145" s="11"/>
      <c r="EP145" s="11"/>
      <c r="EQ145" s="11"/>
      <c r="ER145" s="11"/>
      <c r="ES145" s="11"/>
      <c r="ET145" s="11"/>
      <c r="EU145" s="11"/>
      <c r="EV145" s="11"/>
      <c r="EW145" s="11"/>
      <c r="EX145" s="11"/>
      <c r="EY145" s="11"/>
      <c r="EZ145" s="11"/>
      <c r="FA145" s="11"/>
      <c r="FB145" s="11"/>
      <c r="FC145" s="11"/>
      <c r="FD145" s="11"/>
      <c r="FE145" s="11"/>
      <c r="FF145" s="11"/>
      <c r="FG145" s="11"/>
      <c r="FH145" s="11"/>
      <c r="FI145" s="11"/>
      <c r="FJ145" s="11"/>
      <c r="FK145" s="11"/>
      <c r="FL145" s="11"/>
      <c r="FM145" s="11"/>
      <c r="FN145" s="11"/>
      <c r="FO145" s="11"/>
      <c r="FP145" s="11"/>
      <c r="FQ145" s="11"/>
      <c r="FR145" s="11"/>
      <c r="FS145" s="11"/>
      <c r="FT145" s="11"/>
      <c r="FU145" s="11"/>
      <c r="FV145" s="11"/>
      <c r="FW145" s="11"/>
      <c r="FX145" s="11"/>
      <c r="FY145" s="11"/>
      <c r="FZ145" s="11"/>
      <c r="GA145" s="11"/>
      <c r="GB145" s="11"/>
      <c r="GC145" s="11"/>
      <c r="GD145" s="11"/>
      <c r="GE145" s="11"/>
      <c r="GF145" s="11"/>
      <c r="GG145" s="11"/>
      <c r="GH145" s="11"/>
      <c r="GI145" s="11"/>
      <c r="GJ145" s="11"/>
      <c r="GK145" s="11"/>
      <c r="GL145" s="11"/>
      <c r="GM145" s="11"/>
      <c r="GN145" s="11"/>
      <c r="GO145" s="11"/>
      <c r="GP145" s="11"/>
      <c r="GQ145" s="11"/>
      <c r="GR145" s="11"/>
    </row>
    <row r="146" spans="2:200" x14ac:dyDescent="0.15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  <c r="CW146" s="11"/>
      <c r="CX146" s="11"/>
      <c r="CY146" s="11"/>
      <c r="CZ146" s="11"/>
      <c r="DA146" s="11"/>
      <c r="DB146" s="11"/>
      <c r="DC146" s="11"/>
      <c r="DD146" s="11"/>
      <c r="DE146" s="11"/>
      <c r="DF146" s="11"/>
      <c r="DG146" s="11"/>
      <c r="DH146" s="11"/>
      <c r="DI146" s="11"/>
      <c r="DJ146" s="11"/>
      <c r="DK146" s="11"/>
      <c r="DL146" s="11"/>
      <c r="DM146" s="11"/>
      <c r="DN146" s="11"/>
      <c r="DO146" s="11"/>
      <c r="DP146" s="11"/>
      <c r="DQ146" s="11"/>
      <c r="DR146" s="11"/>
      <c r="DS146" s="11"/>
      <c r="DT146" s="11"/>
      <c r="DU146" s="11"/>
      <c r="DV146" s="11"/>
      <c r="DW146" s="11"/>
      <c r="DX146" s="11"/>
      <c r="DY146" s="11"/>
      <c r="DZ146" s="11"/>
      <c r="EA146" s="11"/>
      <c r="EB146" s="11"/>
      <c r="EC146" s="11"/>
      <c r="ED146" s="11"/>
      <c r="EE146" s="11"/>
      <c r="EF146" s="11"/>
      <c r="EG146" s="11"/>
      <c r="EH146" s="11"/>
      <c r="EI146" s="11"/>
      <c r="EJ146" s="11"/>
      <c r="EK146" s="11"/>
      <c r="EL146" s="11"/>
      <c r="EM146" s="11"/>
      <c r="EN146" s="11"/>
      <c r="EO146" s="11"/>
      <c r="EP146" s="11"/>
      <c r="EQ146" s="11"/>
      <c r="ER146" s="11"/>
      <c r="ES146" s="11"/>
      <c r="ET146" s="11"/>
      <c r="EU146" s="11"/>
      <c r="EV146" s="11"/>
      <c r="EW146" s="11"/>
      <c r="EX146" s="11"/>
      <c r="EY146" s="11"/>
      <c r="EZ146" s="11"/>
      <c r="FA146" s="11"/>
      <c r="FB146" s="11"/>
      <c r="FC146" s="11"/>
      <c r="FD146" s="11"/>
      <c r="FE146" s="11"/>
      <c r="FF146" s="11"/>
      <c r="FG146" s="11"/>
      <c r="FH146" s="11"/>
      <c r="FI146" s="11"/>
      <c r="FJ146" s="11"/>
      <c r="FK146" s="11"/>
      <c r="FL146" s="11"/>
      <c r="FM146" s="11"/>
      <c r="FN146" s="11"/>
      <c r="FO146" s="11"/>
      <c r="FP146" s="11"/>
      <c r="FQ146" s="11"/>
      <c r="FR146" s="11"/>
      <c r="FS146" s="11"/>
      <c r="FT146" s="11"/>
      <c r="FU146" s="11"/>
      <c r="FV146" s="11"/>
      <c r="FW146" s="11"/>
      <c r="FX146" s="11"/>
      <c r="FY146" s="11"/>
      <c r="FZ146" s="11"/>
      <c r="GA146" s="11"/>
      <c r="GB146" s="11"/>
      <c r="GC146" s="11"/>
      <c r="GD146" s="11"/>
      <c r="GE146" s="11"/>
      <c r="GF146" s="11"/>
      <c r="GG146" s="11"/>
      <c r="GH146" s="11"/>
      <c r="GI146" s="11"/>
      <c r="GJ146" s="11"/>
      <c r="GK146" s="11"/>
      <c r="GL146" s="11"/>
      <c r="GM146" s="11"/>
      <c r="GN146" s="11"/>
      <c r="GO146" s="11"/>
      <c r="GP146" s="11"/>
      <c r="GQ146" s="11"/>
      <c r="GR146" s="11"/>
    </row>
    <row r="147" spans="2:200" x14ac:dyDescent="0.15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 s="11"/>
      <c r="GL147" s="11"/>
      <c r="GM147" s="11"/>
      <c r="GN147" s="11"/>
      <c r="GO147" s="11"/>
      <c r="GP147" s="11"/>
      <c r="GQ147" s="11"/>
      <c r="GR147" s="11"/>
    </row>
    <row r="148" spans="2:200" x14ac:dyDescent="0.15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  <c r="CW148" s="11"/>
      <c r="CX148" s="11"/>
      <c r="CY148" s="11"/>
      <c r="CZ148" s="11"/>
      <c r="DA148" s="11"/>
      <c r="DB148" s="11"/>
      <c r="DC148" s="11"/>
      <c r="DD148" s="11"/>
      <c r="DE148" s="11"/>
      <c r="DF148" s="11"/>
      <c r="DG148" s="11"/>
      <c r="DH148" s="11"/>
      <c r="DI148" s="11"/>
      <c r="DJ148" s="11"/>
      <c r="DK148" s="11"/>
      <c r="DL148" s="11"/>
      <c r="DM148" s="11"/>
      <c r="DN148" s="11"/>
      <c r="DO148" s="11"/>
      <c r="DP148" s="11"/>
      <c r="DQ148" s="11"/>
      <c r="DR148" s="11"/>
      <c r="DS148" s="11"/>
      <c r="DT148" s="11"/>
      <c r="DU148" s="11"/>
      <c r="DV148" s="11"/>
      <c r="DW148" s="11"/>
      <c r="DX148" s="11"/>
      <c r="DY148" s="11"/>
      <c r="DZ148" s="11"/>
      <c r="EA148" s="11"/>
      <c r="EB148" s="11"/>
      <c r="EC148" s="11"/>
      <c r="ED148" s="11"/>
      <c r="EE148" s="11"/>
      <c r="EF148" s="11"/>
      <c r="EG148" s="11"/>
      <c r="EH148" s="11"/>
      <c r="EI148" s="11"/>
      <c r="EJ148" s="11"/>
      <c r="EK148" s="11"/>
      <c r="EL148" s="11"/>
      <c r="EM148" s="11"/>
      <c r="EN148" s="11"/>
      <c r="EO148" s="11"/>
      <c r="EP148" s="11"/>
      <c r="EQ148" s="11"/>
      <c r="ER148" s="11"/>
      <c r="ES148" s="11"/>
      <c r="ET148" s="11"/>
      <c r="EU148" s="11"/>
      <c r="EV148" s="11"/>
      <c r="EW148" s="11"/>
      <c r="EX148" s="11"/>
      <c r="EY148" s="11"/>
      <c r="EZ148" s="11"/>
      <c r="FA148" s="11"/>
      <c r="FB148" s="11"/>
      <c r="FC148" s="11"/>
      <c r="FD148" s="11"/>
      <c r="FE148" s="11"/>
      <c r="FF148" s="11"/>
      <c r="FG148" s="11"/>
      <c r="FH148" s="11"/>
      <c r="FI148" s="11"/>
      <c r="FJ148" s="11"/>
      <c r="FK148" s="11"/>
      <c r="FL148" s="11"/>
      <c r="FM148" s="11"/>
      <c r="FN148" s="11"/>
      <c r="FO148" s="11"/>
      <c r="FP148" s="11"/>
      <c r="FQ148" s="11"/>
      <c r="FR148" s="11"/>
      <c r="FS148" s="11"/>
      <c r="FT148" s="11"/>
      <c r="FU148" s="11"/>
      <c r="FV148" s="11"/>
      <c r="FW148" s="11"/>
      <c r="FX148" s="11"/>
      <c r="FY148" s="11"/>
      <c r="FZ148" s="11"/>
      <c r="GA148" s="11"/>
      <c r="GB148" s="11"/>
      <c r="GC148" s="11"/>
      <c r="GD148" s="11"/>
      <c r="GE148" s="11"/>
      <c r="GF148" s="11"/>
      <c r="GG148" s="11"/>
      <c r="GH148" s="11"/>
      <c r="GI148" s="11"/>
      <c r="GJ148" s="11"/>
      <c r="GK148" s="11"/>
      <c r="GL148" s="11"/>
      <c r="GM148" s="11"/>
      <c r="GN148" s="11"/>
      <c r="GO148" s="11"/>
      <c r="GP148" s="11"/>
      <c r="GQ148" s="11"/>
      <c r="GR148" s="11"/>
    </row>
    <row r="149" spans="2:200" x14ac:dyDescent="0.15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  <c r="CW149" s="11"/>
      <c r="CX149" s="11"/>
      <c r="CY149" s="11"/>
      <c r="CZ149" s="11"/>
      <c r="DA149" s="11"/>
      <c r="DB149" s="11"/>
      <c r="DC149" s="11"/>
      <c r="DD149" s="11"/>
      <c r="DE149" s="11"/>
      <c r="DF149" s="11"/>
      <c r="DG149" s="11"/>
      <c r="DH149" s="11"/>
      <c r="DI149" s="11"/>
      <c r="DJ149" s="11"/>
      <c r="DK149" s="11"/>
      <c r="DL149" s="11"/>
      <c r="DM149" s="11"/>
      <c r="DN149" s="11"/>
      <c r="DO149" s="11"/>
      <c r="DP149" s="11"/>
      <c r="DQ149" s="11"/>
      <c r="DR149" s="11"/>
      <c r="DS149" s="11"/>
      <c r="DT149" s="11"/>
      <c r="DU149" s="11"/>
      <c r="DV149" s="11"/>
      <c r="DW149" s="11"/>
      <c r="DX149" s="11"/>
      <c r="DY149" s="11"/>
      <c r="DZ149" s="11"/>
      <c r="EA149" s="11"/>
      <c r="EB149" s="11"/>
      <c r="EC149" s="11"/>
      <c r="ED149" s="11"/>
      <c r="EE149" s="11"/>
      <c r="EF149" s="11"/>
      <c r="EG149" s="11"/>
      <c r="EH149" s="11"/>
      <c r="EI149" s="11"/>
      <c r="EJ149" s="11"/>
      <c r="EK149" s="11"/>
      <c r="EL149" s="11"/>
      <c r="EM149" s="11"/>
      <c r="EN149" s="11"/>
      <c r="EO149" s="11"/>
      <c r="EP149" s="11"/>
      <c r="EQ149" s="11"/>
      <c r="ER149" s="11"/>
      <c r="ES149" s="11"/>
      <c r="ET149" s="11"/>
      <c r="EU149" s="11"/>
      <c r="EV149" s="11"/>
      <c r="EW149" s="11"/>
      <c r="EX149" s="11"/>
      <c r="EY149" s="11"/>
      <c r="EZ149" s="11"/>
      <c r="FA149" s="11"/>
      <c r="FB149" s="11"/>
      <c r="FC149" s="11"/>
      <c r="FD149" s="11"/>
      <c r="FE149" s="11"/>
      <c r="FF149" s="11"/>
      <c r="FG149" s="11"/>
      <c r="FH149" s="11"/>
      <c r="FI149" s="11"/>
      <c r="FJ149" s="11"/>
      <c r="FK149" s="11"/>
      <c r="FL149" s="11"/>
      <c r="FM149" s="11"/>
      <c r="FN149" s="11"/>
      <c r="FO149" s="11"/>
      <c r="FP149" s="11"/>
      <c r="FQ149" s="11"/>
      <c r="FR149" s="11"/>
      <c r="FS149" s="11"/>
      <c r="FT149" s="11"/>
      <c r="FU149" s="11"/>
      <c r="FV149" s="11"/>
      <c r="FW149" s="11"/>
      <c r="FX149" s="11"/>
      <c r="FY149" s="11"/>
      <c r="FZ149" s="11"/>
      <c r="GA149" s="11"/>
      <c r="GB149" s="11"/>
      <c r="GC149" s="11"/>
      <c r="GD149" s="11"/>
      <c r="GE149" s="11"/>
      <c r="GF149" s="11"/>
      <c r="GG149" s="11"/>
      <c r="GH149" s="11"/>
      <c r="GI149" s="11"/>
      <c r="GJ149" s="11"/>
      <c r="GK149" s="11"/>
      <c r="GL149" s="11"/>
      <c r="GM149" s="11"/>
      <c r="GN149" s="11"/>
      <c r="GO149" s="11"/>
      <c r="GP149" s="11"/>
      <c r="GQ149" s="11"/>
      <c r="GR149" s="11"/>
    </row>
    <row r="150" spans="2:200" x14ac:dyDescent="0.15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  <c r="CW150" s="11"/>
      <c r="CX150" s="11"/>
      <c r="CY150" s="11"/>
      <c r="CZ150" s="11"/>
      <c r="DA150" s="11"/>
      <c r="DB150" s="11"/>
      <c r="DC150" s="11"/>
      <c r="DD150" s="11"/>
      <c r="DE150" s="11"/>
      <c r="DF150" s="11"/>
      <c r="DG150" s="11"/>
      <c r="DH150" s="11"/>
      <c r="DI150" s="11"/>
      <c r="DJ150" s="11"/>
      <c r="DK150" s="11"/>
      <c r="DL150" s="11"/>
      <c r="DM150" s="11"/>
      <c r="DN150" s="11"/>
      <c r="DO150" s="11"/>
      <c r="DP150" s="11"/>
      <c r="DQ150" s="11"/>
      <c r="DR150" s="11"/>
      <c r="DS150" s="11"/>
      <c r="DT150" s="11"/>
      <c r="DU150" s="11"/>
      <c r="DV150" s="11"/>
      <c r="DW150" s="11"/>
      <c r="DX150" s="11"/>
      <c r="DY150" s="11"/>
      <c r="DZ150" s="11"/>
      <c r="EA150" s="11"/>
      <c r="EB150" s="11"/>
      <c r="EC150" s="11"/>
      <c r="ED150" s="11"/>
      <c r="EE150" s="11"/>
      <c r="EF150" s="11"/>
      <c r="EG150" s="11"/>
      <c r="EH150" s="11"/>
      <c r="EI150" s="11"/>
      <c r="EJ150" s="11"/>
      <c r="EK150" s="11"/>
      <c r="EL150" s="11"/>
      <c r="EM150" s="11"/>
      <c r="EN150" s="11"/>
      <c r="EO150" s="11"/>
      <c r="EP150" s="11"/>
      <c r="EQ150" s="11"/>
      <c r="ER150" s="11"/>
      <c r="ES150" s="11"/>
      <c r="ET150" s="11"/>
      <c r="EU150" s="11"/>
      <c r="EV150" s="11"/>
      <c r="EW150" s="11"/>
      <c r="EX150" s="11"/>
      <c r="EY150" s="11"/>
      <c r="EZ150" s="11"/>
      <c r="FA150" s="11"/>
      <c r="FB150" s="11"/>
      <c r="FC150" s="11"/>
      <c r="FD150" s="11"/>
      <c r="FE150" s="11"/>
      <c r="FF150" s="11"/>
      <c r="FG150" s="11"/>
      <c r="FH150" s="11"/>
      <c r="FI150" s="11"/>
      <c r="FJ150" s="11"/>
      <c r="FK150" s="11"/>
      <c r="FL150" s="11"/>
      <c r="FM150" s="11"/>
      <c r="FN150" s="11"/>
      <c r="FO150" s="11"/>
      <c r="FP150" s="11"/>
      <c r="FQ150" s="11"/>
      <c r="FR150" s="11"/>
      <c r="FS150" s="11"/>
      <c r="FT150" s="11"/>
      <c r="FU150" s="11"/>
      <c r="FV150" s="11"/>
      <c r="FW150" s="11"/>
      <c r="FX150" s="11"/>
      <c r="FY150" s="11"/>
      <c r="FZ150" s="11"/>
      <c r="GA150" s="11"/>
      <c r="GB150" s="11"/>
      <c r="GC150" s="11"/>
      <c r="GD150" s="11"/>
      <c r="GE150" s="11"/>
      <c r="GF150" s="11"/>
      <c r="GG150" s="11"/>
      <c r="GH150" s="11"/>
      <c r="GI150" s="11"/>
      <c r="GJ150" s="11"/>
      <c r="GK150" s="11"/>
      <c r="GL150" s="11"/>
      <c r="GM150" s="11"/>
      <c r="GN150" s="11"/>
      <c r="GO150" s="11"/>
      <c r="GP150" s="11"/>
      <c r="GQ150" s="11"/>
      <c r="GR150" s="11"/>
    </row>
    <row r="151" spans="2:200" x14ac:dyDescent="0.15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  <c r="CW151" s="11"/>
      <c r="CX151" s="11"/>
      <c r="CY151" s="11"/>
      <c r="CZ151" s="11"/>
      <c r="DA151" s="11"/>
      <c r="DB151" s="11"/>
      <c r="DC151" s="11"/>
      <c r="DD151" s="11"/>
      <c r="DE151" s="11"/>
      <c r="DF151" s="11"/>
      <c r="DG151" s="11"/>
      <c r="DH151" s="11"/>
      <c r="DI151" s="11"/>
      <c r="DJ151" s="11"/>
      <c r="DK151" s="11"/>
      <c r="DL151" s="11"/>
      <c r="DM151" s="11"/>
      <c r="DN151" s="11"/>
      <c r="DO151" s="11"/>
      <c r="DP151" s="11"/>
      <c r="DQ151" s="11"/>
      <c r="DR151" s="11"/>
      <c r="DS151" s="11"/>
      <c r="DT151" s="11"/>
      <c r="DU151" s="11"/>
      <c r="DV151" s="11"/>
      <c r="DW151" s="11"/>
      <c r="DX151" s="11"/>
      <c r="DY151" s="11"/>
      <c r="DZ151" s="11"/>
      <c r="EA151" s="11"/>
      <c r="EB151" s="11"/>
      <c r="EC151" s="11"/>
      <c r="ED151" s="11"/>
      <c r="EE151" s="11"/>
      <c r="EF151" s="11"/>
      <c r="EG151" s="11"/>
      <c r="EH151" s="11"/>
      <c r="EI151" s="11"/>
      <c r="EJ151" s="11"/>
      <c r="EK151" s="11"/>
      <c r="EL151" s="11"/>
      <c r="EM151" s="11"/>
      <c r="EN151" s="11"/>
      <c r="EO151" s="11"/>
      <c r="EP151" s="11"/>
      <c r="EQ151" s="11"/>
      <c r="ER151" s="11"/>
      <c r="ES151" s="11"/>
      <c r="ET151" s="11"/>
      <c r="EU151" s="11"/>
      <c r="EV151" s="11"/>
      <c r="EW151" s="11"/>
      <c r="EX151" s="11"/>
      <c r="EY151" s="11"/>
      <c r="EZ151" s="11"/>
      <c r="FA151" s="11"/>
      <c r="FB151" s="11"/>
      <c r="FC151" s="11"/>
      <c r="FD151" s="11"/>
      <c r="FE151" s="11"/>
      <c r="FF151" s="11"/>
      <c r="FG151" s="11"/>
      <c r="FH151" s="11"/>
      <c r="FI151" s="11"/>
      <c r="FJ151" s="11"/>
      <c r="FK151" s="11"/>
      <c r="FL151" s="11"/>
      <c r="FM151" s="11"/>
      <c r="FN151" s="11"/>
      <c r="FO151" s="11"/>
      <c r="FP151" s="11"/>
      <c r="FQ151" s="11"/>
      <c r="FR151" s="11"/>
      <c r="FS151" s="11"/>
      <c r="FT151" s="11"/>
      <c r="FU151" s="11"/>
      <c r="FV151" s="11"/>
      <c r="FW151" s="11"/>
      <c r="FX151" s="11"/>
      <c r="FY151" s="11"/>
      <c r="FZ151" s="11"/>
      <c r="GA151" s="11"/>
      <c r="GB151" s="11"/>
      <c r="GC151" s="11"/>
      <c r="GD151" s="11"/>
      <c r="GE151" s="11"/>
      <c r="GF151" s="11"/>
      <c r="GG151" s="11"/>
      <c r="GH151" s="11"/>
      <c r="GI151" s="11"/>
      <c r="GJ151" s="11"/>
      <c r="GK151" s="11"/>
      <c r="GL151" s="11"/>
      <c r="GM151" s="11"/>
      <c r="GN151" s="11"/>
      <c r="GO151" s="11"/>
      <c r="GP151" s="11"/>
      <c r="GQ151" s="11"/>
      <c r="GR151" s="11"/>
    </row>
    <row r="152" spans="2:200" x14ac:dyDescent="0.15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  <c r="CW152" s="11"/>
      <c r="CX152" s="11"/>
      <c r="CY152" s="11"/>
      <c r="CZ152" s="11"/>
      <c r="DA152" s="11"/>
      <c r="DB152" s="11"/>
      <c r="DC152" s="11"/>
      <c r="DD152" s="11"/>
      <c r="DE152" s="11"/>
      <c r="DF152" s="11"/>
      <c r="DG152" s="11"/>
      <c r="DH152" s="11"/>
      <c r="DI152" s="11"/>
      <c r="DJ152" s="11"/>
      <c r="DK152" s="11"/>
      <c r="DL152" s="11"/>
      <c r="DM152" s="11"/>
      <c r="DN152" s="11"/>
      <c r="DO152" s="11"/>
      <c r="DP152" s="11"/>
      <c r="DQ152" s="11"/>
      <c r="DR152" s="11"/>
      <c r="DS152" s="11"/>
      <c r="DT152" s="11"/>
      <c r="DU152" s="11"/>
      <c r="DV152" s="11"/>
      <c r="DW152" s="11"/>
      <c r="DX152" s="11"/>
      <c r="DY152" s="11"/>
      <c r="DZ152" s="11"/>
      <c r="EA152" s="11"/>
      <c r="EB152" s="11"/>
      <c r="EC152" s="11"/>
      <c r="ED152" s="11"/>
      <c r="EE152" s="11"/>
      <c r="EF152" s="11"/>
      <c r="EG152" s="11"/>
      <c r="EH152" s="11"/>
      <c r="EI152" s="11"/>
      <c r="EJ152" s="11"/>
      <c r="EK152" s="11"/>
      <c r="EL152" s="11"/>
      <c r="EM152" s="11"/>
      <c r="EN152" s="11"/>
      <c r="EO152" s="11"/>
      <c r="EP152" s="11"/>
      <c r="EQ152" s="11"/>
      <c r="ER152" s="11"/>
      <c r="ES152" s="11"/>
      <c r="ET152" s="11"/>
      <c r="EU152" s="11"/>
      <c r="EV152" s="11"/>
      <c r="EW152" s="11"/>
      <c r="EX152" s="11"/>
      <c r="EY152" s="11"/>
      <c r="EZ152" s="11"/>
      <c r="FA152" s="11"/>
      <c r="FB152" s="11"/>
      <c r="FC152" s="11"/>
      <c r="FD152" s="11"/>
      <c r="FE152" s="11"/>
      <c r="FF152" s="11"/>
      <c r="FG152" s="11"/>
      <c r="FH152" s="11"/>
      <c r="FI152" s="11"/>
      <c r="FJ152" s="11"/>
      <c r="FK152" s="11"/>
      <c r="FL152" s="11"/>
      <c r="FM152" s="11"/>
      <c r="FN152" s="11"/>
      <c r="FO152" s="11"/>
      <c r="FP152" s="11"/>
      <c r="FQ152" s="11"/>
      <c r="FR152" s="11"/>
      <c r="FS152" s="11"/>
      <c r="FT152" s="11"/>
      <c r="FU152" s="11"/>
      <c r="FV152" s="11"/>
      <c r="FW152" s="11"/>
      <c r="FX152" s="11"/>
      <c r="FY152" s="11"/>
      <c r="FZ152" s="11"/>
      <c r="GA152" s="11"/>
      <c r="GB152" s="11"/>
      <c r="GC152" s="11"/>
      <c r="GD152" s="11"/>
      <c r="GE152" s="11"/>
      <c r="GF152" s="11"/>
      <c r="GG152" s="11"/>
      <c r="GH152" s="11"/>
      <c r="GI152" s="11"/>
      <c r="GJ152" s="11"/>
      <c r="GK152" s="11"/>
      <c r="GL152" s="11"/>
      <c r="GM152" s="11"/>
      <c r="GN152" s="11"/>
      <c r="GO152" s="11"/>
      <c r="GP152" s="11"/>
      <c r="GQ152" s="11"/>
      <c r="GR152" s="11"/>
    </row>
    <row r="153" spans="2:200" x14ac:dyDescent="0.15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  <c r="CW153" s="11"/>
      <c r="CX153" s="11"/>
      <c r="CY153" s="11"/>
      <c r="CZ153" s="11"/>
      <c r="DA153" s="11"/>
      <c r="DB153" s="11"/>
      <c r="DC153" s="11"/>
      <c r="DD153" s="11"/>
      <c r="DE153" s="11"/>
      <c r="DF153" s="11"/>
      <c r="DG153" s="11"/>
      <c r="DH153" s="11"/>
      <c r="DI153" s="11"/>
      <c r="DJ153" s="11"/>
      <c r="DK153" s="11"/>
      <c r="DL153" s="11"/>
      <c r="DM153" s="11"/>
      <c r="DN153" s="11"/>
      <c r="DO153" s="11"/>
      <c r="DP153" s="11"/>
      <c r="DQ153" s="11"/>
      <c r="DR153" s="11"/>
      <c r="DS153" s="11"/>
      <c r="DT153" s="11"/>
      <c r="DU153" s="11"/>
      <c r="DV153" s="11"/>
      <c r="DW153" s="11"/>
      <c r="DX153" s="11"/>
      <c r="DY153" s="11"/>
      <c r="DZ153" s="11"/>
      <c r="EA153" s="11"/>
      <c r="EB153" s="11"/>
      <c r="EC153" s="11"/>
      <c r="ED153" s="11"/>
      <c r="EE153" s="11"/>
      <c r="EF153" s="11"/>
      <c r="EG153" s="11"/>
      <c r="EH153" s="11"/>
      <c r="EI153" s="11"/>
      <c r="EJ153" s="11"/>
      <c r="EK153" s="11"/>
      <c r="EL153" s="11"/>
      <c r="EM153" s="11"/>
      <c r="EN153" s="11"/>
      <c r="EO153" s="11"/>
      <c r="EP153" s="11"/>
      <c r="EQ153" s="11"/>
      <c r="ER153" s="11"/>
      <c r="ES153" s="11"/>
      <c r="ET153" s="11"/>
      <c r="EU153" s="11"/>
      <c r="EV153" s="11"/>
      <c r="EW153" s="11"/>
      <c r="EX153" s="11"/>
      <c r="EY153" s="11"/>
      <c r="EZ153" s="11"/>
      <c r="FA153" s="11"/>
      <c r="FB153" s="11"/>
      <c r="FC153" s="11"/>
      <c r="FD153" s="11"/>
      <c r="FE153" s="11"/>
      <c r="FF153" s="11"/>
      <c r="FG153" s="11"/>
      <c r="FH153" s="11"/>
      <c r="FI153" s="11"/>
      <c r="FJ153" s="11"/>
      <c r="FK153" s="11"/>
      <c r="FL153" s="11"/>
      <c r="FM153" s="11"/>
      <c r="FN153" s="11"/>
      <c r="FO153" s="11"/>
      <c r="FP153" s="11"/>
      <c r="FQ153" s="11"/>
      <c r="FR153" s="11"/>
      <c r="FS153" s="11"/>
      <c r="FT153" s="11"/>
      <c r="FU153" s="11"/>
      <c r="FV153" s="11"/>
      <c r="FW153" s="11"/>
      <c r="FX153" s="11"/>
      <c r="FY153" s="11"/>
      <c r="FZ153" s="11"/>
      <c r="GA153" s="11"/>
      <c r="GB153" s="11"/>
      <c r="GC153" s="11"/>
      <c r="GD153" s="11"/>
      <c r="GE153" s="11"/>
      <c r="GF153" s="11"/>
      <c r="GG153" s="11"/>
      <c r="GH153" s="11"/>
      <c r="GI153" s="11"/>
      <c r="GJ153" s="11"/>
      <c r="GK153" s="11"/>
      <c r="GL153" s="11"/>
      <c r="GM153" s="11"/>
      <c r="GN153" s="11"/>
      <c r="GO153" s="11"/>
      <c r="GP153" s="11"/>
      <c r="GQ153" s="11"/>
      <c r="GR153" s="11"/>
    </row>
    <row r="154" spans="2:200" x14ac:dyDescent="0.15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  <c r="CW154" s="11"/>
      <c r="CX154" s="11"/>
      <c r="CY154" s="11"/>
      <c r="CZ154" s="11"/>
      <c r="DA154" s="11"/>
      <c r="DB154" s="11"/>
      <c r="DC154" s="11"/>
      <c r="DD154" s="11"/>
      <c r="DE154" s="11"/>
      <c r="DF154" s="11"/>
      <c r="DG154" s="11"/>
      <c r="DH154" s="11"/>
      <c r="DI154" s="11"/>
      <c r="DJ154" s="11"/>
      <c r="DK154" s="11"/>
      <c r="DL154" s="11"/>
      <c r="DM154" s="11"/>
      <c r="DN154" s="11"/>
      <c r="DO154" s="11"/>
      <c r="DP154" s="11"/>
      <c r="DQ154" s="11"/>
      <c r="DR154" s="11"/>
      <c r="DS154" s="11"/>
      <c r="DT154" s="11"/>
      <c r="DU154" s="11"/>
      <c r="DV154" s="11"/>
      <c r="DW154" s="11"/>
      <c r="DX154" s="11"/>
      <c r="DY154" s="11"/>
      <c r="DZ154" s="11"/>
      <c r="EA154" s="11"/>
      <c r="EB154" s="11"/>
      <c r="EC154" s="11"/>
      <c r="ED154" s="11"/>
      <c r="EE154" s="11"/>
      <c r="EF154" s="11"/>
      <c r="EG154" s="11"/>
      <c r="EH154" s="11"/>
      <c r="EI154" s="11"/>
      <c r="EJ154" s="11"/>
      <c r="EK154" s="11"/>
      <c r="EL154" s="11"/>
      <c r="EM154" s="11"/>
      <c r="EN154" s="11"/>
      <c r="EO154" s="11"/>
      <c r="EP154" s="11"/>
      <c r="EQ154" s="11"/>
      <c r="ER154" s="11"/>
      <c r="ES154" s="11"/>
      <c r="ET154" s="11"/>
      <c r="EU154" s="11"/>
      <c r="EV154" s="11"/>
      <c r="EW154" s="11"/>
      <c r="EX154" s="11"/>
      <c r="EY154" s="11"/>
      <c r="EZ154" s="11"/>
      <c r="FA154" s="11"/>
      <c r="FB154" s="11"/>
      <c r="FC154" s="11"/>
      <c r="FD154" s="11"/>
      <c r="FE154" s="11"/>
      <c r="FF154" s="11"/>
      <c r="FG154" s="11"/>
      <c r="FH154" s="11"/>
      <c r="FI154" s="11"/>
      <c r="FJ154" s="11"/>
      <c r="FK154" s="11"/>
      <c r="FL154" s="11"/>
      <c r="FM154" s="11"/>
      <c r="FN154" s="11"/>
      <c r="FO154" s="11"/>
      <c r="FP154" s="11"/>
      <c r="FQ154" s="11"/>
      <c r="FR154" s="11"/>
      <c r="FS154" s="11"/>
      <c r="FT154" s="11"/>
      <c r="FU154" s="11"/>
      <c r="FV154" s="11"/>
      <c r="FW154" s="11"/>
      <c r="FX154" s="11"/>
      <c r="FY154" s="11"/>
      <c r="FZ154" s="11"/>
      <c r="GA154" s="11"/>
      <c r="GB154" s="11"/>
      <c r="GC154" s="11"/>
      <c r="GD154" s="11"/>
      <c r="GE154" s="11"/>
      <c r="GF154" s="11"/>
      <c r="GG154" s="11"/>
      <c r="GH154" s="11"/>
      <c r="GI154" s="11"/>
      <c r="GJ154" s="11"/>
      <c r="GK154" s="11"/>
      <c r="GL154" s="11"/>
      <c r="GM154" s="11"/>
      <c r="GN154" s="11"/>
      <c r="GO154" s="11"/>
      <c r="GP154" s="11"/>
      <c r="GQ154" s="11"/>
      <c r="GR154" s="11"/>
    </row>
    <row r="155" spans="2:200" x14ac:dyDescent="0.15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  <c r="CW155" s="11"/>
      <c r="CX155" s="11"/>
      <c r="CY155" s="11"/>
      <c r="CZ155" s="11"/>
      <c r="DA155" s="11"/>
      <c r="DB155" s="11"/>
      <c r="DC155" s="11"/>
      <c r="DD155" s="11"/>
      <c r="DE155" s="11"/>
      <c r="DF155" s="11"/>
      <c r="DG155" s="11"/>
      <c r="DH155" s="11"/>
      <c r="DI155" s="11"/>
      <c r="DJ155" s="11"/>
      <c r="DK155" s="11"/>
      <c r="DL155" s="11"/>
      <c r="DM155" s="11"/>
      <c r="DN155" s="11"/>
      <c r="DO155" s="11"/>
      <c r="DP155" s="11"/>
      <c r="DQ155" s="11"/>
      <c r="DR155" s="11"/>
      <c r="DS155" s="11"/>
      <c r="DT155" s="11"/>
      <c r="DU155" s="11"/>
      <c r="DV155" s="11"/>
      <c r="DW155" s="11"/>
      <c r="DX155" s="11"/>
      <c r="DY155" s="11"/>
      <c r="DZ155" s="11"/>
      <c r="EA155" s="11"/>
      <c r="EB155" s="11"/>
      <c r="EC155" s="11"/>
      <c r="ED155" s="11"/>
      <c r="EE155" s="11"/>
      <c r="EF155" s="11"/>
      <c r="EG155" s="11"/>
      <c r="EH155" s="11"/>
      <c r="EI155" s="11"/>
      <c r="EJ155" s="11"/>
      <c r="EK155" s="11"/>
      <c r="EL155" s="11"/>
      <c r="EM155" s="11"/>
      <c r="EN155" s="11"/>
      <c r="EO155" s="11"/>
      <c r="EP155" s="11"/>
      <c r="EQ155" s="11"/>
      <c r="ER155" s="11"/>
      <c r="ES155" s="11"/>
      <c r="ET155" s="11"/>
      <c r="EU155" s="11"/>
      <c r="EV155" s="11"/>
      <c r="EW155" s="11"/>
      <c r="EX155" s="11"/>
      <c r="EY155" s="11"/>
      <c r="EZ155" s="11"/>
      <c r="FA155" s="11"/>
      <c r="FB155" s="11"/>
      <c r="FC155" s="11"/>
      <c r="FD155" s="11"/>
      <c r="FE155" s="11"/>
      <c r="FF155" s="11"/>
      <c r="FG155" s="11"/>
      <c r="FH155" s="11"/>
      <c r="FI155" s="11"/>
      <c r="FJ155" s="11"/>
      <c r="FK155" s="11"/>
      <c r="FL155" s="11"/>
      <c r="FM155" s="11"/>
      <c r="FN155" s="11"/>
      <c r="FO155" s="11"/>
      <c r="FP155" s="11"/>
      <c r="FQ155" s="11"/>
      <c r="FR155" s="11"/>
      <c r="FS155" s="11"/>
      <c r="FT155" s="11"/>
      <c r="FU155" s="11"/>
      <c r="FV155" s="11"/>
      <c r="FW155" s="11"/>
      <c r="FX155" s="11"/>
      <c r="FY155" s="11"/>
      <c r="FZ155" s="11"/>
      <c r="GA155" s="11"/>
      <c r="GB155" s="11"/>
      <c r="GC155" s="11"/>
      <c r="GD155" s="11"/>
      <c r="GE155" s="11"/>
      <c r="GF155" s="11"/>
      <c r="GG155" s="11"/>
      <c r="GH155" s="11"/>
      <c r="GI155" s="11"/>
      <c r="GJ155" s="11"/>
      <c r="GK155" s="11"/>
      <c r="GL155" s="11"/>
      <c r="GM155" s="11"/>
      <c r="GN155" s="11"/>
      <c r="GO155" s="11"/>
      <c r="GP155" s="11"/>
      <c r="GQ155" s="11"/>
      <c r="GR155" s="11"/>
    </row>
    <row r="156" spans="2:200" x14ac:dyDescent="0.15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  <c r="CW156" s="11"/>
      <c r="CX156" s="11"/>
      <c r="CY156" s="11"/>
      <c r="CZ156" s="11"/>
      <c r="DA156" s="11"/>
      <c r="DB156" s="11"/>
      <c r="DC156" s="11"/>
      <c r="DD156" s="11"/>
      <c r="DE156" s="11"/>
      <c r="DF156" s="11"/>
      <c r="DG156" s="11"/>
      <c r="DH156" s="11"/>
      <c r="DI156" s="11"/>
      <c r="DJ156" s="11"/>
      <c r="DK156" s="11"/>
      <c r="DL156" s="11"/>
      <c r="DM156" s="11"/>
      <c r="DN156" s="11"/>
      <c r="DO156" s="11"/>
      <c r="DP156" s="11"/>
      <c r="DQ156" s="11"/>
      <c r="DR156" s="11"/>
      <c r="DS156" s="11"/>
      <c r="DT156" s="11"/>
      <c r="DU156" s="11"/>
      <c r="DV156" s="11"/>
      <c r="DW156" s="11"/>
      <c r="DX156" s="11"/>
      <c r="DY156" s="11"/>
      <c r="DZ156" s="11"/>
      <c r="EA156" s="11"/>
      <c r="EB156" s="11"/>
      <c r="EC156" s="11"/>
      <c r="ED156" s="11"/>
      <c r="EE156" s="11"/>
      <c r="EF156" s="11"/>
      <c r="EG156" s="11"/>
      <c r="EH156" s="11"/>
      <c r="EI156" s="11"/>
      <c r="EJ156" s="11"/>
      <c r="EK156" s="11"/>
      <c r="EL156" s="11"/>
      <c r="EM156" s="11"/>
      <c r="EN156" s="11"/>
      <c r="EO156" s="11"/>
      <c r="EP156" s="11"/>
      <c r="EQ156" s="11"/>
      <c r="ER156" s="11"/>
      <c r="ES156" s="11"/>
      <c r="ET156" s="11"/>
      <c r="EU156" s="11"/>
      <c r="EV156" s="11"/>
      <c r="EW156" s="11"/>
      <c r="EX156" s="11"/>
      <c r="EY156" s="11"/>
      <c r="EZ156" s="11"/>
      <c r="FA156" s="11"/>
      <c r="FB156" s="11"/>
      <c r="FC156" s="11"/>
      <c r="FD156" s="11"/>
      <c r="FE156" s="11"/>
      <c r="FF156" s="11"/>
      <c r="FG156" s="11"/>
      <c r="FH156" s="11"/>
      <c r="FI156" s="11"/>
      <c r="FJ156" s="11"/>
      <c r="FK156" s="11"/>
      <c r="FL156" s="11"/>
      <c r="FM156" s="11"/>
      <c r="FN156" s="11"/>
      <c r="FO156" s="11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11"/>
      <c r="GC156" s="11"/>
      <c r="GD156" s="11"/>
      <c r="GE156" s="11"/>
      <c r="GF156" s="11"/>
      <c r="GG156" s="11"/>
      <c r="GH156" s="11"/>
      <c r="GI156" s="11"/>
      <c r="GJ156" s="11"/>
      <c r="GK156" s="11"/>
      <c r="GL156" s="11"/>
      <c r="GM156" s="11"/>
      <c r="GN156" s="11"/>
      <c r="GO156" s="11"/>
      <c r="GP156" s="11"/>
      <c r="GQ156" s="11"/>
      <c r="GR156" s="11"/>
    </row>
    <row r="157" spans="2:200" x14ac:dyDescent="0.15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  <c r="CW157" s="11"/>
      <c r="CX157" s="11"/>
      <c r="CY157" s="11"/>
      <c r="CZ157" s="11"/>
      <c r="DA157" s="11"/>
      <c r="DB157" s="11"/>
      <c r="DC157" s="11"/>
      <c r="DD157" s="11"/>
      <c r="DE157" s="11"/>
      <c r="DF157" s="11"/>
      <c r="DG157" s="11"/>
      <c r="DH157" s="11"/>
      <c r="DI157" s="11"/>
      <c r="DJ157" s="11"/>
      <c r="DK157" s="11"/>
      <c r="DL157" s="11"/>
      <c r="DM157" s="11"/>
      <c r="DN157" s="11"/>
      <c r="DO157" s="11"/>
      <c r="DP157" s="11"/>
      <c r="DQ157" s="11"/>
      <c r="DR157" s="11"/>
      <c r="DS157" s="11"/>
      <c r="DT157" s="11"/>
      <c r="DU157" s="11"/>
      <c r="DV157" s="11"/>
      <c r="DW157" s="11"/>
      <c r="DX157" s="11"/>
      <c r="DY157" s="11"/>
      <c r="DZ157" s="11"/>
      <c r="EA157" s="11"/>
      <c r="EB157" s="11"/>
      <c r="EC157" s="11"/>
      <c r="ED157" s="11"/>
      <c r="EE157" s="11"/>
      <c r="EF157" s="11"/>
      <c r="EG157" s="11"/>
      <c r="EH157" s="11"/>
      <c r="EI157" s="11"/>
      <c r="EJ157" s="11"/>
      <c r="EK157" s="11"/>
      <c r="EL157" s="11"/>
      <c r="EM157" s="11"/>
      <c r="EN157" s="11"/>
      <c r="EO157" s="11"/>
      <c r="EP157" s="11"/>
      <c r="EQ157" s="11"/>
      <c r="ER157" s="11"/>
      <c r="ES157" s="11"/>
      <c r="ET157" s="11"/>
      <c r="EU157" s="11"/>
      <c r="EV157" s="11"/>
      <c r="EW157" s="11"/>
      <c r="EX157" s="11"/>
      <c r="EY157" s="11"/>
      <c r="EZ157" s="11"/>
      <c r="FA157" s="11"/>
      <c r="FB157" s="11"/>
      <c r="FC157" s="11"/>
      <c r="FD157" s="11"/>
      <c r="FE157" s="11"/>
      <c r="FF157" s="11"/>
      <c r="FG157" s="11"/>
      <c r="FH157" s="11"/>
      <c r="FI157" s="11"/>
      <c r="FJ157" s="11"/>
      <c r="FK157" s="11"/>
      <c r="FL157" s="11"/>
      <c r="FM157" s="11"/>
      <c r="FN157" s="11"/>
      <c r="FO157" s="1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11"/>
      <c r="GC157" s="11"/>
      <c r="GD157" s="11"/>
      <c r="GE157" s="11"/>
      <c r="GF157" s="11"/>
      <c r="GG157" s="11"/>
      <c r="GH157" s="11"/>
      <c r="GI157" s="11"/>
      <c r="GJ157" s="11"/>
      <c r="GK157" s="11"/>
      <c r="GL157" s="11"/>
      <c r="GM157" s="11"/>
      <c r="GN157" s="11"/>
      <c r="GO157" s="11"/>
      <c r="GP157" s="11"/>
      <c r="GQ157" s="11"/>
      <c r="GR157" s="11"/>
    </row>
    <row r="158" spans="2:200" x14ac:dyDescent="0.15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  <c r="CW158" s="11"/>
      <c r="CX158" s="11"/>
      <c r="CY158" s="11"/>
      <c r="CZ158" s="11"/>
      <c r="DA158" s="11"/>
      <c r="DB158" s="11"/>
      <c r="DC158" s="11"/>
      <c r="DD158" s="11"/>
      <c r="DE158" s="11"/>
      <c r="DF158" s="11"/>
      <c r="DG158" s="11"/>
      <c r="DH158" s="11"/>
      <c r="DI158" s="11"/>
      <c r="DJ158" s="11"/>
      <c r="DK158" s="11"/>
      <c r="DL158" s="11"/>
      <c r="DM158" s="11"/>
      <c r="DN158" s="11"/>
      <c r="DO158" s="11"/>
      <c r="DP158" s="11"/>
      <c r="DQ158" s="11"/>
      <c r="DR158" s="11"/>
      <c r="DS158" s="11"/>
      <c r="DT158" s="11"/>
      <c r="DU158" s="11"/>
      <c r="DV158" s="11"/>
      <c r="DW158" s="11"/>
      <c r="DX158" s="11"/>
      <c r="DY158" s="11"/>
      <c r="DZ158" s="11"/>
      <c r="EA158" s="11"/>
      <c r="EB158" s="11"/>
      <c r="EC158" s="11"/>
      <c r="ED158" s="11"/>
      <c r="EE158" s="11"/>
      <c r="EF158" s="11"/>
      <c r="EG158" s="11"/>
      <c r="EH158" s="11"/>
      <c r="EI158" s="11"/>
      <c r="EJ158" s="11"/>
      <c r="EK158" s="11"/>
      <c r="EL158" s="11"/>
      <c r="EM158" s="11"/>
      <c r="EN158" s="11"/>
      <c r="EO158" s="11"/>
      <c r="EP158" s="11"/>
      <c r="EQ158" s="11"/>
      <c r="ER158" s="11"/>
      <c r="ES158" s="11"/>
      <c r="ET158" s="11"/>
      <c r="EU158" s="11"/>
      <c r="EV158" s="11"/>
      <c r="EW158" s="11"/>
      <c r="EX158" s="11"/>
      <c r="EY158" s="11"/>
      <c r="EZ158" s="11"/>
      <c r="FA158" s="11"/>
      <c r="FB158" s="11"/>
      <c r="FC158" s="11"/>
      <c r="FD158" s="11"/>
      <c r="FE158" s="11"/>
      <c r="FF158" s="11"/>
      <c r="FG158" s="11"/>
      <c r="FH158" s="11"/>
      <c r="FI158" s="11"/>
      <c r="FJ158" s="11"/>
      <c r="FK158" s="11"/>
      <c r="FL158" s="11"/>
      <c r="FM158" s="11"/>
      <c r="FN158" s="11"/>
      <c r="FO158" s="11"/>
      <c r="FP158" s="11"/>
      <c r="FQ158" s="11"/>
      <c r="FR158" s="11"/>
      <c r="FS158" s="11"/>
      <c r="FT158" s="11"/>
      <c r="FU158" s="11"/>
      <c r="FV158" s="11"/>
      <c r="FW158" s="11"/>
      <c r="FX158" s="11"/>
      <c r="FY158" s="11"/>
      <c r="FZ158" s="11"/>
      <c r="GA158" s="11"/>
      <c r="GB158" s="11"/>
      <c r="GC158" s="11"/>
      <c r="GD158" s="11"/>
      <c r="GE158" s="11"/>
      <c r="GF158" s="11"/>
      <c r="GG158" s="11"/>
      <c r="GH158" s="11"/>
      <c r="GI158" s="11"/>
      <c r="GJ158" s="11"/>
      <c r="GK158" s="11"/>
      <c r="GL158" s="11"/>
      <c r="GM158" s="11"/>
      <c r="GN158" s="11"/>
      <c r="GO158" s="11"/>
      <c r="GP158" s="11"/>
      <c r="GQ158" s="11"/>
      <c r="GR158" s="11"/>
    </row>
    <row r="159" spans="2:200" x14ac:dyDescent="0.15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  <c r="CW159" s="11"/>
      <c r="CX159" s="11"/>
      <c r="CY159" s="11"/>
      <c r="CZ159" s="11"/>
      <c r="DA159" s="11"/>
      <c r="DB159" s="11"/>
      <c r="DC159" s="11"/>
      <c r="DD159" s="11"/>
      <c r="DE159" s="11"/>
      <c r="DF159" s="11"/>
      <c r="DG159" s="11"/>
      <c r="DH159" s="11"/>
      <c r="DI159" s="11"/>
      <c r="DJ159" s="11"/>
      <c r="DK159" s="11"/>
      <c r="DL159" s="11"/>
      <c r="DM159" s="11"/>
      <c r="DN159" s="11"/>
      <c r="DO159" s="11"/>
      <c r="DP159" s="11"/>
      <c r="DQ159" s="11"/>
      <c r="DR159" s="11"/>
      <c r="DS159" s="11"/>
      <c r="DT159" s="11"/>
      <c r="DU159" s="11"/>
      <c r="DV159" s="11"/>
      <c r="DW159" s="11"/>
      <c r="DX159" s="11"/>
      <c r="DY159" s="11"/>
      <c r="DZ159" s="11"/>
      <c r="EA159" s="11"/>
      <c r="EB159" s="11"/>
      <c r="EC159" s="11"/>
      <c r="ED159" s="11"/>
      <c r="EE159" s="11"/>
      <c r="EF159" s="11"/>
      <c r="EG159" s="11"/>
      <c r="EH159" s="11"/>
      <c r="EI159" s="11"/>
      <c r="EJ159" s="11"/>
      <c r="EK159" s="11"/>
      <c r="EL159" s="11"/>
      <c r="EM159" s="11"/>
      <c r="EN159" s="11"/>
      <c r="EO159" s="11"/>
      <c r="EP159" s="11"/>
      <c r="EQ159" s="11"/>
      <c r="ER159" s="11"/>
      <c r="ES159" s="11"/>
      <c r="ET159" s="11"/>
      <c r="EU159" s="11"/>
      <c r="EV159" s="11"/>
      <c r="EW159" s="11"/>
      <c r="EX159" s="11"/>
      <c r="EY159" s="11"/>
      <c r="EZ159" s="11"/>
      <c r="FA159" s="11"/>
      <c r="FB159" s="11"/>
      <c r="FC159" s="11"/>
      <c r="FD159" s="11"/>
      <c r="FE159" s="11"/>
      <c r="FF159" s="11"/>
      <c r="FG159" s="11"/>
      <c r="FH159" s="11"/>
      <c r="FI159" s="11"/>
      <c r="FJ159" s="11"/>
      <c r="FK159" s="11"/>
      <c r="FL159" s="11"/>
      <c r="FM159" s="11"/>
      <c r="FN159" s="11"/>
      <c r="FO159" s="11"/>
      <c r="FP159" s="11"/>
      <c r="FQ159" s="11"/>
      <c r="FR159" s="11"/>
      <c r="FS159" s="11"/>
      <c r="FT159" s="11"/>
      <c r="FU159" s="11"/>
      <c r="FV159" s="11"/>
      <c r="FW159" s="11"/>
      <c r="FX159" s="11"/>
      <c r="FY159" s="11"/>
      <c r="FZ159" s="11"/>
      <c r="GA159" s="11"/>
      <c r="GB159" s="11"/>
      <c r="GC159" s="11"/>
      <c r="GD159" s="11"/>
      <c r="GE159" s="11"/>
      <c r="GF159" s="11"/>
      <c r="GG159" s="11"/>
      <c r="GH159" s="11"/>
      <c r="GI159" s="11"/>
      <c r="GJ159" s="11"/>
      <c r="GK159" s="11"/>
      <c r="GL159" s="11"/>
      <c r="GM159" s="11"/>
      <c r="GN159" s="11"/>
      <c r="GO159" s="11"/>
      <c r="GP159" s="11"/>
      <c r="GQ159" s="11"/>
      <c r="GR159" s="11"/>
    </row>
    <row r="160" spans="2:200" x14ac:dyDescent="0.15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  <c r="CW160" s="11"/>
      <c r="CX160" s="11"/>
      <c r="CY160" s="11"/>
      <c r="CZ160" s="11"/>
      <c r="DA160" s="11"/>
      <c r="DB160" s="11"/>
      <c r="DC160" s="11"/>
      <c r="DD160" s="11"/>
      <c r="DE160" s="11"/>
      <c r="DF160" s="11"/>
      <c r="DG160" s="11"/>
      <c r="DH160" s="11"/>
      <c r="DI160" s="11"/>
      <c r="DJ160" s="11"/>
      <c r="DK160" s="11"/>
      <c r="DL160" s="11"/>
      <c r="DM160" s="11"/>
      <c r="DN160" s="11"/>
      <c r="DO160" s="11"/>
      <c r="DP160" s="11"/>
      <c r="DQ160" s="11"/>
      <c r="DR160" s="11"/>
      <c r="DS160" s="11"/>
      <c r="DT160" s="11"/>
      <c r="DU160" s="11"/>
      <c r="DV160" s="11"/>
      <c r="DW160" s="11"/>
      <c r="DX160" s="11"/>
      <c r="DY160" s="11"/>
      <c r="DZ160" s="11"/>
      <c r="EA160" s="11"/>
      <c r="EB160" s="11"/>
      <c r="EC160" s="11"/>
      <c r="ED160" s="11"/>
      <c r="EE160" s="11"/>
      <c r="EF160" s="11"/>
      <c r="EG160" s="11"/>
      <c r="EH160" s="11"/>
      <c r="EI160" s="11"/>
      <c r="EJ160" s="11"/>
      <c r="EK160" s="11"/>
      <c r="EL160" s="11"/>
      <c r="EM160" s="11"/>
      <c r="EN160" s="11"/>
      <c r="EO160" s="11"/>
      <c r="EP160" s="11"/>
      <c r="EQ160" s="11"/>
      <c r="ER160" s="11"/>
      <c r="ES160" s="11"/>
      <c r="ET160" s="11"/>
      <c r="EU160" s="11"/>
      <c r="EV160" s="11"/>
      <c r="EW160" s="11"/>
      <c r="EX160" s="11"/>
      <c r="EY160" s="11"/>
      <c r="EZ160" s="11"/>
      <c r="FA160" s="11"/>
      <c r="FB160" s="11"/>
      <c r="FC160" s="11"/>
      <c r="FD160" s="11"/>
      <c r="FE160" s="11"/>
      <c r="FF160" s="11"/>
      <c r="FG160" s="11"/>
      <c r="FH160" s="11"/>
      <c r="FI160" s="11"/>
      <c r="FJ160" s="11"/>
      <c r="FK160" s="11"/>
      <c r="FL160" s="11"/>
      <c r="FM160" s="11"/>
      <c r="FN160" s="11"/>
      <c r="FO160" s="11"/>
      <c r="FP160" s="11"/>
      <c r="FQ160" s="11"/>
      <c r="FR160" s="11"/>
      <c r="FS160" s="11"/>
      <c r="FT160" s="11"/>
      <c r="FU160" s="11"/>
      <c r="FV160" s="11"/>
      <c r="FW160" s="11"/>
      <c r="FX160" s="11"/>
      <c r="FY160" s="11"/>
      <c r="FZ160" s="11"/>
      <c r="GA160" s="11"/>
      <c r="GB160" s="11"/>
      <c r="GC160" s="11"/>
      <c r="GD160" s="11"/>
      <c r="GE160" s="11"/>
      <c r="GF160" s="11"/>
      <c r="GG160" s="11"/>
      <c r="GH160" s="11"/>
      <c r="GI160" s="11"/>
      <c r="GJ160" s="11"/>
      <c r="GK160" s="11"/>
      <c r="GL160" s="11"/>
      <c r="GM160" s="11"/>
      <c r="GN160" s="11"/>
      <c r="GO160" s="11"/>
      <c r="GP160" s="11"/>
      <c r="GQ160" s="11"/>
      <c r="GR160" s="11"/>
    </row>
    <row r="161" spans="2:200" x14ac:dyDescent="0.15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  <c r="CW161" s="11"/>
      <c r="CX161" s="11"/>
      <c r="CY161" s="11"/>
      <c r="CZ161" s="11"/>
      <c r="DA161" s="11"/>
      <c r="DB161" s="11"/>
      <c r="DC161" s="11"/>
      <c r="DD161" s="11"/>
      <c r="DE161" s="11"/>
      <c r="DF161" s="11"/>
      <c r="DG161" s="11"/>
      <c r="DH161" s="11"/>
      <c r="DI161" s="11"/>
      <c r="DJ161" s="11"/>
      <c r="DK161" s="11"/>
      <c r="DL161" s="11"/>
      <c r="DM161" s="11"/>
      <c r="DN161" s="11"/>
      <c r="DO161" s="11"/>
      <c r="DP161" s="11"/>
      <c r="DQ161" s="11"/>
      <c r="DR161" s="11"/>
      <c r="DS161" s="11"/>
      <c r="DT161" s="11"/>
      <c r="DU161" s="11"/>
      <c r="DV161" s="11"/>
      <c r="DW161" s="11"/>
      <c r="DX161" s="11"/>
      <c r="DY161" s="11"/>
      <c r="DZ161" s="11"/>
      <c r="EA161" s="11"/>
      <c r="EB161" s="11"/>
      <c r="EC161" s="11"/>
      <c r="ED161" s="11"/>
      <c r="EE161" s="11"/>
      <c r="EF161" s="11"/>
      <c r="EG161" s="11"/>
      <c r="EH161" s="11"/>
      <c r="EI161" s="11"/>
      <c r="EJ161" s="11"/>
      <c r="EK161" s="11"/>
      <c r="EL161" s="11"/>
      <c r="EM161" s="11"/>
      <c r="EN161" s="11"/>
      <c r="EO161" s="11"/>
      <c r="EP161" s="11"/>
      <c r="EQ161" s="11"/>
      <c r="ER161" s="11"/>
      <c r="ES161" s="11"/>
      <c r="ET161" s="11"/>
      <c r="EU161" s="11"/>
      <c r="EV161" s="11"/>
      <c r="EW161" s="11"/>
      <c r="EX161" s="11"/>
      <c r="EY161" s="11"/>
      <c r="EZ161" s="11"/>
      <c r="FA161" s="11"/>
      <c r="FB161" s="11"/>
      <c r="FC161" s="11"/>
      <c r="FD161" s="11"/>
      <c r="FE161" s="11"/>
      <c r="FF161" s="11"/>
      <c r="FG161" s="11"/>
      <c r="FH161" s="11"/>
      <c r="FI161" s="11"/>
      <c r="FJ161" s="11"/>
      <c r="FK161" s="11"/>
      <c r="FL161" s="11"/>
      <c r="FM161" s="11"/>
      <c r="FN161" s="11"/>
      <c r="FO161" s="11"/>
      <c r="FP161" s="11"/>
      <c r="FQ161" s="11"/>
      <c r="FR161" s="11"/>
      <c r="FS161" s="11"/>
      <c r="FT161" s="11"/>
      <c r="FU161" s="11"/>
      <c r="FV161" s="11"/>
      <c r="FW161" s="11"/>
      <c r="FX161" s="11"/>
      <c r="FY161" s="11"/>
      <c r="FZ161" s="11"/>
      <c r="GA161" s="11"/>
      <c r="GB161" s="11"/>
      <c r="GC161" s="11"/>
      <c r="GD161" s="11"/>
      <c r="GE161" s="11"/>
      <c r="GF161" s="11"/>
      <c r="GG161" s="11"/>
      <c r="GH161" s="11"/>
      <c r="GI161" s="11"/>
      <c r="GJ161" s="11"/>
      <c r="GK161" s="11"/>
      <c r="GL161" s="11"/>
      <c r="GM161" s="11"/>
      <c r="GN161" s="11"/>
      <c r="GO161" s="11"/>
      <c r="GP161" s="11"/>
      <c r="GQ161" s="11"/>
      <c r="GR161" s="11"/>
    </row>
    <row r="162" spans="2:200" x14ac:dyDescent="0.15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  <c r="CW162" s="11"/>
      <c r="CX162" s="11"/>
      <c r="CY162" s="11"/>
      <c r="CZ162" s="11"/>
      <c r="DA162" s="11"/>
      <c r="DB162" s="11"/>
      <c r="DC162" s="11"/>
      <c r="DD162" s="11"/>
      <c r="DE162" s="11"/>
      <c r="DF162" s="11"/>
      <c r="DG162" s="11"/>
      <c r="DH162" s="11"/>
      <c r="DI162" s="11"/>
      <c r="DJ162" s="11"/>
      <c r="DK162" s="11"/>
      <c r="DL162" s="11"/>
      <c r="DM162" s="11"/>
      <c r="DN162" s="11"/>
      <c r="DO162" s="11"/>
      <c r="DP162" s="11"/>
      <c r="DQ162" s="11"/>
      <c r="DR162" s="11"/>
      <c r="DS162" s="11"/>
      <c r="DT162" s="11"/>
      <c r="DU162" s="11"/>
      <c r="DV162" s="11"/>
      <c r="DW162" s="11"/>
      <c r="DX162" s="11"/>
      <c r="DY162" s="11"/>
      <c r="DZ162" s="11"/>
      <c r="EA162" s="11"/>
      <c r="EB162" s="11"/>
      <c r="EC162" s="11"/>
      <c r="ED162" s="11"/>
      <c r="EE162" s="11"/>
      <c r="EF162" s="11"/>
      <c r="EG162" s="11"/>
      <c r="EH162" s="11"/>
      <c r="EI162" s="11"/>
      <c r="EJ162" s="11"/>
      <c r="EK162" s="11"/>
      <c r="EL162" s="11"/>
      <c r="EM162" s="11"/>
      <c r="EN162" s="11"/>
      <c r="EO162" s="11"/>
      <c r="EP162" s="11"/>
      <c r="EQ162" s="11"/>
      <c r="ER162" s="11"/>
      <c r="ES162" s="11"/>
      <c r="ET162" s="11"/>
      <c r="EU162" s="11"/>
      <c r="EV162" s="11"/>
      <c r="EW162" s="11"/>
      <c r="EX162" s="11"/>
      <c r="EY162" s="11"/>
      <c r="EZ162" s="11"/>
      <c r="FA162" s="11"/>
      <c r="FB162" s="11"/>
      <c r="FC162" s="11"/>
      <c r="FD162" s="11"/>
      <c r="FE162" s="11"/>
      <c r="FF162" s="11"/>
      <c r="FG162" s="11"/>
      <c r="FH162" s="11"/>
      <c r="FI162" s="11"/>
      <c r="FJ162" s="11"/>
      <c r="FK162" s="11"/>
      <c r="FL162" s="11"/>
      <c r="FM162" s="11"/>
      <c r="FN162" s="11"/>
      <c r="FO162" s="11"/>
      <c r="FP162" s="11"/>
      <c r="FQ162" s="11"/>
      <c r="FR162" s="11"/>
      <c r="FS162" s="11"/>
      <c r="FT162" s="11"/>
      <c r="FU162" s="11"/>
      <c r="FV162" s="11"/>
      <c r="FW162" s="11"/>
      <c r="FX162" s="11"/>
      <c r="FY162" s="11"/>
      <c r="FZ162" s="11"/>
      <c r="GA162" s="11"/>
      <c r="GB162" s="11"/>
      <c r="GC162" s="11"/>
      <c r="GD162" s="11"/>
      <c r="GE162" s="11"/>
      <c r="GF162" s="11"/>
      <c r="GG162" s="11"/>
      <c r="GH162" s="11"/>
      <c r="GI162" s="11"/>
      <c r="GJ162" s="11"/>
      <c r="GK162" s="11"/>
      <c r="GL162" s="11"/>
      <c r="GM162" s="11"/>
      <c r="GN162" s="11"/>
      <c r="GO162" s="11"/>
      <c r="GP162" s="11"/>
      <c r="GQ162" s="11"/>
      <c r="GR162" s="11"/>
    </row>
    <row r="163" spans="2:200" x14ac:dyDescent="0.15"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  <c r="CX163" s="11"/>
      <c r="CY163" s="11"/>
      <c r="CZ163" s="11"/>
      <c r="DA163" s="11"/>
      <c r="DB163" s="11"/>
      <c r="DC163" s="11"/>
      <c r="DD163" s="11"/>
      <c r="DE163" s="11"/>
      <c r="DF163" s="11"/>
      <c r="DG163" s="11"/>
      <c r="DH163" s="11"/>
      <c r="DI163" s="11"/>
      <c r="DJ163" s="11"/>
      <c r="DK163" s="11"/>
      <c r="DL163" s="11"/>
      <c r="DM163" s="11"/>
      <c r="DN163" s="11"/>
      <c r="DO163" s="11"/>
      <c r="DP163" s="11"/>
      <c r="DQ163" s="11"/>
      <c r="DR163" s="11"/>
      <c r="DS163" s="11"/>
      <c r="DT163" s="11"/>
      <c r="DU163" s="11"/>
      <c r="DV163" s="11"/>
      <c r="DW163" s="11"/>
      <c r="DX163" s="11"/>
      <c r="DY163" s="11"/>
      <c r="DZ163" s="11"/>
      <c r="EA163" s="11"/>
      <c r="EB163" s="11"/>
      <c r="EC163" s="11"/>
      <c r="ED163" s="11"/>
      <c r="EE163" s="11"/>
      <c r="EF163" s="11"/>
      <c r="EG163" s="11"/>
      <c r="EH163" s="11"/>
      <c r="EI163" s="11"/>
      <c r="EJ163" s="11"/>
      <c r="EK163" s="11"/>
      <c r="EL163" s="11"/>
      <c r="EM163" s="11"/>
      <c r="EN163" s="11"/>
      <c r="EO163" s="11"/>
      <c r="EP163" s="11"/>
      <c r="EQ163" s="11"/>
      <c r="ER163" s="11"/>
      <c r="ES163" s="11"/>
      <c r="ET163" s="11"/>
      <c r="EU163" s="11"/>
      <c r="EV163" s="11"/>
      <c r="EW163" s="11"/>
      <c r="EX163" s="11"/>
      <c r="EY163" s="11"/>
      <c r="EZ163" s="11"/>
      <c r="FA163" s="11"/>
      <c r="FB163" s="11"/>
      <c r="FC163" s="11"/>
      <c r="FD163" s="11"/>
      <c r="FE163" s="11"/>
      <c r="FF163" s="11"/>
      <c r="FG163" s="11"/>
      <c r="FH163" s="11"/>
      <c r="FI163" s="11"/>
      <c r="FJ163" s="11"/>
      <c r="FK163" s="11"/>
      <c r="FL163" s="11"/>
      <c r="FM163" s="11"/>
      <c r="FN163" s="11"/>
      <c r="FO163" s="11"/>
      <c r="FP163" s="11"/>
      <c r="FQ163" s="11"/>
      <c r="FR163" s="11"/>
      <c r="FS163" s="11"/>
      <c r="FT163" s="11"/>
      <c r="FU163" s="11"/>
      <c r="FV163" s="11"/>
      <c r="FW163" s="11"/>
      <c r="FX163" s="11"/>
      <c r="FY163" s="11"/>
      <c r="FZ163" s="11"/>
      <c r="GA163" s="11"/>
      <c r="GB163" s="11"/>
      <c r="GC163" s="11"/>
      <c r="GD163" s="11"/>
      <c r="GE163" s="11"/>
      <c r="GF163" s="11"/>
      <c r="GG163" s="11"/>
      <c r="GH163" s="11"/>
      <c r="GI163" s="11"/>
      <c r="GJ163" s="11"/>
      <c r="GK163" s="11"/>
      <c r="GL163" s="11"/>
      <c r="GM163" s="11"/>
      <c r="GN163" s="11"/>
      <c r="GO163" s="11"/>
      <c r="GP163" s="11"/>
      <c r="GQ163" s="11"/>
      <c r="GR163" s="11"/>
    </row>
    <row r="164" spans="2:200" x14ac:dyDescent="0.15"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  <c r="CW164" s="11"/>
      <c r="CX164" s="11"/>
      <c r="CY164" s="11"/>
      <c r="CZ164" s="11"/>
      <c r="DA164" s="11"/>
      <c r="DB164" s="11"/>
      <c r="DC164" s="11"/>
      <c r="DD164" s="11"/>
      <c r="DE164" s="11"/>
      <c r="DF164" s="11"/>
      <c r="DG164" s="11"/>
      <c r="DH164" s="11"/>
      <c r="DI164" s="11"/>
      <c r="DJ164" s="11"/>
      <c r="DK164" s="11"/>
      <c r="DL164" s="11"/>
      <c r="DM164" s="11"/>
      <c r="DN164" s="11"/>
      <c r="DO164" s="11"/>
      <c r="DP164" s="11"/>
      <c r="DQ164" s="11"/>
      <c r="DR164" s="11"/>
      <c r="DS164" s="11"/>
      <c r="DT164" s="11"/>
      <c r="DU164" s="11"/>
      <c r="DV164" s="11"/>
      <c r="DW164" s="11"/>
      <c r="DX164" s="11"/>
      <c r="DY164" s="11"/>
      <c r="DZ164" s="11"/>
      <c r="EA164" s="11"/>
      <c r="EB164" s="11"/>
      <c r="EC164" s="11"/>
      <c r="ED164" s="11"/>
      <c r="EE164" s="11"/>
      <c r="EF164" s="11"/>
      <c r="EG164" s="11"/>
      <c r="EH164" s="11"/>
      <c r="EI164" s="11"/>
      <c r="EJ164" s="11"/>
      <c r="EK164" s="11"/>
      <c r="EL164" s="11"/>
      <c r="EM164" s="11"/>
      <c r="EN164" s="11"/>
      <c r="EO164" s="11"/>
      <c r="EP164" s="11"/>
      <c r="EQ164" s="11"/>
      <c r="ER164" s="11"/>
      <c r="ES164" s="11"/>
      <c r="ET164" s="11"/>
      <c r="EU164" s="11"/>
      <c r="EV164" s="11"/>
      <c r="EW164" s="11"/>
      <c r="EX164" s="11"/>
      <c r="EY164" s="11"/>
      <c r="EZ164" s="11"/>
      <c r="FA164" s="11"/>
      <c r="FB164" s="11"/>
      <c r="FC164" s="11"/>
      <c r="FD164" s="11"/>
      <c r="FE164" s="11"/>
      <c r="FF164" s="11"/>
      <c r="FG164" s="11"/>
      <c r="FH164" s="11"/>
      <c r="FI164" s="11"/>
      <c r="FJ164" s="11"/>
      <c r="FK164" s="11"/>
      <c r="FL164" s="11"/>
      <c r="FM164" s="11"/>
      <c r="FN164" s="11"/>
      <c r="FO164" s="11"/>
      <c r="FP164" s="11"/>
      <c r="FQ164" s="11"/>
      <c r="FR164" s="11"/>
      <c r="FS164" s="11"/>
      <c r="FT164" s="11"/>
      <c r="FU164" s="11"/>
      <c r="FV164" s="11"/>
      <c r="FW164" s="11"/>
      <c r="FX164" s="11"/>
      <c r="FY164" s="11"/>
      <c r="FZ164" s="11"/>
      <c r="GA164" s="11"/>
      <c r="GB164" s="11"/>
      <c r="GC164" s="11"/>
      <c r="GD164" s="11"/>
      <c r="GE164" s="11"/>
      <c r="GF164" s="11"/>
      <c r="GG164" s="11"/>
      <c r="GH164" s="11"/>
      <c r="GI164" s="11"/>
      <c r="GJ164" s="11"/>
      <c r="GK164" s="11"/>
      <c r="GL164" s="11"/>
      <c r="GM164" s="11"/>
      <c r="GN164" s="11"/>
      <c r="GO164" s="11"/>
      <c r="GP164" s="11"/>
      <c r="GQ164" s="11"/>
      <c r="GR164" s="11"/>
    </row>
    <row r="165" spans="2:200" x14ac:dyDescent="0.15"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11"/>
      <c r="CW165" s="11"/>
      <c r="CX165" s="11"/>
      <c r="CY165" s="11"/>
      <c r="CZ165" s="11"/>
      <c r="DA165" s="11"/>
      <c r="DB165" s="11"/>
      <c r="DC165" s="11"/>
      <c r="DD165" s="11"/>
      <c r="DE165" s="11"/>
      <c r="DF165" s="11"/>
      <c r="DG165" s="11"/>
      <c r="DH165" s="11"/>
      <c r="DI165" s="11"/>
      <c r="DJ165" s="11"/>
      <c r="DK165" s="11"/>
      <c r="DL165" s="11"/>
      <c r="DM165" s="11"/>
      <c r="DN165" s="11"/>
      <c r="DO165" s="11"/>
      <c r="DP165" s="11"/>
      <c r="DQ165" s="11"/>
      <c r="DR165" s="11"/>
      <c r="DS165" s="11"/>
      <c r="DT165" s="11"/>
      <c r="DU165" s="11"/>
      <c r="DV165" s="11"/>
      <c r="DW165" s="11"/>
      <c r="DX165" s="11"/>
      <c r="DY165" s="11"/>
      <c r="DZ165" s="11"/>
      <c r="EA165" s="11"/>
      <c r="EB165" s="11"/>
      <c r="EC165" s="11"/>
      <c r="ED165" s="11"/>
      <c r="EE165" s="11"/>
      <c r="EF165" s="11"/>
      <c r="EG165" s="11"/>
      <c r="EH165" s="11"/>
      <c r="EI165" s="11"/>
      <c r="EJ165" s="11"/>
      <c r="EK165" s="11"/>
      <c r="EL165" s="11"/>
      <c r="EM165" s="11"/>
      <c r="EN165" s="11"/>
      <c r="EO165" s="11"/>
      <c r="EP165" s="11"/>
      <c r="EQ165" s="11"/>
      <c r="ER165" s="11"/>
      <c r="ES165" s="11"/>
      <c r="ET165" s="11"/>
      <c r="EU165" s="11"/>
      <c r="EV165" s="11"/>
      <c r="EW165" s="11"/>
      <c r="EX165" s="11"/>
      <c r="EY165" s="11"/>
      <c r="EZ165" s="11"/>
      <c r="FA165" s="11"/>
      <c r="FB165" s="11"/>
      <c r="FC165" s="11"/>
      <c r="FD165" s="11"/>
      <c r="FE165" s="11"/>
      <c r="FF165" s="11"/>
      <c r="FG165" s="11"/>
      <c r="FH165" s="11"/>
      <c r="FI165" s="11"/>
      <c r="FJ165" s="11"/>
      <c r="FK165" s="11"/>
      <c r="FL165" s="11"/>
      <c r="FM165" s="11"/>
      <c r="FN165" s="11"/>
      <c r="FO165" s="11"/>
      <c r="FP165" s="11"/>
      <c r="FQ165" s="11"/>
      <c r="FR165" s="11"/>
      <c r="FS165" s="11"/>
      <c r="FT165" s="11"/>
      <c r="FU165" s="11"/>
      <c r="FV165" s="11"/>
      <c r="FW165" s="11"/>
      <c r="FX165" s="11"/>
      <c r="FY165" s="11"/>
      <c r="FZ165" s="11"/>
      <c r="GA165" s="11"/>
      <c r="GB165" s="11"/>
      <c r="GC165" s="11"/>
      <c r="GD165" s="11"/>
      <c r="GE165" s="11"/>
      <c r="GF165" s="11"/>
      <c r="GG165" s="11"/>
      <c r="GH165" s="11"/>
      <c r="GI165" s="11"/>
      <c r="GJ165" s="11"/>
      <c r="GK165" s="11"/>
      <c r="GL165" s="11"/>
      <c r="GM165" s="11"/>
      <c r="GN165" s="11"/>
      <c r="GO165" s="11"/>
      <c r="GP165" s="11"/>
      <c r="GQ165" s="11"/>
      <c r="GR165" s="11"/>
    </row>
    <row r="166" spans="2:200" x14ac:dyDescent="0.15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  <c r="GK166" s="11"/>
      <c r="GL166" s="11"/>
      <c r="GM166" s="11"/>
      <c r="GN166" s="11"/>
      <c r="GO166" s="11"/>
      <c r="GP166" s="11"/>
      <c r="GQ166" s="11"/>
      <c r="GR166" s="11"/>
    </row>
    <row r="167" spans="2:200" x14ac:dyDescent="0.15"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</row>
    <row r="168" spans="2:200" x14ac:dyDescent="0.15"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  <c r="EO168" s="11"/>
      <c r="EP168" s="11"/>
      <c r="EQ168" s="11"/>
      <c r="ER168" s="11"/>
      <c r="ES168" s="11"/>
      <c r="ET168" s="11"/>
      <c r="EU168" s="11"/>
      <c r="EV168" s="11"/>
      <c r="EW168" s="11"/>
      <c r="EX168" s="11"/>
      <c r="EY168" s="11"/>
      <c r="EZ168" s="11"/>
      <c r="FA168" s="11"/>
      <c r="FB168" s="11"/>
      <c r="FC168" s="11"/>
      <c r="FD168" s="11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1"/>
      <c r="FU168" s="11"/>
      <c r="FV168" s="11"/>
      <c r="FW168" s="11"/>
      <c r="FX168" s="11"/>
      <c r="FY168" s="11"/>
      <c r="FZ168" s="11"/>
      <c r="GA168" s="11"/>
      <c r="GB168" s="11"/>
      <c r="GC168" s="11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</row>
    <row r="169" spans="2:200" x14ac:dyDescent="0.15"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  <c r="CW169" s="11"/>
      <c r="CX169" s="11"/>
      <c r="CY169" s="11"/>
      <c r="CZ169" s="11"/>
      <c r="DA169" s="11"/>
      <c r="DB169" s="11"/>
      <c r="DC169" s="11"/>
      <c r="DD169" s="11"/>
      <c r="DE169" s="11"/>
      <c r="DF169" s="11"/>
      <c r="DG169" s="11"/>
      <c r="DH169" s="11"/>
      <c r="DI169" s="11"/>
      <c r="DJ169" s="11"/>
      <c r="DK169" s="11"/>
      <c r="DL169" s="11"/>
      <c r="DM169" s="11"/>
      <c r="DN169" s="11"/>
      <c r="DO169" s="11"/>
      <c r="DP169" s="11"/>
      <c r="DQ169" s="11"/>
      <c r="DR169" s="11"/>
      <c r="DS169" s="11"/>
      <c r="DT169" s="11"/>
      <c r="DU169" s="11"/>
      <c r="DV169" s="11"/>
      <c r="DW169" s="11"/>
      <c r="DX169" s="11"/>
      <c r="DY169" s="11"/>
      <c r="DZ169" s="11"/>
      <c r="EA169" s="11"/>
      <c r="EB169" s="11"/>
      <c r="EC169" s="11"/>
      <c r="ED169" s="11"/>
      <c r="EE169" s="11"/>
      <c r="EF169" s="11"/>
      <c r="EG169" s="11"/>
      <c r="EH169" s="11"/>
      <c r="EI169" s="11"/>
      <c r="EJ169" s="11"/>
      <c r="EK169" s="11"/>
      <c r="EL169" s="11"/>
      <c r="EM169" s="11"/>
      <c r="EN169" s="11"/>
      <c r="EO169" s="11"/>
      <c r="EP169" s="11"/>
      <c r="EQ169" s="11"/>
      <c r="ER169" s="11"/>
      <c r="ES169" s="11"/>
      <c r="ET169" s="11"/>
      <c r="EU169" s="11"/>
      <c r="EV169" s="11"/>
      <c r="EW169" s="11"/>
      <c r="EX169" s="11"/>
      <c r="EY169" s="11"/>
      <c r="EZ169" s="11"/>
      <c r="FA169" s="11"/>
      <c r="FB169" s="11"/>
      <c r="FC169" s="11"/>
      <c r="FD169" s="11"/>
      <c r="FE169" s="11"/>
      <c r="FF169" s="11"/>
      <c r="FG169" s="11"/>
      <c r="FH169" s="11"/>
      <c r="FI169" s="11"/>
      <c r="FJ169" s="11"/>
      <c r="FK169" s="11"/>
      <c r="FL169" s="11"/>
      <c r="FM169" s="11"/>
      <c r="FN169" s="11"/>
      <c r="FO169" s="11"/>
      <c r="FP169" s="11"/>
      <c r="FQ169" s="11"/>
      <c r="FR169" s="11"/>
      <c r="FS169" s="11"/>
      <c r="FT169" s="11"/>
      <c r="FU169" s="11"/>
      <c r="FV169" s="11"/>
      <c r="FW169" s="11"/>
      <c r="FX169" s="11"/>
      <c r="FY169" s="11"/>
      <c r="FZ169" s="11"/>
      <c r="GA169" s="11"/>
      <c r="GB169" s="11"/>
      <c r="GC169" s="11"/>
      <c r="GD169" s="11"/>
      <c r="GE169" s="11"/>
      <c r="GF169" s="11"/>
      <c r="GG169" s="11"/>
      <c r="GH169" s="11"/>
      <c r="GI169" s="11"/>
      <c r="GJ169" s="11"/>
      <c r="GK169" s="11"/>
      <c r="GL169" s="11"/>
      <c r="GM169" s="11"/>
      <c r="GN169" s="11"/>
      <c r="GO169" s="11"/>
      <c r="GP169" s="11"/>
      <c r="GQ169" s="11"/>
      <c r="GR169" s="11"/>
    </row>
    <row r="170" spans="2:200" x14ac:dyDescent="0.15"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  <c r="CW170" s="11"/>
      <c r="CX170" s="11"/>
      <c r="CY170" s="11"/>
      <c r="CZ170" s="11"/>
      <c r="DA170" s="11"/>
      <c r="DB170" s="11"/>
      <c r="DC170" s="11"/>
      <c r="DD170" s="11"/>
      <c r="DE170" s="11"/>
      <c r="DF170" s="11"/>
      <c r="DG170" s="11"/>
      <c r="DH170" s="11"/>
      <c r="DI170" s="11"/>
      <c r="DJ170" s="11"/>
      <c r="DK170" s="11"/>
      <c r="DL170" s="11"/>
      <c r="DM170" s="11"/>
      <c r="DN170" s="11"/>
      <c r="DO170" s="11"/>
      <c r="DP170" s="11"/>
      <c r="DQ170" s="11"/>
      <c r="DR170" s="11"/>
      <c r="DS170" s="11"/>
      <c r="DT170" s="11"/>
      <c r="DU170" s="11"/>
      <c r="DV170" s="11"/>
      <c r="DW170" s="11"/>
      <c r="DX170" s="11"/>
      <c r="DY170" s="11"/>
      <c r="DZ170" s="11"/>
      <c r="EA170" s="11"/>
      <c r="EB170" s="11"/>
      <c r="EC170" s="11"/>
      <c r="ED170" s="11"/>
      <c r="EE170" s="11"/>
      <c r="EF170" s="11"/>
      <c r="EG170" s="11"/>
      <c r="EH170" s="11"/>
      <c r="EI170" s="11"/>
      <c r="EJ170" s="11"/>
      <c r="EK170" s="11"/>
      <c r="EL170" s="11"/>
      <c r="EM170" s="11"/>
      <c r="EN170" s="11"/>
      <c r="EO170" s="11"/>
      <c r="EP170" s="11"/>
      <c r="EQ170" s="11"/>
      <c r="ER170" s="11"/>
      <c r="ES170" s="11"/>
      <c r="ET170" s="11"/>
      <c r="EU170" s="11"/>
      <c r="EV170" s="11"/>
      <c r="EW170" s="11"/>
      <c r="EX170" s="11"/>
      <c r="EY170" s="11"/>
      <c r="EZ170" s="11"/>
      <c r="FA170" s="11"/>
      <c r="FB170" s="11"/>
      <c r="FC170" s="11"/>
      <c r="FD170" s="11"/>
      <c r="FE170" s="11"/>
      <c r="FF170" s="11"/>
      <c r="FG170" s="11"/>
      <c r="FH170" s="11"/>
      <c r="FI170" s="11"/>
      <c r="FJ170" s="11"/>
      <c r="FK170" s="11"/>
      <c r="FL170" s="11"/>
      <c r="FM170" s="11"/>
      <c r="FN170" s="11"/>
      <c r="FO170" s="11"/>
      <c r="FP170" s="11"/>
      <c r="FQ170" s="11"/>
      <c r="FR170" s="11"/>
      <c r="FS170" s="11"/>
      <c r="FT170" s="11"/>
      <c r="FU170" s="11"/>
      <c r="FV170" s="11"/>
      <c r="FW170" s="11"/>
      <c r="FX170" s="11"/>
      <c r="FY170" s="11"/>
      <c r="FZ170" s="11"/>
      <c r="GA170" s="11"/>
      <c r="GB170" s="11"/>
      <c r="GC170" s="11"/>
      <c r="GD170" s="11"/>
      <c r="GE170" s="11"/>
      <c r="GF170" s="11"/>
      <c r="GG170" s="11"/>
      <c r="GH170" s="11"/>
      <c r="GI170" s="11"/>
      <c r="GJ170" s="11"/>
      <c r="GK170" s="11"/>
      <c r="GL170" s="11"/>
      <c r="GM170" s="11"/>
      <c r="GN170" s="11"/>
      <c r="GO170" s="11"/>
      <c r="GP170" s="11"/>
      <c r="GQ170" s="11"/>
      <c r="GR170" s="11"/>
    </row>
    <row r="171" spans="2:200" x14ac:dyDescent="0.15"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  <c r="CW171" s="11"/>
      <c r="CX171" s="11"/>
      <c r="CY171" s="11"/>
      <c r="CZ171" s="11"/>
      <c r="DA171" s="11"/>
      <c r="DB171" s="11"/>
      <c r="DC171" s="11"/>
      <c r="DD171" s="11"/>
      <c r="DE171" s="11"/>
      <c r="DF171" s="11"/>
      <c r="DG171" s="11"/>
      <c r="DH171" s="11"/>
      <c r="DI171" s="11"/>
      <c r="DJ171" s="11"/>
      <c r="DK171" s="11"/>
      <c r="DL171" s="11"/>
      <c r="DM171" s="11"/>
      <c r="DN171" s="11"/>
      <c r="DO171" s="11"/>
      <c r="DP171" s="11"/>
      <c r="DQ171" s="11"/>
      <c r="DR171" s="11"/>
      <c r="DS171" s="11"/>
      <c r="DT171" s="11"/>
      <c r="DU171" s="11"/>
      <c r="DV171" s="11"/>
      <c r="DW171" s="11"/>
      <c r="DX171" s="11"/>
      <c r="DY171" s="11"/>
      <c r="DZ171" s="11"/>
      <c r="EA171" s="11"/>
      <c r="EB171" s="11"/>
      <c r="EC171" s="11"/>
      <c r="ED171" s="11"/>
      <c r="EE171" s="11"/>
      <c r="EF171" s="11"/>
      <c r="EG171" s="11"/>
      <c r="EH171" s="11"/>
      <c r="EI171" s="11"/>
      <c r="EJ171" s="11"/>
      <c r="EK171" s="11"/>
      <c r="EL171" s="11"/>
      <c r="EM171" s="11"/>
      <c r="EN171" s="11"/>
      <c r="EO171" s="11"/>
      <c r="EP171" s="11"/>
      <c r="EQ171" s="11"/>
      <c r="ER171" s="11"/>
      <c r="ES171" s="11"/>
      <c r="ET171" s="11"/>
      <c r="EU171" s="11"/>
      <c r="EV171" s="11"/>
      <c r="EW171" s="11"/>
      <c r="EX171" s="11"/>
      <c r="EY171" s="11"/>
      <c r="EZ171" s="11"/>
      <c r="FA171" s="11"/>
      <c r="FB171" s="11"/>
      <c r="FC171" s="11"/>
      <c r="FD171" s="11"/>
      <c r="FE171" s="11"/>
      <c r="FF171" s="11"/>
      <c r="FG171" s="11"/>
      <c r="FH171" s="11"/>
      <c r="FI171" s="11"/>
      <c r="FJ171" s="11"/>
      <c r="FK171" s="11"/>
      <c r="FL171" s="11"/>
      <c r="FM171" s="11"/>
      <c r="FN171" s="11"/>
      <c r="FO171" s="11"/>
      <c r="FP171" s="11"/>
      <c r="FQ171" s="11"/>
      <c r="FR171" s="11"/>
      <c r="FS171" s="11"/>
      <c r="FT171" s="11"/>
      <c r="FU171" s="11"/>
      <c r="FV171" s="11"/>
      <c r="FW171" s="11"/>
      <c r="FX171" s="11"/>
      <c r="FY171" s="11"/>
      <c r="FZ171" s="11"/>
      <c r="GA171" s="11"/>
      <c r="GB171" s="11"/>
      <c r="GC171" s="11"/>
      <c r="GD171" s="11"/>
      <c r="GE171" s="11"/>
      <c r="GF171" s="11"/>
      <c r="GG171" s="11"/>
      <c r="GH171" s="11"/>
      <c r="GI171" s="11"/>
      <c r="GJ171" s="11"/>
      <c r="GK171" s="11"/>
      <c r="GL171" s="11"/>
      <c r="GM171" s="11"/>
      <c r="GN171" s="11"/>
      <c r="GO171" s="11"/>
      <c r="GP171" s="11"/>
      <c r="GQ171" s="11"/>
      <c r="GR171" s="11"/>
    </row>
    <row r="172" spans="2:200" x14ac:dyDescent="0.15"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  <c r="CW172" s="11"/>
      <c r="CX172" s="11"/>
      <c r="CY172" s="11"/>
      <c r="CZ172" s="11"/>
      <c r="DA172" s="11"/>
      <c r="DB172" s="11"/>
      <c r="DC172" s="11"/>
      <c r="DD172" s="11"/>
      <c r="DE172" s="11"/>
      <c r="DF172" s="11"/>
      <c r="DG172" s="11"/>
      <c r="DH172" s="11"/>
      <c r="DI172" s="11"/>
      <c r="DJ172" s="11"/>
      <c r="DK172" s="11"/>
      <c r="DL172" s="11"/>
      <c r="DM172" s="11"/>
      <c r="DN172" s="11"/>
      <c r="DO172" s="11"/>
      <c r="DP172" s="11"/>
      <c r="DQ172" s="11"/>
      <c r="DR172" s="11"/>
      <c r="DS172" s="11"/>
      <c r="DT172" s="11"/>
      <c r="DU172" s="11"/>
      <c r="DV172" s="11"/>
      <c r="DW172" s="11"/>
      <c r="DX172" s="11"/>
      <c r="DY172" s="11"/>
      <c r="DZ172" s="11"/>
      <c r="EA172" s="11"/>
      <c r="EB172" s="11"/>
      <c r="EC172" s="11"/>
      <c r="ED172" s="11"/>
      <c r="EE172" s="11"/>
      <c r="EF172" s="11"/>
      <c r="EG172" s="11"/>
      <c r="EH172" s="11"/>
      <c r="EI172" s="11"/>
      <c r="EJ172" s="11"/>
      <c r="EK172" s="11"/>
      <c r="EL172" s="11"/>
      <c r="EM172" s="11"/>
      <c r="EN172" s="11"/>
      <c r="EO172" s="11"/>
      <c r="EP172" s="11"/>
      <c r="EQ172" s="11"/>
      <c r="ER172" s="11"/>
      <c r="ES172" s="11"/>
      <c r="ET172" s="11"/>
      <c r="EU172" s="11"/>
      <c r="EV172" s="11"/>
      <c r="EW172" s="11"/>
      <c r="EX172" s="11"/>
      <c r="EY172" s="11"/>
      <c r="EZ172" s="11"/>
      <c r="FA172" s="11"/>
      <c r="FB172" s="11"/>
      <c r="FC172" s="11"/>
      <c r="FD172" s="11"/>
      <c r="FE172" s="11"/>
      <c r="FF172" s="11"/>
      <c r="FG172" s="11"/>
      <c r="FH172" s="11"/>
      <c r="FI172" s="11"/>
      <c r="FJ172" s="11"/>
      <c r="FK172" s="11"/>
      <c r="FL172" s="11"/>
      <c r="FM172" s="11"/>
      <c r="FN172" s="11"/>
      <c r="FO172" s="11"/>
      <c r="FP172" s="11"/>
      <c r="FQ172" s="11"/>
      <c r="FR172" s="11"/>
      <c r="FS172" s="11"/>
      <c r="FT172" s="11"/>
      <c r="FU172" s="11"/>
      <c r="FV172" s="11"/>
      <c r="FW172" s="11"/>
      <c r="FX172" s="11"/>
      <c r="FY172" s="11"/>
      <c r="FZ172" s="11"/>
      <c r="GA172" s="11"/>
      <c r="GB172" s="11"/>
      <c r="GC172" s="11"/>
      <c r="GD172" s="11"/>
      <c r="GE172" s="11"/>
      <c r="GF172" s="11"/>
      <c r="GG172" s="11"/>
      <c r="GH172" s="11"/>
      <c r="GI172" s="11"/>
      <c r="GJ172" s="11"/>
      <c r="GK172" s="11"/>
      <c r="GL172" s="11"/>
      <c r="GM172" s="11"/>
      <c r="GN172" s="11"/>
      <c r="GO172" s="11"/>
      <c r="GP172" s="11"/>
      <c r="GQ172" s="11"/>
      <c r="GR172" s="11"/>
    </row>
    <row r="173" spans="2:200" x14ac:dyDescent="0.15"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  <c r="CW173" s="11"/>
      <c r="CX173" s="11"/>
      <c r="CY173" s="11"/>
      <c r="CZ173" s="11"/>
      <c r="DA173" s="11"/>
      <c r="DB173" s="11"/>
      <c r="DC173" s="11"/>
      <c r="DD173" s="11"/>
      <c r="DE173" s="11"/>
      <c r="DF173" s="11"/>
      <c r="DG173" s="11"/>
      <c r="DH173" s="11"/>
      <c r="DI173" s="11"/>
      <c r="DJ173" s="11"/>
      <c r="DK173" s="11"/>
      <c r="DL173" s="11"/>
      <c r="DM173" s="11"/>
      <c r="DN173" s="11"/>
      <c r="DO173" s="11"/>
      <c r="DP173" s="11"/>
      <c r="DQ173" s="11"/>
      <c r="DR173" s="11"/>
      <c r="DS173" s="11"/>
      <c r="DT173" s="11"/>
      <c r="DU173" s="11"/>
      <c r="DV173" s="11"/>
      <c r="DW173" s="11"/>
      <c r="DX173" s="11"/>
      <c r="DY173" s="11"/>
      <c r="DZ173" s="11"/>
      <c r="EA173" s="11"/>
      <c r="EB173" s="11"/>
      <c r="EC173" s="11"/>
      <c r="ED173" s="11"/>
      <c r="EE173" s="11"/>
      <c r="EF173" s="11"/>
      <c r="EG173" s="11"/>
      <c r="EH173" s="11"/>
      <c r="EI173" s="11"/>
      <c r="EJ173" s="11"/>
      <c r="EK173" s="11"/>
      <c r="EL173" s="11"/>
      <c r="EM173" s="11"/>
      <c r="EN173" s="11"/>
      <c r="EO173" s="11"/>
      <c r="EP173" s="11"/>
      <c r="EQ173" s="11"/>
      <c r="ER173" s="11"/>
      <c r="ES173" s="11"/>
      <c r="ET173" s="11"/>
      <c r="EU173" s="11"/>
      <c r="EV173" s="11"/>
      <c r="EW173" s="11"/>
      <c r="EX173" s="11"/>
      <c r="EY173" s="11"/>
      <c r="EZ173" s="11"/>
      <c r="FA173" s="11"/>
      <c r="FB173" s="11"/>
      <c r="FC173" s="11"/>
      <c r="FD173" s="11"/>
      <c r="FE173" s="11"/>
      <c r="FF173" s="11"/>
      <c r="FG173" s="11"/>
      <c r="FH173" s="11"/>
      <c r="FI173" s="11"/>
      <c r="FJ173" s="11"/>
      <c r="FK173" s="11"/>
      <c r="FL173" s="11"/>
      <c r="FM173" s="11"/>
      <c r="FN173" s="11"/>
      <c r="FO173" s="11"/>
      <c r="FP173" s="11"/>
      <c r="FQ173" s="11"/>
      <c r="FR173" s="11"/>
      <c r="FS173" s="11"/>
      <c r="FT173" s="11"/>
      <c r="FU173" s="11"/>
      <c r="FV173" s="11"/>
      <c r="FW173" s="11"/>
      <c r="FX173" s="11"/>
      <c r="FY173" s="11"/>
      <c r="FZ173" s="11"/>
      <c r="GA173" s="11"/>
      <c r="GB173" s="11"/>
      <c r="GC173" s="11"/>
      <c r="GD173" s="11"/>
      <c r="GE173" s="11"/>
      <c r="GF173" s="11"/>
      <c r="GG173" s="11"/>
      <c r="GH173" s="11"/>
      <c r="GI173" s="11"/>
      <c r="GJ173" s="11"/>
      <c r="GK173" s="11"/>
      <c r="GL173" s="11"/>
      <c r="GM173" s="11"/>
      <c r="GN173" s="11"/>
      <c r="GO173" s="11"/>
      <c r="GP173" s="11"/>
      <c r="GQ173" s="11"/>
      <c r="GR173" s="11"/>
    </row>
    <row r="174" spans="2:200" x14ac:dyDescent="0.15"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  <c r="CW174" s="11"/>
      <c r="CX174" s="11"/>
      <c r="CY174" s="11"/>
      <c r="CZ174" s="11"/>
      <c r="DA174" s="11"/>
      <c r="DB174" s="11"/>
      <c r="DC174" s="11"/>
      <c r="DD174" s="11"/>
      <c r="DE174" s="11"/>
      <c r="DF174" s="11"/>
      <c r="DG174" s="11"/>
      <c r="DH174" s="11"/>
      <c r="DI174" s="11"/>
      <c r="DJ174" s="11"/>
      <c r="DK174" s="11"/>
      <c r="DL174" s="11"/>
      <c r="DM174" s="11"/>
      <c r="DN174" s="11"/>
      <c r="DO174" s="11"/>
      <c r="DP174" s="11"/>
      <c r="DQ174" s="11"/>
      <c r="DR174" s="11"/>
      <c r="DS174" s="11"/>
      <c r="DT174" s="11"/>
      <c r="DU174" s="11"/>
      <c r="DV174" s="11"/>
      <c r="DW174" s="11"/>
      <c r="DX174" s="11"/>
      <c r="DY174" s="11"/>
      <c r="DZ174" s="11"/>
      <c r="EA174" s="11"/>
      <c r="EB174" s="11"/>
      <c r="EC174" s="11"/>
      <c r="ED174" s="11"/>
      <c r="EE174" s="11"/>
      <c r="EF174" s="11"/>
      <c r="EG174" s="11"/>
      <c r="EH174" s="11"/>
      <c r="EI174" s="11"/>
      <c r="EJ174" s="11"/>
      <c r="EK174" s="11"/>
      <c r="EL174" s="11"/>
      <c r="EM174" s="11"/>
      <c r="EN174" s="11"/>
      <c r="EO174" s="11"/>
      <c r="EP174" s="11"/>
      <c r="EQ174" s="11"/>
      <c r="ER174" s="11"/>
      <c r="ES174" s="11"/>
      <c r="ET174" s="11"/>
      <c r="EU174" s="11"/>
      <c r="EV174" s="11"/>
      <c r="EW174" s="11"/>
      <c r="EX174" s="11"/>
      <c r="EY174" s="11"/>
      <c r="EZ174" s="11"/>
      <c r="FA174" s="11"/>
      <c r="FB174" s="11"/>
      <c r="FC174" s="11"/>
      <c r="FD174" s="11"/>
      <c r="FE174" s="11"/>
      <c r="FF174" s="11"/>
      <c r="FG174" s="11"/>
      <c r="FH174" s="11"/>
      <c r="FI174" s="11"/>
      <c r="FJ174" s="11"/>
      <c r="FK174" s="11"/>
      <c r="FL174" s="11"/>
      <c r="FM174" s="11"/>
      <c r="FN174" s="11"/>
      <c r="FO174" s="11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D174" s="11"/>
      <c r="GE174" s="11"/>
      <c r="GF174" s="11"/>
      <c r="GG174" s="11"/>
      <c r="GH174" s="11"/>
      <c r="GI174" s="11"/>
      <c r="GJ174" s="11"/>
      <c r="GK174" s="11"/>
      <c r="GL174" s="11"/>
      <c r="GM174" s="11"/>
      <c r="GN174" s="11"/>
      <c r="GO174" s="11"/>
      <c r="GP174" s="11"/>
      <c r="GQ174" s="11"/>
      <c r="GR174" s="11"/>
    </row>
    <row r="175" spans="2:200" x14ac:dyDescent="0.15"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  <c r="CW175" s="11"/>
      <c r="CX175" s="11"/>
      <c r="CY175" s="11"/>
      <c r="CZ175" s="11"/>
      <c r="DA175" s="11"/>
      <c r="DB175" s="11"/>
      <c r="DC175" s="11"/>
      <c r="DD175" s="11"/>
      <c r="DE175" s="11"/>
      <c r="DF175" s="11"/>
      <c r="DG175" s="11"/>
      <c r="DH175" s="11"/>
      <c r="DI175" s="11"/>
      <c r="DJ175" s="11"/>
      <c r="DK175" s="11"/>
      <c r="DL175" s="11"/>
      <c r="DM175" s="11"/>
      <c r="DN175" s="11"/>
      <c r="DO175" s="11"/>
      <c r="DP175" s="11"/>
      <c r="DQ175" s="11"/>
      <c r="DR175" s="11"/>
      <c r="DS175" s="11"/>
      <c r="DT175" s="11"/>
      <c r="DU175" s="11"/>
      <c r="DV175" s="11"/>
      <c r="DW175" s="11"/>
      <c r="DX175" s="11"/>
      <c r="DY175" s="11"/>
      <c r="DZ175" s="11"/>
      <c r="EA175" s="11"/>
      <c r="EB175" s="11"/>
      <c r="EC175" s="11"/>
      <c r="ED175" s="11"/>
      <c r="EE175" s="11"/>
      <c r="EF175" s="11"/>
      <c r="EG175" s="11"/>
      <c r="EH175" s="11"/>
      <c r="EI175" s="11"/>
      <c r="EJ175" s="11"/>
      <c r="EK175" s="11"/>
      <c r="EL175" s="11"/>
      <c r="EM175" s="11"/>
      <c r="EN175" s="11"/>
      <c r="EO175" s="11"/>
      <c r="EP175" s="11"/>
      <c r="EQ175" s="11"/>
      <c r="ER175" s="11"/>
      <c r="ES175" s="11"/>
      <c r="ET175" s="11"/>
      <c r="EU175" s="11"/>
      <c r="EV175" s="11"/>
      <c r="EW175" s="11"/>
      <c r="EX175" s="11"/>
      <c r="EY175" s="11"/>
      <c r="EZ175" s="11"/>
      <c r="FA175" s="11"/>
      <c r="FB175" s="11"/>
      <c r="FC175" s="11"/>
      <c r="FD175" s="11"/>
      <c r="FE175" s="11"/>
      <c r="FF175" s="11"/>
      <c r="FG175" s="11"/>
      <c r="FH175" s="11"/>
      <c r="FI175" s="11"/>
      <c r="FJ175" s="11"/>
      <c r="FK175" s="11"/>
      <c r="FL175" s="11"/>
      <c r="FM175" s="11"/>
      <c r="FN175" s="11"/>
      <c r="FO175" s="11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1"/>
      <c r="GC175" s="11"/>
      <c r="GD175" s="11"/>
      <c r="GE175" s="11"/>
      <c r="GF175" s="11"/>
      <c r="GG175" s="11"/>
      <c r="GH175" s="11"/>
      <c r="GI175" s="11"/>
      <c r="GJ175" s="11"/>
      <c r="GK175" s="11"/>
      <c r="GL175" s="11"/>
      <c r="GM175" s="11"/>
      <c r="GN175" s="11"/>
      <c r="GO175" s="11"/>
      <c r="GP175" s="11"/>
      <c r="GQ175" s="11"/>
      <c r="GR175" s="11"/>
    </row>
    <row r="176" spans="2:200" x14ac:dyDescent="0.15"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  <c r="CW176" s="11"/>
      <c r="CX176" s="11"/>
      <c r="CY176" s="11"/>
      <c r="CZ176" s="11"/>
      <c r="DA176" s="11"/>
      <c r="DB176" s="11"/>
      <c r="DC176" s="11"/>
      <c r="DD176" s="11"/>
      <c r="DE176" s="11"/>
      <c r="DF176" s="11"/>
      <c r="DG176" s="11"/>
      <c r="DH176" s="11"/>
      <c r="DI176" s="11"/>
      <c r="DJ176" s="11"/>
      <c r="DK176" s="11"/>
      <c r="DL176" s="11"/>
      <c r="DM176" s="11"/>
      <c r="DN176" s="11"/>
      <c r="DO176" s="11"/>
      <c r="DP176" s="11"/>
      <c r="DQ176" s="11"/>
      <c r="DR176" s="11"/>
      <c r="DS176" s="11"/>
      <c r="DT176" s="11"/>
      <c r="DU176" s="11"/>
      <c r="DV176" s="11"/>
      <c r="DW176" s="11"/>
      <c r="DX176" s="11"/>
      <c r="DY176" s="11"/>
      <c r="DZ176" s="11"/>
      <c r="EA176" s="11"/>
      <c r="EB176" s="11"/>
      <c r="EC176" s="11"/>
      <c r="ED176" s="11"/>
      <c r="EE176" s="11"/>
      <c r="EF176" s="11"/>
      <c r="EG176" s="11"/>
      <c r="EH176" s="11"/>
      <c r="EI176" s="11"/>
      <c r="EJ176" s="11"/>
      <c r="EK176" s="11"/>
      <c r="EL176" s="11"/>
      <c r="EM176" s="11"/>
      <c r="EN176" s="11"/>
      <c r="EO176" s="11"/>
      <c r="EP176" s="11"/>
      <c r="EQ176" s="11"/>
      <c r="ER176" s="11"/>
      <c r="ES176" s="11"/>
      <c r="ET176" s="11"/>
      <c r="EU176" s="11"/>
      <c r="EV176" s="11"/>
      <c r="EW176" s="11"/>
      <c r="EX176" s="11"/>
      <c r="EY176" s="11"/>
      <c r="EZ176" s="11"/>
      <c r="FA176" s="11"/>
      <c r="FB176" s="11"/>
      <c r="FC176" s="11"/>
      <c r="FD176" s="11"/>
      <c r="FE176" s="11"/>
      <c r="FF176" s="11"/>
      <c r="FG176" s="11"/>
      <c r="FH176" s="11"/>
      <c r="FI176" s="11"/>
      <c r="FJ176" s="11"/>
      <c r="FK176" s="11"/>
      <c r="FL176" s="11"/>
      <c r="FM176" s="11"/>
      <c r="FN176" s="11"/>
      <c r="FO176" s="11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1"/>
      <c r="GC176" s="11"/>
      <c r="GD176" s="11"/>
      <c r="GE176" s="11"/>
      <c r="GF176" s="11"/>
      <c r="GG176" s="11"/>
      <c r="GH176" s="11"/>
      <c r="GI176" s="11"/>
      <c r="GJ176" s="11"/>
      <c r="GK176" s="11"/>
      <c r="GL176" s="11"/>
      <c r="GM176" s="11"/>
      <c r="GN176" s="11"/>
      <c r="GO176" s="11"/>
      <c r="GP176" s="11"/>
      <c r="GQ176" s="11"/>
      <c r="GR176" s="11"/>
    </row>
    <row r="177" spans="2:200" x14ac:dyDescent="0.15"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  <c r="CW177" s="11"/>
      <c r="CX177" s="11"/>
      <c r="CY177" s="11"/>
      <c r="CZ177" s="11"/>
      <c r="DA177" s="11"/>
      <c r="DB177" s="11"/>
      <c r="DC177" s="11"/>
      <c r="DD177" s="11"/>
      <c r="DE177" s="11"/>
      <c r="DF177" s="11"/>
      <c r="DG177" s="11"/>
      <c r="DH177" s="11"/>
      <c r="DI177" s="11"/>
      <c r="DJ177" s="11"/>
      <c r="DK177" s="11"/>
      <c r="DL177" s="11"/>
      <c r="DM177" s="11"/>
      <c r="DN177" s="11"/>
      <c r="DO177" s="11"/>
      <c r="DP177" s="11"/>
      <c r="DQ177" s="11"/>
      <c r="DR177" s="11"/>
      <c r="DS177" s="11"/>
      <c r="DT177" s="11"/>
      <c r="DU177" s="11"/>
      <c r="DV177" s="11"/>
      <c r="DW177" s="11"/>
      <c r="DX177" s="11"/>
      <c r="DY177" s="11"/>
      <c r="DZ177" s="11"/>
      <c r="EA177" s="11"/>
      <c r="EB177" s="11"/>
      <c r="EC177" s="11"/>
      <c r="ED177" s="11"/>
      <c r="EE177" s="11"/>
      <c r="EF177" s="11"/>
      <c r="EG177" s="11"/>
      <c r="EH177" s="11"/>
      <c r="EI177" s="11"/>
      <c r="EJ177" s="11"/>
      <c r="EK177" s="11"/>
      <c r="EL177" s="11"/>
      <c r="EM177" s="11"/>
      <c r="EN177" s="11"/>
      <c r="EO177" s="11"/>
      <c r="EP177" s="11"/>
      <c r="EQ177" s="11"/>
      <c r="ER177" s="11"/>
      <c r="ES177" s="11"/>
      <c r="ET177" s="11"/>
      <c r="EU177" s="11"/>
      <c r="EV177" s="11"/>
      <c r="EW177" s="11"/>
      <c r="EX177" s="11"/>
      <c r="EY177" s="11"/>
      <c r="EZ177" s="11"/>
      <c r="FA177" s="11"/>
      <c r="FB177" s="11"/>
      <c r="FC177" s="11"/>
      <c r="FD177" s="11"/>
      <c r="FE177" s="11"/>
      <c r="FF177" s="11"/>
      <c r="FG177" s="11"/>
      <c r="FH177" s="11"/>
      <c r="FI177" s="11"/>
      <c r="FJ177" s="11"/>
      <c r="FK177" s="11"/>
      <c r="FL177" s="11"/>
      <c r="FM177" s="11"/>
      <c r="FN177" s="11"/>
      <c r="FO177" s="11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11"/>
      <c r="GD177" s="11"/>
      <c r="GE177" s="11"/>
      <c r="GF177" s="11"/>
      <c r="GG177" s="11"/>
      <c r="GH177" s="11"/>
      <c r="GI177" s="11"/>
      <c r="GJ177" s="11"/>
      <c r="GK177" s="11"/>
      <c r="GL177" s="11"/>
      <c r="GM177" s="11"/>
      <c r="GN177" s="11"/>
      <c r="GO177" s="11"/>
      <c r="GP177" s="11"/>
      <c r="GQ177" s="11"/>
      <c r="GR177" s="11"/>
    </row>
    <row r="178" spans="2:200" x14ac:dyDescent="0.15"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  <c r="CW178" s="11"/>
      <c r="CX178" s="11"/>
      <c r="CY178" s="11"/>
      <c r="CZ178" s="11"/>
      <c r="DA178" s="11"/>
      <c r="DB178" s="11"/>
      <c r="DC178" s="11"/>
      <c r="DD178" s="11"/>
      <c r="DE178" s="11"/>
      <c r="DF178" s="11"/>
      <c r="DG178" s="11"/>
      <c r="DH178" s="11"/>
      <c r="DI178" s="11"/>
      <c r="DJ178" s="11"/>
      <c r="DK178" s="11"/>
      <c r="DL178" s="11"/>
      <c r="DM178" s="11"/>
      <c r="DN178" s="11"/>
      <c r="DO178" s="11"/>
      <c r="DP178" s="11"/>
      <c r="DQ178" s="11"/>
      <c r="DR178" s="11"/>
      <c r="DS178" s="11"/>
      <c r="DT178" s="11"/>
      <c r="DU178" s="11"/>
      <c r="DV178" s="11"/>
      <c r="DW178" s="11"/>
      <c r="DX178" s="11"/>
      <c r="DY178" s="11"/>
      <c r="DZ178" s="11"/>
      <c r="EA178" s="11"/>
      <c r="EB178" s="11"/>
      <c r="EC178" s="11"/>
      <c r="ED178" s="11"/>
      <c r="EE178" s="11"/>
      <c r="EF178" s="11"/>
      <c r="EG178" s="11"/>
      <c r="EH178" s="11"/>
      <c r="EI178" s="11"/>
      <c r="EJ178" s="11"/>
      <c r="EK178" s="11"/>
      <c r="EL178" s="11"/>
      <c r="EM178" s="11"/>
      <c r="EN178" s="11"/>
      <c r="EO178" s="11"/>
      <c r="EP178" s="11"/>
      <c r="EQ178" s="11"/>
      <c r="ER178" s="11"/>
      <c r="ES178" s="11"/>
      <c r="ET178" s="11"/>
      <c r="EU178" s="11"/>
      <c r="EV178" s="11"/>
      <c r="EW178" s="11"/>
      <c r="EX178" s="11"/>
      <c r="EY178" s="11"/>
      <c r="EZ178" s="11"/>
      <c r="FA178" s="11"/>
      <c r="FB178" s="11"/>
      <c r="FC178" s="11"/>
      <c r="FD178" s="11"/>
      <c r="FE178" s="11"/>
      <c r="FF178" s="11"/>
      <c r="FG178" s="11"/>
      <c r="FH178" s="11"/>
      <c r="FI178" s="11"/>
      <c r="FJ178" s="11"/>
      <c r="FK178" s="11"/>
      <c r="FL178" s="11"/>
      <c r="FM178" s="11"/>
      <c r="FN178" s="11"/>
      <c r="FO178" s="11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11"/>
      <c r="GD178" s="11"/>
      <c r="GE178" s="11"/>
      <c r="GF178" s="11"/>
      <c r="GG178" s="11"/>
      <c r="GH178" s="11"/>
      <c r="GI178" s="11"/>
      <c r="GJ178" s="11"/>
      <c r="GK178" s="11"/>
      <c r="GL178" s="11"/>
      <c r="GM178" s="11"/>
      <c r="GN178" s="11"/>
      <c r="GO178" s="11"/>
      <c r="GP178" s="11"/>
      <c r="GQ178" s="11"/>
      <c r="GR178" s="11"/>
    </row>
    <row r="179" spans="2:200" x14ac:dyDescent="0.15"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  <c r="CW179" s="11"/>
      <c r="CX179" s="11"/>
      <c r="CY179" s="11"/>
      <c r="CZ179" s="11"/>
      <c r="DA179" s="11"/>
      <c r="DB179" s="11"/>
      <c r="DC179" s="11"/>
      <c r="DD179" s="11"/>
      <c r="DE179" s="11"/>
      <c r="DF179" s="11"/>
      <c r="DG179" s="11"/>
      <c r="DH179" s="11"/>
      <c r="DI179" s="11"/>
      <c r="DJ179" s="11"/>
      <c r="DK179" s="11"/>
      <c r="DL179" s="11"/>
      <c r="DM179" s="11"/>
      <c r="DN179" s="11"/>
      <c r="DO179" s="11"/>
      <c r="DP179" s="11"/>
      <c r="DQ179" s="11"/>
      <c r="DR179" s="11"/>
      <c r="DS179" s="11"/>
      <c r="DT179" s="11"/>
      <c r="DU179" s="11"/>
      <c r="DV179" s="11"/>
      <c r="DW179" s="11"/>
      <c r="DX179" s="11"/>
      <c r="DY179" s="11"/>
      <c r="DZ179" s="11"/>
      <c r="EA179" s="11"/>
      <c r="EB179" s="11"/>
      <c r="EC179" s="11"/>
      <c r="ED179" s="11"/>
      <c r="EE179" s="11"/>
      <c r="EF179" s="11"/>
      <c r="EG179" s="11"/>
      <c r="EH179" s="11"/>
      <c r="EI179" s="11"/>
      <c r="EJ179" s="11"/>
      <c r="EK179" s="11"/>
      <c r="EL179" s="11"/>
      <c r="EM179" s="11"/>
      <c r="EN179" s="11"/>
      <c r="EO179" s="11"/>
      <c r="EP179" s="11"/>
      <c r="EQ179" s="11"/>
      <c r="ER179" s="11"/>
      <c r="ES179" s="11"/>
      <c r="ET179" s="11"/>
      <c r="EU179" s="11"/>
      <c r="EV179" s="11"/>
      <c r="EW179" s="11"/>
      <c r="EX179" s="11"/>
      <c r="EY179" s="11"/>
      <c r="EZ179" s="11"/>
      <c r="FA179" s="11"/>
      <c r="FB179" s="11"/>
      <c r="FC179" s="11"/>
      <c r="FD179" s="11"/>
      <c r="FE179" s="11"/>
      <c r="FF179" s="11"/>
      <c r="FG179" s="11"/>
      <c r="FH179" s="11"/>
      <c r="FI179" s="11"/>
      <c r="FJ179" s="11"/>
      <c r="FK179" s="11"/>
      <c r="FL179" s="11"/>
      <c r="FM179" s="11"/>
      <c r="FN179" s="11"/>
      <c r="FO179" s="1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/>
      <c r="FZ179" s="11"/>
      <c r="GA179" s="11"/>
      <c r="GB179" s="11"/>
      <c r="GC179" s="11"/>
      <c r="GD179" s="11"/>
      <c r="GE179" s="11"/>
      <c r="GF179" s="11"/>
      <c r="GG179" s="11"/>
      <c r="GH179" s="11"/>
      <c r="GI179" s="11"/>
      <c r="GJ179" s="11"/>
      <c r="GK179" s="11"/>
      <c r="GL179" s="11"/>
      <c r="GM179" s="11"/>
      <c r="GN179" s="11"/>
      <c r="GO179" s="11"/>
      <c r="GP179" s="11"/>
      <c r="GQ179" s="11"/>
      <c r="GR179" s="11"/>
    </row>
    <row r="180" spans="2:200" x14ac:dyDescent="0.15"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11"/>
      <c r="CV180" s="11"/>
      <c r="CW180" s="11"/>
      <c r="CX180" s="11"/>
      <c r="CY180" s="11"/>
      <c r="CZ180" s="11"/>
      <c r="DA180" s="11"/>
      <c r="DB180" s="11"/>
      <c r="DC180" s="11"/>
      <c r="DD180" s="11"/>
      <c r="DE180" s="11"/>
      <c r="DF180" s="11"/>
      <c r="DG180" s="11"/>
      <c r="DH180" s="11"/>
      <c r="DI180" s="11"/>
      <c r="DJ180" s="11"/>
      <c r="DK180" s="11"/>
      <c r="DL180" s="11"/>
      <c r="DM180" s="11"/>
      <c r="DN180" s="11"/>
      <c r="DO180" s="11"/>
      <c r="DP180" s="11"/>
      <c r="DQ180" s="11"/>
      <c r="DR180" s="11"/>
      <c r="DS180" s="11"/>
      <c r="DT180" s="11"/>
      <c r="DU180" s="11"/>
      <c r="DV180" s="11"/>
      <c r="DW180" s="11"/>
      <c r="DX180" s="11"/>
      <c r="DY180" s="11"/>
      <c r="DZ180" s="11"/>
      <c r="EA180" s="11"/>
      <c r="EB180" s="11"/>
      <c r="EC180" s="11"/>
      <c r="ED180" s="11"/>
      <c r="EE180" s="11"/>
      <c r="EF180" s="11"/>
      <c r="EG180" s="11"/>
      <c r="EH180" s="11"/>
      <c r="EI180" s="11"/>
      <c r="EJ180" s="11"/>
      <c r="EK180" s="11"/>
      <c r="EL180" s="11"/>
      <c r="EM180" s="11"/>
      <c r="EN180" s="11"/>
      <c r="EO180" s="11"/>
      <c r="EP180" s="11"/>
      <c r="EQ180" s="11"/>
      <c r="ER180" s="11"/>
      <c r="ES180" s="11"/>
      <c r="ET180" s="11"/>
      <c r="EU180" s="11"/>
      <c r="EV180" s="11"/>
      <c r="EW180" s="11"/>
      <c r="EX180" s="11"/>
      <c r="EY180" s="11"/>
      <c r="EZ180" s="11"/>
      <c r="FA180" s="11"/>
      <c r="FB180" s="11"/>
      <c r="FC180" s="11"/>
      <c r="FD180" s="11"/>
      <c r="FE180" s="11"/>
      <c r="FF180" s="11"/>
      <c r="FG180" s="11"/>
      <c r="FH180" s="11"/>
      <c r="FI180" s="11"/>
      <c r="FJ180" s="11"/>
      <c r="FK180" s="11"/>
      <c r="FL180" s="11"/>
      <c r="FM180" s="11"/>
      <c r="FN180" s="11"/>
      <c r="FO180" s="11"/>
      <c r="FP180" s="11"/>
      <c r="FQ180" s="11"/>
      <c r="FR180" s="11"/>
      <c r="FS180" s="11"/>
      <c r="FT180" s="11"/>
      <c r="FU180" s="11"/>
      <c r="FV180" s="11"/>
      <c r="FW180" s="11"/>
      <c r="FX180" s="11"/>
      <c r="FY180" s="11"/>
      <c r="FZ180" s="11"/>
      <c r="GA180" s="11"/>
      <c r="GB180" s="11"/>
      <c r="GC180" s="11"/>
      <c r="GD180" s="11"/>
      <c r="GE180" s="11"/>
      <c r="GF180" s="11"/>
      <c r="GG180" s="11"/>
      <c r="GH180" s="11"/>
      <c r="GI180" s="11"/>
      <c r="GJ180" s="11"/>
      <c r="GK180" s="11"/>
      <c r="GL180" s="11"/>
      <c r="GM180" s="11"/>
      <c r="GN180" s="11"/>
      <c r="GO180" s="11"/>
      <c r="GP180" s="11"/>
      <c r="GQ180" s="11"/>
      <c r="GR180" s="11"/>
    </row>
    <row r="181" spans="2:200" x14ac:dyDescent="0.15"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11"/>
      <c r="CW181" s="11"/>
      <c r="CX181" s="11"/>
      <c r="CY181" s="11"/>
      <c r="CZ181" s="11"/>
      <c r="DA181" s="11"/>
      <c r="DB181" s="11"/>
      <c r="DC181" s="11"/>
      <c r="DD181" s="11"/>
      <c r="DE181" s="11"/>
      <c r="DF181" s="11"/>
      <c r="DG181" s="11"/>
      <c r="DH181" s="11"/>
      <c r="DI181" s="11"/>
      <c r="DJ181" s="11"/>
      <c r="DK181" s="11"/>
      <c r="DL181" s="11"/>
      <c r="DM181" s="11"/>
      <c r="DN181" s="11"/>
      <c r="DO181" s="11"/>
      <c r="DP181" s="11"/>
      <c r="DQ181" s="11"/>
      <c r="DR181" s="11"/>
      <c r="DS181" s="11"/>
      <c r="DT181" s="11"/>
      <c r="DU181" s="11"/>
      <c r="DV181" s="11"/>
      <c r="DW181" s="11"/>
      <c r="DX181" s="11"/>
      <c r="DY181" s="11"/>
      <c r="DZ181" s="11"/>
      <c r="EA181" s="11"/>
      <c r="EB181" s="11"/>
      <c r="EC181" s="11"/>
      <c r="ED181" s="11"/>
      <c r="EE181" s="11"/>
      <c r="EF181" s="11"/>
      <c r="EG181" s="11"/>
      <c r="EH181" s="11"/>
      <c r="EI181" s="11"/>
      <c r="EJ181" s="11"/>
      <c r="EK181" s="11"/>
      <c r="EL181" s="11"/>
      <c r="EM181" s="11"/>
      <c r="EN181" s="11"/>
      <c r="EO181" s="11"/>
      <c r="EP181" s="11"/>
      <c r="EQ181" s="11"/>
      <c r="ER181" s="11"/>
      <c r="ES181" s="11"/>
      <c r="ET181" s="11"/>
      <c r="EU181" s="11"/>
      <c r="EV181" s="11"/>
      <c r="EW181" s="11"/>
      <c r="EX181" s="11"/>
      <c r="EY181" s="11"/>
      <c r="EZ181" s="11"/>
      <c r="FA181" s="11"/>
      <c r="FB181" s="11"/>
      <c r="FC181" s="11"/>
      <c r="FD181" s="11"/>
      <c r="FE181" s="11"/>
      <c r="FF181" s="11"/>
      <c r="FG181" s="11"/>
      <c r="FH181" s="11"/>
      <c r="FI181" s="11"/>
      <c r="FJ181" s="11"/>
      <c r="FK181" s="11"/>
      <c r="FL181" s="11"/>
      <c r="FM181" s="11"/>
      <c r="FN181" s="11"/>
      <c r="FO181" s="11"/>
      <c r="FP181" s="11"/>
      <c r="FQ181" s="11"/>
      <c r="FR181" s="11"/>
      <c r="FS181" s="11"/>
      <c r="FT181" s="11"/>
      <c r="FU181" s="11"/>
      <c r="FV181" s="11"/>
      <c r="FW181" s="11"/>
      <c r="FX181" s="11"/>
      <c r="FY181" s="11"/>
      <c r="FZ181" s="11"/>
      <c r="GA181" s="11"/>
      <c r="GB181" s="11"/>
      <c r="GC181" s="11"/>
      <c r="GD181" s="11"/>
      <c r="GE181" s="11"/>
      <c r="GF181" s="11"/>
      <c r="GG181" s="11"/>
      <c r="GH181" s="11"/>
      <c r="GI181" s="11"/>
      <c r="GJ181" s="11"/>
      <c r="GK181" s="11"/>
      <c r="GL181" s="11"/>
      <c r="GM181" s="11"/>
      <c r="GN181" s="11"/>
      <c r="GO181" s="11"/>
      <c r="GP181" s="11"/>
      <c r="GQ181" s="11"/>
      <c r="GR181" s="11"/>
    </row>
    <row r="182" spans="2:200" x14ac:dyDescent="0.15"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11"/>
      <c r="CW182" s="11"/>
      <c r="CX182" s="11"/>
      <c r="CY182" s="11"/>
      <c r="CZ182" s="11"/>
      <c r="DA182" s="11"/>
      <c r="DB182" s="11"/>
      <c r="DC182" s="11"/>
      <c r="DD182" s="11"/>
      <c r="DE182" s="11"/>
      <c r="DF182" s="11"/>
      <c r="DG182" s="11"/>
      <c r="DH182" s="11"/>
      <c r="DI182" s="11"/>
      <c r="DJ182" s="11"/>
      <c r="DK182" s="11"/>
      <c r="DL182" s="11"/>
      <c r="DM182" s="11"/>
      <c r="DN182" s="11"/>
      <c r="DO182" s="11"/>
      <c r="DP182" s="11"/>
      <c r="DQ182" s="11"/>
      <c r="DR182" s="11"/>
      <c r="DS182" s="11"/>
      <c r="DT182" s="11"/>
      <c r="DU182" s="11"/>
      <c r="DV182" s="11"/>
      <c r="DW182" s="11"/>
      <c r="DX182" s="11"/>
      <c r="DY182" s="11"/>
      <c r="DZ182" s="11"/>
      <c r="EA182" s="11"/>
      <c r="EB182" s="11"/>
      <c r="EC182" s="11"/>
      <c r="ED182" s="11"/>
      <c r="EE182" s="11"/>
      <c r="EF182" s="11"/>
      <c r="EG182" s="11"/>
      <c r="EH182" s="11"/>
      <c r="EI182" s="11"/>
      <c r="EJ182" s="11"/>
      <c r="EK182" s="11"/>
      <c r="EL182" s="11"/>
      <c r="EM182" s="11"/>
      <c r="EN182" s="11"/>
      <c r="EO182" s="11"/>
      <c r="EP182" s="11"/>
      <c r="EQ182" s="11"/>
      <c r="ER182" s="11"/>
      <c r="ES182" s="11"/>
      <c r="ET182" s="11"/>
      <c r="EU182" s="11"/>
      <c r="EV182" s="11"/>
      <c r="EW182" s="11"/>
      <c r="EX182" s="11"/>
      <c r="EY182" s="11"/>
      <c r="EZ182" s="11"/>
      <c r="FA182" s="11"/>
      <c r="FB182" s="11"/>
      <c r="FC182" s="11"/>
      <c r="FD182" s="11"/>
      <c r="FE182" s="11"/>
      <c r="FF182" s="11"/>
      <c r="FG182" s="11"/>
      <c r="FH182" s="11"/>
      <c r="FI182" s="11"/>
      <c r="FJ182" s="11"/>
      <c r="FK182" s="11"/>
      <c r="FL182" s="11"/>
      <c r="FM182" s="11"/>
      <c r="FN182" s="11"/>
      <c r="FO182" s="11"/>
      <c r="FP182" s="11"/>
      <c r="FQ182" s="11"/>
      <c r="FR182" s="11"/>
      <c r="FS182" s="11"/>
      <c r="FT182" s="11"/>
      <c r="FU182" s="11"/>
      <c r="FV182" s="11"/>
      <c r="FW182" s="11"/>
      <c r="FX182" s="11"/>
      <c r="FY182" s="11"/>
      <c r="FZ182" s="11"/>
      <c r="GA182" s="11"/>
      <c r="GB182" s="11"/>
      <c r="GC182" s="11"/>
      <c r="GD182" s="11"/>
      <c r="GE182" s="11"/>
      <c r="GF182" s="11"/>
      <c r="GG182" s="11"/>
      <c r="GH182" s="11"/>
      <c r="GI182" s="11"/>
      <c r="GJ182" s="11"/>
      <c r="GK182" s="11"/>
      <c r="GL182" s="11"/>
      <c r="GM182" s="11"/>
      <c r="GN182" s="11"/>
      <c r="GO182" s="11"/>
      <c r="GP182" s="11"/>
      <c r="GQ182" s="11"/>
      <c r="GR182" s="11"/>
    </row>
    <row r="183" spans="2:200" x14ac:dyDescent="0.15"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11"/>
      <c r="CV183" s="11"/>
      <c r="CW183" s="11"/>
      <c r="CX183" s="11"/>
      <c r="CY183" s="11"/>
      <c r="CZ183" s="11"/>
      <c r="DA183" s="11"/>
      <c r="DB183" s="11"/>
      <c r="DC183" s="11"/>
      <c r="DD183" s="11"/>
      <c r="DE183" s="11"/>
      <c r="DF183" s="11"/>
      <c r="DG183" s="11"/>
      <c r="DH183" s="11"/>
      <c r="DI183" s="11"/>
      <c r="DJ183" s="11"/>
      <c r="DK183" s="11"/>
      <c r="DL183" s="11"/>
      <c r="DM183" s="11"/>
      <c r="DN183" s="11"/>
      <c r="DO183" s="11"/>
      <c r="DP183" s="11"/>
      <c r="DQ183" s="11"/>
      <c r="DR183" s="11"/>
      <c r="DS183" s="11"/>
      <c r="DT183" s="11"/>
      <c r="DU183" s="11"/>
      <c r="DV183" s="11"/>
      <c r="DW183" s="11"/>
      <c r="DX183" s="11"/>
      <c r="DY183" s="11"/>
      <c r="DZ183" s="11"/>
      <c r="EA183" s="11"/>
      <c r="EB183" s="11"/>
      <c r="EC183" s="11"/>
      <c r="ED183" s="11"/>
      <c r="EE183" s="11"/>
      <c r="EF183" s="11"/>
      <c r="EG183" s="11"/>
      <c r="EH183" s="11"/>
      <c r="EI183" s="11"/>
      <c r="EJ183" s="11"/>
      <c r="EK183" s="11"/>
      <c r="EL183" s="11"/>
      <c r="EM183" s="11"/>
      <c r="EN183" s="11"/>
      <c r="EO183" s="11"/>
      <c r="EP183" s="11"/>
      <c r="EQ183" s="11"/>
      <c r="ER183" s="11"/>
      <c r="ES183" s="11"/>
      <c r="ET183" s="11"/>
      <c r="EU183" s="11"/>
      <c r="EV183" s="11"/>
      <c r="EW183" s="11"/>
      <c r="EX183" s="11"/>
      <c r="EY183" s="11"/>
      <c r="EZ183" s="11"/>
      <c r="FA183" s="11"/>
      <c r="FB183" s="11"/>
      <c r="FC183" s="11"/>
      <c r="FD183" s="11"/>
      <c r="FE183" s="11"/>
      <c r="FF183" s="11"/>
      <c r="FG183" s="11"/>
      <c r="FH183" s="11"/>
      <c r="FI183" s="11"/>
      <c r="FJ183" s="11"/>
      <c r="FK183" s="11"/>
      <c r="FL183" s="11"/>
      <c r="FM183" s="11"/>
      <c r="FN183" s="11"/>
      <c r="FO183" s="11"/>
      <c r="FP183" s="11"/>
      <c r="FQ183" s="11"/>
      <c r="FR183" s="11"/>
      <c r="FS183" s="11"/>
      <c r="FT183" s="11"/>
      <c r="FU183" s="11"/>
      <c r="FV183" s="11"/>
      <c r="FW183" s="11"/>
      <c r="FX183" s="11"/>
      <c r="FY183" s="11"/>
      <c r="FZ183" s="11"/>
      <c r="GA183" s="11"/>
      <c r="GB183" s="11"/>
      <c r="GC183" s="11"/>
      <c r="GD183" s="11"/>
      <c r="GE183" s="11"/>
      <c r="GF183" s="11"/>
      <c r="GG183" s="11"/>
      <c r="GH183" s="11"/>
      <c r="GI183" s="11"/>
      <c r="GJ183" s="11"/>
      <c r="GK183" s="11"/>
      <c r="GL183" s="11"/>
      <c r="GM183" s="11"/>
      <c r="GN183" s="11"/>
      <c r="GO183" s="11"/>
      <c r="GP183" s="11"/>
      <c r="GQ183" s="11"/>
      <c r="GR183" s="11"/>
    </row>
    <row r="184" spans="2:200" x14ac:dyDescent="0.15"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11"/>
      <c r="CW184" s="11"/>
      <c r="CX184" s="11"/>
      <c r="CY184" s="11"/>
      <c r="CZ184" s="11"/>
      <c r="DA184" s="11"/>
      <c r="DB184" s="11"/>
      <c r="DC184" s="11"/>
      <c r="DD184" s="11"/>
      <c r="DE184" s="11"/>
      <c r="DF184" s="11"/>
      <c r="DG184" s="11"/>
      <c r="DH184" s="11"/>
      <c r="DI184" s="11"/>
      <c r="DJ184" s="11"/>
      <c r="DK184" s="11"/>
      <c r="DL184" s="11"/>
      <c r="DM184" s="11"/>
      <c r="DN184" s="11"/>
      <c r="DO184" s="11"/>
      <c r="DP184" s="11"/>
      <c r="DQ184" s="11"/>
      <c r="DR184" s="11"/>
      <c r="DS184" s="11"/>
      <c r="DT184" s="11"/>
      <c r="DU184" s="11"/>
      <c r="DV184" s="11"/>
      <c r="DW184" s="11"/>
      <c r="DX184" s="11"/>
      <c r="DY184" s="11"/>
      <c r="DZ184" s="11"/>
      <c r="EA184" s="11"/>
      <c r="EB184" s="11"/>
      <c r="EC184" s="11"/>
      <c r="ED184" s="11"/>
      <c r="EE184" s="11"/>
      <c r="EF184" s="11"/>
      <c r="EG184" s="11"/>
      <c r="EH184" s="11"/>
      <c r="EI184" s="11"/>
      <c r="EJ184" s="11"/>
      <c r="EK184" s="11"/>
      <c r="EL184" s="11"/>
      <c r="EM184" s="11"/>
      <c r="EN184" s="11"/>
      <c r="EO184" s="11"/>
      <c r="EP184" s="11"/>
      <c r="EQ184" s="11"/>
      <c r="ER184" s="11"/>
      <c r="ES184" s="11"/>
      <c r="ET184" s="11"/>
      <c r="EU184" s="11"/>
      <c r="EV184" s="11"/>
      <c r="EW184" s="11"/>
      <c r="EX184" s="11"/>
      <c r="EY184" s="11"/>
      <c r="EZ184" s="11"/>
      <c r="FA184" s="11"/>
      <c r="FB184" s="11"/>
      <c r="FC184" s="11"/>
      <c r="FD184" s="11"/>
      <c r="FE184" s="11"/>
      <c r="FF184" s="11"/>
      <c r="FG184" s="11"/>
      <c r="FH184" s="11"/>
      <c r="FI184" s="11"/>
      <c r="FJ184" s="11"/>
      <c r="FK184" s="11"/>
      <c r="FL184" s="11"/>
      <c r="FM184" s="11"/>
      <c r="FN184" s="11"/>
      <c r="FO184" s="11"/>
      <c r="FP184" s="11"/>
      <c r="FQ184" s="11"/>
      <c r="FR184" s="11"/>
      <c r="FS184" s="11"/>
      <c r="FT184" s="11"/>
      <c r="FU184" s="11"/>
      <c r="FV184" s="11"/>
      <c r="FW184" s="11"/>
      <c r="FX184" s="11"/>
      <c r="FY184" s="11"/>
      <c r="FZ184" s="11"/>
      <c r="GA184" s="11"/>
      <c r="GB184" s="11"/>
      <c r="GC184" s="11"/>
      <c r="GD184" s="11"/>
      <c r="GE184" s="11"/>
      <c r="GF184" s="11"/>
      <c r="GG184" s="11"/>
      <c r="GH184" s="11"/>
      <c r="GI184" s="11"/>
      <c r="GJ184" s="11"/>
      <c r="GK184" s="11"/>
      <c r="GL184" s="11"/>
      <c r="GM184" s="11"/>
      <c r="GN184" s="11"/>
      <c r="GO184" s="11"/>
      <c r="GP184" s="11"/>
      <c r="GQ184" s="11"/>
      <c r="GR184" s="11"/>
    </row>
    <row r="185" spans="2:200" x14ac:dyDescent="0.15"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  <c r="DU185" s="11"/>
      <c r="DV185" s="11"/>
      <c r="DW185" s="11"/>
      <c r="DX185" s="11"/>
      <c r="DY185" s="11"/>
      <c r="DZ185" s="11"/>
      <c r="EA185" s="11"/>
      <c r="EB185" s="11"/>
      <c r="EC185" s="11"/>
      <c r="ED185" s="11"/>
      <c r="EE185" s="11"/>
      <c r="EF185" s="11"/>
      <c r="EG185" s="11"/>
      <c r="EH185" s="11"/>
      <c r="EI185" s="11"/>
      <c r="EJ185" s="11"/>
      <c r="EK185" s="11"/>
      <c r="EL185" s="11"/>
      <c r="EM185" s="11"/>
      <c r="EN185" s="11"/>
      <c r="EO185" s="11"/>
      <c r="EP185" s="11"/>
      <c r="EQ185" s="11"/>
      <c r="ER185" s="11"/>
      <c r="ES185" s="11"/>
      <c r="ET185" s="11"/>
      <c r="EU185" s="11"/>
      <c r="EV185" s="11"/>
      <c r="EW185" s="11"/>
      <c r="EX185" s="11"/>
      <c r="EY185" s="11"/>
      <c r="EZ185" s="11"/>
      <c r="FA185" s="11"/>
      <c r="FB185" s="11"/>
      <c r="FC185" s="11"/>
      <c r="FD185" s="11"/>
      <c r="FE185" s="11"/>
      <c r="FF185" s="11"/>
      <c r="FG185" s="11"/>
      <c r="FH185" s="11"/>
      <c r="FI185" s="11"/>
      <c r="FJ185" s="11"/>
      <c r="FK185" s="11"/>
      <c r="FL185" s="11"/>
      <c r="FM185" s="11"/>
      <c r="FN185" s="11"/>
      <c r="FO185" s="11"/>
      <c r="FP185" s="11"/>
      <c r="FQ185" s="11"/>
      <c r="FR185" s="11"/>
      <c r="FS185" s="11"/>
      <c r="FT185" s="11"/>
      <c r="FU185" s="11"/>
      <c r="FV185" s="11"/>
      <c r="FW185" s="11"/>
      <c r="FX185" s="11"/>
      <c r="FY185" s="11"/>
      <c r="FZ185" s="11"/>
      <c r="GA185" s="11"/>
      <c r="GB185" s="11"/>
      <c r="GC185" s="11"/>
      <c r="GD185" s="11"/>
      <c r="GE185" s="11"/>
      <c r="GF185" s="11"/>
      <c r="GG185" s="11"/>
      <c r="GH185" s="11"/>
      <c r="GI185" s="11"/>
      <c r="GJ185" s="11"/>
      <c r="GK185" s="11"/>
      <c r="GL185" s="11"/>
      <c r="GM185" s="11"/>
      <c r="GN185" s="11"/>
      <c r="GO185" s="11"/>
      <c r="GP185" s="11"/>
      <c r="GQ185" s="11"/>
      <c r="GR185" s="11"/>
    </row>
    <row r="186" spans="2:200" x14ac:dyDescent="0.15"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11"/>
      <c r="CV186" s="11"/>
      <c r="CW186" s="11"/>
      <c r="CX186" s="11"/>
      <c r="CY186" s="11"/>
      <c r="CZ186" s="11"/>
      <c r="DA186" s="11"/>
      <c r="DB186" s="11"/>
      <c r="DC186" s="11"/>
      <c r="DD186" s="11"/>
      <c r="DE186" s="11"/>
      <c r="DF186" s="11"/>
      <c r="DG186" s="11"/>
      <c r="DH186" s="11"/>
      <c r="DI186" s="11"/>
      <c r="DJ186" s="11"/>
      <c r="DK186" s="11"/>
      <c r="DL186" s="11"/>
      <c r="DM186" s="11"/>
      <c r="DN186" s="11"/>
      <c r="DO186" s="11"/>
      <c r="DP186" s="11"/>
      <c r="DQ186" s="11"/>
      <c r="DR186" s="11"/>
      <c r="DS186" s="11"/>
      <c r="DT186" s="11"/>
      <c r="DU186" s="11"/>
      <c r="DV186" s="11"/>
      <c r="DW186" s="11"/>
      <c r="DX186" s="11"/>
      <c r="DY186" s="11"/>
      <c r="DZ186" s="11"/>
      <c r="EA186" s="11"/>
      <c r="EB186" s="11"/>
      <c r="EC186" s="11"/>
      <c r="ED186" s="11"/>
      <c r="EE186" s="11"/>
      <c r="EF186" s="11"/>
      <c r="EG186" s="11"/>
      <c r="EH186" s="11"/>
      <c r="EI186" s="11"/>
      <c r="EJ186" s="11"/>
      <c r="EK186" s="11"/>
      <c r="EL186" s="11"/>
      <c r="EM186" s="11"/>
      <c r="EN186" s="11"/>
      <c r="EO186" s="11"/>
      <c r="EP186" s="11"/>
      <c r="EQ186" s="11"/>
      <c r="ER186" s="11"/>
      <c r="ES186" s="11"/>
      <c r="ET186" s="11"/>
      <c r="EU186" s="11"/>
      <c r="EV186" s="11"/>
      <c r="EW186" s="11"/>
      <c r="EX186" s="11"/>
      <c r="EY186" s="11"/>
      <c r="EZ186" s="11"/>
      <c r="FA186" s="11"/>
      <c r="FB186" s="11"/>
      <c r="FC186" s="11"/>
      <c r="FD186" s="11"/>
      <c r="FE186" s="11"/>
      <c r="FF186" s="11"/>
      <c r="FG186" s="11"/>
      <c r="FH186" s="11"/>
      <c r="FI186" s="11"/>
      <c r="FJ186" s="11"/>
      <c r="FK186" s="11"/>
      <c r="FL186" s="11"/>
      <c r="FM186" s="11"/>
      <c r="FN186" s="11"/>
      <c r="FO186" s="11"/>
      <c r="FP186" s="11"/>
      <c r="FQ186" s="11"/>
      <c r="FR186" s="11"/>
      <c r="FS186" s="11"/>
      <c r="FT186" s="11"/>
      <c r="FU186" s="11"/>
      <c r="FV186" s="11"/>
      <c r="FW186" s="11"/>
      <c r="FX186" s="11"/>
      <c r="FY186" s="11"/>
      <c r="FZ186" s="11"/>
      <c r="GA186" s="11"/>
      <c r="GB186" s="11"/>
      <c r="GC186" s="11"/>
      <c r="GD186" s="11"/>
      <c r="GE186" s="11"/>
      <c r="GF186" s="11"/>
      <c r="GG186" s="11"/>
      <c r="GH186" s="11"/>
      <c r="GI186" s="11"/>
      <c r="GJ186" s="11"/>
      <c r="GK186" s="11"/>
      <c r="GL186" s="11"/>
      <c r="GM186" s="11"/>
      <c r="GN186" s="11"/>
      <c r="GO186" s="11"/>
      <c r="GP186" s="11"/>
      <c r="GQ186" s="11"/>
      <c r="GR186" s="11"/>
    </row>
    <row r="187" spans="2:200" x14ac:dyDescent="0.15"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  <c r="DF187" s="11"/>
      <c r="DG187" s="11"/>
      <c r="DH187" s="11"/>
      <c r="DI187" s="11"/>
      <c r="DJ187" s="11"/>
      <c r="DK187" s="11"/>
      <c r="DL187" s="11"/>
      <c r="DM187" s="11"/>
      <c r="DN187" s="11"/>
      <c r="DO187" s="11"/>
      <c r="DP187" s="11"/>
      <c r="DQ187" s="11"/>
      <c r="DR187" s="11"/>
      <c r="DS187" s="11"/>
      <c r="DT187" s="11"/>
      <c r="DU187" s="11"/>
      <c r="DV187" s="11"/>
      <c r="DW187" s="11"/>
      <c r="DX187" s="11"/>
      <c r="DY187" s="11"/>
      <c r="DZ187" s="11"/>
      <c r="EA187" s="11"/>
      <c r="EB187" s="11"/>
      <c r="EC187" s="11"/>
      <c r="ED187" s="11"/>
      <c r="EE187" s="11"/>
      <c r="EF187" s="11"/>
      <c r="EG187" s="11"/>
      <c r="EH187" s="11"/>
      <c r="EI187" s="11"/>
      <c r="EJ187" s="11"/>
      <c r="EK187" s="11"/>
      <c r="EL187" s="11"/>
      <c r="EM187" s="11"/>
      <c r="EN187" s="11"/>
      <c r="EO187" s="11"/>
      <c r="EP187" s="11"/>
      <c r="EQ187" s="11"/>
      <c r="ER187" s="11"/>
      <c r="ES187" s="11"/>
      <c r="ET187" s="11"/>
      <c r="EU187" s="11"/>
      <c r="EV187" s="11"/>
      <c r="EW187" s="11"/>
      <c r="EX187" s="11"/>
      <c r="EY187" s="11"/>
      <c r="EZ187" s="11"/>
      <c r="FA187" s="11"/>
      <c r="FB187" s="11"/>
      <c r="FC187" s="11"/>
      <c r="FD187" s="11"/>
      <c r="FE187" s="11"/>
      <c r="FF187" s="11"/>
      <c r="FG187" s="11"/>
      <c r="FH187" s="11"/>
      <c r="FI187" s="11"/>
      <c r="FJ187" s="11"/>
      <c r="FK187" s="11"/>
      <c r="FL187" s="11"/>
      <c r="FM187" s="11"/>
      <c r="FN187" s="11"/>
      <c r="FO187" s="11"/>
      <c r="FP187" s="11"/>
      <c r="FQ187" s="11"/>
      <c r="FR187" s="11"/>
      <c r="FS187" s="11"/>
      <c r="FT187" s="11"/>
      <c r="FU187" s="11"/>
      <c r="FV187" s="11"/>
      <c r="FW187" s="11"/>
      <c r="FX187" s="11"/>
      <c r="FY187" s="11"/>
      <c r="FZ187" s="11"/>
      <c r="GA187" s="11"/>
      <c r="GB187" s="11"/>
      <c r="GC187" s="11"/>
      <c r="GD187" s="11"/>
      <c r="GE187" s="11"/>
      <c r="GF187" s="11"/>
      <c r="GG187" s="11"/>
      <c r="GH187" s="11"/>
      <c r="GI187" s="11"/>
      <c r="GJ187" s="11"/>
      <c r="GK187" s="11"/>
      <c r="GL187" s="11"/>
      <c r="GM187" s="11"/>
      <c r="GN187" s="11"/>
      <c r="GO187" s="11"/>
      <c r="GP187" s="11"/>
      <c r="GQ187" s="11"/>
      <c r="GR187" s="11"/>
    </row>
    <row r="188" spans="2:200" x14ac:dyDescent="0.15"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  <c r="CW188" s="11"/>
      <c r="CX188" s="11"/>
      <c r="CY188" s="11"/>
      <c r="CZ188" s="11"/>
      <c r="DA188" s="11"/>
      <c r="DB188" s="11"/>
      <c r="DC188" s="11"/>
      <c r="DD188" s="11"/>
      <c r="DE188" s="11"/>
      <c r="DF188" s="11"/>
      <c r="DG188" s="11"/>
      <c r="DH188" s="11"/>
      <c r="DI188" s="11"/>
      <c r="DJ188" s="11"/>
      <c r="DK188" s="11"/>
      <c r="DL188" s="11"/>
      <c r="DM188" s="11"/>
      <c r="DN188" s="11"/>
      <c r="DO188" s="11"/>
      <c r="DP188" s="11"/>
      <c r="DQ188" s="11"/>
      <c r="DR188" s="11"/>
      <c r="DS188" s="11"/>
      <c r="DT188" s="11"/>
      <c r="DU188" s="11"/>
      <c r="DV188" s="11"/>
      <c r="DW188" s="11"/>
      <c r="DX188" s="11"/>
      <c r="DY188" s="11"/>
      <c r="DZ188" s="11"/>
      <c r="EA188" s="11"/>
      <c r="EB188" s="11"/>
      <c r="EC188" s="11"/>
      <c r="ED188" s="11"/>
      <c r="EE188" s="11"/>
      <c r="EF188" s="11"/>
      <c r="EG188" s="11"/>
      <c r="EH188" s="11"/>
      <c r="EI188" s="11"/>
      <c r="EJ188" s="11"/>
      <c r="EK188" s="11"/>
      <c r="EL188" s="11"/>
      <c r="EM188" s="11"/>
      <c r="EN188" s="11"/>
      <c r="EO188" s="11"/>
      <c r="EP188" s="11"/>
      <c r="EQ188" s="11"/>
      <c r="ER188" s="11"/>
      <c r="ES188" s="11"/>
      <c r="ET188" s="11"/>
      <c r="EU188" s="11"/>
      <c r="EV188" s="11"/>
      <c r="EW188" s="11"/>
      <c r="EX188" s="11"/>
      <c r="EY188" s="11"/>
      <c r="EZ188" s="11"/>
      <c r="FA188" s="11"/>
      <c r="FB188" s="11"/>
      <c r="FC188" s="11"/>
      <c r="FD188" s="11"/>
      <c r="FE188" s="11"/>
      <c r="FF188" s="11"/>
      <c r="FG188" s="11"/>
      <c r="FH188" s="11"/>
      <c r="FI188" s="11"/>
      <c r="FJ188" s="11"/>
      <c r="FK188" s="11"/>
      <c r="FL188" s="11"/>
      <c r="FM188" s="11"/>
      <c r="FN188" s="11"/>
      <c r="FO188" s="11"/>
      <c r="FP188" s="11"/>
      <c r="FQ188" s="11"/>
      <c r="FR188" s="11"/>
      <c r="FS188" s="11"/>
      <c r="FT188" s="11"/>
      <c r="FU188" s="11"/>
      <c r="FV188" s="11"/>
      <c r="FW188" s="11"/>
      <c r="FX188" s="11"/>
      <c r="FY188" s="11"/>
      <c r="FZ188" s="11"/>
      <c r="GA188" s="11"/>
      <c r="GB188" s="11"/>
      <c r="GC188" s="11"/>
      <c r="GD188" s="11"/>
      <c r="GE188" s="11"/>
      <c r="GF188" s="11"/>
      <c r="GG188" s="11"/>
      <c r="GH188" s="11"/>
      <c r="GI188" s="11"/>
      <c r="GJ188" s="11"/>
      <c r="GK188" s="11"/>
      <c r="GL188" s="11"/>
      <c r="GM188" s="11"/>
      <c r="GN188" s="11"/>
      <c r="GO188" s="11"/>
      <c r="GP188" s="11"/>
      <c r="GQ188" s="11"/>
      <c r="GR188" s="11"/>
    </row>
    <row r="189" spans="2:200" x14ac:dyDescent="0.15"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  <c r="CW189" s="11"/>
      <c r="CX189" s="11"/>
      <c r="CY189" s="11"/>
      <c r="CZ189" s="11"/>
      <c r="DA189" s="11"/>
      <c r="DB189" s="11"/>
      <c r="DC189" s="11"/>
      <c r="DD189" s="11"/>
      <c r="DE189" s="11"/>
      <c r="DF189" s="11"/>
      <c r="DG189" s="11"/>
      <c r="DH189" s="11"/>
      <c r="DI189" s="11"/>
      <c r="DJ189" s="11"/>
      <c r="DK189" s="11"/>
      <c r="DL189" s="11"/>
      <c r="DM189" s="11"/>
      <c r="DN189" s="11"/>
      <c r="DO189" s="11"/>
      <c r="DP189" s="11"/>
      <c r="DQ189" s="11"/>
      <c r="DR189" s="11"/>
      <c r="DS189" s="11"/>
      <c r="DT189" s="11"/>
      <c r="DU189" s="11"/>
      <c r="DV189" s="11"/>
      <c r="DW189" s="11"/>
      <c r="DX189" s="11"/>
      <c r="DY189" s="11"/>
      <c r="DZ189" s="11"/>
      <c r="EA189" s="11"/>
      <c r="EB189" s="11"/>
      <c r="EC189" s="11"/>
      <c r="ED189" s="11"/>
      <c r="EE189" s="11"/>
      <c r="EF189" s="11"/>
      <c r="EG189" s="11"/>
      <c r="EH189" s="11"/>
      <c r="EI189" s="11"/>
      <c r="EJ189" s="11"/>
      <c r="EK189" s="11"/>
      <c r="EL189" s="11"/>
      <c r="EM189" s="11"/>
      <c r="EN189" s="11"/>
      <c r="EO189" s="11"/>
      <c r="EP189" s="11"/>
      <c r="EQ189" s="11"/>
      <c r="ER189" s="11"/>
      <c r="ES189" s="11"/>
      <c r="ET189" s="11"/>
      <c r="EU189" s="11"/>
      <c r="EV189" s="11"/>
      <c r="EW189" s="11"/>
      <c r="EX189" s="11"/>
      <c r="EY189" s="11"/>
      <c r="EZ189" s="11"/>
      <c r="FA189" s="11"/>
      <c r="FB189" s="11"/>
      <c r="FC189" s="11"/>
      <c r="FD189" s="11"/>
      <c r="FE189" s="11"/>
      <c r="FF189" s="11"/>
      <c r="FG189" s="11"/>
      <c r="FH189" s="11"/>
      <c r="FI189" s="11"/>
      <c r="FJ189" s="11"/>
      <c r="FK189" s="11"/>
      <c r="FL189" s="11"/>
      <c r="FM189" s="11"/>
      <c r="FN189" s="11"/>
      <c r="FO189" s="11"/>
      <c r="FP189" s="11"/>
      <c r="FQ189" s="11"/>
      <c r="FR189" s="11"/>
      <c r="FS189" s="11"/>
      <c r="FT189" s="11"/>
      <c r="FU189" s="11"/>
      <c r="FV189" s="11"/>
      <c r="FW189" s="11"/>
      <c r="FX189" s="11"/>
      <c r="FY189" s="11"/>
      <c r="FZ189" s="11"/>
      <c r="GA189" s="11"/>
      <c r="GB189" s="11"/>
      <c r="GC189" s="11"/>
      <c r="GD189" s="11"/>
      <c r="GE189" s="11"/>
      <c r="GF189" s="11"/>
      <c r="GG189" s="11"/>
      <c r="GH189" s="11"/>
      <c r="GI189" s="11"/>
      <c r="GJ189" s="11"/>
      <c r="GK189" s="11"/>
      <c r="GL189" s="11"/>
      <c r="GM189" s="11"/>
      <c r="GN189" s="11"/>
      <c r="GO189" s="11"/>
      <c r="GP189" s="11"/>
      <c r="GQ189" s="11"/>
      <c r="GR189" s="11"/>
    </row>
    <row r="190" spans="2:200" x14ac:dyDescent="0.15"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11"/>
      <c r="CV190" s="11"/>
      <c r="CW190" s="11"/>
      <c r="CX190" s="11"/>
      <c r="CY190" s="11"/>
      <c r="CZ190" s="11"/>
      <c r="DA190" s="11"/>
      <c r="DB190" s="11"/>
      <c r="DC190" s="11"/>
      <c r="DD190" s="11"/>
      <c r="DE190" s="11"/>
      <c r="DF190" s="11"/>
      <c r="DG190" s="11"/>
      <c r="DH190" s="11"/>
      <c r="DI190" s="11"/>
      <c r="DJ190" s="11"/>
      <c r="DK190" s="11"/>
      <c r="DL190" s="11"/>
      <c r="DM190" s="11"/>
      <c r="DN190" s="11"/>
      <c r="DO190" s="11"/>
      <c r="DP190" s="11"/>
      <c r="DQ190" s="11"/>
      <c r="DR190" s="11"/>
      <c r="DS190" s="11"/>
      <c r="DT190" s="11"/>
      <c r="DU190" s="11"/>
      <c r="DV190" s="11"/>
      <c r="DW190" s="11"/>
      <c r="DX190" s="11"/>
      <c r="DY190" s="11"/>
      <c r="DZ190" s="11"/>
      <c r="EA190" s="11"/>
      <c r="EB190" s="11"/>
      <c r="EC190" s="11"/>
      <c r="ED190" s="11"/>
      <c r="EE190" s="11"/>
      <c r="EF190" s="11"/>
      <c r="EG190" s="11"/>
      <c r="EH190" s="11"/>
      <c r="EI190" s="11"/>
      <c r="EJ190" s="11"/>
      <c r="EK190" s="11"/>
      <c r="EL190" s="11"/>
      <c r="EM190" s="11"/>
      <c r="EN190" s="11"/>
      <c r="EO190" s="11"/>
      <c r="EP190" s="11"/>
      <c r="EQ190" s="11"/>
      <c r="ER190" s="11"/>
      <c r="ES190" s="11"/>
      <c r="ET190" s="11"/>
      <c r="EU190" s="11"/>
      <c r="EV190" s="11"/>
      <c r="EW190" s="11"/>
      <c r="EX190" s="11"/>
      <c r="EY190" s="11"/>
      <c r="EZ190" s="11"/>
      <c r="FA190" s="11"/>
      <c r="FB190" s="11"/>
      <c r="FC190" s="11"/>
      <c r="FD190" s="11"/>
      <c r="FE190" s="11"/>
      <c r="FF190" s="11"/>
      <c r="FG190" s="11"/>
      <c r="FH190" s="11"/>
      <c r="FI190" s="11"/>
      <c r="FJ190" s="11"/>
      <c r="FK190" s="11"/>
      <c r="FL190" s="11"/>
      <c r="FM190" s="11"/>
      <c r="FN190" s="11"/>
      <c r="FO190" s="11"/>
      <c r="FP190" s="11"/>
      <c r="FQ190" s="11"/>
      <c r="FR190" s="11"/>
      <c r="FS190" s="11"/>
      <c r="FT190" s="11"/>
      <c r="FU190" s="11"/>
      <c r="FV190" s="11"/>
      <c r="FW190" s="11"/>
      <c r="FX190" s="11"/>
      <c r="FY190" s="11"/>
      <c r="FZ190" s="11"/>
      <c r="GA190" s="11"/>
      <c r="GB190" s="11"/>
      <c r="GC190" s="11"/>
      <c r="GD190" s="11"/>
      <c r="GE190" s="11"/>
      <c r="GF190" s="11"/>
      <c r="GG190" s="11"/>
      <c r="GH190" s="11"/>
      <c r="GI190" s="11"/>
      <c r="GJ190" s="11"/>
      <c r="GK190" s="11"/>
      <c r="GL190" s="11"/>
      <c r="GM190" s="11"/>
      <c r="GN190" s="11"/>
      <c r="GO190" s="11"/>
      <c r="GP190" s="11"/>
      <c r="GQ190" s="11"/>
      <c r="GR190" s="11"/>
    </row>
    <row r="191" spans="2:200" x14ac:dyDescent="0.15"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11"/>
      <c r="CU191" s="11"/>
      <c r="CV191" s="11"/>
      <c r="CW191" s="11"/>
      <c r="CX191" s="11"/>
      <c r="CY191" s="11"/>
      <c r="CZ191" s="11"/>
      <c r="DA191" s="11"/>
      <c r="DB191" s="11"/>
      <c r="DC191" s="11"/>
      <c r="DD191" s="11"/>
      <c r="DE191" s="11"/>
      <c r="DF191" s="11"/>
      <c r="DG191" s="11"/>
      <c r="DH191" s="11"/>
      <c r="DI191" s="11"/>
      <c r="DJ191" s="11"/>
      <c r="DK191" s="11"/>
      <c r="DL191" s="11"/>
      <c r="DM191" s="11"/>
      <c r="DN191" s="11"/>
      <c r="DO191" s="11"/>
      <c r="DP191" s="11"/>
      <c r="DQ191" s="11"/>
      <c r="DR191" s="11"/>
      <c r="DS191" s="11"/>
      <c r="DT191" s="11"/>
      <c r="DU191" s="11"/>
      <c r="DV191" s="11"/>
      <c r="DW191" s="11"/>
      <c r="DX191" s="11"/>
      <c r="DY191" s="11"/>
      <c r="DZ191" s="11"/>
      <c r="EA191" s="11"/>
      <c r="EB191" s="11"/>
      <c r="EC191" s="11"/>
      <c r="ED191" s="11"/>
      <c r="EE191" s="11"/>
      <c r="EF191" s="11"/>
      <c r="EG191" s="11"/>
      <c r="EH191" s="11"/>
      <c r="EI191" s="11"/>
      <c r="EJ191" s="11"/>
      <c r="EK191" s="11"/>
      <c r="EL191" s="11"/>
      <c r="EM191" s="11"/>
      <c r="EN191" s="11"/>
      <c r="EO191" s="11"/>
      <c r="EP191" s="11"/>
      <c r="EQ191" s="11"/>
      <c r="ER191" s="11"/>
      <c r="ES191" s="11"/>
      <c r="ET191" s="11"/>
      <c r="EU191" s="11"/>
      <c r="EV191" s="11"/>
      <c r="EW191" s="11"/>
      <c r="EX191" s="11"/>
      <c r="EY191" s="11"/>
      <c r="EZ191" s="11"/>
      <c r="FA191" s="11"/>
      <c r="FB191" s="11"/>
      <c r="FC191" s="11"/>
      <c r="FD191" s="11"/>
      <c r="FE191" s="11"/>
      <c r="FF191" s="11"/>
      <c r="FG191" s="11"/>
      <c r="FH191" s="11"/>
      <c r="FI191" s="11"/>
      <c r="FJ191" s="11"/>
      <c r="FK191" s="11"/>
      <c r="FL191" s="11"/>
      <c r="FM191" s="11"/>
      <c r="FN191" s="11"/>
      <c r="FO191" s="11"/>
      <c r="FP191" s="11"/>
      <c r="FQ191" s="11"/>
      <c r="FR191" s="11"/>
      <c r="FS191" s="11"/>
      <c r="FT191" s="11"/>
      <c r="FU191" s="11"/>
      <c r="FV191" s="11"/>
      <c r="FW191" s="11"/>
      <c r="FX191" s="11"/>
      <c r="FY191" s="11"/>
      <c r="FZ191" s="11"/>
      <c r="GA191" s="11"/>
      <c r="GB191" s="11"/>
      <c r="GC191" s="11"/>
      <c r="GD191" s="11"/>
      <c r="GE191" s="11"/>
      <c r="GF191" s="11"/>
      <c r="GG191" s="11"/>
      <c r="GH191" s="11"/>
      <c r="GI191" s="11"/>
      <c r="GJ191" s="11"/>
      <c r="GK191" s="11"/>
      <c r="GL191" s="11"/>
      <c r="GM191" s="11"/>
      <c r="GN191" s="11"/>
      <c r="GO191" s="11"/>
      <c r="GP191" s="11"/>
      <c r="GQ191" s="11"/>
      <c r="GR191" s="11"/>
    </row>
    <row r="192" spans="2:200" x14ac:dyDescent="0.15"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</row>
    <row r="193" spans="2:200" x14ac:dyDescent="0.15"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11"/>
      <c r="CV193" s="11"/>
      <c r="CW193" s="11"/>
      <c r="CX193" s="11"/>
      <c r="CY193" s="11"/>
      <c r="CZ193" s="11"/>
      <c r="DA193" s="11"/>
      <c r="DB193" s="11"/>
      <c r="DC193" s="11"/>
      <c r="DD193" s="11"/>
      <c r="DE193" s="11"/>
      <c r="DF193" s="11"/>
      <c r="DG193" s="11"/>
      <c r="DH193" s="11"/>
      <c r="DI193" s="11"/>
      <c r="DJ193" s="11"/>
      <c r="DK193" s="11"/>
      <c r="DL193" s="11"/>
      <c r="DM193" s="11"/>
      <c r="DN193" s="11"/>
      <c r="DO193" s="11"/>
      <c r="DP193" s="11"/>
      <c r="DQ193" s="11"/>
      <c r="DR193" s="11"/>
      <c r="DS193" s="11"/>
      <c r="DT193" s="11"/>
      <c r="DU193" s="11"/>
      <c r="DV193" s="11"/>
      <c r="DW193" s="11"/>
      <c r="DX193" s="11"/>
      <c r="DY193" s="11"/>
      <c r="DZ193" s="11"/>
      <c r="EA193" s="11"/>
      <c r="EB193" s="11"/>
      <c r="EC193" s="11"/>
      <c r="ED193" s="11"/>
      <c r="EE193" s="11"/>
      <c r="EF193" s="11"/>
      <c r="EG193" s="11"/>
      <c r="EH193" s="11"/>
      <c r="EI193" s="11"/>
      <c r="EJ193" s="11"/>
      <c r="EK193" s="11"/>
      <c r="EL193" s="11"/>
      <c r="EM193" s="11"/>
      <c r="EN193" s="11"/>
      <c r="EO193" s="11"/>
      <c r="EP193" s="11"/>
      <c r="EQ193" s="11"/>
      <c r="ER193" s="11"/>
      <c r="ES193" s="11"/>
      <c r="ET193" s="11"/>
      <c r="EU193" s="11"/>
      <c r="EV193" s="11"/>
      <c r="EW193" s="11"/>
      <c r="EX193" s="11"/>
      <c r="EY193" s="11"/>
      <c r="EZ193" s="11"/>
      <c r="FA193" s="11"/>
      <c r="FB193" s="11"/>
      <c r="FC193" s="11"/>
      <c r="FD193" s="11"/>
      <c r="FE193" s="11"/>
      <c r="FF193" s="11"/>
      <c r="FG193" s="11"/>
      <c r="FH193" s="11"/>
      <c r="FI193" s="11"/>
      <c r="FJ193" s="11"/>
      <c r="FK193" s="11"/>
      <c r="FL193" s="11"/>
      <c r="FM193" s="11"/>
      <c r="FN193" s="11"/>
      <c r="FO193" s="1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1"/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</row>
    <row r="194" spans="2:200" x14ac:dyDescent="0.15"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11"/>
      <c r="CV194" s="11"/>
      <c r="CW194" s="11"/>
      <c r="CX194" s="11"/>
      <c r="CY194" s="11"/>
      <c r="CZ194" s="11"/>
      <c r="DA194" s="11"/>
      <c r="DB194" s="11"/>
      <c r="DC194" s="11"/>
      <c r="DD194" s="11"/>
      <c r="DE194" s="11"/>
      <c r="DF194" s="11"/>
      <c r="DG194" s="11"/>
      <c r="DH194" s="11"/>
      <c r="DI194" s="11"/>
      <c r="DJ194" s="11"/>
      <c r="DK194" s="11"/>
      <c r="DL194" s="11"/>
      <c r="DM194" s="11"/>
      <c r="DN194" s="11"/>
      <c r="DO194" s="11"/>
      <c r="DP194" s="11"/>
      <c r="DQ194" s="11"/>
      <c r="DR194" s="11"/>
      <c r="DS194" s="11"/>
      <c r="DT194" s="11"/>
      <c r="DU194" s="11"/>
      <c r="DV194" s="11"/>
      <c r="DW194" s="11"/>
      <c r="DX194" s="11"/>
      <c r="DY194" s="11"/>
      <c r="DZ194" s="11"/>
      <c r="EA194" s="11"/>
      <c r="EB194" s="11"/>
      <c r="EC194" s="11"/>
      <c r="ED194" s="11"/>
      <c r="EE194" s="11"/>
      <c r="EF194" s="11"/>
      <c r="EG194" s="11"/>
      <c r="EH194" s="11"/>
      <c r="EI194" s="11"/>
      <c r="EJ194" s="11"/>
      <c r="EK194" s="11"/>
      <c r="EL194" s="11"/>
      <c r="EM194" s="11"/>
      <c r="EN194" s="11"/>
      <c r="EO194" s="11"/>
      <c r="EP194" s="11"/>
      <c r="EQ194" s="11"/>
      <c r="ER194" s="11"/>
      <c r="ES194" s="11"/>
      <c r="ET194" s="11"/>
      <c r="EU194" s="11"/>
      <c r="EV194" s="11"/>
      <c r="EW194" s="11"/>
      <c r="EX194" s="11"/>
      <c r="EY194" s="11"/>
      <c r="EZ194" s="11"/>
      <c r="FA194" s="11"/>
      <c r="FB194" s="11"/>
      <c r="FC194" s="11"/>
      <c r="FD194" s="11"/>
      <c r="FE194" s="11"/>
      <c r="FF194" s="11"/>
      <c r="FG194" s="11"/>
      <c r="FH194" s="11"/>
      <c r="FI194" s="11"/>
      <c r="FJ194" s="11"/>
      <c r="FK194" s="11"/>
      <c r="FL194" s="11"/>
      <c r="FM194" s="11"/>
      <c r="FN194" s="11"/>
      <c r="FO194" s="11"/>
      <c r="FP194" s="11"/>
      <c r="FQ194" s="11"/>
      <c r="FR194" s="11"/>
      <c r="FS194" s="11"/>
      <c r="FT194" s="11"/>
      <c r="FU194" s="11"/>
      <c r="FV194" s="11"/>
      <c r="FW194" s="11"/>
      <c r="FX194" s="11"/>
      <c r="FY194" s="11"/>
      <c r="FZ194" s="11"/>
      <c r="GA194" s="11"/>
      <c r="GB194" s="11"/>
      <c r="GC194" s="11"/>
      <c r="GD194" s="11"/>
      <c r="GE194" s="11"/>
      <c r="GF194" s="11"/>
      <c r="GG194" s="11"/>
      <c r="GH194" s="11"/>
      <c r="GI194" s="11"/>
      <c r="GJ194" s="11"/>
      <c r="GK194" s="11"/>
      <c r="GL194" s="11"/>
      <c r="GM194" s="11"/>
      <c r="GN194" s="11"/>
      <c r="GO194" s="11"/>
      <c r="GP194" s="11"/>
      <c r="GQ194" s="11"/>
      <c r="GR194" s="11"/>
    </row>
    <row r="195" spans="2:200" x14ac:dyDescent="0.15"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  <c r="CW195" s="11"/>
      <c r="CX195" s="11"/>
      <c r="CY195" s="11"/>
      <c r="CZ195" s="11"/>
      <c r="DA195" s="11"/>
      <c r="DB195" s="11"/>
      <c r="DC195" s="11"/>
      <c r="DD195" s="11"/>
      <c r="DE195" s="11"/>
      <c r="DF195" s="11"/>
      <c r="DG195" s="11"/>
      <c r="DH195" s="11"/>
      <c r="DI195" s="11"/>
      <c r="DJ195" s="11"/>
      <c r="DK195" s="11"/>
      <c r="DL195" s="11"/>
      <c r="DM195" s="11"/>
      <c r="DN195" s="11"/>
      <c r="DO195" s="11"/>
      <c r="DP195" s="11"/>
      <c r="DQ195" s="11"/>
      <c r="DR195" s="11"/>
      <c r="DS195" s="11"/>
      <c r="DT195" s="11"/>
      <c r="DU195" s="11"/>
      <c r="DV195" s="11"/>
      <c r="DW195" s="11"/>
      <c r="DX195" s="11"/>
      <c r="DY195" s="11"/>
      <c r="DZ195" s="11"/>
      <c r="EA195" s="11"/>
      <c r="EB195" s="11"/>
      <c r="EC195" s="11"/>
      <c r="ED195" s="11"/>
      <c r="EE195" s="11"/>
      <c r="EF195" s="11"/>
      <c r="EG195" s="11"/>
      <c r="EH195" s="11"/>
      <c r="EI195" s="11"/>
      <c r="EJ195" s="11"/>
      <c r="EK195" s="11"/>
      <c r="EL195" s="11"/>
      <c r="EM195" s="11"/>
      <c r="EN195" s="11"/>
      <c r="EO195" s="11"/>
      <c r="EP195" s="11"/>
      <c r="EQ195" s="11"/>
      <c r="ER195" s="11"/>
      <c r="ES195" s="11"/>
      <c r="ET195" s="11"/>
      <c r="EU195" s="11"/>
      <c r="EV195" s="11"/>
      <c r="EW195" s="11"/>
      <c r="EX195" s="11"/>
      <c r="EY195" s="11"/>
      <c r="EZ195" s="11"/>
      <c r="FA195" s="11"/>
      <c r="FB195" s="11"/>
      <c r="FC195" s="11"/>
      <c r="FD195" s="11"/>
      <c r="FE195" s="11"/>
      <c r="FF195" s="11"/>
      <c r="FG195" s="11"/>
      <c r="FH195" s="11"/>
      <c r="FI195" s="11"/>
      <c r="FJ195" s="11"/>
      <c r="FK195" s="11"/>
      <c r="FL195" s="11"/>
      <c r="FM195" s="11"/>
      <c r="FN195" s="11"/>
      <c r="FO195" s="11"/>
      <c r="FP195" s="11"/>
      <c r="FQ195" s="11"/>
      <c r="FR195" s="11"/>
      <c r="FS195" s="11"/>
      <c r="FT195" s="11"/>
      <c r="FU195" s="11"/>
      <c r="FV195" s="11"/>
      <c r="FW195" s="11"/>
      <c r="FX195" s="11"/>
      <c r="FY195" s="11"/>
      <c r="FZ195" s="11"/>
      <c r="GA195" s="11"/>
      <c r="GB195" s="11"/>
      <c r="GC195" s="11"/>
      <c r="GD195" s="11"/>
      <c r="GE195" s="11"/>
      <c r="GF195" s="11"/>
      <c r="GG195" s="11"/>
      <c r="GH195" s="11"/>
      <c r="GI195" s="11"/>
      <c r="GJ195" s="11"/>
      <c r="GK195" s="11"/>
      <c r="GL195" s="11"/>
      <c r="GM195" s="11"/>
      <c r="GN195" s="11"/>
      <c r="GO195" s="11"/>
      <c r="GP195" s="11"/>
      <c r="GQ195" s="11"/>
      <c r="GR195" s="11"/>
    </row>
    <row r="196" spans="2:200" x14ac:dyDescent="0.15"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11"/>
      <c r="CW196" s="11"/>
      <c r="CX196" s="11"/>
      <c r="CY196" s="11"/>
      <c r="CZ196" s="11"/>
      <c r="DA196" s="11"/>
      <c r="DB196" s="11"/>
      <c r="DC196" s="11"/>
      <c r="DD196" s="11"/>
      <c r="DE196" s="11"/>
      <c r="DF196" s="11"/>
      <c r="DG196" s="11"/>
      <c r="DH196" s="11"/>
      <c r="DI196" s="11"/>
      <c r="DJ196" s="11"/>
      <c r="DK196" s="11"/>
      <c r="DL196" s="11"/>
      <c r="DM196" s="11"/>
      <c r="DN196" s="11"/>
      <c r="DO196" s="11"/>
      <c r="DP196" s="11"/>
      <c r="DQ196" s="11"/>
      <c r="DR196" s="11"/>
      <c r="DS196" s="11"/>
      <c r="DT196" s="11"/>
      <c r="DU196" s="11"/>
      <c r="DV196" s="11"/>
      <c r="DW196" s="11"/>
      <c r="DX196" s="11"/>
      <c r="DY196" s="11"/>
      <c r="DZ196" s="11"/>
      <c r="EA196" s="11"/>
      <c r="EB196" s="11"/>
      <c r="EC196" s="11"/>
      <c r="ED196" s="11"/>
      <c r="EE196" s="11"/>
      <c r="EF196" s="11"/>
      <c r="EG196" s="11"/>
      <c r="EH196" s="11"/>
      <c r="EI196" s="11"/>
      <c r="EJ196" s="11"/>
      <c r="EK196" s="11"/>
      <c r="EL196" s="11"/>
      <c r="EM196" s="11"/>
      <c r="EN196" s="11"/>
      <c r="EO196" s="11"/>
      <c r="EP196" s="11"/>
      <c r="EQ196" s="11"/>
      <c r="ER196" s="11"/>
      <c r="ES196" s="11"/>
      <c r="ET196" s="11"/>
      <c r="EU196" s="11"/>
      <c r="EV196" s="11"/>
      <c r="EW196" s="11"/>
      <c r="EX196" s="11"/>
      <c r="EY196" s="11"/>
      <c r="EZ196" s="11"/>
      <c r="FA196" s="11"/>
      <c r="FB196" s="11"/>
      <c r="FC196" s="11"/>
      <c r="FD196" s="11"/>
      <c r="FE196" s="11"/>
      <c r="FF196" s="11"/>
      <c r="FG196" s="11"/>
      <c r="FH196" s="11"/>
      <c r="FI196" s="11"/>
      <c r="FJ196" s="11"/>
      <c r="FK196" s="11"/>
      <c r="FL196" s="11"/>
      <c r="FM196" s="11"/>
      <c r="FN196" s="11"/>
      <c r="FO196" s="11"/>
      <c r="FP196" s="11"/>
      <c r="FQ196" s="11"/>
      <c r="FR196" s="11"/>
      <c r="FS196" s="11"/>
      <c r="FT196" s="11"/>
      <c r="FU196" s="11"/>
      <c r="FV196" s="11"/>
      <c r="FW196" s="11"/>
      <c r="FX196" s="11"/>
      <c r="FY196" s="11"/>
      <c r="FZ196" s="11"/>
      <c r="GA196" s="11"/>
      <c r="GB196" s="11"/>
      <c r="GC196" s="11"/>
      <c r="GD196" s="11"/>
      <c r="GE196" s="11"/>
      <c r="GF196" s="11"/>
      <c r="GG196" s="11"/>
      <c r="GH196" s="11"/>
      <c r="GI196" s="11"/>
      <c r="GJ196" s="11"/>
      <c r="GK196" s="11"/>
      <c r="GL196" s="11"/>
      <c r="GM196" s="11"/>
      <c r="GN196" s="11"/>
      <c r="GO196" s="11"/>
      <c r="GP196" s="11"/>
      <c r="GQ196" s="11"/>
      <c r="GR196" s="11"/>
    </row>
    <row r="197" spans="2:200" x14ac:dyDescent="0.15"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11"/>
      <c r="CW197" s="11"/>
      <c r="CX197" s="11"/>
      <c r="CY197" s="11"/>
      <c r="CZ197" s="11"/>
      <c r="DA197" s="11"/>
      <c r="DB197" s="11"/>
      <c r="DC197" s="11"/>
      <c r="DD197" s="11"/>
      <c r="DE197" s="11"/>
      <c r="DF197" s="11"/>
      <c r="DG197" s="11"/>
      <c r="DH197" s="11"/>
      <c r="DI197" s="11"/>
      <c r="DJ197" s="11"/>
      <c r="DK197" s="11"/>
      <c r="DL197" s="11"/>
      <c r="DM197" s="11"/>
      <c r="DN197" s="11"/>
      <c r="DO197" s="11"/>
      <c r="DP197" s="11"/>
      <c r="DQ197" s="11"/>
      <c r="DR197" s="11"/>
      <c r="DS197" s="11"/>
      <c r="DT197" s="11"/>
      <c r="DU197" s="11"/>
      <c r="DV197" s="11"/>
      <c r="DW197" s="11"/>
      <c r="DX197" s="11"/>
      <c r="DY197" s="11"/>
      <c r="DZ197" s="11"/>
      <c r="EA197" s="11"/>
      <c r="EB197" s="11"/>
      <c r="EC197" s="11"/>
      <c r="ED197" s="11"/>
      <c r="EE197" s="11"/>
      <c r="EF197" s="11"/>
      <c r="EG197" s="11"/>
      <c r="EH197" s="11"/>
      <c r="EI197" s="11"/>
      <c r="EJ197" s="11"/>
      <c r="EK197" s="11"/>
      <c r="EL197" s="11"/>
      <c r="EM197" s="11"/>
      <c r="EN197" s="11"/>
      <c r="EO197" s="11"/>
      <c r="EP197" s="11"/>
      <c r="EQ197" s="11"/>
      <c r="ER197" s="11"/>
      <c r="ES197" s="11"/>
      <c r="ET197" s="11"/>
      <c r="EU197" s="11"/>
      <c r="EV197" s="11"/>
      <c r="EW197" s="11"/>
      <c r="EX197" s="11"/>
      <c r="EY197" s="11"/>
      <c r="EZ197" s="11"/>
      <c r="FA197" s="11"/>
      <c r="FB197" s="11"/>
      <c r="FC197" s="11"/>
      <c r="FD197" s="11"/>
      <c r="FE197" s="11"/>
      <c r="FF197" s="11"/>
      <c r="FG197" s="11"/>
      <c r="FH197" s="11"/>
      <c r="FI197" s="11"/>
      <c r="FJ197" s="11"/>
      <c r="FK197" s="11"/>
      <c r="FL197" s="11"/>
      <c r="FM197" s="11"/>
      <c r="FN197" s="11"/>
      <c r="FO197" s="11"/>
      <c r="FP197" s="11"/>
      <c r="FQ197" s="11"/>
      <c r="FR197" s="11"/>
      <c r="FS197" s="11"/>
      <c r="FT197" s="11"/>
      <c r="FU197" s="11"/>
      <c r="FV197" s="11"/>
      <c r="FW197" s="11"/>
      <c r="FX197" s="11"/>
      <c r="FY197" s="11"/>
      <c r="FZ197" s="11"/>
      <c r="GA197" s="11"/>
      <c r="GB197" s="11"/>
      <c r="GC197" s="11"/>
      <c r="GD197" s="11"/>
      <c r="GE197" s="11"/>
      <c r="GF197" s="11"/>
      <c r="GG197" s="11"/>
      <c r="GH197" s="11"/>
      <c r="GI197" s="11"/>
      <c r="GJ197" s="11"/>
      <c r="GK197" s="11"/>
      <c r="GL197" s="11"/>
      <c r="GM197" s="11"/>
      <c r="GN197" s="11"/>
      <c r="GO197" s="11"/>
      <c r="GP197" s="11"/>
      <c r="GQ197" s="11"/>
      <c r="GR197" s="11"/>
    </row>
    <row r="198" spans="2:200" x14ac:dyDescent="0.15"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11"/>
      <c r="CW198" s="11"/>
      <c r="CX198" s="11"/>
      <c r="CY198" s="11"/>
      <c r="CZ198" s="11"/>
      <c r="DA198" s="11"/>
      <c r="DB198" s="11"/>
      <c r="DC198" s="11"/>
      <c r="DD198" s="11"/>
      <c r="DE198" s="11"/>
      <c r="DF198" s="11"/>
      <c r="DG198" s="11"/>
      <c r="DH198" s="11"/>
      <c r="DI198" s="11"/>
      <c r="DJ198" s="11"/>
      <c r="DK198" s="11"/>
      <c r="DL198" s="11"/>
      <c r="DM198" s="11"/>
      <c r="DN198" s="11"/>
      <c r="DO198" s="11"/>
      <c r="DP198" s="11"/>
      <c r="DQ198" s="11"/>
      <c r="DR198" s="11"/>
      <c r="DS198" s="11"/>
      <c r="DT198" s="11"/>
      <c r="DU198" s="11"/>
      <c r="DV198" s="11"/>
      <c r="DW198" s="11"/>
      <c r="DX198" s="11"/>
      <c r="DY198" s="11"/>
      <c r="DZ198" s="11"/>
      <c r="EA198" s="11"/>
      <c r="EB198" s="11"/>
      <c r="EC198" s="11"/>
      <c r="ED198" s="11"/>
      <c r="EE198" s="11"/>
      <c r="EF198" s="11"/>
      <c r="EG198" s="11"/>
      <c r="EH198" s="11"/>
      <c r="EI198" s="11"/>
      <c r="EJ198" s="11"/>
      <c r="EK198" s="11"/>
      <c r="EL198" s="11"/>
      <c r="EM198" s="11"/>
      <c r="EN198" s="11"/>
      <c r="EO198" s="11"/>
      <c r="EP198" s="11"/>
      <c r="EQ198" s="11"/>
      <c r="ER198" s="11"/>
      <c r="ES198" s="11"/>
      <c r="ET198" s="11"/>
      <c r="EU198" s="11"/>
      <c r="EV198" s="11"/>
      <c r="EW198" s="11"/>
      <c r="EX198" s="11"/>
      <c r="EY198" s="11"/>
      <c r="EZ198" s="11"/>
      <c r="FA198" s="11"/>
      <c r="FB198" s="11"/>
      <c r="FC198" s="11"/>
      <c r="FD198" s="11"/>
      <c r="FE198" s="11"/>
      <c r="FF198" s="11"/>
      <c r="FG198" s="11"/>
      <c r="FH198" s="11"/>
      <c r="FI198" s="11"/>
      <c r="FJ198" s="11"/>
      <c r="FK198" s="11"/>
      <c r="FL198" s="11"/>
      <c r="FM198" s="11"/>
      <c r="FN198" s="11"/>
      <c r="FO198" s="11"/>
      <c r="FP198" s="11"/>
      <c r="FQ198" s="11"/>
      <c r="FR198" s="11"/>
      <c r="FS198" s="11"/>
      <c r="FT198" s="11"/>
      <c r="FU198" s="11"/>
      <c r="FV198" s="11"/>
      <c r="FW198" s="11"/>
      <c r="FX198" s="11"/>
      <c r="FY198" s="11"/>
      <c r="FZ198" s="11"/>
      <c r="GA198" s="11"/>
      <c r="GB198" s="11"/>
      <c r="GC198" s="11"/>
      <c r="GD198" s="11"/>
      <c r="GE198" s="11"/>
      <c r="GF198" s="11"/>
      <c r="GG198" s="11"/>
      <c r="GH198" s="11"/>
      <c r="GI198" s="11"/>
      <c r="GJ198" s="11"/>
      <c r="GK198" s="11"/>
      <c r="GL198" s="11"/>
      <c r="GM198" s="11"/>
      <c r="GN198" s="11"/>
      <c r="GO198" s="11"/>
      <c r="GP198" s="11"/>
      <c r="GQ198" s="11"/>
      <c r="GR198" s="11"/>
    </row>
    <row r="199" spans="2:200" x14ac:dyDescent="0.15"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11"/>
      <c r="CW199" s="11"/>
      <c r="CX199" s="11"/>
      <c r="CY199" s="11"/>
      <c r="CZ199" s="11"/>
      <c r="DA199" s="11"/>
      <c r="DB199" s="11"/>
      <c r="DC199" s="11"/>
      <c r="DD199" s="11"/>
      <c r="DE199" s="11"/>
      <c r="DF199" s="11"/>
      <c r="DG199" s="11"/>
      <c r="DH199" s="11"/>
      <c r="DI199" s="11"/>
      <c r="DJ199" s="11"/>
      <c r="DK199" s="11"/>
      <c r="DL199" s="11"/>
      <c r="DM199" s="11"/>
      <c r="DN199" s="11"/>
      <c r="DO199" s="11"/>
      <c r="DP199" s="11"/>
      <c r="DQ199" s="11"/>
      <c r="DR199" s="11"/>
      <c r="DS199" s="11"/>
      <c r="DT199" s="11"/>
      <c r="DU199" s="11"/>
      <c r="DV199" s="11"/>
      <c r="DW199" s="11"/>
      <c r="DX199" s="11"/>
      <c r="DY199" s="11"/>
      <c r="DZ199" s="11"/>
      <c r="EA199" s="11"/>
      <c r="EB199" s="11"/>
      <c r="EC199" s="11"/>
      <c r="ED199" s="11"/>
      <c r="EE199" s="11"/>
      <c r="EF199" s="11"/>
      <c r="EG199" s="11"/>
      <c r="EH199" s="11"/>
      <c r="EI199" s="11"/>
      <c r="EJ199" s="11"/>
      <c r="EK199" s="11"/>
      <c r="EL199" s="11"/>
      <c r="EM199" s="11"/>
      <c r="EN199" s="11"/>
      <c r="EO199" s="11"/>
      <c r="EP199" s="11"/>
      <c r="EQ199" s="11"/>
      <c r="ER199" s="11"/>
      <c r="ES199" s="11"/>
      <c r="ET199" s="11"/>
      <c r="EU199" s="11"/>
      <c r="EV199" s="11"/>
      <c r="EW199" s="11"/>
      <c r="EX199" s="11"/>
      <c r="EY199" s="11"/>
      <c r="EZ199" s="11"/>
      <c r="FA199" s="11"/>
      <c r="FB199" s="11"/>
      <c r="FC199" s="11"/>
      <c r="FD199" s="11"/>
      <c r="FE199" s="11"/>
      <c r="FF199" s="11"/>
      <c r="FG199" s="11"/>
      <c r="FH199" s="11"/>
      <c r="FI199" s="11"/>
      <c r="FJ199" s="11"/>
      <c r="FK199" s="11"/>
      <c r="FL199" s="11"/>
      <c r="FM199" s="11"/>
      <c r="FN199" s="11"/>
      <c r="FO199" s="11"/>
      <c r="FP199" s="11"/>
      <c r="FQ199" s="11"/>
      <c r="FR199" s="11"/>
      <c r="FS199" s="11"/>
      <c r="FT199" s="11"/>
      <c r="FU199" s="11"/>
      <c r="FV199" s="11"/>
      <c r="FW199" s="11"/>
      <c r="FX199" s="11"/>
      <c r="FY199" s="11"/>
      <c r="FZ199" s="11"/>
      <c r="GA199" s="11"/>
      <c r="GB199" s="11"/>
      <c r="GC199" s="11"/>
      <c r="GD199" s="11"/>
      <c r="GE199" s="11"/>
      <c r="GF199" s="11"/>
      <c r="GG199" s="11"/>
      <c r="GH199" s="11"/>
      <c r="GI199" s="11"/>
      <c r="GJ199" s="11"/>
      <c r="GK199" s="11"/>
      <c r="GL199" s="11"/>
      <c r="GM199" s="11"/>
      <c r="GN199" s="11"/>
      <c r="GO199" s="11"/>
      <c r="GP199" s="11"/>
      <c r="GQ199" s="11"/>
      <c r="GR199" s="11"/>
    </row>
    <row r="200" spans="2:200" x14ac:dyDescent="0.15"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11"/>
      <c r="CW200" s="11"/>
      <c r="CX200" s="11"/>
      <c r="CY200" s="11"/>
      <c r="CZ200" s="11"/>
      <c r="DA200" s="11"/>
      <c r="DB200" s="11"/>
      <c r="DC200" s="11"/>
      <c r="DD200" s="11"/>
      <c r="DE200" s="11"/>
      <c r="DF200" s="11"/>
      <c r="DG200" s="11"/>
      <c r="DH200" s="11"/>
      <c r="DI200" s="11"/>
      <c r="DJ200" s="11"/>
      <c r="DK200" s="11"/>
      <c r="DL200" s="11"/>
      <c r="DM200" s="11"/>
      <c r="DN200" s="11"/>
      <c r="DO200" s="11"/>
      <c r="DP200" s="11"/>
      <c r="DQ200" s="11"/>
      <c r="DR200" s="11"/>
      <c r="DS200" s="11"/>
      <c r="DT200" s="11"/>
      <c r="DU200" s="11"/>
      <c r="DV200" s="11"/>
      <c r="DW200" s="11"/>
      <c r="DX200" s="11"/>
      <c r="DY200" s="11"/>
      <c r="DZ200" s="11"/>
      <c r="EA200" s="11"/>
      <c r="EB200" s="11"/>
      <c r="EC200" s="11"/>
      <c r="ED200" s="11"/>
      <c r="EE200" s="11"/>
      <c r="EF200" s="11"/>
      <c r="EG200" s="11"/>
      <c r="EH200" s="11"/>
      <c r="EI200" s="11"/>
      <c r="EJ200" s="11"/>
      <c r="EK200" s="11"/>
      <c r="EL200" s="11"/>
      <c r="EM200" s="11"/>
      <c r="EN200" s="11"/>
      <c r="EO200" s="11"/>
      <c r="EP200" s="11"/>
      <c r="EQ200" s="11"/>
      <c r="ER200" s="11"/>
      <c r="ES200" s="11"/>
      <c r="ET200" s="11"/>
      <c r="EU200" s="11"/>
      <c r="EV200" s="11"/>
      <c r="EW200" s="11"/>
      <c r="EX200" s="11"/>
      <c r="EY200" s="11"/>
      <c r="EZ200" s="11"/>
      <c r="FA200" s="11"/>
      <c r="FB200" s="11"/>
      <c r="FC200" s="11"/>
      <c r="FD200" s="11"/>
      <c r="FE200" s="11"/>
      <c r="FF200" s="11"/>
      <c r="FG200" s="11"/>
      <c r="FH200" s="11"/>
      <c r="FI200" s="11"/>
      <c r="FJ200" s="11"/>
      <c r="FK200" s="11"/>
      <c r="FL200" s="11"/>
      <c r="FM200" s="11"/>
      <c r="FN200" s="11"/>
      <c r="FO200" s="11"/>
      <c r="FP200" s="11"/>
      <c r="FQ200" s="11"/>
      <c r="FR200" s="11"/>
      <c r="FS200" s="11"/>
      <c r="FT200" s="11"/>
      <c r="FU200" s="11"/>
      <c r="FV200" s="11"/>
      <c r="FW200" s="11"/>
      <c r="FX200" s="11"/>
      <c r="FY200" s="11"/>
      <c r="FZ200" s="11"/>
      <c r="GA200" s="11"/>
      <c r="GB200" s="11"/>
      <c r="GC200" s="11"/>
      <c r="GD200" s="11"/>
      <c r="GE200" s="11"/>
      <c r="GF200" s="11"/>
      <c r="GG200" s="11"/>
      <c r="GH200" s="11"/>
      <c r="GI200" s="11"/>
      <c r="GJ200" s="11"/>
      <c r="GK200" s="11"/>
      <c r="GL200" s="11"/>
      <c r="GM200" s="11"/>
      <c r="GN200" s="11"/>
      <c r="GO200" s="11"/>
      <c r="GP200" s="11"/>
      <c r="GQ200" s="11"/>
      <c r="GR200" s="11"/>
    </row>
    <row r="201" spans="2:200" x14ac:dyDescent="0.15"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11"/>
      <c r="CW201" s="11"/>
      <c r="CX201" s="11"/>
      <c r="CY201" s="11"/>
      <c r="CZ201" s="11"/>
      <c r="DA201" s="11"/>
      <c r="DB201" s="11"/>
      <c r="DC201" s="11"/>
      <c r="DD201" s="11"/>
      <c r="DE201" s="11"/>
      <c r="DF201" s="11"/>
      <c r="DG201" s="11"/>
      <c r="DH201" s="11"/>
      <c r="DI201" s="11"/>
      <c r="DJ201" s="11"/>
      <c r="DK201" s="11"/>
      <c r="DL201" s="11"/>
      <c r="DM201" s="11"/>
      <c r="DN201" s="11"/>
      <c r="DO201" s="11"/>
      <c r="DP201" s="11"/>
      <c r="DQ201" s="11"/>
      <c r="DR201" s="11"/>
      <c r="DS201" s="11"/>
      <c r="DT201" s="11"/>
      <c r="DU201" s="11"/>
      <c r="DV201" s="11"/>
      <c r="DW201" s="11"/>
      <c r="DX201" s="11"/>
      <c r="DY201" s="11"/>
      <c r="DZ201" s="11"/>
      <c r="EA201" s="11"/>
      <c r="EB201" s="11"/>
      <c r="EC201" s="11"/>
      <c r="ED201" s="11"/>
      <c r="EE201" s="11"/>
      <c r="EF201" s="11"/>
      <c r="EG201" s="11"/>
      <c r="EH201" s="11"/>
      <c r="EI201" s="11"/>
      <c r="EJ201" s="11"/>
      <c r="EK201" s="11"/>
      <c r="EL201" s="11"/>
      <c r="EM201" s="11"/>
      <c r="EN201" s="11"/>
      <c r="EO201" s="11"/>
      <c r="EP201" s="11"/>
      <c r="EQ201" s="11"/>
      <c r="ER201" s="11"/>
      <c r="ES201" s="11"/>
      <c r="ET201" s="11"/>
      <c r="EU201" s="11"/>
      <c r="EV201" s="11"/>
      <c r="EW201" s="11"/>
      <c r="EX201" s="11"/>
      <c r="EY201" s="11"/>
      <c r="EZ201" s="11"/>
      <c r="FA201" s="11"/>
      <c r="FB201" s="11"/>
      <c r="FC201" s="11"/>
      <c r="FD201" s="11"/>
      <c r="FE201" s="11"/>
      <c r="FF201" s="11"/>
      <c r="FG201" s="11"/>
      <c r="FH201" s="11"/>
      <c r="FI201" s="11"/>
      <c r="FJ201" s="11"/>
      <c r="FK201" s="11"/>
      <c r="FL201" s="11"/>
      <c r="FM201" s="11"/>
      <c r="FN201" s="11"/>
      <c r="FO201" s="11"/>
      <c r="FP201" s="11"/>
      <c r="FQ201" s="11"/>
      <c r="FR201" s="11"/>
      <c r="FS201" s="11"/>
      <c r="FT201" s="11"/>
      <c r="FU201" s="11"/>
      <c r="FV201" s="11"/>
      <c r="FW201" s="11"/>
      <c r="FX201" s="11"/>
      <c r="FY201" s="11"/>
      <c r="FZ201" s="11"/>
      <c r="GA201" s="11"/>
      <c r="GB201" s="11"/>
      <c r="GC201" s="11"/>
      <c r="GD201" s="11"/>
      <c r="GE201" s="11"/>
      <c r="GF201" s="11"/>
      <c r="GG201" s="11"/>
      <c r="GH201" s="11"/>
      <c r="GI201" s="11"/>
      <c r="GJ201" s="11"/>
      <c r="GK201" s="11"/>
      <c r="GL201" s="11"/>
      <c r="GM201" s="11"/>
      <c r="GN201" s="11"/>
      <c r="GO201" s="11"/>
      <c r="GP201" s="11"/>
      <c r="GQ201" s="11"/>
      <c r="GR201" s="11"/>
    </row>
    <row r="202" spans="2:200" x14ac:dyDescent="0.15"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1"/>
      <c r="CL202" s="11"/>
      <c r="CM202" s="11"/>
      <c r="CN202" s="11"/>
      <c r="CO202" s="11"/>
      <c r="CP202" s="11"/>
      <c r="CQ202" s="11"/>
      <c r="CR202" s="11"/>
      <c r="CS202" s="11"/>
      <c r="CT202" s="11"/>
      <c r="CU202" s="11"/>
      <c r="CV202" s="11"/>
      <c r="CW202" s="11"/>
      <c r="CX202" s="11"/>
      <c r="CY202" s="11"/>
      <c r="CZ202" s="11"/>
      <c r="DA202" s="11"/>
      <c r="DB202" s="11"/>
      <c r="DC202" s="11"/>
      <c r="DD202" s="11"/>
      <c r="DE202" s="11"/>
      <c r="DF202" s="11"/>
      <c r="DG202" s="11"/>
      <c r="DH202" s="11"/>
      <c r="DI202" s="11"/>
      <c r="DJ202" s="11"/>
      <c r="DK202" s="11"/>
      <c r="DL202" s="11"/>
      <c r="DM202" s="11"/>
      <c r="DN202" s="11"/>
      <c r="DO202" s="11"/>
      <c r="DP202" s="11"/>
      <c r="DQ202" s="11"/>
      <c r="DR202" s="11"/>
      <c r="DS202" s="11"/>
      <c r="DT202" s="11"/>
      <c r="DU202" s="11"/>
      <c r="DV202" s="11"/>
      <c r="DW202" s="11"/>
      <c r="DX202" s="11"/>
      <c r="DY202" s="11"/>
      <c r="DZ202" s="11"/>
      <c r="EA202" s="11"/>
      <c r="EB202" s="11"/>
      <c r="EC202" s="11"/>
      <c r="ED202" s="11"/>
      <c r="EE202" s="11"/>
      <c r="EF202" s="11"/>
      <c r="EG202" s="11"/>
      <c r="EH202" s="11"/>
      <c r="EI202" s="11"/>
      <c r="EJ202" s="11"/>
      <c r="EK202" s="11"/>
      <c r="EL202" s="11"/>
      <c r="EM202" s="11"/>
      <c r="EN202" s="11"/>
      <c r="EO202" s="11"/>
      <c r="EP202" s="11"/>
      <c r="EQ202" s="11"/>
      <c r="ER202" s="11"/>
      <c r="ES202" s="11"/>
      <c r="ET202" s="11"/>
      <c r="EU202" s="11"/>
      <c r="EV202" s="11"/>
      <c r="EW202" s="11"/>
      <c r="EX202" s="11"/>
      <c r="EY202" s="11"/>
      <c r="EZ202" s="11"/>
      <c r="FA202" s="11"/>
      <c r="FB202" s="11"/>
      <c r="FC202" s="11"/>
      <c r="FD202" s="11"/>
      <c r="FE202" s="11"/>
      <c r="FF202" s="11"/>
      <c r="FG202" s="11"/>
      <c r="FH202" s="11"/>
      <c r="FI202" s="11"/>
      <c r="FJ202" s="11"/>
      <c r="FK202" s="11"/>
      <c r="FL202" s="11"/>
      <c r="FM202" s="11"/>
      <c r="FN202" s="11"/>
      <c r="FO202" s="11"/>
      <c r="FP202" s="11"/>
      <c r="FQ202" s="11"/>
      <c r="FR202" s="11"/>
      <c r="FS202" s="11"/>
      <c r="FT202" s="11"/>
      <c r="FU202" s="11"/>
      <c r="FV202" s="11"/>
      <c r="FW202" s="11"/>
      <c r="FX202" s="11"/>
      <c r="FY202" s="11"/>
      <c r="FZ202" s="11"/>
      <c r="GA202" s="11"/>
      <c r="GB202" s="11"/>
      <c r="GC202" s="11"/>
      <c r="GD202" s="11"/>
      <c r="GE202" s="11"/>
      <c r="GF202" s="11"/>
      <c r="GG202" s="11"/>
      <c r="GH202" s="11"/>
      <c r="GI202" s="11"/>
      <c r="GJ202" s="11"/>
      <c r="GK202" s="11"/>
      <c r="GL202" s="11"/>
      <c r="GM202" s="11"/>
      <c r="GN202" s="11"/>
      <c r="GO202" s="11"/>
      <c r="GP202" s="11"/>
      <c r="GQ202" s="11"/>
      <c r="GR202" s="11"/>
    </row>
    <row r="203" spans="2:200" x14ac:dyDescent="0.15"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</row>
    <row r="204" spans="2:200" x14ac:dyDescent="0.15"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11"/>
      <c r="CW204" s="11"/>
      <c r="CX204" s="11"/>
      <c r="CY204" s="11"/>
      <c r="CZ204" s="11"/>
      <c r="DA204" s="11"/>
      <c r="DB204" s="11"/>
      <c r="DC204" s="11"/>
      <c r="DD204" s="11"/>
      <c r="DE204" s="11"/>
      <c r="DF204" s="11"/>
      <c r="DG204" s="11"/>
      <c r="DH204" s="11"/>
      <c r="DI204" s="11"/>
      <c r="DJ204" s="11"/>
      <c r="DK204" s="11"/>
      <c r="DL204" s="11"/>
      <c r="DM204" s="11"/>
      <c r="DN204" s="11"/>
      <c r="DO204" s="11"/>
      <c r="DP204" s="11"/>
      <c r="DQ204" s="11"/>
      <c r="DR204" s="11"/>
      <c r="DS204" s="11"/>
      <c r="DT204" s="11"/>
      <c r="DU204" s="11"/>
      <c r="DV204" s="11"/>
      <c r="DW204" s="11"/>
      <c r="DX204" s="11"/>
      <c r="DY204" s="11"/>
      <c r="DZ204" s="11"/>
      <c r="EA204" s="11"/>
      <c r="EB204" s="11"/>
      <c r="EC204" s="11"/>
      <c r="ED204" s="11"/>
      <c r="EE204" s="11"/>
      <c r="EF204" s="11"/>
      <c r="EG204" s="11"/>
      <c r="EH204" s="11"/>
      <c r="EI204" s="11"/>
      <c r="EJ204" s="11"/>
      <c r="EK204" s="11"/>
      <c r="EL204" s="11"/>
      <c r="EM204" s="11"/>
      <c r="EN204" s="11"/>
      <c r="EO204" s="11"/>
      <c r="EP204" s="11"/>
      <c r="EQ204" s="11"/>
      <c r="ER204" s="11"/>
      <c r="ES204" s="11"/>
      <c r="ET204" s="11"/>
      <c r="EU204" s="11"/>
      <c r="EV204" s="11"/>
      <c r="EW204" s="11"/>
      <c r="EX204" s="11"/>
      <c r="EY204" s="11"/>
      <c r="EZ204" s="11"/>
      <c r="FA204" s="11"/>
      <c r="FB204" s="11"/>
      <c r="FC204" s="11"/>
      <c r="FD204" s="11"/>
      <c r="FE204" s="11"/>
      <c r="FF204" s="11"/>
      <c r="FG204" s="11"/>
      <c r="FH204" s="11"/>
      <c r="FI204" s="11"/>
      <c r="FJ204" s="11"/>
      <c r="FK204" s="11"/>
      <c r="FL204" s="11"/>
      <c r="FM204" s="11"/>
      <c r="FN204" s="11"/>
      <c r="FO204" s="11"/>
      <c r="FP204" s="11"/>
      <c r="FQ204" s="11"/>
      <c r="FR204" s="11"/>
      <c r="FS204" s="11"/>
      <c r="FT204" s="11"/>
      <c r="FU204" s="11"/>
      <c r="FV204" s="11"/>
      <c r="FW204" s="11"/>
      <c r="FX204" s="11"/>
      <c r="FY204" s="11"/>
      <c r="FZ204" s="11"/>
      <c r="GA204" s="11"/>
      <c r="GB204" s="11"/>
      <c r="GC204" s="11"/>
      <c r="GD204" s="11"/>
      <c r="GE204" s="11"/>
      <c r="GF204" s="11"/>
      <c r="GG204" s="11"/>
      <c r="GH204" s="11"/>
      <c r="GI204" s="11"/>
      <c r="GJ204" s="11"/>
      <c r="GK204" s="11"/>
      <c r="GL204" s="11"/>
      <c r="GM204" s="11"/>
      <c r="GN204" s="11"/>
      <c r="GO204" s="11"/>
      <c r="GP204" s="11"/>
      <c r="GQ204" s="11"/>
      <c r="GR204" s="11"/>
    </row>
    <row r="205" spans="2:200" x14ac:dyDescent="0.15"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11"/>
      <c r="CW205" s="11"/>
      <c r="CX205" s="11"/>
      <c r="CY205" s="11"/>
      <c r="CZ205" s="11"/>
      <c r="DA205" s="11"/>
      <c r="DB205" s="11"/>
      <c r="DC205" s="11"/>
      <c r="DD205" s="11"/>
      <c r="DE205" s="11"/>
      <c r="DF205" s="11"/>
      <c r="DG205" s="11"/>
      <c r="DH205" s="11"/>
      <c r="DI205" s="11"/>
      <c r="DJ205" s="11"/>
      <c r="DK205" s="11"/>
      <c r="DL205" s="11"/>
      <c r="DM205" s="11"/>
      <c r="DN205" s="11"/>
      <c r="DO205" s="11"/>
      <c r="DP205" s="11"/>
      <c r="DQ205" s="11"/>
      <c r="DR205" s="11"/>
      <c r="DS205" s="11"/>
      <c r="DT205" s="11"/>
      <c r="DU205" s="11"/>
      <c r="DV205" s="11"/>
      <c r="DW205" s="11"/>
      <c r="DX205" s="11"/>
      <c r="DY205" s="11"/>
      <c r="DZ205" s="11"/>
      <c r="EA205" s="11"/>
      <c r="EB205" s="11"/>
      <c r="EC205" s="11"/>
      <c r="ED205" s="11"/>
      <c r="EE205" s="11"/>
      <c r="EF205" s="11"/>
      <c r="EG205" s="11"/>
      <c r="EH205" s="11"/>
      <c r="EI205" s="11"/>
      <c r="EJ205" s="11"/>
      <c r="EK205" s="11"/>
      <c r="EL205" s="11"/>
      <c r="EM205" s="11"/>
      <c r="EN205" s="11"/>
      <c r="EO205" s="11"/>
      <c r="EP205" s="11"/>
      <c r="EQ205" s="11"/>
      <c r="ER205" s="11"/>
      <c r="ES205" s="11"/>
      <c r="ET205" s="11"/>
      <c r="EU205" s="11"/>
      <c r="EV205" s="11"/>
      <c r="EW205" s="11"/>
      <c r="EX205" s="11"/>
      <c r="EY205" s="11"/>
      <c r="EZ205" s="11"/>
      <c r="FA205" s="11"/>
      <c r="FB205" s="11"/>
      <c r="FC205" s="11"/>
      <c r="FD205" s="11"/>
      <c r="FE205" s="11"/>
      <c r="FF205" s="11"/>
      <c r="FG205" s="11"/>
      <c r="FH205" s="11"/>
      <c r="FI205" s="11"/>
      <c r="FJ205" s="11"/>
      <c r="FK205" s="11"/>
      <c r="FL205" s="11"/>
      <c r="FM205" s="11"/>
      <c r="FN205" s="11"/>
      <c r="FO205" s="11"/>
      <c r="FP205" s="11"/>
      <c r="FQ205" s="11"/>
      <c r="FR205" s="11"/>
      <c r="FS205" s="11"/>
      <c r="FT205" s="11"/>
      <c r="FU205" s="11"/>
      <c r="FV205" s="11"/>
      <c r="FW205" s="11"/>
      <c r="FX205" s="11"/>
      <c r="FY205" s="11"/>
      <c r="FZ205" s="11"/>
      <c r="GA205" s="11"/>
      <c r="GB205" s="11"/>
      <c r="GC205" s="11"/>
      <c r="GD205" s="11"/>
      <c r="GE205" s="11"/>
      <c r="GF205" s="11"/>
      <c r="GG205" s="11"/>
      <c r="GH205" s="11"/>
      <c r="GI205" s="11"/>
      <c r="GJ205" s="11"/>
      <c r="GK205" s="11"/>
      <c r="GL205" s="11"/>
      <c r="GM205" s="11"/>
      <c r="GN205" s="11"/>
      <c r="GO205" s="11"/>
      <c r="GP205" s="11"/>
      <c r="GQ205" s="11"/>
      <c r="GR205" s="11"/>
    </row>
    <row r="206" spans="2:200" x14ac:dyDescent="0.15"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  <c r="CW206" s="11"/>
      <c r="CX206" s="11"/>
      <c r="CY206" s="11"/>
      <c r="CZ206" s="11"/>
      <c r="DA206" s="11"/>
      <c r="DB206" s="11"/>
      <c r="DC206" s="11"/>
      <c r="DD206" s="11"/>
      <c r="DE206" s="11"/>
      <c r="DF206" s="11"/>
      <c r="DG206" s="11"/>
      <c r="DH206" s="11"/>
      <c r="DI206" s="11"/>
      <c r="DJ206" s="11"/>
      <c r="DK206" s="11"/>
      <c r="DL206" s="11"/>
      <c r="DM206" s="11"/>
      <c r="DN206" s="11"/>
      <c r="DO206" s="11"/>
      <c r="DP206" s="11"/>
      <c r="DQ206" s="11"/>
      <c r="DR206" s="11"/>
      <c r="DS206" s="11"/>
      <c r="DT206" s="11"/>
      <c r="DU206" s="11"/>
      <c r="DV206" s="11"/>
      <c r="DW206" s="11"/>
      <c r="DX206" s="11"/>
      <c r="DY206" s="11"/>
      <c r="DZ206" s="11"/>
      <c r="EA206" s="11"/>
      <c r="EB206" s="11"/>
      <c r="EC206" s="11"/>
      <c r="ED206" s="11"/>
      <c r="EE206" s="11"/>
      <c r="EF206" s="11"/>
      <c r="EG206" s="11"/>
      <c r="EH206" s="11"/>
      <c r="EI206" s="11"/>
      <c r="EJ206" s="11"/>
      <c r="EK206" s="11"/>
      <c r="EL206" s="11"/>
      <c r="EM206" s="11"/>
      <c r="EN206" s="11"/>
      <c r="EO206" s="11"/>
      <c r="EP206" s="11"/>
      <c r="EQ206" s="11"/>
      <c r="ER206" s="11"/>
      <c r="ES206" s="11"/>
      <c r="ET206" s="11"/>
      <c r="EU206" s="11"/>
      <c r="EV206" s="11"/>
      <c r="EW206" s="11"/>
      <c r="EX206" s="11"/>
      <c r="EY206" s="11"/>
      <c r="EZ206" s="11"/>
      <c r="FA206" s="11"/>
      <c r="FB206" s="11"/>
      <c r="FC206" s="11"/>
      <c r="FD206" s="11"/>
      <c r="FE206" s="11"/>
      <c r="FF206" s="11"/>
      <c r="FG206" s="11"/>
      <c r="FH206" s="11"/>
      <c r="FI206" s="11"/>
      <c r="FJ206" s="11"/>
      <c r="FK206" s="11"/>
      <c r="FL206" s="11"/>
      <c r="FM206" s="11"/>
      <c r="FN206" s="11"/>
      <c r="FO206" s="11"/>
      <c r="FP206" s="11"/>
      <c r="FQ206" s="11"/>
      <c r="FR206" s="11"/>
      <c r="FS206" s="11"/>
      <c r="FT206" s="11"/>
      <c r="FU206" s="11"/>
      <c r="FV206" s="11"/>
      <c r="FW206" s="11"/>
      <c r="FX206" s="11"/>
      <c r="FY206" s="11"/>
      <c r="FZ206" s="11"/>
      <c r="GA206" s="11"/>
      <c r="GB206" s="11"/>
      <c r="GC206" s="11"/>
      <c r="GD206" s="11"/>
      <c r="GE206" s="11"/>
      <c r="GF206" s="11"/>
      <c r="GG206" s="11"/>
      <c r="GH206" s="11"/>
      <c r="GI206" s="11"/>
      <c r="GJ206" s="11"/>
      <c r="GK206" s="11"/>
      <c r="GL206" s="11"/>
      <c r="GM206" s="11"/>
      <c r="GN206" s="11"/>
      <c r="GO206" s="11"/>
      <c r="GP206" s="11"/>
      <c r="GQ206" s="11"/>
      <c r="GR206" s="11"/>
    </row>
    <row r="207" spans="2:200" x14ac:dyDescent="0.15"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  <c r="CW207" s="11"/>
      <c r="CX207" s="11"/>
      <c r="CY207" s="11"/>
      <c r="CZ207" s="11"/>
      <c r="DA207" s="11"/>
      <c r="DB207" s="11"/>
      <c r="DC207" s="11"/>
      <c r="DD207" s="11"/>
      <c r="DE207" s="11"/>
      <c r="DF207" s="11"/>
      <c r="DG207" s="11"/>
      <c r="DH207" s="11"/>
      <c r="DI207" s="11"/>
      <c r="DJ207" s="11"/>
      <c r="DK207" s="11"/>
      <c r="DL207" s="11"/>
      <c r="DM207" s="11"/>
      <c r="DN207" s="11"/>
      <c r="DO207" s="11"/>
      <c r="DP207" s="11"/>
      <c r="DQ207" s="11"/>
      <c r="DR207" s="11"/>
      <c r="DS207" s="11"/>
      <c r="DT207" s="11"/>
      <c r="DU207" s="11"/>
      <c r="DV207" s="11"/>
      <c r="DW207" s="11"/>
      <c r="DX207" s="11"/>
      <c r="DY207" s="11"/>
      <c r="DZ207" s="11"/>
      <c r="EA207" s="11"/>
      <c r="EB207" s="11"/>
      <c r="EC207" s="11"/>
      <c r="ED207" s="11"/>
      <c r="EE207" s="11"/>
      <c r="EF207" s="11"/>
      <c r="EG207" s="11"/>
      <c r="EH207" s="11"/>
      <c r="EI207" s="11"/>
      <c r="EJ207" s="11"/>
      <c r="EK207" s="11"/>
      <c r="EL207" s="11"/>
      <c r="EM207" s="11"/>
      <c r="EN207" s="11"/>
      <c r="EO207" s="11"/>
      <c r="EP207" s="11"/>
      <c r="EQ207" s="11"/>
      <c r="ER207" s="11"/>
      <c r="ES207" s="11"/>
      <c r="ET207" s="11"/>
      <c r="EU207" s="11"/>
      <c r="EV207" s="11"/>
      <c r="EW207" s="11"/>
      <c r="EX207" s="11"/>
      <c r="EY207" s="11"/>
      <c r="EZ207" s="11"/>
      <c r="FA207" s="11"/>
      <c r="FB207" s="11"/>
      <c r="FC207" s="11"/>
      <c r="FD207" s="11"/>
      <c r="FE207" s="11"/>
      <c r="FF207" s="11"/>
      <c r="FG207" s="11"/>
      <c r="FH207" s="11"/>
      <c r="FI207" s="11"/>
      <c r="FJ207" s="11"/>
      <c r="FK207" s="11"/>
      <c r="FL207" s="11"/>
      <c r="FM207" s="11"/>
      <c r="FN207" s="11"/>
      <c r="FO207" s="11"/>
      <c r="FP207" s="11"/>
      <c r="FQ207" s="11"/>
      <c r="FR207" s="11"/>
      <c r="FS207" s="11"/>
      <c r="FT207" s="11"/>
      <c r="FU207" s="11"/>
      <c r="FV207" s="11"/>
      <c r="FW207" s="11"/>
      <c r="FX207" s="11"/>
      <c r="FY207" s="11"/>
      <c r="FZ207" s="11"/>
      <c r="GA207" s="11"/>
      <c r="GB207" s="11"/>
      <c r="GC207" s="11"/>
      <c r="GD207" s="11"/>
      <c r="GE207" s="11"/>
      <c r="GF207" s="11"/>
      <c r="GG207" s="11"/>
      <c r="GH207" s="11"/>
      <c r="GI207" s="11"/>
      <c r="GJ207" s="11"/>
      <c r="GK207" s="11"/>
      <c r="GL207" s="11"/>
      <c r="GM207" s="11"/>
      <c r="GN207" s="11"/>
      <c r="GO207" s="11"/>
      <c r="GP207" s="11"/>
      <c r="GQ207" s="11"/>
      <c r="GR207" s="11"/>
    </row>
    <row r="208" spans="2:200" x14ac:dyDescent="0.15"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11"/>
      <c r="CW208" s="11"/>
      <c r="CX208" s="11"/>
      <c r="CY208" s="11"/>
      <c r="CZ208" s="11"/>
      <c r="DA208" s="11"/>
      <c r="DB208" s="11"/>
      <c r="DC208" s="11"/>
      <c r="DD208" s="11"/>
      <c r="DE208" s="11"/>
      <c r="DF208" s="11"/>
      <c r="DG208" s="11"/>
      <c r="DH208" s="11"/>
      <c r="DI208" s="11"/>
      <c r="DJ208" s="11"/>
      <c r="DK208" s="11"/>
      <c r="DL208" s="11"/>
      <c r="DM208" s="11"/>
      <c r="DN208" s="11"/>
      <c r="DO208" s="11"/>
      <c r="DP208" s="11"/>
      <c r="DQ208" s="11"/>
      <c r="DR208" s="11"/>
      <c r="DS208" s="11"/>
      <c r="DT208" s="11"/>
      <c r="DU208" s="11"/>
      <c r="DV208" s="11"/>
      <c r="DW208" s="11"/>
      <c r="DX208" s="11"/>
      <c r="DY208" s="11"/>
      <c r="DZ208" s="11"/>
      <c r="EA208" s="11"/>
      <c r="EB208" s="11"/>
      <c r="EC208" s="11"/>
      <c r="ED208" s="11"/>
      <c r="EE208" s="11"/>
      <c r="EF208" s="11"/>
      <c r="EG208" s="11"/>
      <c r="EH208" s="11"/>
      <c r="EI208" s="11"/>
      <c r="EJ208" s="11"/>
      <c r="EK208" s="11"/>
      <c r="EL208" s="11"/>
      <c r="EM208" s="11"/>
      <c r="EN208" s="11"/>
      <c r="EO208" s="11"/>
      <c r="EP208" s="11"/>
      <c r="EQ208" s="11"/>
      <c r="ER208" s="11"/>
      <c r="ES208" s="11"/>
      <c r="ET208" s="11"/>
      <c r="EU208" s="11"/>
      <c r="EV208" s="11"/>
      <c r="EW208" s="11"/>
      <c r="EX208" s="11"/>
      <c r="EY208" s="11"/>
      <c r="EZ208" s="11"/>
      <c r="FA208" s="11"/>
      <c r="FB208" s="11"/>
      <c r="FC208" s="11"/>
      <c r="FD208" s="11"/>
      <c r="FE208" s="11"/>
      <c r="FF208" s="11"/>
      <c r="FG208" s="11"/>
      <c r="FH208" s="11"/>
      <c r="FI208" s="11"/>
      <c r="FJ208" s="11"/>
      <c r="FK208" s="11"/>
      <c r="FL208" s="11"/>
      <c r="FM208" s="11"/>
      <c r="FN208" s="11"/>
      <c r="FO208" s="11"/>
      <c r="FP208" s="11"/>
      <c r="FQ208" s="11"/>
      <c r="FR208" s="11"/>
      <c r="FS208" s="11"/>
      <c r="FT208" s="11"/>
      <c r="FU208" s="11"/>
      <c r="FV208" s="11"/>
      <c r="FW208" s="11"/>
      <c r="FX208" s="11"/>
      <c r="FY208" s="11"/>
      <c r="FZ208" s="11"/>
      <c r="GA208" s="11"/>
      <c r="GB208" s="11"/>
      <c r="GC208" s="11"/>
      <c r="GD208" s="11"/>
      <c r="GE208" s="11"/>
      <c r="GF208" s="11"/>
      <c r="GG208" s="11"/>
      <c r="GH208" s="11"/>
      <c r="GI208" s="11"/>
      <c r="GJ208" s="11"/>
      <c r="GK208" s="11"/>
      <c r="GL208" s="11"/>
      <c r="GM208" s="11"/>
      <c r="GN208" s="11"/>
      <c r="GO208" s="11"/>
      <c r="GP208" s="11"/>
      <c r="GQ208" s="11"/>
      <c r="GR208" s="11"/>
    </row>
    <row r="209" spans="2:200" x14ac:dyDescent="0.15"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11"/>
      <c r="CW209" s="11"/>
      <c r="CX209" s="11"/>
      <c r="CY209" s="11"/>
      <c r="CZ209" s="11"/>
      <c r="DA209" s="11"/>
      <c r="DB209" s="11"/>
      <c r="DC209" s="11"/>
      <c r="DD209" s="11"/>
      <c r="DE209" s="11"/>
      <c r="DF209" s="11"/>
      <c r="DG209" s="11"/>
      <c r="DH209" s="11"/>
      <c r="DI209" s="11"/>
      <c r="DJ209" s="11"/>
      <c r="DK209" s="11"/>
      <c r="DL209" s="11"/>
      <c r="DM209" s="11"/>
      <c r="DN209" s="11"/>
      <c r="DO209" s="11"/>
      <c r="DP209" s="11"/>
      <c r="DQ209" s="11"/>
      <c r="DR209" s="11"/>
      <c r="DS209" s="11"/>
      <c r="DT209" s="11"/>
      <c r="DU209" s="11"/>
      <c r="DV209" s="11"/>
      <c r="DW209" s="11"/>
      <c r="DX209" s="11"/>
      <c r="DY209" s="11"/>
      <c r="DZ209" s="11"/>
      <c r="EA209" s="11"/>
      <c r="EB209" s="11"/>
      <c r="EC209" s="11"/>
      <c r="ED209" s="11"/>
      <c r="EE209" s="11"/>
      <c r="EF209" s="11"/>
      <c r="EG209" s="11"/>
      <c r="EH209" s="11"/>
      <c r="EI209" s="11"/>
      <c r="EJ209" s="11"/>
      <c r="EK209" s="11"/>
      <c r="EL209" s="11"/>
      <c r="EM209" s="11"/>
      <c r="EN209" s="11"/>
      <c r="EO209" s="11"/>
      <c r="EP209" s="11"/>
      <c r="EQ209" s="11"/>
      <c r="ER209" s="11"/>
      <c r="ES209" s="11"/>
      <c r="ET209" s="11"/>
      <c r="EU209" s="11"/>
      <c r="EV209" s="11"/>
      <c r="EW209" s="11"/>
      <c r="EX209" s="11"/>
      <c r="EY209" s="11"/>
      <c r="EZ209" s="11"/>
      <c r="FA209" s="11"/>
      <c r="FB209" s="11"/>
      <c r="FC209" s="11"/>
      <c r="FD209" s="11"/>
      <c r="FE209" s="11"/>
      <c r="FF209" s="11"/>
      <c r="FG209" s="11"/>
      <c r="FH209" s="11"/>
      <c r="FI209" s="11"/>
      <c r="FJ209" s="11"/>
      <c r="FK209" s="11"/>
      <c r="FL209" s="11"/>
      <c r="FM209" s="11"/>
      <c r="FN209" s="11"/>
      <c r="FO209" s="11"/>
      <c r="FP209" s="11"/>
      <c r="FQ209" s="11"/>
      <c r="FR209" s="11"/>
      <c r="FS209" s="11"/>
      <c r="FT209" s="11"/>
      <c r="FU209" s="11"/>
      <c r="FV209" s="11"/>
      <c r="FW209" s="11"/>
      <c r="FX209" s="11"/>
      <c r="FY209" s="11"/>
      <c r="FZ209" s="11"/>
      <c r="GA209" s="11"/>
      <c r="GB209" s="11"/>
      <c r="GC209" s="11"/>
      <c r="GD209" s="11"/>
      <c r="GE209" s="11"/>
      <c r="GF209" s="11"/>
      <c r="GG209" s="11"/>
      <c r="GH209" s="11"/>
      <c r="GI209" s="11"/>
      <c r="GJ209" s="11"/>
      <c r="GK209" s="11"/>
      <c r="GL209" s="11"/>
      <c r="GM209" s="11"/>
      <c r="GN209" s="11"/>
      <c r="GO209" s="11"/>
      <c r="GP209" s="11"/>
      <c r="GQ209" s="11"/>
      <c r="GR209" s="11"/>
    </row>
    <row r="210" spans="2:200" x14ac:dyDescent="0.15"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11"/>
      <c r="CW210" s="11"/>
      <c r="CX210" s="11"/>
      <c r="CY210" s="11"/>
      <c r="CZ210" s="11"/>
      <c r="DA210" s="11"/>
      <c r="DB210" s="11"/>
      <c r="DC210" s="11"/>
      <c r="DD210" s="11"/>
      <c r="DE210" s="11"/>
      <c r="DF210" s="11"/>
      <c r="DG210" s="11"/>
      <c r="DH210" s="11"/>
      <c r="DI210" s="11"/>
      <c r="DJ210" s="11"/>
      <c r="DK210" s="11"/>
      <c r="DL210" s="11"/>
      <c r="DM210" s="11"/>
      <c r="DN210" s="11"/>
      <c r="DO210" s="11"/>
      <c r="DP210" s="11"/>
      <c r="DQ210" s="11"/>
      <c r="DR210" s="11"/>
      <c r="DS210" s="11"/>
      <c r="DT210" s="11"/>
      <c r="DU210" s="11"/>
      <c r="DV210" s="11"/>
      <c r="DW210" s="11"/>
      <c r="DX210" s="11"/>
      <c r="DY210" s="11"/>
      <c r="DZ210" s="11"/>
      <c r="EA210" s="11"/>
      <c r="EB210" s="11"/>
      <c r="EC210" s="11"/>
      <c r="ED210" s="11"/>
      <c r="EE210" s="11"/>
      <c r="EF210" s="11"/>
      <c r="EG210" s="11"/>
      <c r="EH210" s="11"/>
      <c r="EI210" s="11"/>
      <c r="EJ210" s="11"/>
      <c r="EK210" s="11"/>
      <c r="EL210" s="11"/>
      <c r="EM210" s="11"/>
      <c r="EN210" s="11"/>
      <c r="EO210" s="11"/>
      <c r="EP210" s="11"/>
      <c r="EQ210" s="11"/>
      <c r="ER210" s="11"/>
      <c r="ES210" s="11"/>
      <c r="ET210" s="11"/>
      <c r="EU210" s="11"/>
      <c r="EV210" s="11"/>
      <c r="EW210" s="11"/>
      <c r="EX210" s="11"/>
      <c r="EY210" s="11"/>
      <c r="EZ210" s="11"/>
      <c r="FA210" s="11"/>
      <c r="FB210" s="11"/>
      <c r="FC210" s="11"/>
      <c r="FD210" s="11"/>
      <c r="FE210" s="11"/>
      <c r="FF210" s="11"/>
      <c r="FG210" s="11"/>
      <c r="FH210" s="11"/>
      <c r="FI210" s="11"/>
      <c r="FJ210" s="11"/>
      <c r="FK210" s="11"/>
      <c r="FL210" s="11"/>
      <c r="FM210" s="11"/>
      <c r="FN210" s="11"/>
      <c r="FO210" s="11"/>
      <c r="FP210" s="11"/>
      <c r="FQ210" s="11"/>
      <c r="FR210" s="11"/>
      <c r="FS210" s="11"/>
      <c r="FT210" s="11"/>
      <c r="FU210" s="11"/>
      <c r="FV210" s="11"/>
      <c r="FW210" s="11"/>
      <c r="FX210" s="11"/>
      <c r="FY210" s="11"/>
      <c r="FZ210" s="11"/>
      <c r="GA210" s="11"/>
      <c r="GB210" s="11"/>
      <c r="GC210" s="11"/>
      <c r="GD210" s="11"/>
      <c r="GE210" s="11"/>
      <c r="GF210" s="11"/>
      <c r="GG210" s="11"/>
      <c r="GH210" s="11"/>
      <c r="GI210" s="11"/>
      <c r="GJ210" s="11"/>
      <c r="GK210" s="11"/>
      <c r="GL210" s="11"/>
      <c r="GM210" s="11"/>
      <c r="GN210" s="11"/>
      <c r="GO210" s="11"/>
      <c r="GP210" s="11"/>
      <c r="GQ210" s="11"/>
      <c r="GR210" s="11"/>
    </row>
    <row r="211" spans="2:200" x14ac:dyDescent="0.15"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11"/>
      <c r="CW211" s="11"/>
      <c r="CX211" s="11"/>
      <c r="CY211" s="11"/>
      <c r="CZ211" s="11"/>
      <c r="DA211" s="11"/>
      <c r="DB211" s="11"/>
      <c r="DC211" s="11"/>
      <c r="DD211" s="11"/>
      <c r="DE211" s="11"/>
      <c r="DF211" s="11"/>
      <c r="DG211" s="11"/>
      <c r="DH211" s="11"/>
      <c r="DI211" s="11"/>
      <c r="DJ211" s="11"/>
      <c r="DK211" s="11"/>
      <c r="DL211" s="11"/>
      <c r="DM211" s="11"/>
      <c r="DN211" s="11"/>
      <c r="DO211" s="11"/>
      <c r="DP211" s="11"/>
      <c r="DQ211" s="11"/>
      <c r="DR211" s="11"/>
      <c r="DS211" s="11"/>
      <c r="DT211" s="11"/>
      <c r="DU211" s="11"/>
      <c r="DV211" s="11"/>
      <c r="DW211" s="11"/>
      <c r="DX211" s="11"/>
      <c r="DY211" s="11"/>
      <c r="DZ211" s="11"/>
      <c r="EA211" s="11"/>
      <c r="EB211" s="11"/>
      <c r="EC211" s="11"/>
      <c r="ED211" s="11"/>
      <c r="EE211" s="11"/>
      <c r="EF211" s="11"/>
      <c r="EG211" s="11"/>
      <c r="EH211" s="11"/>
      <c r="EI211" s="11"/>
      <c r="EJ211" s="11"/>
      <c r="EK211" s="11"/>
      <c r="EL211" s="11"/>
      <c r="EM211" s="11"/>
      <c r="EN211" s="11"/>
      <c r="EO211" s="11"/>
      <c r="EP211" s="11"/>
      <c r="EQ211" s="11"/>
      <c r="ER211" s="11"/>
      <c r="ES211" s="11"/>
      <c r="ET211" s="11"/>
      <c r="EU211" s="11"/>
      <c r="EV211" s="11"/>
      <c r="EW211" s="11"/>
      <c r="EX211" s="11"/>
      <c r="EY211" s="11"/>
      <c r="EZ211" s="11"/>
      <c r="FA211" s="11"/>
      <c r="FB211" s="11"/>
      <c r="FC211" s="11"/>
      <c r="FD211" s="11"/>
      <c r="FE211" s="11"/>
      <c r="FF211" s="11"/>
      <c r="FG211" s="11"/>
      <c r="FH211" s="11"/>
      <c r="FI211" s="11"/>
      <c r="FJ211" s="11"/>
      <c r="FK211" s="11"/>
      <c r="FL211" s="11"/>
      <c r="FM211" s="11"/>
      <c r="FN211" s="11"/>
      <c r="FO211" s="11"/>
      <c r="FP211" s="11"/>
      <c r="FQ211" s="11"/>
      <c r="FR211" s="11"/>
      <c r="FS211" s="11"/>
      <c r="FT211" s="11"/>
      <c r="FU211" s="11"/>
      <c r="FV211" s="11"/>
      <c r="FW211" s="11"/>
      <c r="FX211" s="11"/>
      <c r="FY211" s="11"/>
      <c r="FZ211" s="11"/>
      <c r="GA211" s="11"/>
      <c r="GB211" s="11"/>
      <c r="GC211" s="11"/>
      <c r="GD211" s="11"/>
      <c r="GE211" s="11"/>
      <c r="GF211" s="11"/>
      <c r="GG211" s="11"/>
      <c r="GH211" s="11"/>
      <c r="GI211" s="11"/>
      <c r="GJ211" s="11"/>
      <c r="GK211" s="11"/>
      <c r="GL211" s="11"/>
      <c r="GM211" s="11"/>
      <c r="GN211" s="11"/>
      <c r="GO211" s="11"/>
      <c r="GP211" s="11"/>
      <c r="GQ211" s="11"/>
      <c r="GR211" s="11"/>
    </row>
    <row r="212" spans="2:200" x14ac:dyDescent="0.15"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1"/>
      <c r="CL212" s="11"/>
      <c r="CM212" s="11"/>
      <c r="CN212" s="11"/>
      <c r="CO212" s="11"/>
      <c r="CP212" s="11"/>
      <c r="CQ212" s="11"/>
      <c r="CR212" s="11"/>
      <c r="CS212" s="11"/>
      <c r="CT212" s="11"/>
      <c r="CU212" s="11"/>
      <c r="CV212" s="11"/>
      <c r="CW212" s="11"/>
      <c r="CX212" s="11"/>
      <c r="CY212" s="11"/>
      <c r="CZ212" s="11"/>
      <c r="DA212" s="11"/>
      <c r="DB212" s="11"/>
      <c r="DC212" s="11"/>
      <c r="DD212" s="11"/>
      <c r="DE212" s="11"/>
      <c r="DF212" s="11"/>
      <c r="DG212" s="11"/>
      <c r="DH212" s="11"/>
      <c r="DI212" s="11"/>
      <c r="DJ212" s="11"/>
      <c r="DK212" s="11"/>
      <c r="DL212" s="11"/>
      <c r="DM212" s="11"/>
      <c r="DN212" s="11"/>
      <c r="DO212" s="11"/>
      <c r="DP212" s="11"/>
      <c r="DQ212" s="11"/>
      <c r="DR212" s="11"/>
      <c r="DS212" s="11"/>
      <c r="DT212" s="11"/>
      <c r="DU212" s="11"/>
      <c r="DV212" s="11"/>
      <c r="DW212" s="11"/>
      <c r="DX212" s="11"/>
      <c r="DY212" s="11"/>
      <c r="DZ212" s="11"/>
      <c r="EA212" s="11"/>
      <c r="EB212" s="11"/>
      <c r="EC212" s="11"/>
      <c r="ED212" s="11"/>
      <c r="EE212" s="11"/>
      <c r="EF212" s="11"/>
      <c r="EG212" s="11"/>
      <c r="EH212" s="11"/>
      <c r="EI212" s="11"/>
      <c r="EJ212" s="11"/>
      <c r="EK212" s="11"/>
      <c r="EL212" s="11"/>
      <c r="EM212" s="11"/>
      <c r="EN212" s="11"/>
      <c r="EO212" s="11"/>
      <c r="EP212" s="11"/>
      <c r="EQ212" s="11"/>
      <c r="ER212" s="11"/>
      <c r="ES212" s="11"/>
      <c r="ET212" s="11"/>
      <c r="EU212" s="11"/>
      <c r="EV212" s="11"/>
      <c r="EW212" s="11"/>
      <c r="EX212" s="11"/>
      <c r="EY212" s="11"/>
      <c r="EZ212" s="11"/>
      <c r="FA212" s="11"/>
      <c r="FB212" s="11"/>
      <c r="FC212" s="11"/>
      <c r="FD212" s="11"/>
      <c r="FE212" s="11"/>
      <c r="FF212" s="11"/>
      <c r="FG212" s="11"/>
      <c r="FH212" s="11"/>
      <c r="FI212" s="11"/>
      <c r="FJ212" s="11"/>
      <c r="FK212" s="11"/>
      <c r="FL212" s="11"/>
      <c r="FM212" s="11"/>
      <c r="FN212" s="11"/>
      <c r="FO212" s="11"/>
      <c r="FP212" s="11"/>
      <c r="FQ212" s="11"/>
      <c r="FR212" s="11"/>
      <c r="FS212" s="11"/>
      <c r="FT212" s="11"/>
      <c r="FU212" s="11"/>
      <c r="FV212" s="11"/>
      <c r="FW212" s="11"/>
      <c r="FX212" s="11"/>
      <c r="FY212" s="11"/>
      <c r="FZ212" s="11"/>
      <c r="GA212" s="11"/>
      <c r="GB212" s="11"/>
      <c r="GC212" s="11"/>
      <c r="GD212" s="11"/>
      <c r="GE212" s="11"/>
      <c r="GF212" s="11"/>
      <c r="GG212" s="11"/>
      <c r="GH212" s="11"/>
      <c r="GI212" s="11"/>
      <c r="GJ212" s="11"/>
      <c r="GK212" s="11"/>
      <c r="GL212" s="11"/>
      <c r="GM212" s="11"/>
      <c r="GN212" s="11"/>
      <c r="GO212" s="11"/>
      <c r="GP212" s="11"/>
      <c r="GQ212" s="11"/>
      <c r="GR212" s="11"/>
    </row>
    <row r="213" spans="2:200" x14ac:dyDescent="0.15"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11"/>
      <c r="CW213" s="11"/>
      <c r="CX213" s="11"/>
      <c r="CY213" s="11"/>
      <c r="CZ213" s="11"/>
      <c r="DA213" s="11"/>
      <c r="DB213" s="11"/>
      <c r="DC213" s="11"/>
      <c r="DD213" s="11"/>
      <c r="DE213" s="11"/>
      <c r="DF213" s="11"/>
      <c r="DG213" s="11"/>
      <c r="DH213" s="11"/>
      <c r="DI213" s="11"/>
      <c r="DJ213" s="11"/>
      <c r="DK213" s="11"/>
      <c r="DL213" s="11"/>
      <c r="DM213" s="11"/>
      <c r="DN213" s="11"/>
      <c r="DO213" s="11"/>
      <c r="DP213" s="11"/>
      <c r="DQ213" s="11"/>
      <c r="DR213" s="11"/>
      <c r="DS213" s="11"/>
      <c r="DT213" s="11"/>
      <c r="DU213" s="11"/>
      <c r="DV213" s="11"/>
      <c r="DW213" s="11"/>
      <c r="DX213" s="11"/>
      <c r="DY213" s="11"/>
      <c r="DZ213" s="11"/>
      <c r="EA213" s="11"/>
      <c r="EB213" s="11"/>
      <c r="EC213" s="11"/>
      <c r="ED213" s="11"/>
      <c r="EE213" s="11"/>
      <c r="EF213" s="11"/>
      <c r="EG213" s="11"/>
      <c r="EH213" s="11"/>
      <c r="EI213" s="11"/>
      <c r="EJ213" s="11"/>
      <c r="EK213" s="11"/>
      <c r="EL213" s="11"/>
      <c r="EM213" s="11"/>
      <c r="EN213" s="11"/>
      <c r="EO213" s="11"/>
      <c r="EP213" s="11"/>
      <c r="EQ213" s="11"/>
      <c r="ER213" s="11"/>
      <c r="ES213" s="11"/>
      <c r="ET213" s="11"/>
      <c r="EU213" s="11"/>
      <c r="EV213" s="11"/>
      <c r="EW213" s="11"/>
      <c r="EX213" s="11"/>
      <c r="EY213" s="11"/>
      <c r="EZ213" s="11"/>
      <c r="FA213" s="11"/>
      <c r="FB213" s="11"/>
      <c r="FC213" s="11"/>
      <c r="FD213" s="11"/>
      <c r="FE213" s="11"/>
      <c r="FF213" s="11"/>
      <c r="FG213" s="11"/>
      <c r="FH213" s="11"/>
      <c r="FI213" s="11"/>
      <c r="FJ213" s="11"/>
      <c r="FK213" s="11"/>
      <c r="FL213" s="11"/>
      <c r="FM213" s="11"/>
      <c r="FN213" s="11"/>
      <c r="FO213" s="11"/>
      <c r="FP213" s="11"/>
      <c r="FQ213" s="11"/>
      <c r="FR213" s="11"/>
      <c r="FS213" s="11"/>
      <c r="FT213" s="11"/>
      <c r="FU213" s="11"/>
      <c r="FV213" s="11"/>
      <c r="FW213" s="11"/>
      <c r="FX213" s="11"/>
      <c r="FY213" s="11"/>
      <c r="FZ213" s="11"/>
      <c r="GA213" s="11"/>
      <c r="GB213" s="11"/>
      <c r="GC213" s="11"/>
      <c r="GD213" s="11"/>
      <c r="GE213" s="11"/>
      <c r="GF213" s="11"/>
      <c r="GG213" s="11"/>
      <c r="GH213" s="11"/>
      <c r="GI213" s="11"/>
      <c r="GJ213" s="11"/>
      <c r="GK213" s="11"/>
      <c r="GL213" s="11"/>
      <c r="GM213" s="11"/>
      <c r="GN213" s="11"/>
      <c r="GO213" s="11"/>
      <c r="GP213" s="11"/>
      <c r="GQ213" s="11"/>
      <c r="GR213" s="11"/>
    </row>
    <row r="214" spans="2:200" x14ac:dyDescent="0.15"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11"/>
      <c r="CW214" s="11"/>
      <c r="CX214" s="11"/>
      <c r="CY214" s="11"/>
      <c r="CZ214" s="11"/>
      <c r="DA214" s="11"/>
      <c r="DB214" s="11"/>
      <c r="DC214" s="11"/>
      <c r="DD214" s="11"/>
      <c r="DE214" s="11"/>
      <c r="DF214" s="11"/>
      <c r="DG214" s="11"/>
      <c r="DH214" s="11"/>
      <c r="DI214" s="11"/>
      <c r="DJ214" s="11"/>
      <c r="DK214" s="11"/>
      <c r="DL214" s="11"/>
      <c r="DM214" s="11"/>
      <c r="DN214" s="11"/>
      <c r="DO214" s="11"/>
      <c r="DP214" s="11"/>
      <c r="DQ214" s="11"/>
      <c r="DR214" s="11"/>
      <c r="DS214" s="11"/>
      <c r="DT214" s="11"/>
      <c r="DU214" s="11"/>
      <c r="DV214" s="11"/>
      <c r="DW214" s="11"/>
      <c r="DX214" s="11"/>
      <c r="DY214" s="11"/>
      <c r="DZ214" s="11"/>
      <c r="EA214" s="11"/>
      <c r="EB214" s="11"/>
      <c r="EC214" s="11"/>
      <c r="ED214" s="11"/>
      <c r="EE214" s="11"/>
      <c r="EF214" s="11"/>
      <c r="EG214" s="11"/>
      <c r="EH214" s="11"/>
      <c r="EI214" s="11"/>
      <c r="EJ214" s="11"/>
      <c r="EK214" s="11"/>
      <c r="EL214" s="11"/>
      <c r="EM214" s="11"/>
      <c r="EN214" s="11"/>
      <c r="EO214" s="11"/>
      <c r="EP214" s="11"/>
      <c r="EQ214" s="11"/>
      <c r="ER214" s="11"/>
      <c r="ES214" s="11"/>
      <c r="ET214" s="11"/>
      <c r="EU214" s="11"/>
      <c r="EV214" s="11"/>
      <c r="EW214" s="11"/>
      <c r="EX214" s="11"/>
      <c r="EY214" s="11"/>
      <c r="EZ214" s="11"/>
      <c r="FA214" s="11"/>
      <c r="FB214" s="11"/>
      <c r="FC214" s="11"/>
      <c r="FD214" s="11"/>
      <c r="FE214" s="11"/>
      <c r="FF214" s="11"/>
      <c r="FG214" s="11"/>
      <c r="FH214" s="11"/>
      <c r="FI214" s="11"/>
      <c r="FJ214" s="11"/>
      <c r="FK214" s="11"/>
      <c r="FL214" s="11"/>
      <c r="FM214" s="11"/>
      <c r="FN214" s="11"/>
      <c r="FO214" s="11"/>
      <c r="FP214" s="11"/>
      <c r="FQ214" s="11"/>
      <c r="FR214" s="11"/>
      <c r="FS214" s="11"/>
      <c r="FT214" s="11"/>
      <c r="FU214" s="11"/>
      <c r="FV214" s="11"/>
      <c r="FW214" s="11"/>
      <c r="FX214" s="11"/>
      <c r="FY214" s="11"/>
      <c r="FZ214" s="11"/>
      <c r="GA214" s="11"/>
      <c r="GB214" s="11"/>
      <c r="GC214" s="11"/>
      <c r="GD214" s="11"/>
      <c r="GE214" s="11"/>
      <c r="GF214" s="11"/>
      <c r="GG214" s="11"/>
      <c r="GH214" s="11"/>
      <c r="GI214" s="11"/>
      <c r="GJ214" s="11"/>
      <c r="GK214" s="11"/>
      <c r="GL214" s="11"/>
      <c r="GM214" s="11"/>
      <c r="GN214" s="11"/>
      <c r="GO214" s="11"/>
      <c r="GP214" s="11"/>
      <c r="GQ214" s="11"/>
      <c r="GR214" s="11"/>
    </row>
    <row r="215" spans="2:200" x14ac:dyDescent="0.15"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11"/>
      <c r="CV215" s="11"/>
      <c r="CW215" s="11"/>
      <c r="CX215" s="11"/>
      <c r="CY215" s="11"/>
      <c r="CZ215" s="11"/>
      <c r="DA215" s="11"/>
      <c r="DB215" s="11"/>
      <c r="DC215" s="11"/>
      <c r="DD215" s="11"/>
      <c r="DE215" s="11"/>
      <c r="DF215" s="11"/>
      <c r="DG215" s="11"/>
      <c r="DH215" s="11"/>
      <c r="DI215" s="11"/>
      <c r="DJ215" s="11"/>
      <c r="DK215" s="11"/>
      <c r="DL215" s="11"/>
      <c r="DM215" s="11"/>
      <c r="DN215" s="11"/>
      <c r="DO215" s="11"/>
      <c r="DP215" s="11"/>
      <c r="DQ215" s="11"/>
      <c r="DR215" s="11"/>
      <c r="DS215" s="11"/>
      <c r="DT215" s="11"/>
      <c r="DU215" s="11"/>
      <c r="DV215" s="11"/>
      <c r="DW215" s="11"/>
      <c r="DX215" s="11"/>
      <c r="DY215" s="11"/>
      <c r="DZ215" s="11"/>
      <c r="EA215" s="11"/>
      <c r="EB215" s="11"/>
      <c r="EC215" s="11"/>
      <c r="ED215" s="11"/>
      <c r="EE215" s="11"/>
      <c r="EF215" s="11"/>
      <c r="EG215" s="11"/>
      <c r="EH215" s="11"/>
      <c r="EI215" s="11"/>
      <c r="EJ215" s="11"/>
      <c r="EK215" s="11"/>
      <c r="EL215" s="11"/>
      <c r="EM215" s="11"/>
      <c r="EN215" s="11"/>
      <c r="EO215" s="11"/>
      <c r="EP215" s="11"/>
      <c r="EQ215" s="11"/>
      <c r="ER215" s="11"/>
      <c r="ES215" s="11"/>
      <c r="ET215" s="11"/>
      <c r="EU215" s="11"/>
      <c r="EV215" s="11"/>
      <c r="EW215" s="11"/>
      <c r="EX215" s="11"/>
      <c r="EY215" s="11"/>
      <c r="EZ215" s="11"/>
      <c r="FA215" s="11"/>
      <c r="FB215" s="11"/>
      <c r="FC215" s="11"/>
      <c r="FD215" s="11"/>
      <c r="FE215" s="11"/>
      <c r="FF215" s="11"/>
      <c r="FG215" s="11"/>
      <c r="FH215" s="11"/>
      <c r="FI215" s="11"/>
      <c r="FJ215" s="11"/>
      <c r="FK215" s="11"/>
      <c r="FL215" s="11"/>
      <c r="FM215" s="11"/>
      <c r="FN215" s="11"/>
      <c r="FO215" s="11"/>
      <c r="FP215" s="11"/>
      <c r="FQ215" s="11"/>
      <c r="FR215" s="11"/>
      <c r="FS215" s="11"/>
      <c r="FT215" s="11"/>
      <c r="FU215" s="11"/>
      <c r="FV215" s="11"/>
      <c r="FW215" s="11"/>
      <c r="FX215" s="11"/>
      <c r="FY215" s="11"/>
      <c r="FZ215" s="11"/>
      <c r="GA215" s="11"/>
      <c r="GB215" s="11"/>
      <c r="GC215" s="11"/>
      <c r="GD215" s="11"/>
      <c r="GE215" s="11"/>
      <c r="GF215" s="11"/>
      <c r="GG215" s="11"/>
      <c r="GH215" s="11"/>
      <c r="GI215" s="11"/>
      <c r="GJ215" s="11"/>
      <c r="GK215" s="11"/>
      <c r="GL215" s="11"/>
      <c r="GM215" s="11"/>
      <c r="GN215" s="11"/>
      <c r="GO215" s="11"/>
      <c r="GP215" s="11"/>
      <c r="GQ215" s="11"/>
      <c r="GR215" s="11"/>
    </row>
    <row r="216" spans="2:200" x14ac:dyDescent="0.15"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11"/>
      <c r="CW216" s="11"/>
      <c r="CX216" s="11"/>
      <c r="CY216" s="11"/>
      <c r="CZ216" s="11"/>
      <c r="DA216" s="11"/>
      <c r="DB216" s="11"/>
      <c r="DC216" s="11"/>
      <c r="DD216" s="11"/>
      <c r="DE216" s="11"/>
      <c r="DF216" s="11"/>
      <c r="DG216" s="11"/>
      <c r="DH216" s="11"/>
      <c r="DI216" s="11"/>
      <c r="DJ216" s="11"/>
      <c r="DK216" s="11"/>
      <c r="DL216" s="11"/>
      <c r="DM216" s="11"/>
      <c r="DN216" s="11"/>
      <c r="DO216" s="11"/>
      <c r="DP216" s="11"/>
      <c r="DQ216" s="11"/>
      <c r="DR216" s="11"/>
      <c r="DS216" s="11"/>
      <c r="DT216" s="11"/>
      <c r="DU216" s="11"/>
      <c r="DV216" s="11"/>
      <c r="DW216" s="11"/>
      <c r="DX216" s="11"/>
      <c r="DY216" s="11"/>
      <c r="DZ216" s="11"/>
      <c r="EA216" s="11"/>
      <c r="EB216" s="11"/>
      <c r="EC216" s="11"/>
      <c r="ED216" s="11"/>
      <c r="EE216" s="11"/>
      <c r="EF216" s="11"/>
      <c r="EG216" s="11"/>
      <c r="EH216" s="11"/>
      <c r="EI216" s="11"/>
      <c r="EJ216" s="11"/>
      <c r="EK216" s="11"/>
      <c r="EL216" s="11"/>
      <c r="EM216" s="11"/>
      <c r="EN216" s="11"/>
      <c r="EO216" s="11"/>
      <c r="EP216" s="11"/>
      <c r="EQ216" s="11"/>
      <c r="ER216" s="11"/>
      <c r="ES216" s="11"/>
      <c r="ET216" s="11"/>
      <c r="EU216" s="11"/>
      <c r="EV216" s="11"/>
      <c r="EW216" s="11"/>
      <c r="EX216" s="11"/>
      <c r="EY216" s="11"/>
      <c r="EZ216" s="11"/>
      <c r="FA216" s="11"/>
      <c r="FB216" s="11"/>
      <c r="FC216" s="11"/>
      <c r="FD216" s="11"/>
      <c r="FE216" s="11"/>
      <c r="FF216" s="11"/>
      <c r="FG216" s="11"/>
      <c r="FH216" s="11"/>
      <c r="FI216" s="11"/>
      <c r="FJ216" s="11"/>
      <c r="FK216" s="11"/>
      <c r="FL216" s="11"/>
      <c r="FM216" s="11"/>
      <c r="FN216" s="11"/>
      <c r="FO216" s="11"/>
      <c r="FP216" s="11"/>
      <c r="FQ216" s="11"/>
      <c r="FR216" s="11"/>
      <c r="FS216" s="11"/>
      <c r="FT216" s="11"/>
      <c r="FU216" s="11"/>
      <c r="FV216" s="11"/>
      <c r="FW216" s="11"/>
      <c r="FX216" s="11"/>
      <c r="FY216" s="11"/>
      <c r="FZ216" s="11"/>
      <c r="GA216" s="11"/>
      <c r="GB216" s="11"/>
      <c r="GC216" s="11"/>
      <c r="GD216" s="11"/>
      <c r="GE216" s="11"/>
      <c r="GF216" s="11"/>
      <c r="GG216" s="11"/>
      <c r="GH216" s="11"/>
      <c r="GI216" s="11"/>
      <c r="GJ216" s="11"/>
      <c r="GK216" s="11"/>
      <c r="GL216" s="11"/>
      <c r="GM216" s="11"/>
      <c r="GN216" s="11"/>
      <c r="GO216" s="11"/>
      <c r="GP216" s="11"/>
      <c r="GQ216" s="11"/>
      <c r="GR216" s="11"/>
    </row>
    <row r="217" spans="2:200" x14ac:dyDescent="0.15"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  <c r="CC217" s="11"/>
      <c r="CD217" s="11"/>
      <c r="CE217" s="11"/>
      <c r="CF217" s="11"/>
      <c r="CG217" s="11"/>
      <c r="CH217" s="11"/>
      <c r="CI217" s="11"/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11"/>
      <c r="CW217" s="11"/>
      <c r="CX217" s="11"/>
      <c r="CY217" s="11"/>
      <c r="CZ217" s="11"/>
      <c r="DA217" s="11"/>
      <c r="DB217" s="11"/>
      <c r="DC217" s="11"/>
      <c r="DD217" s="11"/>
      <c r="DE217" s="11"/>
      <c r="DF217" s="11"/>
      <c r="DG217" s="11"/>
      <c r="DH217" s="11"/>
      <c r="DI217" s="11"/>
      <c r="DJ217" s="11"/>
      <c r="DK217" s="11"/>
      <c r="DL217" s="11"/>
      <c r="DM217" s="11"/>
      <c r="DN217" s="11"/>
      <c r="DO217" s="11"/>
      <c r="DP217" s="11"/>
      <c r="DQ217" s="11"/>
      <c r="DR217" s="11"/>
      <c r="DS217" s="11"/>
      <c r="DT217" s="11"/>
      <c r="DU217" s="11"/>
      <c r="DV217" s="11"/>
      <c r="DW217" s="11"/>
      <c r="DX217" s="11"/>
      <c r="DY217" s="11"/>
      <c r="DZ217" s="11"/>
      <c r="EA217" s="11"/>
      <c r="EB217" s="11"/>
      <c r="EC217" s="11"/>
      <c r="ED217" s="11"/>
      <c r="EE217" s="11"/>
      <c r="EF217" s="11"/>
      <c r="EG217" s="11"/>
      <c r="EH217" s="11"/>
      <c r="EI217" s="11"/>
      <c r="EJ217" s="11"/>
      <c r="EK217" s="11"/>
      <c r="EL217" s="11"/>
      <c r="EM217" s="11"/>
      <c r="EN217" s="11"/>
      <c r="EO217" s="11"/>
      <c r="EP217" s="11"/>
      <c r="EQ217" s="11"/>
      <c r="ER217" s="11"/>
      <c r="ES217" s="11"/>
      <c r="ET217" s="11"/>
      <c r="EU217" s="11"/>
      <c r="EV217" s="11"/>
      <c r="EW217" s="11"/>
      <c r="EX217" s="11"/>
      <c r="EY217" s="11"/>
      <c r="EZ217" s="11"/>
      <c r="FA217" s="11"/>
      <c r="FB217" s="11"/>
      <c r="FC217" s="11"/>
      <c r="FD217" s="11"/>
      <c r="FE217" s="11"/>
      <c r="FF217" s="11"/>
      <c r="FG217" s="11"/>
      <c r="FH217" s="11"/>
      <c r="FI217" s="11"/>
      <c r="FJ217" s="11"/>
      <c r="FK217" s="11"/>
      <c r="FL217" s="11"/>
      <c r="FM217" s="11"/>
      <c r="FN217" s="11"/>
      <c r="FO217" s="11"/>
      <c r="FP217" s="11"/>
      <c r="FQ217" s="11"/>
      <c r="FR217" s="11"/>
      <c r="FS217" s="11"/>
      <c r="FT217" s="11"/>
      <c r="FU217" s="11"/>
      <c r="FV217" s="11"/>
      <c r="FW217" s="11"/>
      <c r="FX217" s="11"/>
      <c r="FY217" s="11"/>
      <c r="FZ217" s="11"/>
      <c r="GA217" s="11"/>
      <c r="GB217" s="11"/>
      <c r="GC217" s="11"/>
      <c r="GD217" s="11"/>
      <c r="GE217" s="11"/>
      <c r="GF217" s="11"/>
      <c r="GG217" s="11"/>
      <c r="GH217" s="11"/>
      <c r="GI217" s="11"/>
      <c r="GJ217" s="11"/>
      <c r="GK217" s="11"/>
      <c r="GL217" s="11"/>
      <c r="GM217" s="11"/>
      <c r="GN217" s="11"/>
      <c r="GO217" s="11"/>
      <c r="GP217" s="11"/>
      <c r="GQ217" s="11"/>
      <c r="GR217" s="11"/>
    </row>
    <row r="218" spans="2:200" x14ac:dyDescent="0.15"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  <c r="CC218" s="11"/>
      <c r="CD218" s="11"/>
      <c r="CE218" s="11"/>
      <c r="CF218" s="11"/>
      <c r="CG218" s="11"/>
      <c r="CH218" s="11"/>
      <c r="CI218" s="11"/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11"/>
      <c r="CW218" s="11"/>
      <c r="CX218" s="11"/>
      <c r="CY218" s="11"/>
      <c r="CZ218" s="11"/>
      <c r="DA218" s="11"/>
      <c r="DB218" s="11"/>
      <c r="DC218" s="11"/>
      <c r="DD218" s="11"/>
      <c r="DE218" s="11"/>
      <c r="DF218" s="11"/>
      <c r="DG218" s="11"/>
      <c r="DH218" s="11"/>
      <c r="DI218" s="11"/>
      <c r="DJ218" s="11"/>
      <c r="DK218" s="11"/>
      <c r="DL218" s="11"/>
      <c r="DM218" s="11"/>
      <c r="DN218" s="11"/>
      <c r="DO218" s="11"/>
      <c r="DP218" s="11"/>
      <c r="DQ218" s="11"/>
      <c r="DR218" s="11"/>
      <c r="DS218" s="11"/>
      <c r="DT218" s="11"/>
      <c r="DU218" s="11"/>
      <c r="DV218" s="11"/>
      <c r="DW218" s="11"/>
      <c r="DX218" s="11"/>
      <c r="DY218" s="11"/>
      <c r="DZ218" s="11"/>
      <c r="EA218" s="11"/>
      <c r="EB218" s="11"/>
      <c r="EC218" s="11"/>
      <c r="ED218" s="11"/>
      <c r="EE218" s="11"/>
      <c r="EF218" s="11"/>
      <c r="EG218" s="11"/>
      <c r="EH218" s="11"/>
      <c r="EI218" s="11"/>
      <c r="EJ218" s="11"/>
      <c r="EK218" s="11"/>
      <c r="EL218" s="11"/>
      <c r="EM218" s="11"/>
      <c r="EN218" s="11"/>
      <c r="EO218" s="11"/>
      <c r="EP218" s="11"/>
      <c r="EQ218" s="11"/>
      <c r="ER218" s="11"/>
      <c r="ES218" s="11"/>
      <c r="ET218" s="11"/>
      <c r="EU218" s="11"/>
      <c r="EV218" s="11"/>
      <c r="EW218" s="11"/>
      <c r="EX218" s="11"/>
      <c r="EY218" s="11"/>
      <c r="EZ218" s="11"/>
      <c r="FA218" s="11"/>
      <c r="FB218" s="11"/>
      <c r="FC218" s="11"/>
      <c r="FD218" s="11"/>
      <c r="FE218" s="11"/>
      <c r="FF218" s="11"/>
      <c r="FG218" s="11"/>
      <c r="FH218" s="11"/>
      <c r="FI218" s="11"/>
      <c r="FJ218" s="11"/>
      <c r="FK218" s="11"/>
      <c r="FL218" s="11"/>
      <c r="FM218" s="11"/>
      <c r="FN218" s="11"/>
      <c r="FO218" s="11"/>
      <c r="FP218" s="11"/>
      <c r="FQ218" s="11"/>
      <c r="FR218" s="11"/>
      <c r="FS218" s="11"/>
      <c r="FT218" s="11"/>
      <c r="FU218" s="11"/>
      <c r="FV218" s="11"/>
      <c r="FW218" s="11"/>
      <c r="FX218" s="11"/>
      <c r="FY218" s="11"/>
      <c r="FZ218" s="11"/>
      <c r="GA218" s="11"/>
      <c r="GB218" s="11"/>
      <c r="GC218" s="11"/>
      <c r="GD218" s="11"/>
      <c r="GE218" s="11"/>
      <c r="GF218" s="11"/>
      <c r="GG218" s="11"/>
      <c r="GH218" s="11"/>
      <c r="GI218" s="11"/>
      <c r="GJ218" s="11"/>
      <c r="GK218" s="11"/>
      <c r="GL218" s="11"/>
      <c r="GM218" s="11"/>
      <c r="GN218" s="11"/>
      <c r="GO218" s="11"/>
      <c r="GP218" s="11"/>
      <c r="GQ218" s="11"/>
      <c r="GR218" s="11"/>
    </row>
    <row r="219" spans="2:200" x14ac:dyDescent="0.15"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  <c r="CC219" s="11"/>
      <c r="CD219" s="11"/>
      <c r="CE219" s="11"/>
      <c r="CF219" s="11"/>
      <c r="CG219" s="11"/>
      <c r="CH219" s="11"/>
      <c r="CI219" s="11"/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11"/>
      <c r="CW219" s="11"/>
      <c r="CX219" s="11"/>
      <c r="CY219" s="11"/>
      <c r="CZ219" s="11"/>
      <c r="DA219" s="11"/>
      <c r="DB219" s="11"/>
      <c r="DC219" s="11"/>
      <c r="DD219" s="11"/>
      <c r="DE219" s="11"/>
      <c r="DF219" s="11"/>
      <c r="DG219" s="11"/>
      <c r="DH219" s="11"/>
      <c r="DI219" s="11"/>
      <c r="DJ219" s="11"/>
      <c r="DK219" s="11"/>
      <c r="DL219" s="11"/>
      <c r="DM219" s="11"/>
      <c r="DN219" s="11"/>
      <c r="DO219" s="11"/>
      <c r="DP219" s="11"/>
      <c r="DQ219" s="11"/>
      <c r="DR219" s="11"/>
      <c r="DS219" s="11"/>
      <c r="DT219" s="11"/>
      <c r="DU219" s="11"/>
      <c r="DV219" s="11"/>
      <c r="DW219" s="11"/>
      <c r="DX219" s="11"/>
      <c r="DY219" s="11"/>
      <c r="DZ219" s="11"/>
      <c r="EA219" s="11"/>
      <c r="EB219" s="11"/>
      <c r="EC219" s="11"/>
      <c r="ED219" s="11"/>
      <c r="EE219" s="11"/>
      <c r="EF219" s="11"/>
      <c r="EG219" s="11"/>
      <c r="EH219" s="11"/>
      <c r="EI219" s="11"/>
      <c r="EJ219" s="11"/>
      <c r="EK219" s="11"/>
      <c r="EL219" s="11"/>
      <c r="EM219" s="11"/>
      <c r="EN219" s="11"/>
      <c r="EO219" s="11"/>
      <c r="EP219" s="11"/>
      <c r="EQ219" s="11"/>
      <c r="ER219" s="11"/>
      <c r="ES219" s="11"/>
      <c r="ET219" s="11"/>
      <c r="EU219" s="11"/>
      <c r="EV219" s="11"/>
      <c r="EW219" s="11"/>
      <c r="EX219" s="11"/>
      <c r="EY219" s="11"/>
      <c r="EZ219" s="11"/>
      <c r="FA219" s="11"/>
      <c r="FB219" s="11"/>
      <c r="FC219" s="11"/>
      <c r="FD219" s="11"/>
      <c r="FE219" s="11"/>
      <c r="FF219" s="11"/>
      <c r="FG219" s="11"/>
      <c r="FH219" s="11"/>
      <c r="FI219" s="11"/>
      <c r="FJ219" s="11"/>
      <c r="FK219" s="11"/>
      <c r="FL219" s="11"/>
      <c r="FM219" s="11"/>
      <c r="FN219" s="11"/>
      <c r="FO219" s="11"/>
      <c r="FP219" s="11"/>
      <c r="FQ219" s="11"/>
      <c r="FR219" s="11"/>
      <c r="FS219" s="11"/>
      <c r="FT219" s="11"/>
      <c r="FU219" s="11"/>
      <c r="FV219" s="11"/>
      <c r="FW219" s="11"/>
      <c r="FX219" s="11"/>
      <c r="FY219" s="11"/>
      <c r="FZ219" s="11"/>
      <c r="GA219" s="11"/>
      <c r="GB219" s="11"/>
      <c r="GC219" s="11"/>
      <c r="GD219" s="11"/>
      <c r="GE219" s="11"/>
      <c r="GF219" s="11"/>
      <c r="GG219" s="11"/>
      <c r="GH219" s="11"/>
      <c r="GI219" s="11"/>
      <c r="GJ219" s="11"/>
      <c r="GK219" s="11"/>
      <c r="GL219" s="11"/>
      <c r="GM219" s="11"/>
      <c r="GN219" s="11"/>
      <c r="GO219" s="11"/>
      <c r="GP219" s="11"/>
      <c r="GQ219" s="11"/>
      <c r="GR219" s="11"/>
    </row>
    <row r="220" spans="2:200" x14ac:dyDescent="0.15"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11"/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11"/>
      <c r="CW220" s="11"/>
      <c r="CX220" s="11"/>
      <c r="CY220" s="11"/>
      <c r="CZ220" s="11"/>
      <c r="DA220" s="11"/>
      <c r="DB220" s="11"/>
      <c r="DC220" s="11"/>
      <c r="DD220" s="11"/>
      <c r="DE220" s="11"/>
      <c r="DF220" s="11"/>
      <c r="DG220" s="11"/>
      <c r="DH220" s="11"/>
      <c r="DI220" s="11"/>
      <c r="DJ220" s="11"/>
      <c r="DK220" s="11"/>
      <c r="DL220" s="11"/>
      <c r="DM220" s="11"/>
      <c r="DN220" s="11"/>
      <c r="DO220" s="11"/>
      <c r="DP220" s="11"/>
      <c r="DQ220" s="11"/>
      <c r="DR220" s="11"/>
      <c r="DS220" s="11"/>
      <c r="DT220" s="11"/>
      <c r="DU220" s="11"/>
      <c r="DV220" s="11"/>
      <c r="DW220" s="11"/>
      <c r="DX220" s="11"/>
      <c r="DY220" s="11"/>
      <c r="DZ220" s="11"/>
      <c r="EA220" s="11"/>
      <c r="EB220" s="11"/>
      <c r="EC220" s="11"/>
      <c r="ED220" s="11"/>
      <c r="EE220" s="11"/>
      <c r="EF220" s="11"/>
      <c r="EG220" s="11"/>
      <c r="EH220" s="11"/>
      <c r="EI220" s="11"/>
      <c r="EJ220" s="11"/>
      <c r="EK220" s="11"/>
      <c r="EL220" s="11"/>
      <c r="EM220" s="11"/>
      <c r="EN220" s="11"/>
      <c r="EO220" s="11"/>
      <c r="EP220" s="11"/>
      <c r="EQ220" s="11"/>
      <c r="ER220" s="11"/>
      <c r="ES220" s="11"/>
      <c r="ET220" s="11"/>
      <c r="EU220" s="11"/>
      <c r="EV220" s="11"/>
      <c r="EW220" s="11"/>
      <c r="EX220" s="11"/>
      <c r="EY220" s="11"/>
      <c r="EZ220" s="11"/>
      <c r="FA220" s="11"/>
      <c r="FB220" s="11"/>
      <c r="FC220" s="11"/>
      <c r="FD220" s="11"/>
      <c r="FE220" s="11"/>
      <c r="FF220" s="11"/>
      <c r="FG220" s="11"/>
      <c r="FH220" s="11"/>
      <c r="FI220" s="11"/>
      <c r="FJ220" s="11"/>
      <c r="FK220" s="11"/>
      <c r="FL220" s="11"/>
      <c r="FM220" s="11"/>
      <c r="FN220" s="11"/>
      <c r="FO220" s="11"/>
      <c r="FP220" s="11"/>
      <c r="FQ220" s="11"/>
      <c r="FR220" s="11"/>
      <c r="FS220" s="11"/>
      <c r="FT220" s="11"/>
      <c r="FU220" s="11"/>
      <c r="FV220" s="11"/>
      <c r="FW220" s="11"/>
      <c r="FX220" s="11"/>
      <c r="FY220" s="11"/>
      <c r="FZ220" s="11"/>
      <c r="GA220" s="11"/>
      <c r="GB220" s="11"/>
      <c r="GC220" s="11"/>
      <c r="GD220" s="11"/>
      <c r="GE220" s="11"/>
      <c r="GF220" s="11"/>
      <c r="GG220" s="11"/>
      <c r="GH220" s="11"/>
      <c r="GI220" s="11"/>
      <c r="GJ220" s="11"/>
      <c r="GK220" s="11"/>
      <c r="GL220" s="11"/>
      <c r="GM220" s="11"/>
      <c r="GN220" s="11"/>
      <c r="GO220" s="11"/>
      <c r="GP220" s="11"/>
      <c r="GQ220" s="11"/>
      <c r="GR220" s="11"/>
    </row>
    <row r="221" spans="2:200" x14ac:dyDescent="0.15"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11"/>
      <c r="CI221" s="11"/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11"/>
      <c r="CW221" s="11"/>
      <c r="CX221" s="11"/>
      <c r="CY221" s="11"/>
      <c r="CZ221" s="11"/>
      <c r="DA221" s="11"/>
      <c r="DB221" s="11"/>
      <c r="DC221" s="11"/>
      <c r="DD221" s="11"/>
      <c r="DE221" s="11"/>
      <c r="DF221" s="11"/>
      <c r="DG221" s="11"/>
      <c r="DH221" s="11"/>
      <c r="DI221" s="11"/>
      <c r="DJ221" s="11"/>
      <c r="DK221" s="11"/>
      <c r="DL221" s="11"/>
      <c r="DM221" s="11"/>
      <c r="DN221" s="11"/>
      <c r="DO221" s="11"/>
      <c r="DP221" s="11"/>
      <c r="DQ221" s="11"/>
      <c r="DR221" s="11"/>
      <c r="DS221" s="11"/>
      <c r="DT221" s="11"/>
      <c r="DU221" s="11"/>
      <c r="DV221" s="11"/>
      <c r="DW221" s="11"/>
      <c r="DX221" s="11"/>
      <c r="DY221" s="11"/>
      <c r="DZ221" s="11"/>
      <c r="EA221" s="11"/>
      <c r="EB221" s="11"/>
      <c r="EC221" s="11"/>
      <c r="ED221" s="11"/>
      <c r="EE221" s="11"/>
      <c r="EF221" s="11"/>
      <c r="EG221" s="11"/>
      <c r="EH221" s="11"/>
      <c r="EI221" s="11"/>
      <c r="EJ221" s="11"/>
      <c r="EK221" s="11"/>
      <c r="EL221" s="11"/>
      <c r="EM221" s="11"/>
      <c r="EN221" s="11"/>
      <c r="EO221" s="11"/>
      <c r="EP221" s="11"/>
      <c r="EQ221" s="11"/>
      <c r="ER221" s="11"/>
      <c r="ES221" s="11"/>
      <c r="ET221" s="11"/>
      <c r="EU221" s="11"/>
      <c r="EV221" s="11"/>
      <c r="EW221" s="11"/>
      <c r="EX221" s="11"/>
      <c r="EY221" s="11"/>
      <c r="EZ221" s="11"/>
      <c r="FA221" s="11"/>
      <c r="FB221" s="11"/>
      <c r="FC221" s="11"/>
      <c r="FD221" s="11"/>
      <c r="FE221" s="11"/>
      <c r="FF221" s="11"/>
      <c r="FG221" s="11"/>
      <c r="FH221" s="11"/>
      <c r="FI221" s="11"/>
      <c r="FJ221" s="11"/>
      <c r="FK221" s="11"/>
      <c r="FL221" s="11"/>
      <c r="FM221" s="11"/>
      <c r="FN221" s="11"/>
      <c r="FO221" s="11"/>
      <c r="FP221" s="11"/>
      <c r="FQ221" s="11"/>
      <c r="FR221" s="11"/>
      <c r="FS221" s="11"/>
      <c r="FT221" s="11"/>
      <c r="FU221" s="11"/>
      <c r="FV221" s="11"/>
      <c r="FW221" s="11"/>
      <c r="FX221" s="11"/>
      <c r="FY221" s="11"/>
      <c r="FZ221" s="11"/>
      <c r="GA221" s="11"/>
      <c r="GB221" s="11"/>
      <c r="GC221" s="11"/>
      <c r="GD221" s="11"/>
      <c r="GE221" s="11"/>
      <c r="GF221" s="11"/>
      <c r="GG221" s="11"/>
      <c r="GH221" s="11"/>
      <c r="GI221" s="11"/>
      <c r="GJ221" s="11"/>
      <c r="GK221" s="11"/>
      <c r="GL221" s="11"/>
      <c r="GM221" s="11"/>
      <c r="GN221" s="11"/>
      <c r="GO221" s="11"/>
      <c r="GP221" s="11"/>
      <c r="GQ221" s="11"/>
      <c r="GR221" s="11"/>
    </row>
    <row r="222" spans="2:200" x14ac:dyDescent="0.15"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11"/>
      <c r="CF222" s="11"/>
      <c r="CG222" s="11"/>
      <c r="CH222" s="11"/>
      <c r="CI222" s="11"/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11"/>
      <c r="CW222" s="11"/>
      <c r="CX222" s="11"/>
      <c r="CY222" s="11"/>
      <c r="CZ222" s="11"/>
      <c r="DA222" s="11"/>
      <c r="DB222" s="11"/>
      <c r="DC222" s="11"/>
      <c r="DD222" s="11"/>
      <c r="DE222" s="11"/>
      <c r="DF222" s="11"/>
      <c r="DG222" s="11"/>
      <c r="DH222" s="11"/>
      <c r="DI222" s="11"/>
      <c r="DJ222" s="11"/>
      <c r="DK222" s="11"/>
      <c r="DL222" s="11"/>
      <c r="DM222" s="11"/>
      <c r="DN222" s="11"/>
      <c r="DO222" s="11"/>
      <c r="DP222" s="11"/>
      <c r="DQ222" s="11"/>
      <c r="DR222" s="11"/>
      <c r="DS222" s="11"/>
      <c r="DT222" s="11"/>
      <c r="DU222" s="11"/>
      <c r="DV222" s="11"/>
      <c r="DW222" s="11"/>
      <c r="DX222" s="11"/>
      <c r="DY222" s="11"/>
      <c r="DZ222" s="11"/>
      <c r="EA222" s="11"/>
      <c r="EB222" s="11"/>
      <c r="EC222" s="11"/>
      <c r="ED222" s="11"/>
      <c r="EE222" s="11"/>
      <c r="EF222" s="11"/>
      <c r="EG222" s="11"/>
      <c r="EH222" s="11"/>
      <c r="EI222" s="11"/>
      <c r="EJ222" s="11"/>
      <c r="EK222" s="11"/>
      <c r="EL222" s="11"/>
      <c r="EM222" s="11"/>
      <c r="EN222" s="11"/>
      <c r="EO222" s="11"/>
      <c r="EP222" s="11"/>
      <c r="EQ222" s="11"/>
      <c r="ER222" s="11"/>
      <c r="ES222" s="11"/>
      <c r="ET222" s="11"/>
      <c r="EU222" s="11"/>
      <c r="EV222" s="11"/>
      <c r="EW222" s="11"/>
      <c r="EX222" s="11"/>
      <c r="EY222" s="11"/>
      <c r="EZ222" s="11"/>
      <c r="FA222" s="11"/>
      <c r="FB222" s="11"/>
      <c r="FC222" s="11"/>
      <c r="FD222" s="11"/>
      <c r="FE222" s="11"/>
      <c r="FF222" s="11"/>
      <c r="FG222" s="11"/>
      <c r="FH222" s="11"/>
      <c r="FI222" s="11"/>
      <c r="FJ222" s="11"/>
      <c r="FK222" s="11"/>
      <c r="FL222" s="11"/>
      <c r="FM222" s="11"/>
      <c r="FN222" s="11"/>
      <c r="FO222" s="11"/>
      <c r="FP222" s="11"/>
      <c r="FQ222" s="11"/>
      <c r="FR222" s="11"/>
      <c r="FS222" s="11"/>
      <c r="FT222" s="11"/>
      <c r="FU222" s="11"/>
      <c r="FV222" s="11"/>
      <c r="FW222" s="11"/>
      <c r="FX222" s="11"/>
      <c r="FY222" s="11"/>
      <c r="FZ222" s="11"/>
      <c r="GA222" s="11"/>
      <c r="GB222" s="11"/>
      <c r="GC222" s="11"/>
      <c r="GD222" s="11"/>
      <c r="GE222" s="11"/>
      <c r="GF222" s="11"/>
      <c r="GG222" s="11"/>
      <c r="GH222" s="11"/>
      <c r="GI222" s="11"/>
      <c r="GJ222" s="11"/>
      <c r="GK222" s="11"/>
      <c r="GL222" s="11"/>
      <c r="GM222" s="11"/>
      <c r="GN222" s="11"/>
      <c r="GO222" s="11"/>
      <c r="GP222" s="11"/>
      <c r="GQ222" s="11"/>
      <c r="GR222" s="11"/>
    </row>
    <row r="223" spans="2:200" x14ac:dyDescent="0.15"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11"/>
      <c r="CF223" s="11"/>
      <c r="CG223" s="11"/>
      <c r="CH223" s="11"/>
      <c r="CI223" s="11"/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11"/>
      <c r="CW223" s="11"/>
      <c r="CX223" s="11"/>
      <c r="CY223" s="11"/>
      <c r="CZ223" s="11"/>
      <c r="DA223" s="11"/>
      <c r="DB223" s="11"/>
      <c r="DC223" s="11"/>
      <c r="DD223" s="11"/>
      <c r="DE223" s="11"/>
      <c r="DF223" s="11"/>
      <c r="DG223" s="11"/>
      <c r="DH223" s="11"/>
      <c r="DI223" s="11"/>
      <c r="DJ223" s="11"/>
      <c r="DK223" s="11"/>
      <c r="DL223" s="11"/>
      <c r="DM223" s="11"/>
      <c r="DN223" s="11"/>
      <c r="DO223" s="11"/>
      <c r="DP223" s="11"/>
      <c r="DQ223" s="11"/>
      <c r="DR223" s="11"/>
      <c r="DS223" s="11"/>
      <c r="DT223" s="11"/>
      <c r="DU223" s="11"/>
      <c r="DV223" s="11"/>
      <c r="DW223" s="11"/>
      <c r="DX223" s="11"/>
      <c r="DY223" s="11"/>
      <c r="DZ223" s="11"/>
      <c r="EA223" s="11"/>
      <c r="EB223" s="11"/>
      <c r="EC223" s="11"/>
      <c r="ED223" s="11"/>
      <c r="EE223" s="11"/>
      <c r="EF223" s="11"/>
      <c r="EG223" s="11"/>
      <c r="EH223" s="11"/>
      <c r="EI223" s="11"/>
      <c r="EJ223" s="11"/>
      <c r="EK223" s="11"/>
      <c r="EL223" s="11"/>
      <c r="EM223" s="11"/>
      <c r="EN223" s="11"/>
      <c r="EO223" s="11"/>
      <c r="EP223" s="11"/>
      <c r="EQ223" s="11"/>
      <c r="ER223" s="11"/>
      <c r="ES223" s="11"/>
      <c r="ET223" s="11"/>
      <c r="EU223" s="11"/>
      <c r="EV223" s="11"/>
      <c r="EW223" s="11"/>
      <c r="EX223" s="11"/>
      <c r="EY223" s="11"/>
      <c r="EZ223" s="11"/>
      <c r="FA223" s="11"/>
      <c r="FB223" s="11"/>
      <c r="FC223" s="11"/>
      <c r="FD223" s="11"/>
      <c r="FE223" s="11"/>
      <c r="FF223" s="11"/>
      <c r="FG223" s="11"/>
      <c r="FH223" s="11"/>
      <c r="FI223" s="11"/>
      <c r="FJ223" s="11"/>
      <c r="FK223" s="11"/>
      <c r="FL223" s="11"/>
      <c r="FM223" s="11"/>
      <c r="FN223" s="11"/>
      <c r="FO223" s="11"/>
      <c r="FP223" s="11"/>
      <c r="FQ223" s="11"/>
      <c r="FR223" s="11"/>
      <c r="FS223" s="11"/>
      <c r="FT223" s="11"/>
      <c r="FU223" s="11"/>
      <c r="FV223" s="11"/>
      <c r="FW223" s="11"/>
      <c r="FX223" s="11"/>
      <c r="FY223" s="11"/>
      <c r="FZ223" s="11"/>
      <c r="GA223" s="11"/>
      <c r="GB223" s="11"/>
      <c r="GC223" s="11"/>
      <c r="GD223" s="11"/>
      <c r="GE223" s="11"/>
      <c r="GF223" s="11"/>
      <c r="GG223" s="11"/>
      <c r="GH223" s="11"/>
      <c r="GI223" s="11"/>
      <c r="GJ223" s="11"/>
      <c r="GK223" s="11"/>
      <c r="GL223" s="11"/>
      <c r="GM223" s="11"/>
      <c r="GN223" s="11"/>
      <c r="GO223" s="11"/>
      <c r="GP223" s="11"/>
      <c r="GQ223" s="11"/>
      <c r="GR223" s="11"/>
    </row>
    <row r="224" spans="2:200" x14ac:dyDescent="0.15"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  <c r="CE224" s="11"/>
      <c r="CF224" s="11"/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11"/>
      <c r="CV224" s="11"/>
      <c r="CW224" s="11"/>
      <c r="CX224" s="11"/>
      <c r="CY224" s="11"/>
      <c r="CZ224" s="11"/>
      <c r="DA224" s="11"/>
      <c r="DB224" s="11"/>
      <c r="DC224" s="11"/>
      <c r="DD224" s="11"/>
      <c r="DE224" s="11"/>
      <c r="DF224" s="11"/>
      <c r="DG224" s="11"/>
      <c r="DH224" s="11"/>
      <c r="DI224" s="11"/>
      <c r="DJ224" s="11"/>
      <c r="DK224" s="11"/>
      <c r="DL224" s="11"/>
      <c r="DM224" s="11"/>
      <c r="DN224" s="11"/>
      <c r="DO224" s="11"/>
      <c r="DP224" s="11"/>
      <c r="DQ224" s="11"/>
      <c r="DR224" s="11"/>
      <c r="DS224" s="11"/>
      <c r="DT224" s="11"/>
      <c r="DU224" s="11"/>
      <c r="DV224" s="11"/>
      <c r="DW224" s="11"/>
      <c r="DX224" s="11"/>
      <c r="DY224" s="11"/>
      <c r="DZ224" s="11"/>
      <c r="EA224" s="11"/>
      <c r="EB224" s="11"/>
      <c r="EC224" s="11"/>
      <c r="ED224" s="11"/>
      <c r="EE224" s="11"/>
      <c r="EF224" s="11"/>
      <c r="EG224" s="11"/>
      <c r="EH224" s="11"/>
      <c r="EI224" s="11"/>
      <c r="EJ224" s="11"/>
      <c r="EK224" s="11"/>
      <c r="EL224" s="11"/>
      <c r="EM224" s="11"/>
      <c r="EN224" s="11"/>
      <c r="EO224" s="11"/>
      <c r="EP224" s="11"/>
      <c r="EQ224" s="11"/>
      <c r="ER224" s="11"/>
      <c r="ES224" s="11"/>
      <c r="ET224" s="11"/>
      <c r="EU224" s="11"/>
      <c r="EV224" s="11"/>
      <c r="EW224" s="11"/>
      <c r="EX224" s="11"/>
      <c r="EY224" s="11"/>
      <c r="EZ224" s="11"/>
      <c r="FA224" s="11"/>
      <c r="FB224" s="11"/>
      <c r="FC224" s="11"/>
      <c r="FD224" s="11"/>
      <c r="FE224" s="11"/>
      <c r="FF224" s="11"/>
      <c r="FG224" s="11"/>
      <c r="FH224" s="11"/>
      <c r="FI224" s="11"/>
      <c r="FJ224" s="11"/>
      <c r="FK224" s="11"/>
      <c r="FL224" s="11"/>
      <c r="FM224" s="11"/>
      <c r="FN224" s="11"/>
      <c r="FO224" s="11"/>
      <c r="FP224" s="11"/>
      <c r="FQ224" s="11"/>
      <c r="FR224" s="11"/>
      <c r="FS224" s="11"/>
      <c r="FT224" s="11"/>
      <c r="FU224" s="11"/>
      <c r="FV224" s="11"/>
      <c r="FW224" s="11"/>
      <c r="FX224" s="11"/>
      <c r="FY224" s="11"/>
      <c r="FZ224" s="11"/>
      <c r="GA224" s="11"/>
      <c r="GB224" s="11"/>
      <c r="GC224" s="11"/>
      <c r="GD224" s="11"/>
      <c r="GE224" s="11"/>
      <c r="GF224" s="11"/>
      <c r="GG224" s="11"/>
      <c r="GH224" s="11"/>
      <c r="GI224" s="11"/>
      <c r="GJ224" s="11"/>
      <c r="GK224" s="11"/>
      <c r="GL224" s="11"/>
      <c r="GM224" s="11"/>
      <c r="GN224" s="11"/>
      <c r="GO224" s="11"/>
      <c r="GP224" s="11"/>
      <c r="GQ224" s="11"/>
      <c r="GR224" s="11"/>
    </row>
    <row r="225" spans="2:200" x14ac:dyDescent="0.15"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11"/>
      <c r="CE225" s="11"/>
      <c r="CF225" s="11"/>
      <c r="CG225" s="11"/>
      <c r="CH225" s="11"/>
      <c r="CI225" s="11"/>
      <c r="CJ225" s="11"/>
      <c r="CK225" s="11"/>
      <c r="CL225" s="11"/>
      <c r="CM225" s="11"/>
      <c r="CN225" s="11"/>
      <c r="CO225" s="11"/>
      <c r="CP225" s="11"/>
      <c r="CQ225" s="11"/>
      <c r="CR225" s="11"/>
      <c r="CS225" s="11"/>
      <c r="CT225" s="11"/>
      <c r="CU225" s="11"/>
      <c r="CV225" s="11"/>
      <c r="CW225" s="11"/>
      <c r="CX225" s="11"/>
      <c r="CY225" s="11"/>
      <c r="CZ225" s="11"/>
      <c r="DA225" s="11"/>
      <c r="DB225" s="11"/>
      <c r="DC225" s="11"/>
      <c r="DD225" s="11"/>
      <c r="DE225" s="11"/>
      <c r="DF225" s="11"/>
      <c r="DG225" s="11"/>
      <c r="DH225" s="11"/>
      <c r="DI225" s="11"/>
      <c r="DJ225" s="11"/>
      <c r="DK225" s="11"/>
      <c r="DL225" s="11"/>
      <c r="DM225" s="11"/>
      <c r="DN225" s="11"/>
      <c r="DO225" s="11"/>
      <c r="DP225" s="11"/>
      <c r="DQ225" s="11"/>
      <c r="DR225" s="11"/>
      <c r="DS225" s="11"/>
      <c r="DT225" s="11"/>
      <c r="DU225" s="11"/>
      <c r="DV225" s="11"/>
      <c r="DW225" s="11"/>
      <c r="DX225" s="11"/>
      <c r="DY225" s="11"/>
      <c r="DZ225" s="11"/>
      <c r="EA225" s="11"/>
      <c r="EB225" s="11"/>
      <c r="EC225" s="11"/>
      <c r="ED225" s="11"/>
      <c r="EE225" s="11"/>
      <c r="EF225" s="11"/>
      <c r="EG225" s="11"/>
      <c r="EH225" s="11"/>
      <c r="EI225" s="11"/>
      <c r="EJ225" s="11"/>
      <c r="EK225" s="11"/>
      <c r="EL225" s="11"/>
      <c r="EM225" s="11"/>
      <c r="EN225" s="11"/>
      <c r="EO225" s="11"/>
      <c r="EP225" s="11"/>
      <c r="EQ225" s="11"/>
      <c r="ER225" s="11"/>
      <c r="ES225" s="11"/>
      <c r="ET225" s="11"/>
      <c r="EU225" s="11"/>
      <c r="EV225" s="11"/>
      <c r="EW225" s="11"/>
      <c r="EX225" s="11"/>
      <c r="EY225" s="11"/>
      <c r="EZ225" s="11"/>
      <c r="FA225" s="11"/>
      <c r="FB225" s="11"/>
      <c r="FC225" s="11"/>
      <c r="FD225" s="11"/>
      <c r="FE225" s="11"/>
      <c r="FF225" s="11"/>
      <c r="FG225" s="11"/>
      <c r="FH225" s="11"/>
      <c r="FI225" s="11"/>
      <c r="FJ225" s="11"/>
      <c r="FK225" s="11"/>
      <c r="FL225" s="11"/>
      <c r="FM225" s="11"/>
      <c r="FN225" s="11"/>
      <c r="FO225" s="11"/>
      <c r="FP225" s="11"/>
      <c r="FQ225" s="11"/>
      <c r="FR225" s="11"/>
      <c r="FS225" s="11"/>
      <c r="FT225" s="11"/>
      <c r="FU225" s="11"/>
      <c r="FV225" s="11"/>
      <c r="FW225" s="11"/>
      <c r="FX225" s="11"/>
      <c r="FY225" s="11"/>
      <c r="FZ225" s="11"/>
      <c r="GA225" s="11"/>
      <c r="GB225" s="11"/>
      <c r="GC225" s="11"/>
      <c r="GD225" s="11"/>
      <c r="GE225" s="11"/>
      <c r="GF225" s="11"/>
      <c r="GG225" s="11"/>
      <c r="GH225" s="11"/>
      <c r="GI225" s="11"/>
      <c r="GJ225" s="11"/>
      <c r="GK225" s="11"/>
      <c r="GL225" s="11"/>
      <c r="GM225" s="11"/>
      <c r="GN225" s="11"/>
      <c r="GO225" s="11"/>
      <c r="GP225" s="11"/>
      <c r="GQ225" s="11"/>
      <c r="GR225" s="11"/>
    </row>
    <row r="226" spans="2:200" x14ac:dyDescent="0.15"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  <c r="CE226" s="11"/>
      <c r="CF226" s="11"/>
      <c r="CG226" s="11"/>
      <c r="CH226" s="11"/>
      <c r="CI226" s="11"/>
      <c r="CJ226" s="11"/>
      <c r="CK226" s="11"/>
      <c r="CL226" s="11"/>
      <c r="CM226" s="11"/>
      <c r="CN226" s="11"/>
      <c r="CO226" s="11"/>
      <c r="CP226" s="11"/>
      <c r="CQ226" s="11"/>
      <c r="CR226" s="11"/>
      <c r="CS226" s="11"/>
      <c r="CT226" s="11"/>
      <c r="CU226" s="11"/>
      <c r="CV226" s="11"/>
      <c r="CW226" s="11"/>
      <c r="CX226" s="11"/>
      <c r="CY226" s="11"/>
      <c r="CZ226" s="11"/>
      <c r="DA226" s="11"/>
      <c r="DB226" s="11"/>
      <c r="DC226" s="11"/>
      <c r="DD226" s="11"/>
      <c r="DE226" s="11"/>
      <c r="DF226" s="11"/>
      <c r="DG226" s="11"/>
      <c r="DH226" s="11"/>
      <c r="DI226" s="11"/>
      <c r="DJ226" s="11"/>
      <c r="DK226" s="11"/>
      <c r="DL226" s="11"/>
      <c r="DM226" s="11"/>
      <c r="DN226" s="11"/>
      <c r="DO226" s="11"/>
      <c r="DP226" s="11"/>
      <c r="DQ226" s="11"/>
      <c r="DR226" s="11"/>
      <c r="DS226" s="11"/>
      <c r="DT226" s="11"/>
      <c r="DU226" s="11"/>
      <c r="DV226" s="11"/>
      <c r="DW226" s="11"/>
      <c r="DX226" s="11"/>
      <c r="DY226" s="11"/>
      <c r="DZ226" s="11"/>
      <c r="EA226" s="11"/>
      <c r="EB226" s="11"/>
      <c r="EC226" s="11"/>
      <c r="ED226" s="11"/>
      <c r="EE226" s="11"/>
      <c r="EF226" s="11"/>
      <c r="EG226" s="11"/>
      <c r="EH226" s="11"/>
      <c r="EI226" s="11"/>
      <c r="EJ226" s="11"/>
      <c r="EK226" s="11"/>
      <c r="EL226" s="11"/>
      <c r="EM226" s="11"/>
      <c r="EN226" s="11"/>
      <c r="EO226" s="11"/>
      <c r="EP226" s="11"/>
      <c r="EQ226" s="11"/>
      <c r="ER226" s="11"/>
      <c r="ES226" s="11"/>
      <c r="ET226" s="11"/>
      <c r="EU226" s="11"/>
      <c r="EV226" s="11"/>
      <c r="EW226" s="11"/>
      <c r="EX226" s="11"/>
      <c r="EY226" s="11"/>
      <c r="EZ226" s="11"/>
      <c r="FA226" s="11"/>
      <c r="FB226" s="11"/>
      <c r="FC226" s="11"/>
      <c r="FD226" s="11"/>
      <c r="FE226" s="11"/>
      <c r="FF226" s="11"/>
      <c r="FG226" s="11"/>
      <c r="FH226" s="11"/>
      <c r="FI226" s="11"/>
      <c r="FJ226" s="11"/>
      <c r="FK226" s="11"/>
      <c r="FL226" s="11"/>
      <c r="FM226" s="11"/>
      <c r="FN226" s="11"/>
      <c r="FO226" s="11"/>
      <c r="FP226" s="11"/>
      <c r="FQ226" s="11"/>
      <c r="FR226" s="11"/>
      <c r="FS226" s="11"/>
      <c r="FT226" s="11"/>
      <c r="FU226" s="11"/>
      <c r="FV226" s="11"/>
      <c r="FW226" s="11"/>
      <c r="FX226" s="11"/>
      <c r="FY226" s="11"/>
      <c r="FZ226" s="11"/>
      <c r="GA226" s="11"/>
      <c r="GB226" s="11"/>
      <c r="GC226" s="11"/>
      <c r="GD226" s="11"/>
      <c r="GE226" s="11"/>
      <c r="GF226" s="11"/>
      <c r="GG226" s="11"/>
      <c r="GH226" s="11"/>
      <c r="GI226" s="11"/>
      <c r="GJ226" s="11"/>
      <c r="GK226" s="11"/>
      <c r="GL226" s="11"/>
      <c r="GM226" s="11"/>
      <c r="GN226" s="11"/>
      <c r="GO226" s="11"/>
      <c r="GP226" s="11"/>
      <c r="GQ226" s="11"/>
      <c r="GR226" s="11"/>
    </row>
    <row r="227" spans="2:200" x14ac:dyDescent="0.15"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11"/>
      <c r="CE227" s="11"/>
      <c r="CF227" s="11"/>
      <c r="CG227" s="11"/>
      <c r="CH227" s="11"/>
      <c r="CI227" s="11"/>
      <c r="CJ227" s="11"/>
      <c r="CK227" s="11"/>
      <c r="CL227" s="11"/>
      <c r="CM227" s="11"/>
      <c r="CN227" s="11"/>
      <c r="CO227" s="11"/>
      <c r="CP227" s="11"/>
      <c r="CQ227" s="11"/>
      <c r="CR227" s="11"/>
      <c r="CS227" s="11"/>
      <c r="CT227" s="11"/>
      <c r="CU227" s="11"/>
      <c r="CV227" s="11"/>
      <c r="CW227" s="11"/>
      <c r="CX227" s="11"/>
      <c r="CY227" s="11"/>
      <c r="CZ227" s="11"/>
      <c r="DA227" s="11"/>
      <c r="DB227" s="11"/>
      <c r="DC227" s="11"/>
      <c r="DD227" s="11"/>
      <c r="DE227" s="11"/>
      <c r="DF227" s="11"/>
      <c r="DG227" s="11"/>
      <c r="DH227" s="11"/>
      <c r="DI227" s="11"/>
      <c r="DJ227" s="11"/>
      <c r="DK227" s="11"/>
      <c r="DL227" s="11"/>
      <c r="DM227" s="11"/>
      <c r="DN227" s="11"/>
      <c r="DO227" s="11"/>
      <c r="DP227" s="11"/>
      <c r="DQ227" s="11"/>
      <c r="DR227" s="11"/>
      <c r="DS227" s="11"/>
      <c r="DT227" s="11"/>
      <c r="DU227" s="11"/>
      <c r="DV227" s="11"/>
      <c r="DW227" s="11"/>
      <c r="DX227" s="11"/>
      <c r="DY227" s="11"/>
      <c r="DZ227" s="11"/>
      <c r="EA227" s="11"/>
      <c r="EB227" s="11"/>
      <c r="EC227" s="11"/>
      <c r="ED227" s="11"/>
      <c r="EE227" s="11"/>
      <c r="EF227" s="11"/>
      <c r="EG227" s="11"/>
      <c r="EH227" s="11"/>
      <c r="EI227" s="11"/>
      <c r="EJ227" s="11"/>
      <c r="EK227" s="11"/>
      <c r="EL227" s="11"/>
      <c r="EM227" s="11"/>
      <c r="EN227" s="11"/>
      <c r="EO227" s="11"/>
      <c r="EP227" s="11"/>
      <c r="EQ227" s="11"/>
      <c r="ER227" s="11"/>
      <c r="ES227" s="11"/>
      <c r="ET227" s="11"/>
      <c r="EU227" s="11"/>
      <c r="EV227" s="11"/>
      <c r="EW227" s="11"/>
      <c r="EX227" s="11"/>
      <c r="EY227" s="11"/>
      <c r="EZ227" s="11"/>
      <c r="FA227" s="11"/>
      <c r="FB227" s="11"/>
      <c r="FC227" s="11"/>
      <c r="FD227" s="11"/>
      <c r="FE227" s="11"/>
      <c r="FF227" s="11"/>
      <c r="FG227" s="11"/>
      <c r="FH227" s="11"/>
      <c r="FI227" s="11"/>
      <c r="FJ227" s="11"/>
      <c r="FK227" s="11"/>
      <c r="FL227" s="11"/>
      <c r="FM227" s="11"/>
      <c r="FN227" s="11"/>
      <c r="FO227" s="11"/>
      <c r="FP227" s="11"/>
      <c r="FQ227" s="11"/>
      <c r="FR227" s="11"/>
      <c r="FS227" s="11"/>
      <c r="FT227" s="11"/>
      <c r="FU227" s="11"/>
      <c r="FV227" s="11"/>
      <c r="FW227" s="11"/>
      <c r="FX227" s="11"/>
      <c r="FY227" s="11"/>
      <c r="FZ227" s="11"/>
      <c r="GA227" s="11"/>
      <c r="GB227" s="11"/>
      <c r="GC227" s="11"/>
      <c r="GD227" s="11"/>
      <c r="GE227" s="11"/>
      <c r="GF227" s="11"/>
      <c r="GG227" s="11"/>
      <c r="GH227" s="11"/>
      <c r="GI227" s="11"/>
      <c r="GJ227" s="11"/>
      <c r="GK227" s="11"/>
      <c r="GL227" s="11"/>
      <c r="GM227" s="11"/>
      <c r="GN227" s="11"/>
      <c r="GO227" s="11"/>
      <c r="GP227" s="11"/>
      <c r="GQ227" s="11"/>
      <c r="GR227" s="11"/>
    </row>
    <row r="228" spans="2:200" x14ac:dyDescent="0.15"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11"/>
      <c r="CE228" s="11"/>
      <c r="CF228" s="11"/>
      <c r="CG228" s="11"/>
      <c r="CH228" s="11"/>
      <c r="CI228" s="11"/>
      <c r="CJ228" s="11"/>
      <c r="CK228" s="11"/>
      <c r="CL228" s="11"/>
      <c r="CM228" s="11"/>
      <c r="CN228" s="11"/>
      <c r="CO228" s="11"/>
      <c r="CP228" s="11"/>
      <c r="CQ228" s="11"/>
      <c r="CR228" s="11"/>
      <c r="CS228" s="11"/>
      <c r="CT228" s="11"/>
      <c r="CU228" s="11"/>
      <c r="CV228" s="11"/>
      <c r="CW228" s="11"/>
      <c r="CX228" s="11"/>
      <c r="CY228" s="11"/>
      <c r="CZ228" s="11"/>
      <c r="DA228" s="11"/>
      <c r="DB228" s="11"/>
      <c r="DC228" s="11"/>
      <c r="DD228" s="11"/>
      <c r="DE228" s="11"/>
      <c r="DF228" s="11"/>
      <c r="DG228" s="11"/>
      <c r="DH228" s="11"/>
      <c r="DI228" s="11"/>
      <c r="DJ228" s="11"/>
      <c r="DK228" s="11"/>
      <c r="DL228" s="11"/>
      <c r="DM228" s="11"/>
      <c r="DN228" s="11"/>
      <c r="DO228" s="11"/>
      <c r="DP228" s="11"/>
      <c r="DQ228" s="11"/>
      <c r="DR228" s="11"/>
      <c r="DS228" s="11"/>
      <c r="DT228" s="11"/>
      <c r="DU228" s="11"/>
      <c r="DV228" s="11"/>
      <c r="DW228" s="11"/>
      <c r="DX228" s="11"/>
      <c r="DY228" s="11"/>
      <c r="DZ228" s="11"/>
      <c r="EA228" s="11"/>
      <c r="EB228" s="11"/>
      <c r="EC228" s="11"/>
      <c r="ED228" s="11"/>
      <c r="EE228" s="11"/>
      <c r="EF228" s="11"/>
      <c r="EG228" s="11"/>
      <c r="EH228" s="11"/>
      <c r="EI228" s="11"/>
      <c r="EJ228" s="11"/>
      <c r="EK228" s="11"/>
      <c r="EL228" s="11"/>
      <c r="EM228" s="11"/>
      <c r="EN228" s="11"/>
      <c r="EO228" s="11"/>
      <c r="EP228" s="11"/>
      <c r="EQ228" s="11"/>
      <c r="ER228" s="11"/>
      <c r="ES228" s="11"/>
      <c r="ET228" s="11"/>
      <c r="EU228" s="11"/>
      <c r="EV228" s="11"/>
      <c r="EW228" s="11"/>
      <c r="EX228" s="11"/>
      <c r="EY228" s="11"/>
      <c r="EZ228" s="11"/>
      <c r="FA228" s="11"/>
      <c r="FB228" s="11"/>
      <c r="FC228" s="11"/>
      <c r="FD228" s="11"/>
      <c r="FE228" s="11"/>
      <c r="FF228" s="11"/>
      <c r="FG228" s="11"/>
      <c r="FH228" s="11"/>
      <c r="FI228" s="11"/>
      <c r="FJ228" s="11"/>
      <c r="FK228" s="11"/>
      <c r="FL228" s="11"/>
      <c r="FM228" s="11"/>
      <c r="FN228" s="11"/>
      <c r="FO228" s="11"/>
      <c r="FP228" s="11"/>
      <c r="FQ228" s="11"/>
      <c r="FR228" s="11"/>
      <c r="FS228" s="11"/>
      <c r="FT228" s="11"/>
      <c r="FU228" s="11"/>
      <c r="FV228" s="11"/>
      <c r="FW228" s="11"/>
      <c r="FX228" s="11"/>
      <c r="FY228" s="11"/>
      <c r="FZ228" s="11"/>
      <c r="GA228" s="11"/>
      <c r="GB228" s="11"/>
      <c r="GC228" s="11"/>
      <c r="GD228" s="11"/>
      <c r="GE228" s="11"/>
      <c r="GF228" s="11"/>
      <c r="GG228" s="11"/>
      <c r="GH228" s="11"/>
      <c r="GI228" s="11"/>
      <c r="GJ228" s="11"/>
      <c r="GK228" s="11"/>
      <c r="GL228" s="11"/>
      <c r="GM228" s="11"/>
      <c r="GN228" s="11"/>
      <c r="GO228" s="11"/>
      <c r="GP228" s="11"/>
      <c r="GQ228" s="11"/>
      <c r="GR228" s="11"/>
    </row>
    <row r="229" spans="2:200" x14ac:dyDescent="0.15"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11"/>
      <c r="CE229" s="11"/>
      <c r="CF229" s="11"/>
      <c r="CG229" s="11"/>
      <c r="CH229" s="11"/>
      <c r="CI229" s="11"/>
      <c r="CJ229" s="11"/>
      <c r="CK229" s="11"/>
      <c r="CL229" s="11"/>
      <c r="CM229" s="11"/>
      <c r="CN229" s="11"/>
      <c r="CO229" s="11"/>
      <c r="CP229" s="11"/>
      <c r="CQ229" s="11"/>
      <c r="CR229" s="11"/>
      <c r="CS229" s="11"/>
      <c r="CT229" s="11"/>
      <c r="CU229" s="11"/>
      <c r="CV229" s="11"/>
      <c r="CW229" s="11"/>
      <c r="CX229" s="11"/>
      <c r="CY229" s="11"/>
      <c r="CZ229" s="11"/>
      <c r="DA229" s="11"/>
      <c r="DB229" s="11"/>
      <c r="DC229" s="11"/>
      <c r="DD229" s="11"/>
      <c r="DE229" s="11"/>
      <c r="DF229" s="11"/>
      <c r="DG229" s="11"/>
      <c r="DH229" s="11"/>
      <c r="DI229" s="11"/>
      <c r="DJ229" s="11"/>
      <c r="DK229" s="11"/>
      <c r="DL229" s="11"/>
      <c r="DM229" s="11"/>
      <c r="DN229" s="11"/>
      <c r="DO229" s="11"/>
      <c r="DP229" s="11"/>
      <c r="DQ229" s="11"/>
      <c r="DR229" s="11"/>
      <c r="DS229" s="11"/>
      <c r="DT229" s="11"/>
      <c r="DU229" s="11"/>
      <c r="DV229" s="11"/>
      <c r="DW229" s="11"/>
      <c r="DX229" s="11"/>
      <c r="DY229" s="11"/>
      <c r="DZ229" s="11"/>
      <c r="EA229" s="11"/>
      <c r="EB229" s="11"/>
      <c r="EC229" s="11"/>
      <c r="ED229" s="11"/>
      <c r="EE229" s="11"/>
      <c r="EF229" s="11"/>
      <c r="EG229" s="11"/>
      <c r="EH229" s="11"/>
      <c r="EI229" s="11"/>
      <c r="EJ229" s="11"/>
      <c r="EK229" s="11"/>
      <c r="EL229" s="11"/>
      <c r="EM229" s="11"/>
      <c r="EN229" s="11"/>
      <c r="EO229" s="11"/>
      <c r="EP229" s="11"/>
      <c r="EQ229" s="11"/>
      <c r="ER229" s="11"/>
      <c r="ES229" s="11"/>
      <c r="ET229" s="11"/>
      <c r="EU229" s="11"/>
      <c r="EV229" s="11"/>
      <c r="EW229" s="11"/>
      <c r="EX229" s="11"/>
      <c r="EY229" s="11"/>
      <c r="EZ229" s="11"/>
      <c r="FA229" s="11"/>
      <c r="FB229" s="11"/>
      <c r="FC229" s="11"/>
      <c r="FD229" s="11"/>
      <c r="FE229" s="11"/>
      <c r="FF229" s="11"/>
      <c r="FG229" s="11"/>
      <c r="FH229" s="11"/>
      <c r="FI229" s="11"/>
      <c r="FJ229" s="11"/>
      <c r="FK229" s="11"/>
      <c r="FL229" s="11"/>
      <c r="FM229" s="11"/>
      <c r="FN229" s="11"/>
      <c r="FO229" s="11"/>
      <c r="FP229" s="11"/>
      <c r="FQ229" s="11"/>
      <c r="FR229" s="11"/>
      <c r="FS229" s="11"/>
      <c r="FT229" s="11"/>
      <c r="FU229" s="11"/>
      <c r="FV229" s="11"/>
      <c r="FW229" s="11"/>
      <c r="FX229" s="11"/>
      <c r="FY229" s="11"/>
      <c r="FZ229" s="11"/>
      <c r="GA229" s="11"/>
      <c r="GB229" s="11"/>
      <c r="GC229" s="11"/>
      <c r="GD229" s="11"/>
      <c r="GE229" s="11"/>
      <c r="GF229" s="11"/>
      <c r="GG229" s="11"/>
      <c r="GH229" s="11"/>
      <c r="GI229" s="11"/>
      <c r="GJ229" s="11"/>
      <c r="GK229" s="11"/>
      <c r="GL229" s="11"/>
      <c r="GM229" s="11"/>
      <c r="GN229" s="11"/>
      <c r="GO229" s="11"/>
      <c r="GP229" s="11"/>
      <c r="GQ229" s="11"/>
      <c r="GR229" s="11"/>
    </row>
    <row r="230" spans="2:200" x14ac:dyDescent="0.15"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11"/>
      <c r="CE230" s="11"/>
      <c r="CF230" s="11"/>
      <c r="CG230" s="11"/>
      <c r="CH230" s="11"/>
      <c r="CI230" s="11"/>
      <c r="CJ230" s="11"/>
      <c r="CK230" s="11"/>
      <c r="CL230" s="11"/>
      <c r="CM230" s="11"/>
      <c r="CN230" s="11"/>
      <c r="CO230" s="11"/>
      <c r="CP230" s="11"/>
      <c r="CQ230" s="11"/>
      <c r="CR230" s="11"/>
      <c r="CS230" s="11"/>
      <c r="CT230" s="11"/>
      <c r="CU230" s="11"/>
      <c r="CV230" s="11"/>
      <c r="CW230" s="11"/>
      <c r="CX230" s="11"/>
      <c r="CY230" s="11"/>
      <c r="CZ230" s="11"/>
      <c r="DA230" s="11"/>
      <c r="DB230" s="11"/>
      <c r="DC230" s="11"/>
      <c r="DD230" s="11"/>
      <c r="DE230" s="11"/>
      <c r="DF230" s="11"/>
      <c r="DG230" s="11"/>
      <c r="DH230" s="11"/>
      <c r="DI230" s="11"/>
      <c r="DJ230" s="11"/>
      <c r="DK230" s="11"/>
      <c r="DL230" s="11"/>
      <c r="DM230" s="11"/>
      <c r="DN230" s="11"/>
      <c r="DO230" s="11"/>
      <c r="DP230" s="11"/>
      <c r="DQ230" s="11"/>
      <c r="DR230" s="11"/>
      <c r="DS230" s="11"/>
      <c r="DT230" s="11"/>
      <c r="DU230" s="11"/>
      <c r="DV230" s="11"/>
      <c r="DW230" s="11"/>
      <c r="DX230" s="11"/>
      <c r="DY230" s="11"/>
      <c r="DZ230" s="11"/>
      <c r="EA230" s="11"/>
      <c r="EB230" s="11"/>
      <c r="EC230" s="11"/>
      <c r="ED230" s="11"/>
      <c r="EE230" s="11"/>
      <c r="EF230" s="11"/>
      <c r="EG230" s="11"/>
      <c r="EH230" s="11"/>
      <c r="EI230" s="11"/>
      <c r="EJ230" s="11"/>
      <c r="EK230" s="11"/>
      <c r="EL230" s="11"/>
      <c r="EM230" s="11"/>
      <c r="EN230" s="11"/>
      <c r="EO230" s="11"/>
      <c r="EP230" s="11"/>
      <c r="EQ230" s="11"/>
      <c r="ER230" s="11"/>
      <c r="ES230" s="11"/>
      <c r="ET230" s="11"/>
      <c r="EU230" s="11"/>
      <c r="EV230" s="11"/>
      <c r="EW230" s="11"/>
      <c r="EX230" s="11"/>
      <c r="EY230" s="11"/>
      <c r="EZ230" s="11"/>
      <c r="FA230" s="11"/>
      <c r="FB230" s="11"/>
      <c r="FC230" s="11"/>
      <c r="FD230" s="11"/>
      <c r="FE230" s="11"/>
      <c r="FF230" s="11"/>
      <c r="FG230" s="11"/>
      <c r="FH230" s="11"/>
      <c r="FI230" s="11"/>
      <c r="FJ230" s="11"/>
      <c r="FK230" s="11"/>
      <c r="FL230" s="11"/>
      <c r="FM230" s="11"/>
      <c r="FN230" s="11"/>
      <c r="FO230" s="11"/>
      <c r="FP230" s="11"/>
      <c r="FQ230" s="11"/>
      <c r="FR230" s="11"/>
      <c r="FS230" s="11"/>
      <c r="FT230" s="11"/>
      <c r="FU230" s="11"/>
      <c r="FV230" s="11"/>
      <c r="FW230" s="11"/>
      <c r="FX230" s="11"/>
      <c r="FY230" s="11"/>
      <c r="FZ230" s="11"/>
      <c r="GA230" s="11"/>
      <c r="GB230" s="11"/>
      <c r="GC230" s="11"/>
      <c r="GD230" s="11"/>
      <c r="GE230" s="11"/>
      <c r="GF230" s="11"/>
      <c r="GG230" s="11"/>
      <c r="GH230" s="11"/>
      <c r="GI230" s="11"/>
      <c r="GJ230" s="11"/>
      <c r="GK230" s="11"/>
      <c r="GL230" s="11"/>
      <c r="GM230" s="11"/>
      <c r="GN230" s="11"/>
      <c r="GO230" s="11"/>
      <c r="GP230" s="11"/>
      <c r="GQ230" s="11"/>
      <c r="GR230" s="11"/>
    </row>
    <row r="231" spans="2:200" x14ac:dyDescent="0.15"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11"/>
      <c r="CE231" s="11"/>
      <c r="CF231" s="11"/>
      <c r="CG231" s="11"/>
      <c r="CH231" s="11"/>
      <c r="CI231" s="11"/>
      <c r="CJ231" s="11"/>
      <c r="CK231" s="11"/>
      <c r="CL231" s="11"/>
      <c r="CM231" s="11"/>
      <c r="CN231" s="11"/>
      <c r="CO231" s="11"/>
      <c r="CP231" s="11"/>
      <c r="CQ231" s="11"/>
      <c r="CR231" s="11"/>
      <c r="CS231" s="11"/>
      <c r="CT231" s="11"/>
      <c r="CU231" s="11"/>
      <c r="CV231" s="11"/>
      <c r="CW231" s="11"/>
      <c r="CX231" s="11"/>
      <c r="CY231" s="11"/>
      <c r="CZ231" s="11"/>
      <c r="DA231" s="11"/>
      <c r="DB231" s="11"/>
      <c r="DC231" s="11"/>
      <c r="DD231" s="11"/>
      <c r="DE231" s="11"/>
      <c r="DF231" s="11"/>
      <c r="DG231" s="11"/>
      <c r="DH231" s="11"/>
      <c r="DI231" s="11"/>
      <c r="DJ231" s="11"/>
      <c r="DK231" s="11"/>
      <c r="DL231" s="11"/>
      <c r="DM231" s="11"/>
      <c r="DN231" s="11"/>
      <c r="DO231" s="11"/>
      <c r="DP231" s="11"/>
      <c r="DQ231" s="11"/>
      <c r="DR231" s="11"/>
      <c r="DS231" s="11"/>
      <c r="DT231" s="11"/>
      <c r="DU231" s="11"/>
      <c r="DV231" s="11"/>
      <c r="DW231" s="11"/>
      <c r="DX231" s="11"/>
      <c r="DY231" s="11"/>
      <c r="DZ231" s="11"/>
      <c r="EA231" s="11"/>
      <c r="EB231" s="11"/>
      <c r="EC231" s="11"/>
      <c r="ED231" s="11"/>
      <c r="EE231" s="11"/>
      <c r="EF231" s="11"/>
      <c r="EG231" s="11"/>
      <c r="EH231" s="11"/>
      <c r="EI231" s="11"/>
      <c r="EJ231" s="11"/>
      <c r="EK231" s="11"/>
      <c r="EL231" s="11"/>
      <c r="EM231" s="11"/>
      <c r="EN231" s="11"/>
      <c r="EO231" s="11"/>
      <c r="EP231" s="11"/>
      <c r="EQ231" s="11"/>
      <c r="ER231" s="11"/>
      <c r="ES231" s="11"/>
      <c r="ET231" s="11"/>
      <c r="EU231" s="11"/>
      <c r="EV231" s="11"/>
      <c r="EW231" s="11"/>
      <c r="EX231" s="11"/>
      <c r="EY231" s="11"/>
      <c r="EZ231" s="11"/>
      <c r="FA231" s="11"/>
      <c r="FB231" s="11"/>
      <c r="FC231" s="11"/>
      <c r="FD231" s="11"/>
      <c r="FE231" s="11"/>
      <c r="FF231" s="11"/>
      <c r="FG231" s="11"/>
      <c r="FH231" s="11"/>
      <c r="FI231" s="11"/>
      <c r="FJ231" s="11"/>
      <c r="FK231" s="11"/>
      <c r="FL231" s="11"/>
      <c r="FM231" s="11"/>
      <c r="FN231" s="11"/>
      <c r="FO231" s="11"/>
      <c r="FP231" s="11"/>
      <c r="FQ231" s="11"/>
      <c r="FR231" s="11"/>
      <c r="FS231" s="11"/>
      <c r="FT231" s="11"/>
      <c r="FU231" s="11"/>
      <c r="FV231" s="11"/>
      <c r="FW231" s="11"/>
      <c r="FX231" s="11"/>
      <c r="FY231" s="11"/>
      <c r="FZ231" s="11"/>
      <c r="GA231" s="11"/>
      <c r="GB231" s="11"/>
      <c r="GC231" s="11"/>
      <c r="GD231" s="11"/>
      <c r="GE231" s="11"/>
      <c r="GF231" s="11"/>
      <c r="GG231" s="11"/>
      <c r="GH231" s="11"/>
      <c r="GI231" s="11"/>
      <c r="GJ231" s="11"/>
      <c r="GK231" s="11"/>
      <c r="GL231" s="11"/>
      <c r="GM231" s="11"/>
      <c r="GN231" s="11"/>
      <c r="GO231" s="11"/>
      <c r="GP231" s="11"/>
      <c r="GQ231" s="11"/>
      <c r="GR231" s="11"/>
    </row>
    <row r="232" spans="2:200" x14ac:dyDescent="0.15"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11"/>
      <c r="CE232" s="11"/>
      <c r="CF232" s="11"/>
      <c r="CG232" s="11"/>
      <c r="CH232" s="11"/>
      <c r="CI232" s="11"/>
      <c r="CJ232" s="11"/>
      <c r="CK232" s="11"/>
      <c r="CL232" s="11"/>
      <c r="CM232" s="11"/>
      <c r="CN232" s="11"/>
      <c r="CO232" s="11"/>
      <c r="CP232" s="11"/>
      <c r="CQ232" s="11"/>
      <c r="CR232" s="11"/>
      <c r="CS232" s="11"/>
      <c r="CT232" s="11"/>
      <c r="CU232" s="11"/>
      <c r="CV232" s="11"/>
      <c r="CW232" s="11"/>
      <c r="CX232" s="11"/>
      <c r="CY232" s="11"/>
      <c r="CZ232" s="11"/>
      <c r="DA232" s="11"/>
      <c r="DB232" s="11"/>
      <c r="DC232" s="11"/>
      <c r="DD232" s="11"/>
      <c r="DE232" s="11"/>
      <c r="DF232" s="11"/>
      <c r="DG232" s="11"/>
      <c r="DH232" s="11"/>
      <c r="DI232" s="11"/>
      <c r="DJ232" s="11"/>
      <c r="DK232" s="11"/>
      <c r="DL232" s="11"/>
      <c r="DM232" s="11"/>
      <c r="DN232" s="11"/>
      <c r="DO232" s="11"/>
      <c r="DP232" s="11"/>
      <c r="DQ232" s="11"/>
      <c r="DR232" s="11"/>
      <c r="DS232" s="11"/>
      <c r="DT232" s="11"/>
      <c r="DU232" s="11"/>
      <c r="DV232" s="11"/>
      <c r="DW232" s="11"/>
      <c r="DX232" s="11"/>
      <c r="DY232" s="11"/>
      <c r="DZ232" s="11"/>
      <c r="EA232" s="11"/>
      <c r="EB232" s="11"/>
      <c r="EC232" s="11"/>
      <c r="ED232" s="11"/>
      <c r="EE232" s="11"/>
      <c r="EF232" s="11"/>
      <c r="EG232" s="11"/>
      <c r="EH232" s="11"/>
      <c r="EI232" s="11"/>
      <c r="EJ232" s="11"/>
      <c r="EK232" s="11"/>
      <c r="EL232" s="11"/>
      <c r="EM232" s="11"/>
      <c r="EN232" s="11"/>
      <c r="EO232" s="11"/>
      <c r="EP232" s="11"/>
      <c r="EQ232" s="11"/>
      <c r="ER232" s="11"/>
      <c r="ES232" s="11"/>
      <c r="ET232" s="11"/>
      <c r="EU232" s="11"/>
      <c r="EV232" s="11"/>
      <c r="EW232" s="11"/>
      <c r="EX232" s="11"/>
      <c r="EY232" s="11"/>
      <c r="EZ232" s="11"/>
      <c r="FA232" s="11"/>
      <c r="FB232" s="11"/>
      <c r="FC232" s="11"/>
      <c r="FD232" s="11"/>
      <c r="FE232" s="11"/>
      <c r="FF232" s="11"/>
      <c r="FG232" s="11"/>
      <c r="FH232" s="11"/>
      <c r="FI232" s="11"/>
      <c r="FJ232" s="11"/>
      <c r="FK232" s="11"/>
      <c r="FL232" s="11"/>
      <c r="FM232" s="11"/>
      <c r="FN232" s="11"/>
      <c r="FO232" s="11"/>
      <c r="FP232" s="11"/>
      <c r="FQ232" s="11"/>
      <c r="FR232" s="11"/>
      <c r="FS232" s="11"/>
      <c r="FT232" s="11"/>
      <c r="FU232" s="11"/>
      <c r="FV232" s="11"/>
      <c r="FW232" s="11"/>
      <c r="FX232" s="11"/>
      <c r="FY232" s="11"/>
      <c r="FZ232" s="11"/>
      <c r="GA232" s="11"/>
      <c r="GB232" s="11"/>
      <c r="GC232" s="11"/>
      <c r="GD232" s="11"/>
      <c r="GE232" s="11"/>
      <c r="GF232" s="11"/>
      <c r="GG232" s="11"/>
      <c r="GH232" s="11"/>
      <c r="GI232" s="11"/>
      <c r="GJ232" s="11"/>
      <c r="GK232" s="11"/>
      <c r="GL232" s="11"/>
      <c r="GM232" s="11"/>
      <c r="GN232" s="11"/>
      <c r="GO232" s="11"/>
      <c r="GP232" s="11"/>
      <c r="GQ232" s="11"/>
      <c r="GR232" s="11"/>
    </row>
    <row r="233" spans="2:200" x14ac:dyDescent="0.15"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11"/>
      <c r="CF233" s="11"/>
      <c r="CG233" s="11"/>
      <c r="CH233" s="11"/>
      <c r="CI233" s="11"/>
      <c r="CJ233" s="11"/>
      <c r="CK233" s="11"/>
      <c r="CL233" s="11"/>
      <c r="CM233" s="11"/>
      <c r="CN233" s="11"/>
      <c r="CO233" s="11"/>
      <c r="CP233" s="11"/>
      <c r="CQ233" s="11"/>
      <c r="CR233" s="11"/>
      <c r="CS233" s="11"/>
      <c r="CT233" s="11"/>
      <c r="CU233" s="11"/>
      <c r="CV233" s="11"/>
      <c r="CW233" s="11"/>
      <c r="CX233" s="11"/>
      <c r="CY233" s="11"/>
      <c r="CZ233" s="11"/>
      <c r="DA233" s="11"/>
      <c r="DB233" s="11"/>
      <c r="DC233" s="11"/>
      <c r="DD233" s="11"/>
      <c r="DE233" s="11"/>
      <c r="DF233" s="11"/>
      <c r="DG233" s="11"/>
      <c r="DH233" s="11"/>
      <c r="DI233" s="11"/>
      <c r="DJ233" s="11"/>
      <c r="DK233" s="11"/>
      <c r="DL233" s="11"/>
      <c r="DM233" s="11"/>
      <c r="DN233" s="11"/>
      <c r="DO233" s="11"/>
      <c r="DP233" s="11"/>
      <c r="DQ233" s="11"/>
      <c r="DR233" s="11"/>
      <c r="DS233" s="11"/>
      <c r="DT233" s="11"/>
      <c r="DU233" s="11"/>
      <c r="DV233" s="11"/>
      <c r="DW233" s="11"/>
      <c r="DX233" s="11"/>
      <c r="DY233" s="11"/>
      <c r="DZ233" s="11"/>
      <c r="EA233" s="11"/>
      <c r="EB233" s="11"/>
      <c r="EC233" s="11"/>
      <c r="ED233" s="11"/>
      <c r="EE233" s="11"/>
      <c r="EF233" s="11"/>
      <c r="EG233" s="11"/>
      <c r="EH233" s="11"/>
      <c r="EI233" s="11"/>
      <c r="EJ233" s="11"/>
      <c r="EK233" s="11"/>
      <c r="EL233" s="11"/>
      <c r="EM233" s="11"/>
      <c r="EN233" s="11"/>
      <c r="EO233" s="11"/>
      <c r="EP233" s="11"/>
      <c r="EQ233" s="11"/>
      <c r="ER233" s="11"/>
      <c r="ES233" s="11"/>
      <c r="ET233" s="11"/>
      <c r="EU233" s="11"/>
      <c r="EV233" s="11"/>
      <c r="EW233" s="11"/>
      <c r="EX233" s="11"/>
      <c r="EY233" s="11"/>
      <c r="EZ233" s="11"/>
      <c r="FA233" s="11"/>
      <c r="FB233" s="11"/>
      <c r="FC233" s="11"/>
      <c r="FD233" s="11"/>
      <c r="FE233" s="11"/>
      <c r="FF233" s="11"/>
      <c r="FG233" s="11"/>
      <c r="FH233" s="11"/>
      <c r="FI233" s="11"/>
      <c r="FJ233" s="11"/>
      <c r="FK233" s="11"/>
      <c r="FL233" s="11"/>
      <c r="FM233" s="11"/>
      <c r="FN233" s="11"/>
      <c r="FO233" s="11"/>
      <c r="FP233" s="11"/>
      <c r="FQ233" s="11"/>
      <c r="FR233" s="11"/>
      <c r="FS233" s="11"/>
      <c r="FT233" s="11"/>
      <c r="FU233" s="11"/>
      <c r="FV233" s="11"/>
      <c r="FW233" s="11"/>
      <c r="FX233" s="11"/>
      <c r="FY233" s="11"/>
      <c r="FZ233" s="11"/>
      <c r="GA233" s="11"/>
      <c r="GB233" s="11"/>
      <c r="GC233" s="11"/>
      <c r="GD233" s="11"/>
      <c r="GE233" s="11"/>
      <c r="GF233" s="11"/>
      <c r="GG233" s="11"/>
      <c r="GH233" s="11"/>
      <c r="GI233" s="11"/>
      <c r="GJ233" s="11"/>
      <c r="GK233" s="11"/>
      <c r="GL233" s="11"/>
      <c r="GM233" s="11"/>
      <c r="GN233" s="11"/>
      <c r="GO233" s="11"/>
      <c r="GP233" s="11"/>
      <c r="GQ233" s="11"/>
      <c r="GR233" s="11"/>
    </row>
    <row r="234" spans="2:200" x14ac:dyDescent="0.15"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11"/>
      <c r="CE234" s="11"/>
      <c r="CF234" s="11"/>
      <c r="CG234" s="11"/>
      <c r="CH234" s="11"/>
      <c r="CI234" s="11"/>
      <c r="CJ234" s="11"/>
      <c r="CK234" s="11"/>
      <c r="CL234" s="11"/>
      <c r="CM234" s="11"/>
      <c r="CN234" s="11"/>
      <c r="CO234" s="11"/>
      <c r="CP234" s="11"/>
      <c r="CQ234" s="11"/>
      <c r="CR234" s="11"/>
      <c r="CS234" s="11"/>
      <c r="CT234" s="11"/>
      <c r="CU234" s="11"/>
      <c r="CV234" s="11"/>
      <c r="CW234" s="11"/>
      <c r="CX234" s="11"/>
      <c r="CY234" s="11"/>
      <c r="CZ234" s="11"/>
      <c r="DA234" s="11"/>
      <c r="DB234" s="11"/>
      <c r="DC234" s="11"/>
      <c r="DD234" s="11"/>
      <c r="DE234" s="11"/>
      <c r="DF234" s="11"/>
      <c r="DG234" s="11"/>
      <c r="DH234" s="11"/>
      <c r="DI234" s="11"/>
      <c r="DJ234" s="11"/>
      <c r="DK234" s="11"/>
      <c r="DL234" s="11"/>
      <c r="DM234" s="11"/>
      <c r="DN234" s="11"/>
      <c r="DO234" s="11"/>
      <c r="DP234" s="11"/>
      <c r="DQ234" s="11"/>
      <c r="DR234" s="11"/>
      <c r="DS234" s="11"/>
      <c r="DT234" s="11"/>
      <c r="DU234" s="11"/>
      <c r="DV234" s="11"/>
      <c r="DW234" s="11"/>
      <c r="DX234" s="11"/>
      <c r="DY234" s="11"/>
      <c r="DZ234" s="11"/>
      <c r="EA234" s="11"/>
      <c r="EB234" s="11"/>
      <c r="EC234" s="11"/>
      <c r="ED234" s="11"/>
      <c r="EE234" s="11"/>
      <c r="EF234" s="11"/>
      <c r="EG234" s="11"/>
      <c r="EH234" s="11"/>
      <c r="EI234" s="11"/>
      <c r="EJ234" s="11"/>
      <c r="EK234" s="11"/>
      <c r="EL234" s="11"/>
      <c r="EM234" s="11"/>
      <c r="EN234" s="11"/>
      <c r="EO234" s="11"/>
      <c r="EP234" s="11"/>
      <c r="EQ234" s="11"/>
      <c r="ER234" s="11"/>
      <c r="ES234" s="11"/>
      <c r="ET234" s="11"/>
      <c r="EU234" s="11"/>
      <c r="EV234" s="11"/>
      <c r="EW234" s="11"/>
      <c r="EX234" s="11"/>
      <c r="EY234" s="11"/>
      <c r="EZ234" s="11"/>
      <c r="FA234" s="11"/>
      <c r="FB234" s="11"/>
      <c r="FC234" s="11"/>
      <c r="FD234" s="11"/>
      <c r="FE234" s="11"/>
      <c r="FF234" s="11"/>
      <c r="FG234" s="11"/>
      <c r="FH234" s="11"/>
      <c r="FI234" s="11"/>
      <c r="FJ234" s="11"/>
      <c r="FK234" s="11"/>
      <c r="FL234" s="11"/>
      <c r="FM234" s="11"/>
      <c r="FN234" s="11"/>
      <c r="FO234" s="11"/>
      <c r="FP234" s="11"/>
      <c r="FQ234" s="11"/>
      <c r="FR234" s="11"/>
      <c r="FS234" s="11"/>
      <c r="FT234" s="11"/>
      <c r="FU234" s="11"/>
      <c r="FV234" s="11"/>
      <c r="FW234" s="11"/>
      <c r="FX234" s="11"/>
      <c r="FY234" s="11"/>
      <c r="FZ234" s="11"/>
      <c r="GA234" s="11"/>
      <c r="GB234" s="11"/>
      <c r="GC234" s="11"/>
      <c r="GD234" s="11"/>
      <c r="GE234" s="11"/>
      <c r="GF234" s="11"/>
      <c r="GG234" s="11"/>
      <c r="GH234" s="11"/>
      <c r="GI234" s="11"/>
      <c r="GJ234" s="11"/>
      <c r="GK234" s="11"/>
      <c r="GL234" s="11"/>
      <c r="GM234" s="11"/>
      <c r="GN234" s="11"/>
      <c r="GO234" s="11"/>
      <c r="GP234" s="11"/>
      <c r="GQ234" s="11"/>
      <c r="GR234" s="11"/>
    </row>
    <row r="235" spans="2:200" x14ac:dyDescent="0.15"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11"/>
      <c r="CE235" s="11"/>
      <c r="CF235" s="11"/>
      <c r="CG235" s="11"/>
      <c r="CH235" s="11"/>
      <c r="CI235" s="11"/>
      <c r="CJ235" s="11"/>
      <c r="CK235" s="11"/>
      <c r="CL235" s="11"/>
      <c r="CM235" s="11"/>
      <c r="CN235" s="11"/>
      <c r="CO235" s="11"/>
      <c r="CP235" s="11"/>
      <c r="CQ235" s="11"/>
      <c r="CR235" s="11"/>
      <c r="CS235" s="11"/>
      <c r="CT235" s="11"/>
      <c r="CU235" s="11"/>
      <c r="CV235" s="11"/>
      <c r="CW235" s="11"/>
      <c r="CX235" s="11"/>
      <c r="CY235" s="11"/>
      <c r="CZ235" s="11"/>
      <c r="DA235" s="11"/>
      <c r="DB235" s="11"/>
      <c r="DC235" s="11"/>
      <c r="DD235" s="11"/>
      <c r="DE235" s="11"/>
      <c r="DF235" s="11"/>
      <c r="DG235" s="11"/>
      <c r="DH235" s="11"/>
      <c r="DI235" s="11"/>
      <c r="DJ235" s="11"/>
      <c r="DK235" s="11"/>
      <c r="DL235" s="11"/>
      <c r="DM235" s="11"/>
      <c r="DN235" s="11"/>
      <c r="DO235" s="11"/>
      <c r="DP235" s="11"/>
      <c r="DQ235" s="11"/>
      <c r="DR235" s="11"/>
      <c r="DS235" s="11"/>
      <c r="DT235" s="11"/>
      <c r="DU235" s="11"/>
      <c r="DV235" s="11"/>
      <c r="DW235" s="11"/>
      <c r="DX235" s="11"/>
      <c r="DY235" s="11"/>
      <c r="DZ235" s="11"/>
      <c r="EA235" s="11"/>
      <c r="EB235" s="11"/>
      <c r="EC235" s="11"/>
      <c r="ED235" s="11"/>
      <c r="EE235" s="11"/>
      <c r="EF235" s="11"/>
      <c r="EG235" s="11"/>
      <c r="EH235" s="11"/>
      <c r="EI235" s="11"/>
      <c r="EJ235" s="11"/>
      <c r="EK235" s="11"/>
      <c r="EL235" s="11"/>
      <c r="EM235" s="11"/>
      <c r="EN235" s="11"/>
      <c r="EO235" s="11"/>
      <c r="EP235" s="11"/>
      <c r="EQ235" s="11"/>
      <c r="ER235" s="11"/>
      <c r="ES235" s="11"/>
      <c r="ET235" s="11"/>
      <c r="EU235" s="11"/>
      <c r="EV235" s="11"/>
      <c r="EW235" s="11"/>
      <c r="EX235" s="11"/>
      <c r="EY235" s="11"/>
      <c r="EZ235" s="11"/>
      <c r="FA235" s="11"/>
      <c r="FB235" s="11"/>
      <c r="FC235" s="11"/>
      <c r="FD235" s="11"/>
      <c r="FE235" s="11"/>
      <c r="FF235" s="11"/>
      <c r="FG235" s="11"/>
      <c r="FH235" s="11"/>
      <c r="FI235" s="11"/>
      <c r="FJ235" s="11"/>
      <c r="FK235" s="11"/>
      <c r="FL235" s="11"/>
      <c r="FM235" s="11"/>
      <c r="FN235" s="11"/>
      <c r="FO235" s="11"/>
      <c r="FP235" s="11"/>
      <c r="FQ235" s="11"/>
      <c r="FR235" s="11"/>
      <c r="FS235" s="11"/>
      <c r="FT235" s="11"/>
      <c r="FU235" s="11"/>
      <c r="FV235" s="11"/>
      <c r="FW235" s="11"/>
      <c r="FX235" s="11"/>
      <c r="FY235" s="11"/>
      <c r="FZ235" s="11"/>
      <c r="GA235" s="11"/>
      <c r="GB235" s="11"/>
      <c r="GC235" s="11"/>
      <c r="GD235" s="11"/>
      <c r="GE235" s="11"/>
      <c r="GF235" s="11"/>
      <c r="GG235" s="11"/>
      <c r="GH235" s="11"/>
      <c r="GI235" s="11"/>
      <c r="GJ235" s="11"/>
      <c r="GK235" s="11"/>
      <c r="GL235" s="11"/>
      <c r="GM235" s="11"/>
      <c r="GN235" s="11"/>
      <c r="GO235" s="11"/>
      <c r="GP235" s="11"/>
      <c r="GQ235" s="11"/>
      <c r="GR235" s="11"/>
    </row>
    <row r="236" spans="2:200" x14ac:dyDescent="0.15"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11"/>
      <c r="CE236" s="11"/>
      <c r="CF236" s="11"/>
      <c r="CG236" s="11"/>
      <c r="CH236" s="11"/>
      <c r="CI236" s="11"/>
      <c r="CJ236" s="11"/>
      <c r="CK236" s="11"/>
      <c r="CL236" s="11"/>
      <c r="CM236" s="11"/>
      <c r="CN236" s="11"/>
      <c r="CO236" s="11"/>
      <c r="CP236" s="11"/>
      <c r="CQ236" s="11"/>
      <c r="CR236" s="11"/>
      <c r="CS236" s="11"/>
      <c r="CT236" s="11"/>
      <c r="CU236" s="11"/>
      <c r="CV236" s="11"/>
      <c r="CW236" s="11"/>
      <c r="CX236" s="11"/>
      <c r="CY236" s="11"/>
      <c r="CZ236" s="11"/>
      <c r="DA236" s="11"/>
      <c r="DB236" s="11"/>
      <c r="DC236" s="11"/>
      <c r="DD236" s="11"/>
      <c r="DE236" s="11"/>
      <c r="DF236" s="11"/>
      <c r="DG236" s="11"/>
      <c r="DH236" s="11"/>
      <c r="DI236" s="11"/>
      <c r="DJ236" s="11"/>
      <c r="DK236" s="11"/>
      <c r="DL236" s="11"/>
      <c r="DM236" s="11"/>
      <c r="DN236" s="11"/>
      <c r="DO236" s="11"/>
      <c r="DP236" s="11"/>
      <c r="DQ236" s="11"/>
      <c r="DR236" s="11"/>
      <c r="DS236" s="11"/>
      <c r="DT236" s="11"/>
      <c r="DU236" s="11"/>
      <c r="DV236" s="11"/>
      <c r="DW236" s="11"/>
      <c r="DX236" s="11"/>
      <c r="DY236" s="11"/>
      <c r="DZ236" s="11"/>
      <c r="EA236" s="11"/>
      <c r="EB236" s="11"/>
      <c r="EC236" s="11"/>
      <c r="ED236" s="11"/>
      <c r="EE236" s="11"/>
      <c r="EF236" s="11"/>
      <c r="EG236" s="11"/>
      <c r="EH236" s="11"/>
      <c r="EI236" s="11"/>
      <c r="EJ236" s="11"/>
      <c r="EK236" s="11"/>
      <c r="EL236" s="11"/>
      <c r="EM236" s="11"/>
      <c r="EN236" s="11"/>
      <c r="EO236" s="11"/>
      <c r="EP236" s="11"/>
      <c r="EQ236" s="11"/>
      <c r="ER236" s="11"/>
      <c r="ES236" s="11"/>
      <c r="ET236" s="11"/>
      <c r="EU236" s="11"/>
      <c r="EV236" s="11"/>
      <c r="EW236" s="11"/>
      <c r="EX236" s="11"/>
      <c r="EY236" s="11"/>
      <c r="EZ236" s="11"/>
      <c r="FA236" s="11"/>
      <c r="FB236" s="11"/>
      <c r="FC236" s="11"/>
      <c r="FD236" s="11"/>
      <c r="FE236" s="11"/>
      <c r="FF236" s="11"/>
      <c r="FG236" s="11"/>
      <c r="FH236" s="11"/>
      <c r="FI236" s="11"/>
      <c r="FJ236" s="11"/>
      <c r="FK236" s="11"/>
      <c r="FL236" s="11"/>
      <c r="FM236" s="11"/>
      <c r="FN236" s="11"/>
      <c r="FO236" s="11"/>
      <c r="FP236" s="11"/>
      <c r="FQ236" s="11"/>
      <c r="FR236" s="11"/>
      <c r="FS236" s="11"/>
      <c r="FT236" s="11"/>
      <c r="FU236" s="11"/>
      <c r="FV236" s="11"/>
      <c r="FW236" s="11"/>
      <c r="FX236" s="11"/>
      <c r="FY236" s="11"/>
      <c r="FZ236" s="11"/>
      <c r="GA236" s="11"/>
      <c r="GB236" s="11"/>
      <c r="GC236" s="11"/>
      <c r="GD236" s="11"/>
      <c r="GE236" s="11"/>
      <c r="GF236" s="11"/>
      <c r="GG236" s="11"/>
      <c r="GH236" s="11"/>
      <c r="GI236" s="11"/>
      <c r="GJ236" s="11"/>
      <c r="GK236" s="11"/>
      <c r="GL236" s="11"/>
      <c r="GM236" s="11"/>
      <c r="GN236" s="11"/>
      <c r="GO236" s="11"/>
      <c r="GP236" s="11"/>
      <c r="GQ236" s="11"/>
      <c r="GR236" s="11"/>
    </row>
    <row r="237" spans="2:200" x14ac:dyDescent="0.15"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11"/>
      <c r="CE237" s="11"/>
      <c r="CF237" s="11"/>
      <c r="CG237" s="11"/>
      <c r="CH237" s="11"/>
      <c r="CI237" s="11"/>
      <c r="CJ237" s="11"/>
      <c r="CK237" s="11"/>
      <c r="CL237" s="11"/>
      <c r="CM237" s="11"/>
      <c r="CN237" s="11"/>
      <c r="CO237" s="11"/>
      <c r="CP237" s="11"/>
      <c r="CQ237" s="11"/>
      <c r="CR237" s="11"/>
      <c r="CS237" s="11"/>
      <c r="CT237" s="11"/>
      <c r="CU237" s="11"/>
      <c r="CV237" s="11"/>
      <c r="CW237" s="11"/>
      <c r="CX237" s="11"/>
      <c r="CY237" s="11"/>
      <c r="CZ237" s="11"/>
      <c r="DA237" s="11"/>
      <c r="DB237" s="11"/>
      <c r="DC237" s="11"/>
      <c r="DD237" s="11"/>
      <c r="DE237" s="11"/>
      <c r="DF237" s="11"/>
      <c r="DG237" s="11"/>
      <c r="DH237" s="11"/>
      <c r="DI237" s="11"/>
      <c r="DJ237" s="11"/>
      <c r="DK237" s="11"/>
      <c r="DL237" s="11"/>
      <c r="DM237" s="11"/>
      <c r="DN237" s="11"/>
      <c r="DO237" s="11"/>
      <c r="DP237" s="11"/>
      <c r="DQ237" s="11"/>
      <c r="DR237" s="11"/>
      <c r="DS237" s="11"/>
      <c r="DT237" s="11"/>
      <c r="DU237" s="11"/>
      <c r="DV237" s="11"/>
      <c r="DW237" s="11"/>
      <c r="DX237" s="11"/>
      <c r="DY237" s="11"/>
      <c r="DZ237" s="11"/>
      <c r="EA237" s="11"/>
      <c r="EB237" s="11"/>
      <c r="EC237" s="11"/>
      <c r="ED237" s="11"/>
      <c r="EE237" s="11"/>
      <c r="EF237" s="11"/>
      <c r="EG237" s="11"/>
      <c r="EH237" s="11"/>
      <c r="EI237" s="11"/>
      <c r="EJ237" s="11"/>
      <c r="EK237" s="11"/>
      <c r="EL237" s="11"/>
      <c r="EM237" s="11"/>
      <c r="EN237" s="11"/>
      <c r="EO237" s="11"/>
      <c r="EP237" s="11"/>
      <c r="EQ237" s="11"/>
      <c r="ER237" s="11"/>
      <c r="ES237" s="11"/>
      <c r="ET237" s="11"/>
      <c r="EU237" s="11"/>
      <c r="EV237" s="11"/>
      <c r="EW237" s="11"/>
      <c r="EX237" s="11"/>
      <c r="EY237" s="11"/>
      <c r="EZ237" s="11"/>
      <c r="FA237" s="11"/>
      <c r="FB237" s="11"/>
      <c r="FC237" s="11"/>
      <c r="FD237" s="11"/>
      <c r="FE237" s="11"/>
      <c r="FF237" s="11"/>
      <c r="FG237" s="11"/>
      <c r="FH237" s="11"/>
      <c r="FI237" s="11"/>
      <c r="FJ237" s="11"/>
      <c r="FK237" s="11"/>
      <c r="FL237" s="11"/>
      <c r="FM237" s="11"/>
      <c r="FN237" s="11"/>
      <c r="FO237" s="11"/>
      <c r="FP237" s="11"/>
      <c r="FQ237" s="11"/>
      <c r="FR237" s="11"/>
      <c r="FS237" s="11"/>
      <c r="FT237" s="11"/>
      <c r="FU237" s="11"/>
      <c r="FV237" s="11"/>
      <c r="FW237" s="11"/>
      <c r="FX237" s="11"/>
      <c r="FY237" s="11"/>
      <c r="FZ237" s="11"/>
      <c r="GA237" s="11"/>
      <c r="GB237" s="11"/>
      <c r="GC237" s="11"/>
      <c r="GD237" s="11"/>
      <c r="GE237" s="11"/>
      <c r="GF237" s="11"/>
      <c r="GG237" s="11"/>
      <c r="GH237" s="11"/>
      <c r="GI237" s="11"/>
      <c r="GJ237" s="11"/>
      <c r="GK237" s="11"/>
      <c r="GL237" s="11"/>
      <c r="GM237" s="11"/>
      <c r="GN237" s="11"/>
      <c r="GO237" s="11"/>
      <c r="GP237" s="11"/>
      <c r="GQ237" s="11"/>
      <c r="GR237" s="11"/>
    </row>
    <row r="238" spans="2:200" x14ac:dyDescent="0.15"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11"/>
      <c r="CE238" s="11"/>
      <c r="CF238" s="11"/>
      <c r="CG238" s="11"/>
      <c r="CH238" s="11"/>
      <c r="CI238" s="11"/>
      <c r="CJ238" s="11"/>
      <c r="CK238" s="11"/>
      <c r="CL238" s="11"/>
      <c r="CM238" s="11"/>
      <c r="CN238" s="11"/>
      <c r="CO238" s="11"/>
      <c r="CP238" s="11"/>
      <c r="CQ238" s="11"/>
      <c r="CR238" s="11"/>
      <c r="CS238" s="11"/>
      <c r="CT238" s="11"/>
      <c r="CU238" s="11"/>
      <c r="CV238" s="11"/>
      <c r="CW238" s="11"/>
      <c r="CX238" s="11"/>
      <c r="CY238" s="11"/>
      <c r="CZ238" s="11"/>
      <c r="DA238" s="11"/>
      <c r="DB238" s="11"/>
      <c r="DC238" s="11"/>
      <c r="DD238" s="11"/>
      <c r="DE238" s="11"/>
      <c r="DF238" s="11"/>
      <c r="DG238" s="11"/>
      <c r="DH238" s="11"/>
      <c r="DI238" s="11"/>
      <c r="DJ238" s="11"/>
      <c r="DK238" s="11"/>
      <c r="DL238" s="11"/>
      <c r="DM238" s="11"/>
      <c r="DN238" s="11"/>
      <c r="DO238" s="11"/>
      <c r="DP238" s="11"/>
      <c r="DQ238" s="11"/>
      <c r="DR238" s="11"/>
      <c r="DS238" s="11"/>
      <c r="DT238" s="11"/>
      <c r="DU238" s="11"/>
      <c r="DV238" s="11"/>
      <c r="DW238" s="11"/>
      <c r="DX238" s="11"/>
      <c r="DY238" s="11"/>
      <c r="DZ238" s="11"/>
      <c r="EA238" s="11"/>
      <c r="EB238" s="11"/>
      <c r="EC238" s="11"/>
      <c r="ED238" s="11"/>
      <c r="EE238" s="11"/>
      <c r="EF238" s="11"/>
      <c r="EG238" s="11"/>
      <c r="EH238" s="11"/>
      <c r="EI238" s="11"/>
      <c r="EJ238" s="11"/>
      <c r="EK238" s="11"/>
      <c r="EL238" s="11"/>
      <c r="EM238" s="11"/>
      <c r="EN238" s="11"/>
      <c r="EO238" s="11"/>
      <c r="EP238" s="11"/>
      <c r="EQ238" s="11"/>
      <c r="ER238" s="11"/>
      <c r="ES238" s="11"/>
      <c r="ET238" s="11"/>
      <c r="EU238" s="11"/>
      <c r="EV238" s="11"/>
      <c r="EW238" s="11"/>
      <c r="EX238" s="11"/>
      <c r="EY238" s="11"/>
      <c r="EZ238" s="11"/>
      <c r="FA238" s="11"/>
      <c r="FB238" s="11"/>
      <c r="FC238" s="11"/>
      <c r="FD238" s="11"/>
      <c r="FE238" s="11"/>
      <c r="FF238" s="11"/>
      <c r="FG238" s="11"/>
      <c r="FH238" s="11"/>
      <c r="FI238" s="11"/>
      <c r="FJ238" s="11"/>
      <c r="FK238" s="11"/>
      <c r="FL238" s="11"/>
      <c r="FM238" s="11"/>
      <c r="FN238" s="11"/>
      <c r="FO238" s="11"/>
      <c r="FP238" s="11"/>
      <c r="FQ238" s="11"/>
      <c r="FR238" s="11"/>
      <c r="FS238" s="11"/>
      <c r="FT238" s="11"/>
      <c r="FU238" s="11"/>
      <c r="FV238" s="11"/>
      <c r="FW238" s="11"/>
      <c r="FX238" s="11"/>
      <c r="FY238" s="11"/>
      <c r="FZ238" s="11"/>
      <c r="GA238" s="11"/>
      <c r="GB238" s="11"/>
      <c r="GC238" s="11"/>
      <c r="GD238" s="11"/>
      <c r="GE238" s="11"/>
      <c r="GF238" s="11"/>
      <c r="GG238" s="11"/>
      <c r="GH238" s="11"/>
      <c r="GI238" s="11"/>
      <c r="GJ238" s="11"/>
      <c r="GK238" s="11"/>
      <c r="GL238" s="11"/>
      <c r="GM238" s="11"/>
      <c r="GN238" s="11"/>
      <c r="GO238" s="11"/>
      <c r="GP238" s="11"/>
      <c r="GQ238" s="11"/>
      <c r="GR238" s="11"/>
    </row>
    <row r="239" spans="2:200" x14ac:dyDescent="0.15"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11"/>
      <c r="CE239" s="11"/>
      <c r="CF239" s="11"/>
      <c r="CG239" s="11"/>
      <c r="CH239" s="11"/>
      <c r="CI239" s="11"/>
      <c r="CJ239" s="11"/>
      <c r="CK239" s="11"/>
      <c r="CL239" s="11"/>
      <c r="CM239" s="11"/>
      <c r="CN239" s="11"/>
      <c r="CO239" s="11"/>
      <c r="CP239" s="11"/>
      <c r="CQ239" s="11"/>
      <c r="CR239" s="11"/>
      <c r="CS239" s="11"/>
      <c r="CT239" s="11"/>
      <c r="CU239" s="11"/>
      <c r="CV239" s="11"/>
      <c r="CW239" s="11"/>
      <c r="CX239" s="11"/>
      <c r="CY239" s="11"/>
      <c r="CZ239" s="11"/>
      <c r="DA239" s="11"/>
      <c r="DB239" s="11"/>
      <c r="DC239" s="11"/>
      <c r="DD239" s="11"/>
      <c r="DE239" s="11"/>
      <c r="DF239" s="11"/>
      <c r="DG239" s="11"/>
      <c r="DH239" s="11"/>
      <c r="DI239" s="11"/>
      <c r="DJ239" s="11"/>
      <c r="DK239" s="11"/>
      <c r="DL239" s="11"/>
      <c r="DM239" s="11"/>
      <c r="DN239" s="11"/>
      <c r="DO239" s="11"/>
      <c r="DP239" s="11"/>
      <c r="DQ239" s="11"/>
      <c r="DR239" s="11"/>
      <c r="DS239" s="11"/>
      <c r="DT239" s="11"/>
      <c r="DU239" s="11"/>
      <c r="DV239" s="11"/>
      <c r="DW239" s="11"/>
      <c r="DX239" s="11"/>
      <c r="DY239" s="11"/>
      <c r="DZ239" s="11"/>
      <c r="EA239" s="11"/>
      <c r="EB239" s="11"/>
      <c r="EC239" s="11"/>
      <c r="ED239" s="11"/>
      <c r="EE239" s="11"/>
      <c r="EF239" s="11"/>
      <c r="EG239" s="11"/>
      <c r="EH239" s="11"/>
      <c r="EI239" s="11"/>
      <c r="EJ239" s="11"/>
      <c r="EK239" s="11"/>
      <c r="EL239" s="11"/>
      <c r="EM239" s="11"/>
      <c r="EN239" s="11"/>
      <c r="EO239" s="11"/>
      <c r="EP239" s="11"/>
      <c r="EQ239" s="11"/>
      <c r="ER239" s="11"/>
      <c r="ES239" s="11"/>
      <c r="ET239" s="11"/>
      <c r="EU239" s="11"/>
      <c r="EV239" s="11"/>
      <c r="EW239" s="11"/>
      <c r="EX239" s="11"/>
      <c r="EY239" s="11"/>
      <c r="EZ239" s="11"/>
      <c r="FA239" s="11"/>
      <c r="FB239" s="11"/>
      <c r="FC239" s="11"/>
      <c r="FD239" s="11"/>
      <c r="FE239" s="11"/>
      <c r="FF239" s="11"/>
      <c r="FG239" s="11"/>
      <c r="FH239" s="11"/>
      <c r="FI239" s="11"/>
      <c r="FJ239" s="11"/>
      <c r="FK239" s="11"/>
      <c r="FL239" s="11"/>
      <c r="FM239" s="11"/>
      <c r="FN239" s="11"/>
      <c r="FO239" s="11"/>
      <c r="FP239" s="11"/>
      <c r="FQ239" s="11"/>
      <c r="FR239" s="11"/>
      <c r="FS239" s="11"/>
      <c r="FT239" s="11"/>
      <c r="FU239" s="11"/>
      <c r="FV239" s="11"/>
      <c r="FW239" s="11"/>
      <c r="FX239" s="11"/>
      <c r="FY239" s="11"/>
      <c r="FZ239" s="11"/>
      <c r="GA239" s="11"/>
      <c r="GB239" s="11"/>
      <c r="GC239" s="11"/>
      <c r="GD239" s="11"/>
      <c r="GE239" s="11"/>
      <c r="GF239" s="11"/>
      <c r="GG239" s="11"/>
      <c r="GH239" s="11"/>
      <c r="GI239" s="11"/>
      <c r="GJ239" s="11"/>
      <c r="GK239" s="11"/>
      <c r="GL239" s="11"/>
      <c r="GM239" s="11"/>
      <c r="GN239" s="11"/>
      <c r="GO239" s="11"/>
      <c r="GP239" s="11"/>
      <c r="GQ239" s="11"/>
      <c r="GR239" s="11"/>
    </row>
    <row r="240" spans="2:200" x14ac:dyDescent="0.15"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  <c r="CW240" s="11"/>
      <c r="CX240" s="11"/>
      <c r="CY240" s="11"/>
      <c r="CZ240" s="11"/>
      <c r="DA240" s="11"/>
      <c r="DB240" s="11"/>
      <c r="DC240" s="11"/>
      <c r="DD240" s="11"/>
      <c r="DE240" s="11"/>
      <c r="DF240" s="11"/>
      <c r="DG240" s="11"/>
      <c r="DH240" s="11"/>
      <c r="DI240" s="11"/>
      <c r="DJ240" s="11"/>
      <c r="DK240" s="11"/>
      <c r="DL240" s="11"/>
      <c r="DM240" s="11"/>
      <c r="DN240" s="11"/>
      <c r="DO240" s="11"/>
      <c r="DP240" s="11"/>
      <c r="DQ240" s="11"/>
      <c r="DR240" s="11"/>
      <c r="DS240" s="11"/>
      <c r="DT240" s="11"/>
      <c r="DU240" s="11"/>
      <c r="DV240" s="11"/>
      <c r="DW240" s="11"/>
      <c r="DX240" s="11"/>
      <c r="DY240" s="11"/>
      <c r="DZ240" s="11"/>
      <c r="EA240" s="11"/>
      <c r="EB240" s="11"/>
      <c r="EC240" s="11"/>
      <c r="ED240" s="11"/>
      <c r="EE240" s="11"/>
      <c r="EF240" s="11"/>
      <c r="EG240" s="11"/>
      <c r="EH240" s="11"/>
      <c r="EI240" s="11"/>
      <c r="EJ240" s="11"/>
      <c r="EK240" s="11"/>
      <c r="EL240" s="11"/>
      <c r="EM240" s="11"/>
      <c r="EN240" s="11"/>
      <c r="EO240" s="11"/>
      <c r="EP240" s="11"/>
      <c r="EQ240" s="11"/>
      <c r="ER240" s="11"/>
      <c r="ES240" s="11"/>
      <c r="ET240" s="11"/>
      <c r="EU240" s="11"/>
      <c r="EV240" s="11"/>
      <c r="EW240" s="11"/>
      <c r="EX240" s="11"/>
      <c r="EY240" s="11"/>
      <c r="EZ240" s="11"/>
      <c r="FA240" s="11"/>
      <c r="FB240" s="11"/>
      <c r="FC240" s="11"/>
      <c r="FD240" s="11"/>
      <c r="FE240" s="11"/>
      <c r="FF240" s="11"/>
      <c r="FG240" s="11"/>
      <c r="FH240" s="11"/>
      <c r="FI240" s="11"/>
      <c r="FJ240" s="11"/>
      <c r="FK240" s="11"/>
      <c r="FL240" s="11"/>
      <c r="FM240" s="11"/>
      <c r="FN240" s="11"/>
      <c r="FO240" s="11"/>
      <c r="FP240" s="11"/>
      <c r="FQ240" s="11"/>
      <c r="FR240" s="11"/>
      <c r="FS240" s="11"/>
      <c r="FT240" s="11"/>
      <c r="FU240" s="11"/>
      <c r="FV240" s="11"/>
      <c r="FW240" s="11"/>
      <c r="FX240" s="11"/>
      <c r="FY240" s="11"/>
      <c r="FZ240" s="11"/>
      <c r="GA240" s="11"/>
      <c r="GB240" s="11"/>
      <c r="GC240" s="11"/>
      <c r="GD240" s="11"/>
      <c r="GE240" s="11"/>
      <c r="GF240" s="11"/>
      <c r="GG240" s="11"/>
      <c r="GH240" s="11"/>
      <c r="GI240" s="11"/>
      <c r="GJ240" s="11"/>
      <c r="GK240" s="11"/>
      <c r="GL240" s="11"/>
      <c r="GM240" s="11"/>
      <c r="GN240" s="11"/>
      <c r="GO240" s="11"/>
      <c r="GP240" s="11"/>
      <c r="GQ240" s="11"/>
      <c r="GR240" s="11"/>
    </row>
    <row r="241" spans="2:200" x14ac:dyDescent="0.15"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11"/>
      <c r="CE241" s="11"/>
      <c r="CF241" s="11"/>
      <c r="CG241" s="11"/>
      <c r="CH241" s="11"/>
      <c r="CI241" s="11"/>
      <c r="CJ241" s="11"/>
      <c r="CK241" s="11"/>
      <c r="CL241" s="11"/>
      <c r="CM241" s="11"/>
      <c r="CN241" s="11"/>
      <c r="CO241" s="11"/>
      <c r="CP241" s="11"/>
      <c r="CQ241" s="11"/>
      <c r="CR241" s="11"/>
      <c r="CS241" s="11"/>
      <c r="CT241" s="11"/>
      <c r="CU241" s="11"/>
      <c r="CV241" s="11"/>
      <c r="CW241" s="11"/>
      <c r="CX241" s="11"/>
      <c r="CY241" s="11"/>
      <c r="CZ241" s="11"/>
      <c r="DA241" s="11"/>
      <c r="DB241" s="11"/>
      <c r="DC241" s="11"/>
      <c r="DD241" s="11"/>
      <c r="DE241" s="11"/>
      <c r="DF241" s="11"/>
      <c r="DG241" s="11"/>
      <c r="DH241" s="11"/>
      <c r="DI241" s="11"/>
      <c r="DJ241" s="11"/>
      <c r="DK241" s="11"/>
      <c r="DL241" s="11"/>
      <c r="DM241" s="11"/>
      <c r="DN241" s="11"/>
      <c r="DO241" s="11"/>
      <c r="DP241" s="11"/>
      <c r="DQ241" s="11"/>
      <c r="DR241" s="11"/>
      <c r="DS241" s="11"/>
      <c r="DT241" s="11"/>
      <c r="DU241" s="11"/>
      <c r="DV241" s="11"/>
      <c r="DW241" s="11"/>
      <c r="DX241" s="11"/>
      <c r="DY241" s="11"/>
      <c r="DZ241" s="11"/>
      <c r="EA241" s="11"/>
      <c r="EB241" s="11"/>
      <c r="EC241" s="11"/>
      <c r="ED241" s="11"/>
      <c r="EE241" s="11"/>
      <c r="EF241" s="11"/>
      <c r="EG241" s="11"/>
      <c r="EH241" s="11"/>
      <c r="EI241" s="11"/>
      <c r="EJ241" s="11"/>
      <c r="EK241" s="11"/>
      <c r="EL241" s="11"/>
      <c r="EM241" s="11"/>
      <c r="EN241" s="11"/>
      <c r="EO241" s="11"/>
      <c r="EP241" s="11"/>
      <c r="EQ241" s="11"/>
      <c r="ER241" s="11"/>
      <c r="ES241" s="11"/>
      <c r="ET241" s="11"/>
      <c r="EU241" s="11"/>
      <c r="EV241" s="11"/>
      <c r="EW241" s="11"/>
      <c r="EX241" s="11"/>
      <c r="EY241" s="11"/>
      <c r="EZ241" s="11"/>
      <c r="FA241" s="11"/>
      <c r="FB241" s="11"/>
      <c r="FC241" s="11"/>
      <c r="FD241" s="11"/>
      <c r="FE241" s="11"/>
      <c r="FF241" s="11"/>
      <c r="FG241" s="11"/>
      <c r="FH241" s="11"/>
      <c r="FI241" s="11"/>
      <c r="FJ241" s="11"/>
      <c r="FK241" s="11"/>
      <c r="FL241" s="11"/>
      <c r="FM241" s="11"/>
      <c r="FN241" s="11"/>
      <c r="FO241" s="11"/>
      <c r="FP241" s="11"/>
      <c r="FQ241" s="11"/>
      <c r="FR241" s="11"/>
      <c r="FS241" s="11"/>
      <c r="FT241" s="11"/>
      <c r="FU241" s="11"/>
      <c r="FV241" s="11"/>
      <c r="FW241" s="11"/>
      <c r="FX241" s="11"/>
      <c r="FY241" s="11"/>
      <c r="FZ241" s="11"/>
      <c r="GA241" s="11"/>
      <c r="GB241" s="11"/>
      <c r="GC241" s="11"/>
      <c r="GD241" s="11"/>
      <c r="GE241" s="11"/>
      <c r="GF241" s="11"/>
      <c r="GG241" s="11"/>
      <c r="GH241" s="11"/>
      <c r="GI241" s="11"/>
      <c r="GJ241" s="11"/>
      <c r="GK241" s="11"/>
      <c r="GL241" s="11"/>
      <c r="GM241" s="11"/>
      <c r="GN241" s="11"/>
      <c r="GO241" s="11"/>
      <c r="GP241" s="11"/>
      <c r="GQ241" s="11"/>
      <c r="GR241" s="11"/>
    </row>
    <row r="242" spans="2:200" x14ac:dyDescent="0.15"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1"/>
      <c r="CL242" s="11"/>
      <c r="CM242" s="11"/>
      <c r="CN242" s="11"/>
      <c r="CO242" s="11"/>
      <c r="CP242" s="11"/>
      <c r="CQ242" s="11"/>
      <c r="CR242" s="11"/>
      <c r="CS242" s="11"/>
      <c r="CT242" s="11"/>
      <c r="CU242" s="11"/>
      <c r="CV242" s="11"/>
      <c r="CW242" s="11"/>
      <c r="CX242" s="11"/>
      <c r="CY242" s="11"/>
      <c r="CZ242" s="11"/>
      <c r="DA242" s="11"/>
      <c r="DB242" s="11"/>
      <c r="DC242" s="11"/>
      <c r="DD242" s="11"/>
      <c r="DE242" s="11"/>
      <c r="DF242" s="11"/>
      <c r="DG242" s="11"/>
      <c r="DH242" s="11"/>
      <c r="DI242" s="11"/>
      <c r="DJ242" s="11"/>
      <c r="DK242" s="11"/>
      <c r="DL242" s="11"/>
      <c r="DM242" s="11"/>
      <c r="DN242" s="11"/>
      <c r="DO242" s="11"/>
      <c r="DP242" s="11"/>
      <c r="DQ242" s="11"/>
      <c r="DR242" s="11"/>
      <c r="DS242" s="11"/>
      <c r="DT242" s="11"/>
      <c r="DU242" s="11"/>
      <c r="DV242" s="11"/>
      <c r="DW242" s="11"/>
      <c r="DX242" s="11"/>
      <c r="DY242" s="11"/>
      <c r="DZ242" s="11"/>
      <c r="EA242" s="11"/>
      <c r="EB242" s="11"/>
      <c r="EC242" s="11"/>
      <c r="ED242" s="11"/>
      <c r="EE242" s="11"/>
      <c r="EF242" s="11"/>
      <c r="EG242" s="11"/>
      <c r="EH242" s="11"/>
      <c r="EI242" s="11"/>
      <c r="EJ242" s="11"/>
      <c r="EK242" s="11"/>
      <c r="EL242" s="11"/>
      <c r="EM242" s="11"/>
      <c r="EN242" s="11"/>
      <c r="EO242" s="11"/>
      <c r="EP242" s="11"/>
      <c r="EQ242" s="11"/>
      <c r="ER242" s="11"/>
      <c r="ES242" s="11"/>
      <c r="ET242" s="11"/>
      <c r="EU242" s="11"/>
      <c r="EV242" s="11"/>
      <c r="EW242" s="11"/>
      <c r="EX242" s="11"/>
      <c r="EY242" s="11"/>
      <c r="EZ242" s="11"/>
      <c r="FA242" s="11"/>
      <c r="FB242" s="11"/>
      <c r="FC242" s="11"/>
      <c r="FD242" s="11"/>
      <c r="FE242" s="11"/>
      <c r="FF242" s="11"/>
      <c r="FG242" s="11"/>
      <c r="FH242" s="11"/>
      <c r="FI242" s="11"/>
      <c r="FJ242" s="11"/>
      <c r="FK242" s="11"/>
      <c r="FL242" s="11"/>
      <c r="FM242" s="11"/>
      <c r="FN242" s="11"/>
      <c r="FO242" s="11"/>
      <c r="FP242" s="11"/>
      <c r="FQ242" s="11"/>
      <c r="FR242" s="11"/>
      <c r="FS242" s="11"/>
      <c r="FT242" s="11"/>
      <c r="FU242" s="11"/>
      <c r="FV242" s="11"/>
      <c r="FW242" s="11"/>
      <c r="FX242" s="11"/>
      <c r="FY242" s="11"/>
      <c r="FZ242" s="11"/>
      <c r="GA242" s="11"/>
      <c r="GB242" s="11"/>
      <c r="GC242" s="11"/>
      <c r="GD242" s="11"/>
      <c r="GE242" s="11"/>
      <c r="GF242" s="11"/>
      <c r="GG242" s="11"/>
      <c r="GH242" s="11"/>
      <c r="GI242" s="11"/>
      <c r="GJ242" s="11"/>
      <c r="GK242" s="11"/>
      <c r="GL242" s="11"/>
      <c r="GM242" s="11"/>
      <c r="GN242" s="11"/>
      <c r="GO242" s="11"/>
      <c r="GP242" s="11"/>
      <c r="GQ242" s="11"/>
      <c r="GR242" s="11"/>
    </row>
    <row r="243" spans="2:200" x14ac:dyDescent="0.15"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11"/>
      <c r="CE243" s="11"/>
      <c r="CF243" s="11"/>
      <c r="CG243" s="11"/>
      <c r="CH243" s="11"/>
      <c r="CI243" s="11"/>
      <c r="CJ243" s="11"/>
      <c r="CK243" s="11"/>
      <c r="CL243" s="11"/>
      <c r="CM243" s="11"/>
      <c r="CN243" s="11"/>
      <c r="CO243" s="11"/>
      <c r="CP243" s="11"/>
      <c r="CQ243" s="11"/>
      <c r="CR243" s="11"/>
      <c r="CS243" s="11"/>
      <c r="CT243" s="11"/>
      <c r="CU243" s="11"/>
      <c r="CV243" s="11"/>
      <c r="CW243" s="11"/>
      <c r="CX243" s="11"/>
      <c r="CY243" s="11"/>
      <c r="CZ243" s="11"/>
      <c r="DA243" s="11"/>
      <c r="DB243" s="11"/>
      <c r="DC243" s="11"/>
      <c r="DD243" s="11"/>
      <c r="DE243" s="11"/>
      <c r="DF243" s="11"/>
      <c r="DG243" s="11"/>
      <c r="DH243" s="11"/>
      <c r="DI243" s="11"/>
      <c r="DJ243" s="11"/>
      <c r="DK243" s="11"/>
      <c r="DL243" s="11"/>
      <c r="DM243" s="11"/>
      <c r="DN243" s="11"/>
      <c r="DO243" s="11"/>
      <c r="DP243" s="11"/>
      <c r="DQ243" s="11"/>
      <c r="DR243" s="11"/>
      <c r="DS243" s="11"/>
      <c r="DT243" s="11"/>
      <c r="DU243" s="11"/>
      <c r="DV243" s="11"/>
      <c r="DW243" s="11"/>
      <c r="DX243" s="11"/>
      <c r="DY243" s="11"/>
      <c r="DZ243" s="11"/>
      <c r="EA243" s="11"/>
      <c r="EB243" s="11"/>
      <c r="EC243" s="11"/>
      <c r="ED243" s="11"/>
      <c r="EE243" s="11"/>
      <c r="EF243" s="11"/>
      <c r="EG243" s="11"/>
      <c r="EH243" s="11"/>
      <c r="EI243" s="11"/>
      <c r="EJ243" s="11"/>
      <c r="EK243" s="11"/>
      <c r="EL243" s="11"/>
      <c r="EM243" s="11"/>
      <c r="EN243" s="11"/>
      <c r="EO243" s="11"/>
      <c r="EP243" s="11"/>
      <c r="EQ243" s="11"/>
      <c r="ER243" s="11"/>
      <c r="ES243" s="11"/>
      <c r="ET243" s="11"/>
      <c r="EU243" s="11"/>
      <c r="EV243" s="11"/>
      <c r="EW243" s="11"/>
      <c r="EX243" s="11"/>
      <c r="EY243" s="11"/>
      <c r="EZ243" s="11"/>
      <c r="FA243" s="11"/>
      <c r="FB243" s="11"/>
      <c r="FC243" s="11"/>
      <c r="FD243" s="11"/>
      <c r="FE243" s="11"/>
      <c r="FF243" s="11"/>
      <c r="FG243" s="11"/>
      <c r="FH243" s="11"/>
      <c r="FI243" s="11"/>
      <c r="FJ243" s="11"/>
      <c r="FK243" s="11"/>
      <c r="FL243" s="11"/>
      <c r="FM243" s="11"/>
      <c r="FN243" s="11"/>
      <c r="FO243" s="11"/>
      <c r="FP243" s="11"/>
      <c r="FQ243" s="11"/>
      <c r="FR243" s="11"/>
      <c r="FS243" s="11"/>
      <c r="FT243" s="11"/>
      <c r="FU243" s="11"/>
      <c r="FV243" s="11"/>
      <c r="FW243" s="11"/>
      <c r="FX243" s="11"/>
      <c r="FY243" s="11"/>
      <c r="FZ243" s="11"/>
      <c r="GA243" s="11"/>
      <c r="GB243" s="11"/>
      <c r="GC243" s="11"/>
      <c r="GD243" s="11"/>
      <c r="GE243" s="11"/>
      <c r="GF243" s="11"/>
      <c r="GG243" s="11"/>
      <c r="GH243" s="11"/>
      <c r="GI243" s="11"/>
      <c r="GJ243" s="11"/>
      <c r="GK243" s="11"/>
      <c r="GL243" s="11"/>
      <c r="GM243" s="11"/>
      <c r="GN243" s="11"/>
      <c r="GO243" s="11"/>
      <c r="GP243" s="11"/>
      <c r="GQ243" s="11"/>
      <c r="GR243" s="11"/>
    </row>
    <row r="244" spans="2:200" x14ac:dyDescent="0.15"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11"/>
      <c r="CE244" s="11"/>
      <c r="CF244" s="11"/>
      <c r="CG244" s="11"/>
      <c r="CH244" s="11"/>
      <c r="CI244" s="11"/>
      <c r="CJ244" s="11"/>
      <c r="CK244" s="11"/>
      <c r="CL244" s="11"/>
      <c r="CM244" s="11"/>
      <c r="CN244" s="11"/>
      <c r="CO244" s="11"/>
      <c r="CP244" s="11"/>
      <c r="CQ244" s="11"/>
      <c r="CR244" s="11"/>
      <c r="CS244" s="11"/>
      <c r="CT244" s="11"/>
      <c r="CU244" s="11"/>
      <c r="CV244" s="11"/>
      <c r="CW244" s="11"/>
      <c r="CX244" s="11"/>
      <c r="CY244" s="11"/>
      <c r="CZ244" s="11"/>
      <c r="DA244" s="11"/>
      <c r="DB244" s="11"/>
      <c r="DC244" s="11"/>
      <c r="DD244" s="11"/>
      <c r="DE244" s="11"/>
      <c r="DF244" s="11"/>
      <c r="DG244" s="11"/>
      <c r="DH244" s="11"/>
      <c r="DI244" s="11"/>
      <c r="DJ244" s="11"/>
      <c r="DK244" s="11"/>
      <c r="DL244" s="11"/>
      <c r="DM244" s="11"/>
      <c r="DN244" s="11"/>
      <c r="DO244" s="11"/>
      <c r="DP244" s="11"/>
      <c r="DQ244" s="11"/>
      <c r="DR244" s="11"/>
      <c r="DS244" s="11"/>
      <c r="DT244" s="11"/>
      <c r="DU244" s="11"/>
      <c r="DV244" s="11"/>
      <c r="DW244" s="11"/>
      <c r="DX244" s="11"/>
      <c r="DY244" s="11"/>
      <c r="DZ244" s="11"/>
      <c r="EA244" s="11"/>
      <c r="EB244" s="11"/>
      <c r="EC244" s="11"/>
      <c r="ED244" s="11"/>
      <c r="EE244" s="11"/>
      <c r="EF244" s="11"/>
      <c r="EG244" s="11"/>
      <c r="EH244" s="11"/>
      <c r="EI244" s="11"/>
      <c r="EJ244" s="11"/>
      <c r="EK244" s="11"/>
      <c r="EL244" s="11"/>
      <c r="EM244" s="11"/>
      <c r="EN244" s="11"/>
      <c r="EO244" s="11"/>
      <c r="EP244" s="11"/>
      <c r="EQ244" s="11"/>
      <c r="ER244" s="11"/>
      <c r="ES244" s="11"/>
      <c r="ET244" s="11"/>
      <c r="EU244" s="11"/>
      <c r="EV244" s="11"/>
      <c r="EW244" s="11"/>
      <c r="EX244" s="11"/>
      <c r="EY244" s="11"/>
      <c r="EZ244" s="11"/>
      <c r="FA244" s="11"/>
      <c r="FB244" s="11"/>
      <c r="FC244" s="11"/>
      <c r="FD244" s="11"/>
      <c r="FE244" s="11"/>
      <c r="FF244" s="11"/>
      <c r="FG244" s="11"/>
      <c r="FH244" s="11"/>
      <c r="FI244" s="11"/>
      <c r="FJ244" s="11"/>
      <c r="FK244" s="11"/>
      <c r="FL244" s="11"/>
      <c r="FM244" s="11"/>
      <c r="FN244" s="11"/>
      <c r="FO244" s="11"/>
      <c r="FP244" s="11"/>
      <c r="FQ244" s="11"/>
      <c r="FR244" s="11"/>
      <c r="FS244" s="11"/>
      <c r="FT244" s="11"/>
      <c r="FU244" s="11"/>
      <c r="FV244" s="11"/>
      <c r="FW244" s="11"/>
      <c r="FX244" s="11"/>
      <c r="FY244" s="11"/>
      <c r="FZ244" s="11"/>
      <c r="GA244" s="11"/>
      <c r="GB244" s="11"/>
      <c r="GC244" s="11"/>
      <c r="GD244" s="11"/>
      <c r="GE244" s="11"/>
      <c r="GF244" s="11"/>
      <c r="GG244" s="11"/>
      <c r="GH244" s="11"/>
      <c r="GI244" s="11"/>
      <c r="GJ244" s="11"/>
      <c r="GK244" s="11"/>
      <c r="GL244" s="11"/>
      <c r="GM244" s="11"/>
      <c r="GN244" s="11"/>
      <c r="GO244" s="11"/>
      <c r="GP244" s="11"/>
      <c r="GQ244" s="11"/>
      <c r="GR244" s="11"/>
    </row>
    <row r="245" spans="2:200" x14ac:dyDescent="0.15"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11"/>
      <c r="CE245" s="11"/>
      <c r="CF245" s="11"/>
      <c r="CG245" s="11"/>
      <c r="CH245" s="11"/>
      <c r="CI245" s="11"/>
      <c r="CJ245" s="11"/>
      <c r="CK245" s="11"/>
      <c r="CL245" s="11"/>
      <c r="CM245" s="11"/>
      <c r="CN245" s="11"/>
      <c r="CO245" s="11"/>
      <c r="CP245" s="11"/>
      <c r="CQ245" s="11"/>
      <c r="CR245" s="11"/>
      <c r="CS245" s="11"/>
      <c r="CT245" s="11"/>
      <c r="CU245" s="11"/>
      <c r="CV245" s="11"/>
      <c r="CW245" s="11"/>
      <c r="CX245" s="11"/>
      <c r="CY245" s="11"/>
      <c r="CZ245" s="11"/>
      <c r="DA245" s="11"/>
      <c r="DB245" s="11"/>
      <c r="DC245" s="11"/>
      <c r="DD245" s="11"/>
      <c r="DE245" s="11"/>
      <c r="DF245" s="11"/>
      <c r="DG245" s="11"/>
      <c r="DH245" s="11"/>
      <c r="DI245" s="11"/>
      <c r="DJ245" s="11"/>
      <c r="DK245" s="11"/>
      <c r="DL245" s="11"/>
      <c r="DM245" s="11"/>
      <c r="DN245" s="11"/>
      <c r="DO245" s="11"/>
      <c r="DP245" s="11"/>
      <c r="DQ245" s="11"/>
      <c r="DR245" s="11"/>
      <c r="DS245" s="11"/>
      <c r="DT245" s="11"/>
      <c r="DU245" s="11"/>
      <c r="DV245" s="11"/>
      <c r="DW245" s="11"/>
      <c r="DX245" s="11"/>
      <c r="DY245" s="11"/>
      <c r="DZ245" s="11"/>
      <c r="EA245" s="11"/>
      <c r="EB245" s="11"/>
      <c r="EC245" s="11"/>
      <c r="ED245" s="11"/>
      <c r="EE245" s="11"/>
      <c r="EF245" s="11"/>
      <c r="EG245" s="11"/>
      <c r="EH245" s="11"/>
      <c r="EI245" s="11"/>
      <c r="EJ245" s="11"/>
      <c r="EK245" s="11"/>
      <c r="EL245" s="11"/>
      <c r="EM245" s="11"/>
      <c r="EN245" s="11"/>
      <c r="EO245" s="11"/>
      <c r="EP245" s="11"/>
      <c r="EQ245" s="11"/>
      <c r="ER245" s="11"/>
      <c r="ES245" s="11"/>
      <c r="ET245" s="11"/>
      <c r="EU245" s="11"/>
      <c r="EV245" s="11"/>
      <c r="EW245" s="11"/>
      <c r="EX245" s="11"/>
      <c r="EY245" s="11"/>
      <c r="EZ245" s="11"/>
      <c r="FA245" s="11"/>
      <c r="FB245" s="11"/>
      <c r="FC245" s="11"/>
      <c r="FD245" s="11"/>
      <c r="FE245" s="11"/>
      <c r="FF245" s="11"/>
      <c r="FG245" s="11"/>
      <c r="FH245" s="11"/>
      <c r="FI245" s="11"/>
      <c r="FJ245" s="11"/>
      <c r="FK245" s="11"/>
      <c r="FL245" s="11"/>
      <c r="FM245" s="11"/>
      <c r="FN245" s="11"/>
      <c r="FO245" s="11"/>
      <c r="FP245" s="11"/>
      <c r="FQ245" s="11"/>
      <c r="FR245" s="11"/>
      <c r="FS245" s="11"/>
      <c r="FT245" s="11"/>
      <c r="FU245" s="11"/>
      <c r="FV245" s="11"/>
      <c r="FW245" s="11"/>
      <c r="FX245" s="11"/>
      <c r="FY245" s="11"/>
      <c r="FZ245" s="11"/>
      <c r="GA245" s="11"/>
      <c r="GB245" s="11"/>
      <c r="GC245" s="11"/>
      <c r="GD245" s="11"/>
      <c r="GE245" s="11"/>
      <c r="GF245" s="11"/>
      <c r="GG245" s="11"/>
      <c r="GH245" s="11"/>
      <c r="GI245" s="11"/>
      <c r="GJ245" s="11"/>
      <c r="GK245" s="11"/>
      <c r="GL245" s="11"/>
      <c r="GM245" s="11"/>
      <c r="GN245" s="11"/>
      <c r="GO245" s="11"/>
      <c r="GP245" s="11"/>
      <c r="GQ245" s="11"/>
      <c r="GR245" s="11"/>
    </row>
    <row r="246" spans="2:200" x14ac:dyDescent="0.15"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11"/>
      <c r="CE246" s="11"/>
      <c r="CF246" s="11"/>
      <c r="CG246" s="11"/>
      <c r="CH246" s="11"/>
      <c r="CI246" s="11"/>
      <c r="CJ246" s="11"/>
      <c r="CK246" s="11"/>
      <c r="CL246" s="11"/>
      <c r="CM246" s="11"/>
      <c r="CN246" s="11"/>
      <c r="CO246" s="11"/>
      <c r="CP246" s="11"/>
      <c r="CQ246" s="11"/>
      <c r="CR246" s="11"/>
      <c r="CS246" s="11"/>
      <c r="CT246" s="11"/>
      <c r="CU246" s="11"/>
      <c r="CV246" s="11"/>
      <c r="CW246" s="11"/>
      <c r="CX246" s="11"/>
      <c r="CY246" s="11"/>
      <c r="CZ246" s="11"/>
      <c r="DA246" s="11"/>
      <c r="DB246" s="11"/>
      <c r="DC246" s="11"/>
      <c r="DD246" s="11"/>
      <c r="DE246" s="11"/>
      <c r="DF246" s="11"/>
      <c r="DG246" s="11"/>
      <c r="DH246" s="11"/>
      <c r="DI246" s="11"/>
      <c r="DJ246" s="11"/>
      <c r="DK246" s="11"/>
      <c r="DL246" s="11"/>
      <c r="DM246" s="11"/>
      <c r="DN246" s="11"/>
      <c r="DO246" s="11"/>
      <c r="DP246" s="11"/>
      <c r="DQ246" s="11"/>
      <c r="DR246" s="11"/>
      <c r="DS246" s="11"/>
      <c r="DT246" s="11"/>
      <c r="DU246" s="11"/>
      <c r="DV246" s="11"/>
      <c r="DW246" s="11"/>
      <c r="DX246" s="11"/>
      <c r="DY246" s="11"/>
      <c r="DZ246" s="11"/>
      <c r="EA246" s="11"/>
      <c r="EB246" s="11"/>
      <c r="EC246" s="11"/>
      <c r="ED246" s="11"/>
      <c r="EE246" s="11"/>
      <c r="EF246" s="11"/>
      <c r="EG246" s="11"/>
      <c r="EH246" s="11"/>
      <c r="EI246" s="11"/>
      <c r="EJ246" s="11"/>
      <c r="EK246" s="11"/>
      <c r="EL246" s="11"/>
      <c r="EM246" s="11"/>
      <c r="EN246" s="11"/>
      <c r="EO246" s="11"/>
      <c r="EP246" s="11"/>
      <c r="EQ246" s="11"/>
      <c r="ER246" s="11"/>
      <c r="ES246" s="11"/>
      <c r="ET246" s="11"/>
      <c r="EU246" s="11"/>
      <c r="EV246" s="11"/>
      <c r="EW246" s="11"/>
      <c r="EX246" s="11"/>
      <c r="EY246" s="11"/>
      <c r="EZ246" s="11"/>
      <c r="FA246" s="11"/>
      <c r="FB246" s="11"/>
      <c r="FC246" s="11"/>
      <c r="FD246" s="11"/>
      <c r="FE246" s="11"/>
      <c r="FF246" s="11"/>
      <c r="FG246" s="11"/>
      <c r="FH246" s="11"/>
      <c r="FI246" s="11"/>
      <c r="FJ246" s="11"/>
      <c r="FK246" s="11"/>
      <c r="FL246" s="11"/>
      <c r="FM246" s="11"/>
      <c r="FN246" s="11"/>
      <c r="FO246" s="11"/>
      <c r="FP246" s="11"/>
      <c r="FQ246" s="11"/>
      <c r="FR246" s="11"/>
      <c r="FS246" s="11"/>
      <c r="FT246" s="11"/>
      <c r="FU246" s="11"/>
      <c r="FV246" s="11"/>
      <c r="FW246" s="11"/>
      <c r="FX246" s="11"/>
      <c r="FY246" s="11"/>
      <c r="FZ246" s="11"/>
      <c r="GA246" s="11"/>
      <c r="GB246" s="11"/>
      <c r="GC246" s="11"/>
      <c r="GD246" s="11"/>
      <c r="GE246" s="11"/>
      <c r="GF246" s="11"/>
      <c r="GG246" s="11"/>
      <c r="GH246" s="11"/>
      <c r="GI246" s="11"/>
      <c r="GJ246" s="11"/>
      <c r="GK246" s="11"/>
      <c r="GL246" s="11"/>
      <c r="GM246" s="11"/>
      <c r="GN246" s="11"/>
      <c r="GO246" s="11"/>
      <c r="GP246" s="11"/>
      <c r="GQ246" s="11"/>
      <c r="GR246" s="11"/>
    </row>
    <row r="247" spans="2:200" x14ac:dyDescent="0.15"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11"/>
      <c r="CE247" s="11"/>
      <c r="CF247" s="11"/>
      <c r="CG247" s="11"/>
      <c r="CH247" s="11"/>
      <c r="CI247" s="11"/>
      <c r="CJ247" s="11"/>
      <c r="CK247" s="11"/>
      <c r="CL247" s="11"/>
      <c r="CM247" s="11"/>
      <c r="CN247" s="11"/>
      <c r="CO247" s="11"/>
      <c r="CP247" s="11"/>
      <c r="CQ247" s="11"/>
      <c r="CR247" s="11"/>
      <c r="CS247" s="11"/>
      <c r="CT247" s="11"/>
      <c r="CU247" s="11"/>
      <c r="CV247" s="11"/>
      <c r="CW247" s="11"/>
      <c r="CX247" s="11"/>
      <c r="CY247" s="11"/>
      <c r="CZ247" s="11"/>
      <c r="DA247" s="11"/>
      <c r="DB247" s="11"/>
      <c r="DC247" s="11"/>
      <c r="DD247" s="11"/>
      <c r="DE247" s="11"/>
      <c r="DF247" s="11"/>
      <c r="DG247" s="11"/>
      <c r="DH247" s="11"/>
      <c r="DI247" s="11"/>
      <c r="DJ247" s="11"/>
      <c r="DK247" s="11"/>
      <c r="DL247" s="11"/>
      <c r="DM247" s="11"/>
      <c r="DN247" s="11"/>
      <c r="DO247" s="11"/>
      <c r="DP247" s="11"/>
      <c r="DQ247" s="11"/>
      <c r="DR247" s="11"/>
      <c r="DS247" s="11"/>
      <c r="DT247" s="11"/>
      <c r="DU247" s="11"/>
      <c r="DV247" s="11"/>
      <c r="DW247" s="11"/>
      <c r="DX247" s="11"/>
      <c r="DY247" s="11"/>
      <c r="DZ247" s="11"/>
      <c r="EA247" s="11"/>
      <c r="EB247" s="11"/>
      <c r="EC247" s="11"/>
      <c r="ED247" s="11"/>
      <c r="EE247" s="11"/>
      <c r="EF247" s="11"/>
      <c r="EG247" s="11"/>
      <c r="EH247" s="11"/>
      <c r="EI247" s="11"/>
      <c r="EJ247" s="11"/>
      <c r="EK247" s="11"/>
      <c r="EL247" s="11"/>
      <c r="EM247" s="11"/>
      <c r="EN247" s="11"/>
      <c r="EO247" s="11"/>
      <c r="EP247" s="11"/>
      <c r="EQ247" s="11"/>
      <c r="ER247" s="11"/>
      <c r="ES247" s="11"/>
      <c r="ET247" s="11"/>
      <c r="EU247" s="11"/>
      <c r="EV247" s="11"/>
      <c r="EW247" s="11"/>
      <c r="EX247" s="11"/>
      <c r="EY247" s="11"/>
      <c r="EZ247" s="11"/>
      <c r="FA247" s="11"/>
      <c r="FB247" s="11"/>
      <c r="FC247" s="11"/>
      <c r="FD247" s="11"/>
      <c r="FE247" s="11"/>
      <c r="FF247" s="11"/>
      <c r="FG247" s="11"/>
      <c r="FH247" s="11"/>
      <c r="FI247" s="11"/>
      <c r="FJ247" s="11"/>
      <c r="FK247" s="11"/>
      <c r="FL247" s="11"/>
      <c r="FM247" s="11"/>
      <c r="FN247" s="11"/>
      <c r="FO247" s="11"/>
      <c r="FP247" s="11"/>
      <c r="FQ247" s="11"/>
      <c r="FR247" s="11"/>
      <c r="FS247" s="11"/>
      <c r="FT247" s="11"/>
      <c r="FU247" s="11"/>
      <c r="FV247" s="11"/>
      <c r="FW247" s="11"/>
      <c r="FX247" s="11"/>
      <c r="FY247" s="11"/>
      <c r="FZ247" s="11"/>
      <c r="GA247" s="11"/>
      <c r="GB247" s="11"/>
      <c r="GC247" s="11"/>
      <c r="GD247" s="11"/>
      <c r="GE247" s="11"/>
      <c r="GF247" s="11"/>
      <c r="GG247" s="11"/>
      <c r="GH247" s="11"/>
      <c r="GI247" s="11"/>
      <c r="GJ247" s="11"/>
      <c r="GK247" s="11"/>
      <c r="GL247" s="11"/>
      <c r="GM247" s="11"/>
      <c r="GN247" s="11"/>
      <c r="GO247" s="11"/>
      <c r="GP247" s="11"/>
      <c r="GQ247" s="11"/>
      <c r="GR247" s="11"/>
    </row>
    <row r="248" spans="2:200" x14ac:dyDescent="0.15"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11"/>
      <c r="CH248" s="11"/>
      <c r="CI248" s="11"/>
      <c r="CJ248" s="11"/>
      <c r="CK248" s="11"/>
      <c r="CL248" s="11"/>
      <c r="CM248" s="11"/>
      <c r="CN248" s="11"/>
      <c r="CO248" s="11"/>
      <c r="CP248" s="11"/>
      <c r="CQ248" s="11"/>
      <c r="CR248" s="11"/>
      <c r="CS248" s="11"/>
      <c r="CT248" s="11"/>
      <c r="CU248" s="11"/>
      <c r="CV248" s="11"/>
      <c r="CW248" s="11"/>
      <c r="CX248" s="11"/>
      <c r="CY248" s="11"/>
      <c r="CZ248" s="11"/>
      <c r="DA248" s="11"/>
      <c r="DB248" s="11"/>
      <c r="DC248" s="11"/>
      <c r="DD248" s="11"/>
      <c r="DE248" s="11"/>
      <c r="DF248" s="11"/>
      <c r="DG248" s="11"/>
      <c r="DH248" s="11"/>
      <c r="DI248" s="11"/>
      <c r="DJ248" s="11"/>
      <c r="DK248" s="11"/>
      <c r="DL248" s="11"/>
      <c r="DM248" s="11"/>
      <c r="DN248" s="11"/>
      <c r="DO248" s="11"/>
      <c r="DP248" s="11"/>
      <c r="DQ248" s="11"/>
      <c r="DR248" s="11"/>
      <c r="DS248" s="11"/>
      <c r="DT248" s="11"/>
      <c r="DU248" s="11"/>
      <c r="DV248" s="11"/>
      <c r="DW248" s="11"/>
      <c r="DX248" s="11"/>
      <c r="DY248" s="11"/>
      <c r="DZ248" s="11"/>
      <c r="EA248" s="11"/>
      <c r="EB248" s="11"/>
      <c r="EC248" s="11"/>
      <c r="ED248" s="11"/>
      <c r="EE248" s="11"/>
      <c r="EF248" s="11"/>
      <c r="EG248" s="11"/>
      <c r="EH248" s="11"/>
      <c r="EI248" s="11"/>
      <c r="EJ248" s="11"/>
      <c r="EK248" s="11"/>
      <c r="EL248" s="11"/>
      <c r="EM248" s="11"/>
      <c r="EN248" s="11"/>
      <c r="EO248" s="11"/>
      <c r="EP248" s="11"/>
      <c r="EQ248" s="11"/>
      <c r="ER248" s="11"/>
      <c r="ES248" s="11"/>
      <c r="ET248" s="11"/>
      <c r="EU248" s="11"/>
      <c r="EV248" s="11"/>
      <c r="EW248" s="11"/>
      <c r="EX248" s="11"/>
      <c r="EY248" s="11"/>
      <c r="EZ248" s="11"/>
      <c r="FA248" s="11"/>
      <c r="FB248" s="11"/>
      <c r="FC248" s="11"/>
      <c r="FD248" s="11"/>
      <c r="FE248" s="11"/>
      <c r="FF248" s="11"/>
      <c r="FG248" s="11"/>
      <c r="FH248" s="11"/>
      <c r="FI248" s="11"/>
      <c r="FJ248" s="11"/>
      <c r="FK248" s="11"/>
      <c r="FL248" s="11"/>
      <c r="FM248" s="11"/>
      <c r="FN248" s="11"/>
      <c r="FO248" s="11"/>
      <c r="FP248" s="11"/>
      <c r="FQ248" s="11"/>
      <c r="FR248" s="11"/>
      <c r="FS248" s="11"/>
      <c r="FT248" s="11"/>
      <c r="FU248" s="11"/>
      <c r="FV248" s="11"/>
      <c r="FW248" s="11"/>
      <c r="FX248" s="11"/>
      <c r="FY248" s="11"/>
      <c r="FZ248" s="11"/>
      <c r="GA248" s="11"/>
      <c r="GB248" s="11"/>
      <c r="GC248" s="11"/>
      <c r="GD248" s="11"/>
      <c r="GE248" s="11"/>
      <c r="GF248" s="11"/>
      <c r="GG248" s="11"/>
      <c r="GH248" s="11"/>
      <c r="GI248" s="11"/>
      <c r="GJ248" s="11"/>
      <c r="GK248" s="11"/>
      <c r="GL248" s="11"/>
      <c r="GM248" s="11"/>
      <c r="GN248" s="11"/>
      <c r="GO248" s="11"/>
      <c r="GP248" s="11"/>
      <c r="GQ248" s="11"/>
      <c r="GR248" s="11"/>
    </row>
    <row r="249" spans="2:200" x14ac:dyDescent="0.15"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11"/>
      <c r="CH249" s="11"/>
      <c r="CI249" s="11"/>
      <c r="CJ249" s="11"/>
      <c r="CK249" s="11"/>
      <c r="CL249" s="11"/>
      <c r="CM249" s="11"/>
      <c r="CN249" s="11"/>
      <c r="CO249" s="11"/>
      <c r="CP249" s="11"/>
      <c r="CQ249" s="11"/>
      <c r="CR249" s="11"/>
      <c r="CS249" s="11"/>
      <c r="CT249" s="11"/>
      <c r="CU249" s="11"/>
      <c r="CV249" s="11"/>
      <c r="CW249" s="11"/>
      <c r="CX249" s="11"/>
      <c r="CY249" s="11"/>
      <c r="CZ249" s="11"/>
      <c r="DA249" s="11"/>
      <c r="DB249" s="11"/>
      <c r="DC249" s="11"/>
      <c r="DD249" s="11"/>
      <c r="DE249" s="11"/>
      <c r="DF249" s="11"/>
      <c r="DG249" s="11"/>
      <c r="DH249" s="11"/>
      <c r="DI249" s="11"/>
      <c r="DJ249" s="11"/>
      <c r="DK249" s="11"/>
      <c r="DL249" s="11"/>
      <c r="DM249" s="11"/>
      <c r="DN249" s="11"/>
      <c r="DO249" s="11"/>
      <c r="DP249" s="11"/>
      <c r="DQ249" s="11"/>
      <c r="DR249" s="11"/>
      <c r="DS249" s="11"/>
      <c r="DT249" s="11"/>
      <c r="DU249" s="11"/>
      <c r="DV249" s="11"/>
      <c r="DW249" s="11"/>
      <c r="DX249" s="11"/>
      <c r="DY249" s="11"/>
      <c r="DZ249" s="11"/>
      <c r="EA249" s="11"/>
      <c r="EB249" s="11"/>
      <c r="EC249" s="11"/>
      <c r="ED249" s="11"/>
      <c r="EE249" s="11"/>
      <c r="EF249" s="11"/>
      <c r="EG249" s="11"/>
      <c r="EH249" s="11"/>
      <c r="EI249" s="11"/>
      <c r="EJ249" s="11"/>
      <c r="EK249" s="11"/>
      <c r="EL249" s="11"/>
      <c r="EM249" s="11"/>
      <c r="EN249" s="11"/>
      <c r="EO249" s="11"/>
      <c r="EP249" s="11"/>
      <c r="EQ249" s="11"/>
      <c r="ER249" s="11"/>
      <c r="ES249" s="11"/>
      <c r="ET249" s="11"/>
      <c r="EU249" s="11"/>
      <c r="EV249" s="11"/>
      <c r="EW249" s="11"/>
      <c r="EX249" s="11"/>
      <c r="EY249" s="11"/>
      <c r="EZ249" s="11"/>
      <c r="FA249" s="11"/>
      <c r="FB249" s="11"/>
      <c r="FC249" s="11"/>
      <c r="FD249" s="11"/>
      <c r="FE249" s="11"/>
      <c r="FF249" s="11"/>
      <c r="FG249" s="11"/>
      <c r="FH249" s="11"/>
      <c r="FI249" s="11"/>
      <c r="FJ249" s="11"/>
      <c r="FK249" s="11"/>
      <c r="FL249" s="11"/>
      <c r="FM249" s="11"/>
      <c r="FN249" s="11"/>
      <c r="FO249" s="11"/>
      <c r="FP249" s="11"/>
      <c r="FQ249" s="11"/>
      <c r="FR249" s="11"/>
      <c r="FS249" s="11"/>
      <c r="FT249" s="11"/>
      <c r="FU249" s="11"/>
      <c r="FV249" s="11"/>
      <c r="FW249" s="11"/>
      <c r="FX249" s="11"/>
      <c r="FY249" s="11"/>
      <c r="FZ249" s="11"/>
      <c r="GA249" s="11"/>
      <c r="GB249" s="11"/>
      <c r="GC249" s="11"/>
      <c r="GD249" s="11"/>
      <c r="GE249" s="11"/>
      <c r="GF249" s="11"/>
      <c r="GG249" s="11"/>
      <c r="GH249" s="11"/>
      <c r="GI249" s="11"/>
      <c r="GJ249" s="11"/>
      <c r="GK249" s="11"/>
      <c r="GL249" s="11"/>
      <c r="GM249" s="11"/>
      <c r="GN249" s="11"/>
      <c r="GO249" s="11"/>
      <c r="GP249" s="11"/>
      <c r="GQ249" s="11"/>
      <c r="GR249" s="11"/>
    </row>
    <row r="250" spans="2:200" x14ac:dyDescent="0.15"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11"/>
      <c r="CW250" s="11"/>
      <c r="CX250" s="11"/>
      <c r="CY250" s="11"/>
      <c r="CZ250" s="11"/>
      <c r="DA250" s="11"/>
      <c r="DB250" s="11"/>
      <c r="DC250" s="11"/>
      <c r="DD250" s="11"/>
      <c r="DE250" s="11"/>
      <c r="DF250" s="11"/>
      <c r="DG250" s="11"/>
      <c r="DH250" s="11"/>
      <c r="DI250" s="11"/>
      <c r="DJ250" s="11"/>
      <c r="DK250" s="11"/>
      <c r="DL250" s="11"/>
      <c r="DM250" s="11"/>
      <c r="DN250" s="11"/>
      <c r="DO250" s="11"/>
      <c r="DP250" s="11"/>
      <c r="DQ250" s="11"/>
      <c r="DR250" s="11"/>
      <c r="DS250" s="11"/>
      <c r="DT250" s="11"/>
      <c r="DU250" s="11"/>
      <c r="DV250" s="11"/>
      <c r="DW250" s="11"/>
      <c r="DX250" s="11"/>
      <c r="DY250" s="11"/>
      <c r="DZ250" s="11"/>
      <c r="EA250" s="11"/>
      <c r="EB250" s="11"/>
      <c r="EC250" s="11"/>
      <c r="ED250" s="11"/>
      <c r="EE250" s="11"/>
      <c r="EF250" s="11"/>
      <c r="EG250" s="11"/>
      <c r="EH250" s="11"/>
      <c r="EI250" s="11"/>
      <c r="EJ250" s="11"/>
      <c r="EK250" s="11"/>
      <c r="EL250" s="11"/>
      <c r="EM250" s="11"/>
      <c r="EN250" s="11"/>
      <c r="EO250" s="11"/>
      <c r="EP250" s="11"/>
      <c r="EQ250" s="11"/>
      <c r="ER250" s="11"/>
      <c r="ES250" s="11"/>
      <c r="ET250" s="11"/>
      <c r="EU250" s="11"/>
      <c r="EV250" s="11"/>
      <c r="EW250" s="11"/>
      <c r="EX250" s="11"/>
      <c r="EY250" s="11"/>
      <c r="EZ250" s="11"/>
      <c r="FA250" s="11"/>
      <c r="FB250" s="11"/>
      <c r="FC250" s="11"/>
      <c r="FD250" s="11"/>
      <c r="FE250" s="11"/>
      <c r="FF250" s="11"/>
      <c r="FG250" s="11"/>
      <c r="FH250" s="11"/>
      <c r="FI250" s="11"/>
      <c r="FJ250" s="11"/>
      <c r="FK250" s="11"/>
      <c r="FL250" s="11"/>
      <c r="FM250" s="11"/>
      <c r="FN250" s="11"/>
      <c r="FO250" s="11"/>
      <c r="FP250" s="11"/>
      <c r="FQ250" s="11"/>
      <c r="FR250" s="11"/>
      <c r="FS250" s="11"/>
      <c r="FT250" s="11"/>
      <c r="FU250" s="11"/>
      <c r="FV250" s="11"/>
      <c r="FW250" s="11"/>
      <c r="FX250" s="11"/>
      <c r="FY250" s="11"/>
      <c r="FZ250" s="11"/>
      <c r="GA250" s="11"/>
      <c r="GB250" s="11"/>
      <c r="GC250" s="11"/>
      <c r="GD250" s="11"/>
      <c r="GE250" s="11"/>
      <c r="GF250" s="11"/>
      <c r="GG250" s="11"/>
      <c r="GH250" s="11"/>
      <c r="GI250" s="11"/>
      <c r="GJ250" s="11"/>
      <c r="GK250" s="11"/>
      <c r="GL250" s="11"/>
      <c r="GM250" s="11"/>
      <c r="GN250" s="11"/>
      <c r="GO250" s="11"/>
      <c r="GP250" s="11"/>
      <c r="GQ250" s="11"/>
      <c r="GR250" s="11"/>
    </row>
  </sheetData>
  <phoneticPr fontId="2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Gs_spectrum.GS_spectrum">
                <anchor moveWithCells="1" sizeWithCells="1">
                  <from>
                    <xdr:col>4</xdr:col>
                    <xdr:colOff>9525</xdr:colOff>
                    <xdr:row>1</xdr:row>
                    <xdr:rowOff>161925</xdr:rowOff>
                  </from>
                  <to>
                    <xdr:col>5</xdr:col>
                    <xdr:colOff>390525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EA5C4-636F-426E-93BD-5DA04DF69980}">
  <sheetPr codeName="Sheet19"/>
  <dimension ref="A3:R16"/>
  <sheetViews>
    <sheetView workbookViewId="0">
      <selection activeCell="F22" sqref="F22"/>
    </sheetView>
  </sheetViews>
  <sheetFormatPr defaultRowHeight="12" x14ac:dyDescent="0.15"/>
  <cols>
    <col min="6" max="6" width="10" customWidth="1"/>
    <col min="9" max="9" width="7.5703125" customWidth="1"/>
  </cols>
  <sheetData>
    <row r="3" spans="1:18" x14ac:dyDescent="0.15">
      <c r="A3" s="64" t="s">
        <v>0</v>
      </c>
    </row>
    <row r="4" spans="1:18" x14ac:dyDescent="0.15">
      <c r="A4">
        <v>6</v>
      </c>
      <c r="B4">
        <v>6</v>
      </c>
      <c r="C4">
        <v>3.8499999046325684</v>
      </c>
      <c r="D4">
        <v>3665</v>
      </c>
      <c r="E4">
        <v>3.8499999046325684</v>
      </c>
      <c r="F4">
        <v>1</v>
      </c>
      <c r="G4">
        <v>3.8499999046325684</v>
      </c>
      <c r="H4">
        <v>1</v>
      </c>
      <c r="I4">
        <v>3.8499999046325684</v>
      </c>
      <c r="J4">
        <v>1</v>
      </c>
      <c r="K4">
        <v>3.8499999046325684</v>
      </c>
      <c r="L4">
        <v>1</v>
      </c>
      <c r="M4">
        <v>3.8499999046325684</v>
      </c>
      <c r="N4">
        <v>1</v>
      </c>
      <c r="O4">
        <v>3.8499999046325684</v>
      </c>
      <c r="P4">
        <v>1</v>
      </c>
      <c r="Q4">
        <v>3.8499999046325684</v>
      </c>
      <c r="R4">
        <v>1</v>
      </c>
    </row>
    <row r="5" spans="1:18" x14ac:dyDescent="0.15">
      <c r="B5">
        <v>5</v>
      </c>
      <c r="C5">
        <v>6.7800002098083496</v>
      </c>
      <c r="D5">
        <v>16962</v>
      </c>
      <c r="E5">
        <v>6.7800002098083496</v>
      </c>
      <c r="F5">
        <v>0.66699749231338501</v>
      </c>
      <c r="G5">
        <v>4.5222431378263934</v>
      </c>
      <c r="H5">
        <v>0.56903046369552612</v>
      </c>
      <c r="I5">
        <v>3.8580266632430096</v>
      </c>
      <c r="J5">
        <v>0.54097229242324829</v>
      </c>
      <c r="K5">
        <v>3.6677922561301273</v>
      </c>
      <c r="L5">
        <v>0.53304469585418701</v>
      </c>
      <c r="M5">
        <v>3.6140431497286158</v>
      </c>
      <c r="N5">
        <v>0.53081649541854858</v>
      </c>
      <c r="O5">
        <v>3.5989359503074922</v>
      </c>
      <c r="P5">
        <v>0.53019136190414429</v>
      </c>
      <c r="Q5">
        <v>3.5946975449486729</v>
      </c>
      <c r="R5">
        <v>0.53001600503921509</v>
      </c>
    </row>
    <row r="6" spans="1:18" x14ac:dyDescent="0.15">
      <c r="B6">
        <v>4</v>
      </c>
      <c r="C6">
        <v>6.4499998092651367</v>
      </c>
      <c r="D6">
        <v>16883</v>
      </c>
      <c r="E6">
        <v>6.4499998092651367</v>
      </c>
      <c r="F6">
        <v>0.46833455562591553</v>
      </c>
      <c r="G6">
        <v>3.0207577944594277</v>
      </c>
      <c r="H6">
        <v>0.36653059720993042</v>
      </c>
      <c r="I6">
        <v>2.3641222820938879</v>
      </c>
      <c r="J6">
        <v>0.34240016341209412</v>
      </c>
      <c r="K6">
        <v>2.2084809887003587</v>
      </c>
      <c r="L6">
        <v>0.3360285758972168</v>
      </c>
      <c r="M6">
        <v>2.1673842504446839</v>
      </c>
      <c r="N6">
        <v>0.33427557349205017</v>
      </c>
      <c r="O6">
        <v>2.1560773852657178</v>
      </c>
      <c r="P6">
        <v>0.33378684520721436</v>
      </c>
      <c r="Q6">
        <v>2.1529250879217443</v>
      </c>
      <c r="R6">
        <v>0.33364999294281006</v>
      </c>
    </row>
    <row r="7" spans="1:18" x14ac:dyDescent="0.15">
      <c r="B7">
        <v>3</v>
      </c>
      <c r="C7">
        <v>6.630000114440918</v>
      </c>
      <c r="D7">
        <v>142516</v>
      </c>
      <c r="E7">
        <v>6.630000114440918</v>
      </c>
      <c r="F7">
        <v>0.14763453602790833</v>
      </c>
      <c r="G7">
        <v>0.97881699076046402</v>
      </c>
      <c r="H7">
        <v>8.9678153395652771E-2</v>
      </c>
      <c r="I7">
        <v>0.59456616727602807</v>
      </c>
      <c r="J7">
        <v>8.1709988415241241E-2</v>
      </c>
      <c r="K7">
        <v>0.54173723254401551</v>
      </c>
      <c r="L7">
        <v>7.9942852258682251E-2</v>
      </c>
      <c r="M7">
        <v>0.53002111962379672</v>
      </c>
      <c r="N7">
        <v>7.9477027058601379E-2</v>
      </c>
      <c r="O7">
        <v>0.52693269849395108</v>
      </c>
      <c r="P7">
        <v>7.9348437488079071E-2</v>
      </c>
      <c r="Q7">
        <v>0.52608014962667227</v>
      </c>
      <c r="R7">
        <v>7.9312525689601898E-2</v>
      </c>
    </row>
    <row r="8" spans="1:18" x14ac:dyDescent="0.15">
      <c r="B8">
        <v>2</v>
      </c>
      <c r="C8">
        <v>5.1399998664855957</v>
      </c>
      <c r="D8">
        <v>102283</v>
      </c>
      <c r="E8">
        <v>5.1399998664855957</v>
      </c>
      <c r="F8">
        <v>9.4895914196968079E-2</v>
      </c>
      <c r="G8">
        <v>0.48776498630244447</v>
      </c>
      <c r="H8">
        <v>5.4063405841588974E-2</v>
      </c>
      <c r="I8">
        <v>0.2778858988075239</v>
      </c>
      <c r="J8">
        <v>4.9004603177309036E-2</v>
      </c>
      <c r="K8">
        <v>0.25188365378854805</v>
      </c>
      <c r="L8">
        <v>4.7916222363710403E-2</v>
      </c>
      <c r="M8">
        <v>0.24628937655196559</v>
      </c>
      <c r="N8">
        <v>4.7631535679101944E-2</v>
      </c>
      <c r="O8">
        <v>0.24482608703108788</v>
      </c>
      <c r="P8">
        <v>4.7553092241287231E-2</v>
      </c>
      <c r="Q8">
        <v>0.24442288777119359</v>
      </c>
      <c r="R8">
        <v>4.7531194984912872E-2</v>
      </c>
    </row>
    <row r="9" spans="1:18" x14ac:dyDescent="0.15">
      <c r="B9">
        <v>1</v>
      </c>
      <c r="C9">
        <v>8.0200004577636719</v>
      </c>
      <c r="D9">
        <v>2131880</v>
      </c>
      <c r="E9">
        <v>8.0200004577636719</v>
      </c>
      <c r="F9">
        <v>5.482405424118042E-3</v>
      </c>
      <c r="G9">
        <v>4.3968894011072734E-2</v>
      </c>
      <c r="H9">
        <v>2.4831695482134819E-3</v>
      </c>
      <c r="I9">
        <v>1.9915020913376935E-2</v>
      </c>
      <c r="J9">
        <v>2.2473919671028852E-3</v>
      </c>
      <c r="K9">
        <v>1.8024084604939539E-2</v>
      </c>
      <c r="L9">
        <v>2.1972556132823229E-3</v>
      </c>
      <c r="M9">
        <v>1.7621991024348027E-2</v>
      </c>
      <c r="N9">
        <v>2.1841588895767927E-3</v>
      </c>
      <c r="O9">
        <v>1.7516955294234471E-2</v>
      </c>
      <c r="P9">
        <v>2.1805514115840197E-3</v>
      </c>
      <c r="Q9">
        <v>1.7488023319081059E-2</v>
      </c>
      <c r="R9">
        <v>2.1795444190502167E-3</v>
      </c>
    </row>
    <row r="10" spans="1:18" x14ac:dyDescent="0.15">
      <c r="F10">
        <v>8.4720849990844727</v>
      </c>
      <c r="H10">
        <v>6.980250358581543</v>
      </c>
      <c r="J10">
        <v>6.6470069885253906</v>
      </c>
      <c r="L10">
        <v>6.5589604377746582</v>
      </c>
      <c r="N10">
        <v>6.5346775054931641</v>
      </c>
      <c r="P10">
        <v>6.527900218963623</v>
      </c>
      <c r="R10">
        <v>6.5260028839111328</v>
      </c>
    </row>
    <row r="11" spans="1:18" x14ac:dyDescent="0.15">
      <c r="F11">
        <v>4087.36572265625</v>
      </c>
      <c r="H11">
        <v>3135.71044921875</v>
      </c>
      <c r="J11">
        <v>2974.731201171875</v>
      </c>
      <c r="L11">
        <v>2934.48681640625</v>
      </c>
      <c r="N11">
        <v>2923.559326171875</v>
      </c>
      <c r="P11">
        <v>2920.5234375</v>
      </c>
      <c r="R11">
        <v>2919.674072265625</v>
      </c>
    </row>
    <row r="12" spans="1:18" x14ac:dyDescent="0.15">
      <c r="F12">
        <v>0.28605747222900391</v>
      </c>
      <c r="H12">
        <v>0.29644724726676941</v>
      </c>
      <c r="J12">
        <v>0.29700866341590881</v>
      </c>
      <c r="L12">
        <v>0.29705122113227844</v>
      </c>
      <c r="N12">
        <v>0.29705443978309631</v>
      </c>
      <c r="P12">
        <v>0.29705461859703064</v>
      </c>
      <c r="R12">
        <v>0.29705464839935303</v>
      </c>
    </row>
    <row r="14" spans="1:18" x14ac:dyDescent="0.15">
      <c r="C14">
        <v>6.53</v>
      </c>
    </row>
    <row r="15" spans="1:18" x14ac:dyDescent="0.15">
      <c r="C15">
        <v>2920</v>
      </c>
    </row>
    <row r="16" spans="1:18" x14ac:dyDescent="0.15">
      <c r="C16">
        <v>0.29699999999999999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todola_ready">
                <anchor moveWithCells="1" sizeWithCells="1">
                  <from>
                    <xdr:col>1</xdr:col>
                    <xdr:colOff>438150</xdr:colOff>
                    <xdr:row>1</xdr:row>
                    <xdr:rowOff>19050</xdr:rowOff>
                  </from>
                  <to>
                    <xdr:col>3</xdr:col>
                    <xdr:colOff>47625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stodola.stodola">
                <anchor moveWithCells="1" sizeWithCells="1">
                  <from>
                    <xdr:col>4</xdr:col>
                    <xdr:colOff>47625</xdr:colOff>
                    <xdr:row>1</xdr:row>
                    <xdr:rowOff>47625</xdr:rowOff>
                  </from>
                  <to>
                    <xdr:col>5</xdr:col>
                    <xdr:colOff>95250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81E20-1548-490B-8031-52C4533CA02C}">
  <sheetPr codeName="Sheet18"/>
  <dimension ref="A1:H33"/>
  <sheetViews>
    <sheetView zoomScale="90" zoomScaleNormal="90" workbookViewId="0">
      <selection activeCell="K25" sqref="K25"/>
    </sheetView>
  </sheetViews>
  <sheetFormatPr defaultRowHeight="12" x14ac:dyDescent="0.15"/>
  <cols>
    <col min="1" max="1" width="10.7109375" customWidth="1"/>
    <col min="2" max="2" width="17.85546875" customWidth="1"/>
    <col min="3" max="8" width="7.5703125" customWidth="1"/>
    <col min="9" max="16" width="6.7109375" customWidth="1"/>
    <col min="17" max="17" width="9.5703125" customWidth="1"/>
    <col min="18" max="22" width="6.7109375" customWidth="1"/>
    <col min="23" max="23" width="16.85546875" customWidth="1"/>
    <col min="24" max="56" width="6.7109375" customWidth="1"/>
  </cols>
  <sheetData>
    <row r="1" spans="1:8" x14ac:dyDescent="0.15">
      <c r="A1" s="64" t="s">
        <v>0</v>
      </c>
      <c r="B1" s="64" t="s">
        <v>19</v>
      </c>
      <c r="C1" t="s">
        <v>20</v>
      </c>
      <c r="D1" t="s">
        <v>21</v>
      </c>
    </row>
    <row r="2" spans="1:8" x14ac:dyDescent="0.15">
      <c r="A2">
        <v>6</v>
      </c>
      <c r="B2">
        <v>6</v>
      </c>
      <c r="C2">
        <v>3.8499999046325684</v>
      </c>
      <c r="D2">
        <v>3665</v>
      </c>
    </row>
    <row r="3" spans="1:8" x14ac:dyDescent="0.15">
      <c r="B3">
        <v>5</v>
      </c>
      <c r="C3">
        <v>6.7800002098083496</v>
      </c>
      <c r="D3">
        <v>16962</v>
      </c>
    </row>
    <row r="4" spans="1:8" x14ac:dyDescent="0.15">
      <c r="B4">
        <v>4</v>
      </c>
      <c r="C4">
        <v>6.4499998092651367</v>
      </c>
      <c r="D4">
        <v>16883</v>
      </c>
    </row>
    <row r="5" spans="1:8" x14ac:dyDescent="0.15">
      <c r="B5">
        <v>3</v>
      </c>
      <c r="C5">
        <v>6.630000114440918</v>
      </c>
      <c r="D5">
        <v>142516</v>
      </c>
    </row>
    <row r="6" spans="1:8" x14ac:dyDescent="0.15">
      <c r="B6">
        <v>2</v>
      </c>
      <c r="C6">
        <v>5.1399998664855957</v>
      </c>
      <c r="D6">
        <v>102283</v>
      </c>
    </row>
    <row r="7" spans="1:8" x14ac:dyDescent="0.15">
      <c r="B7">
        <v>1</v>
      </c>
      <c r="C7">
        <v>8.0200004577636719</v>
      </c>
      <c r="D7">
        <v>2131880</v>
      </c>
    </row>
    <row r="11" spans="1:8" x14ac:dyDescent="0.15">
      <c r="B11" t="s">
        <v>277</v>
      </c>
      <c r="C11">
        <v>447.47310264597832</v>
      </c>
      <c r="D11">
        <v>1596.1901586915099</v>
      </c>
      <c r="E11">
        <v>5876.9108799207052</v>
      </c>
      <c r="F11">
        <v>9690.4478497597174</v>
      </c>
      <c r="G11">
        <v>61779.192316305474</v>
      </c>
      <c r="H11">
        <v>265820.44647262729</v>
      </c>
    </row>
    <row r="12" spans="1:8" x14ac:dyDescent="0.15">
      <c r="B12" t="s">
        <v>278</v>
      </c>
      <c r="C12">
        <v>21.153560046620481</v>
      </c>
      <c r="D12">
        <v>39.952348600445376</v>
      </c>
      <c r="E12">
        <v>76.661012776513104</v>
      </c>
      <c r="F12">
        <v>98.440072377867125</v>
      </c>
      <c r="G12">
        <v>248.55420398035008</v>
      </c>
      <c r="H12">
        <v>515.5777792657741</v>
      </c>
    </row>
    <row r="13" spans="1:8" x14ac:dyDescent="0.15">
      <c r="B13" t="s">
        <v>279</v>
      </c>
      <c r="C13">
        <v>0.29702735355253429</v>
      </c>
      <c r="D13">
        <v>0.15726699878645586</v>
      </c>
      <c r="E13">
        <v>8.1960643765292204E-2</v>
      </c>
      <c r="F13">
        <v>6.3827522746468357E-2</v>
      </c>
      <c r="G13">
        <v>2.5278936578996804E-2</v>
      </c>
      <c r="H13">
        <v>1.2186688820860525E-2</v>
      </c>
    </row>
    <row r="15" spans="1:8" x14ac:dyDescent="0.15">
      <c r="B15" t="s">
        <v>280</v>
      </c>
      <c r="C15">
        <v>1.4989999608035096</v>
      </c>
      <c r="D15">
        <v>0.47137236148501571</v>
      </c>
      <c r="E15">
        <v>0.50434039693093924</v>
      </c>
      <c r="F15">
        <v>0.67144710528125695</v>
      </c>
      <c r="G15">
        <v>0.26519104687571704</v>
      </c>
      <c r="H15">
        <v>1</v>
      </c>
    </row>
    <row r="17" spans="2:8" x14ac:dyDescent="0.15">
      <c r="B17" t="s">
        <v>281</v>
      </c>
    </row>
    <row r="18" spans="2:8" x14ac:dyDescent="0.15">
      <c r="B18">
        <v>6</v>
      </c>
      <c r="C18">
        <v>1</v>
      </c>
      <c r="D18">
        <v>-1</v>
      </c>
      <c r="E18">
        <v>0.1469110352492618</v>
      </c>
      <c r="F18">
        <v>-6.3690017254983298E-3</v>
      </c>
      <c r="G18">
        <v>-7.4387024734371321E-4</v>
      </c>
      <c r="H18">
        <v>0</v>
      </c>
    </row>
    <row r="19" spans="2:8" x14ac:dyDescent="0.15">
      <c r="B19">
        <v>5</v>
      </c>
      <c r="C19">
        <v>0.5295934728069891</v>
      </c>
      <c r="D19">
        <v>0.68620070540398326</v>
      </c>
      <c r="E19">
        <v>-0.85490955174022798</v>
      </c>
      <c r="F19">
        <v>0.16862260281941507</v>
      </c>
      <c r="G19">
        <v>1.6030102358075973E-2</v>
      </c>
      <c r="H19">
        <v>0</v>
      </c>
    </row>
    <row r="20" spans="2:8" x14ac:dyDescent="0.15">
      <c r="B20">
        <v>4</v>
      </c>
      <c r="C20">
        <v>0.33513909194693076</v>
      </c>
      <c r="D20">
        <v>0.59323895112170333</v>
      </c>
      <c r="E20">
        <v>1</v>
      </c>
      <c r="F20">
        <v>-0.58446959092893447</v>
      </c>
      <c r="G20">
        <v>1.5415723412482785E-3</v>
      </c>
      <c r="H20">
        <v>0</v>
      </c>
    </row>
    <row r="21" spans="2:8" x14ac:dyDescent="0.15">
      <c r="B21">
        <v>3</v>
      </c>
      <c r="C21">
        <v>7.6695947725546582E-2</v>
      </c>
      <c r="D21">
        <v>0.15743114427268898</v>
      </c>
      <c r="E21">
        <v>0.4957350664448601</v>
      </c>
      <c r="F21">
        <v>1</v>
      </c>
      <c r="G21">
        <v>-0.57607880457726546</v>
      </c>
      <c r="H21">
        <v>0</v>
      </c>
    </row>
    <row r="22" spans="2:8" x14ac:dyDescent="0.15">
      <c r="B22">
        <v>2</v>
      </c>
      <c r="C22">
        <v>4.5701531294371503E-2</v>
      </c>
      <c r="D22">
        <v>0.10076872471214228</v>
      </c>
      <c r="E22">
        <v>0.384592304495112</v>
      </c>
      <c r="F22">
        <v>0.74063602414673402</v>
      </c>
      <c r="G22">
        <v>1</v>
      </c>
      <c r="H22">
        <v>0</v>
      </c>
    </row>
    <row r="23" spans="2:8" x14ac:dyDescent="0.15">
      <c r="B23">
        <v>1</v>
      </c>
      <c r="C23">
        <v>0</v>
      </c>
      <c r="D23">
        <v>0</v>
      </c>
      <c r="E23">
        <v>0</v>
      </c>
      <c r="F23">
        <v>0</v>
      </c>
      <c r="G23">
        <v>0</v>
      </c>
      <c r="H23">
        <v>1</v>
      </c>
    </row>
    <row r="27" spans="2:8" x14ac:dyDescent="0.15">
      <c r="B27" t="s">
        <v>282</v>
      </c>
    </row>
    <row r="28" spans="2:8" x14ac:dyDescent="0.15">
      <c r="B28">
        <v>6</v>
      </c>
      <c r="C28">
        <v>1.4989999608035096</v>
      </c>
      <c r="D28">
        <v>-0.47137236148501571</v>
      </c>
      <c r="E28">
        <v>7.4093169831147901E-2</v>
      </c>
      <c r="F28">
        <v>-4.2764477721171845E-3</v>
      </c>
      <c r="G28">
        <v>-1.9726772963277788E-4</v>
      </c>
      <c r="H28">
        <v>0</v>
      </c>
    </row>
    <row r="29" spans="2:8" x14ac:dyDescent="0.15">
      <c r="B29">
        <v>5</v>
      </c>
      <c r="C29">
        <v>0.79386059497947115</v>
      </c>
      <c r="D29">
        <v>0.32345604695895919</v>
      </c>
      <c r="E29">
        <v>-0.43116542266471791</v>
      </c>
      <c r="F29">
        <v>0.11322115854808737</v>
      </c>
      <c r="G29">
        <v>4.2510396258630678E-3</v>
      </c>
      <c r="H29">
        <v>0</v>
      </c>
    </row>
    <row r="30" spans="2:8" x14ac:dyDescent="0.15">
      <c r="B30">
        <v>4</v>
      </c>
      <c r="C30">
        <v>0.50237348569217299</v>
      </c>
      <c r="D30">
        <v>0.2796364453151311</v>
      </c>
      <c r="E30">
        <v>0.50434039693093924</v>
      </c>
      <c r="F30">
        <v>-0.39244041495415344</v>
      </c>
      <c r="G30">
        <v>4.0881118301028111E-4</v>
      </c>
      <c r="H30">
        <v>0</v>
      </c>
    </row>
    <row r="31" spans="2:8" x14ac:dyDescent="0.15">
      <c r="B31">
        <v>3</v>
      </c>
      <c r="C31">
        <v>0.11496722263438235</v>
      </c>
      <c r="D31">
        <v>7.4208690247105608E-2</v>
      </c>
      <c r="E31">
        <v>0.25001922018338629</v>
      </c>
      <c r="F31">
        <v>0.67144710528125695</v>
      </c>
      <c r="G31">
        <v>-0.15277094126875665</v>
      </c>
      <c r="H31">
        <v>0</v>
      </c>
    </row>
    <row r="32" spans="2:8" x14ac:dyDescent="0.15">
      <c r="B32">
        <v>2</v>
      </c>
      <c r="C32">
        <v>6.850659361892325E-2</v>
      </c>
      <c r="D32">
        <v>4.7499591731395965E-2</v>
      </c>
      <c r="E32">
        <v>0.19396543550564943</v>
      </c>
      <c r="F32">
        <v>0.49729791448034366</v>
      </c>
      <c r="G32">
        <v>0.26519104687571704</v>
      </c>
      <c r="H32">
        <v>0</v>
      </c>
    </row>
    <row r="33" spans="2:8" x14ac:dyDescent="0.15">
      <c r="B33">
        <v>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Jacobi2_ready">
                <anchor moveWithCells="1" sizeWithCells="1">
                  <from>
                    <xdr:col>0</xdr:col>
                    <xdr:colOff>133350</xdr:colOff>
                    <xdr:row>3</xdr:row>
                    <xdr:rowOff>38100</xdr:rowOff>
                  </from>
                  <to>
                    <xdr:col>0</xdr:col>
                    <xdr:colOff>609600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Yacobi2">
                <anchor moveWithCells="1" sizeWithCells="1">
                  <from>
                    <xdr:col>0</xdr:col>
                    <xdr:colOff>152400</xdr:colOff>
                    <xdr:row>9</xdr:row>
                    <xdr:rowOff>0</xdr:rowOff>
                  </from>
                  <to>
                    <xdr:col>0</xdr:col>
                    <xdr:colOff>628650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D2A61-E3D5-4181-8F28-8A525EDA946B}">
  <sheetPr codeName="Sheet20"/>
  <dimension ref="A1:AG1000"/>
  <sheetViews>
    <sheetView workbookViewId="0">
      <selection activeCell="H9" sqref="H9"/>
    </sheetView>
  </sheetViews>
  <sheetFormatPr defaultRowHeight="12" x14ac:dyDescent="0.15"/>
  <cols>
    <col min="1" max="1" width="8" customWidth="1"/>
    <col min="2" max="5" width="8.7109375" customWidth="1"/>
    <col min="6" max="10" width="6.5703125" customWidth="1"/>
    <col min="11" max="11" width="4.7109375" customWidth="1"/>
    <col min="12" max="12" width="8.7109375" style="67" customWidth="1"/>
    <col min="13" max="16" width="8.7109375" customWidth="1"/>
    <col min="17" max="18" width="4.85546875" customWidth="1"/>
    <col min="19" max="27" width="6.7109375" customWidth="1"/>
    <col min="28" max="28" width="4.140625" customWidth="1"/>
    <col min="29" max="33" width="8.7109375" customWidth="1"/>
  </cols>
  <sheetData>
    <row r="1" spans="1:33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2" spans="1:33" x14ac:dyDescent="0.15">
      <c r="A2" s="67"/>
      <c r="B2" t="s">
        <v>203</v>
      </c>
      <c r="C2" t="s">
        <v>204</v>
      </c>
      <c r="D2" t="s">
        <v>162</v>
      </c>
      <c r="E2" t="s">
        <v>86</v>
      </c>
      <c r="S2" t="s">
        <v>203</v>
      </c>
      <c r="T2" t="s">
        <v>204</v>
      </c>
      <c r="U2" t="s">
        <v>162</v>
      </c>
      <c r="V2" t="s">
        <v>86</v>
      </c>
    </row>
    <row r="3" spans="1:33" x14ac:dyDescent="0.15">
      <c r="B3">
        <v>2.5799999237060547</v>
      </c>
      <c r="C3">
        <v>1.7200000286102295</v>
      </c>
      <c r="D3">
        <v>0.34400001168251038</v>
      </c>
      <c r="E3">
        <v>0.11500000208616257</v>
      </c>
      <c r="L3"/>
      <c r="S3">
        <v>2.1700000762939453</v>
      </c>
      <c r="T3">
        <v>1.0499999523162842</v>
      </c>
      <c r="U3">
        <v>0.45800000429153442</v>
      </c>
      <c r="V3">
        <v>0.15299999713897705</v>
      </c>
    </row>
    <row r="4" spans="1:33" x14ac:dyDescent="0.15">
      <c r="B4" t="s">
        <v>193</v>
      </c>
      <c r="C4" t="s">
        <v>194</v>
      </c>
      <c r="D4" t="s">
        <v>195</v>
      </c>
      <c r="E4" t="s">
        <v>196</v>
      </c>
      <c r="F4" t="s">
        <v>197</v>
      </c>
      <c r="G4" t="s">
        <v>198</v>
      </c>
      <c r="H4" t="s">
        <v>199</v>
      </c>
      <c r="I4" t="s">
        <v>162</v>
      </c>
      <c r="J4" t="s">
        <v>188</v>
      </c>
      <c r="L4" s="67" t="s">
        <v>191</v>
      </c>
      <c r="M4" t="s">
        <v>200</v>
      </c>
      <c r="N4" t="s">
        <v>201</v>
      </c>
      <c r="O4" t="s">
        <v>3</v>
      </c>
      <c r="P4" t="s">
        <v>4</v>
      </c>
      <c r="S4" t="s">
        <v>193</v>
      </c>
      <c r="T4" t="s">
        <v>194</v>
      </c>
      <c r="U4" t="s">
        <v>195</v>
      </c>
      <c r="V4" t="s">
        <v>196</v>
      </c>
      <c r="W4" t="s">
        <v>197</v>
      </c>
      <c r="X4" t="s">
        <v>198</v>
      </c>
      <c r="Y4" t="s">
        <v>199</v>
      </c>
      <c r="Z4" t="s">
        <v>162</v>
      </c>
      <c r="AA4" t="s">
        <v>188</v>
      </c>
      <c r="AC4" s="67" t="s">
        <v>191</v>
      </c>
      <c r="AD4" t="s">
        <v>200</v>
      </c>
      <c r="AE4" t="s">
        <v>201</v>
      </c>
      <c r="AF4" t="s">
        <v>3</v>
      </c>
      <c r="AG4" t="s">
        <v>4</v>
      </c>
    </row>
    <row r="5" spans="1:33" x14ac:dyDescent="0.15">
      <c r="B5">
        <v>1.5800000429153442</v>
      </c>
      <c r="C5">
        <v>251</v>
      </c>
      <c r="D5">
        <v>0.32069239020347595</v>
      </c>
      <c r="E5">
        <v>0.02</v>
      </c>
      <c r="F5">
        <v>2.8399999141693115</v>
      </c>
      <c r="G5">
        <v>2.4100000858306885</v>
      </c>
      <c r="H5">
        <v>8.9000001549720764E-2</v>
      </c>
      <c r="I5">
        <v>0.31200000643730164</v>
      </c>
      <c r="J5">
        <v>0.10400000214576721</v>
      </c>
      <c r="K5">
        <v>1</v>
      </c>
      <c r="L5">
        <v>8.3128100000000003E-3</v>
      </c>
      <c r="M5">
        <v>4.6171999999999999E-4</v>
      </c>
      <c r="N5">
        <v>0.67700000000000005</v>
      </c>
      <c r="O5">
        <v>8.4000000000000005E-2</v>
      </c>
      <c r="P5">
        <v>1.8938362598419189E-2</v>
      </c>
      <c r="S5">
        <v>1.5800000429153442</v>
      </c>
      <c r="T5">
        <v>251</v>
      </c>
      <c r="U5">
        <v>0.32069239020347595</v>
      </c>
      <c r="V5">
        <v>0.02</v>
      </c>
      <c r="W5">
        <v>2.8399999141693115</v>
      </c>
      <c r="X5">
        <v>2.4100000858306885</v>
      </c>
      <c r="Y5">
        <v>8.9000001549720764E-2</v>
      </c>
      <c r="Z5">
        <v>0.31200000643730164</v>
      </c>
      <c r="AA5">
        <v>0.10400000214576721</v>
      </c>
      <c r="AB5">
        <v>1</v>
      </c>
      <c r="AC5">
        <v>4.1564070000000002E-2</v>
      </c>
      <c r="AD5">
        <v>2.3086199999999999E-3</v>
      </c>
      <c r="AE5">
        <v>0.35699999999999998</v>
      </c>
      <c r="AF5">
        <v>0.16900000000000001</v>
      </c>
      <c r="AG5">
        <v>0.24941329658031464</v>
      </c>
    </row>
    <row r="6" spans="1:33" x14ac:dyDescent="0.15">
      <c r="K6">
        <v>2</v>
      </c>
      <c r="L6">
        <v>4.4059299999999997E-3</v>
      </c>
      <c r="M6">
        <v>2.7206000000000002E-4</v>
      </c>
      <c r="N6">
        <v>0.78300000000000003</v>
      </c>
      <c r="O6">
        <v>5.7000000000000002E-2</v>
      </c>
      <c r="P6">
        <v>1.7690336331725121E-2</v>
      </c>
      <c r="AB6">
        <v>2</v>
      </c>
      <c r="AC6">
        <v>2.202962E-2</v>
      </c>
      <c r="AD6">
        <v>1.3602899999999999E-3</v>
      </c>
      <c r="AE6">
        <v>0.46300000000000002</v>
      </c>
      <c r="AF6">
        <v>0.14099999999999999</v>
      </c>
      <c r="AG6">
        <v>0.26141029596328735</v>
      </c>
    </row>
    <row r="7" spans="1:33" x14ac:dyDescent="0.15">
      <c r="K7">
        <v>3</v>
      </c>
      <c r="L7">
        <v>2.7735699999999999E-3</v>
      </c>
      <c r="M7">
        <v>2.9240000000000001E-4</v>
      </c>
      <c r="N7">
        <v>0.76800000000000002</v>
      </c>
      <c r="O7">
        <v>6.0999999999999999E-2</v>
      </c>
      <c r="P7">
        <v>2.8994927182793617E-2</v>
      </c>
      <c r="AB7">
        <v>3</v>
      </c>
      <c r="AC7">
        <v>1.3867849999999999E-2</v>
      </c>
      <c r="AD7">
        <v>1.46199E-3</v>
      </c>
      <c r="AE7">
        <v>0.44900000000000001</v>
      </c>
      <c r="AF7">
        <v>0.14399999999999999</v>
      </c>
      <c r="AG7">
        <v>0.42365539073944092</v>
      </c>
    </row>
    <row r="8" spans="1:33" x14ac:dyDescent="0.15">
      <c r="K8">
        <v>4</v>
      </c>
      <c r="L8">
        <v>6.5930999999999997E-4</v>
      </c>
      <c r="M8">
        <v>5.5399999999999998E-5</v>
      </c>
      <c r="N8">
        <v>0.91100000000000003</v>
      </c>
      <c r="O8">
        <v>2.5000000000000001E-2</v>
      </c>
      <c r="P8">
        <v>4.5293448492884636E-3</v>
      </c>
      <c r="AB8">
        <v>4</v>
      </c>
      <c r="AC8">
        <v>3.2965500000000001E-3</v>
      </c>
      <c r="AD8">
        <v>2.7698000000000002E-4</v>
      </c>
      <c r="AE8">
        <v>0.60499999999999998</v>
      </c>
      <c r="AF8">
        <v>0.112</v>
      </c>
      <c r="AG8">
        <v>7.5210504233837128E-2</v>
      </c>
    </row>
    <row r="9" spans="1:33" x14ac:dyDescent="0.15">
      <c r="K9">
        <v>5</v>
      </c>
      <c r="L9">
        <v>3.9512E-4</v>
      </c>
      <c r="M9">
        <v>1.021E-4</v>
      </c>
      <c r="N9">
        <v>0.91800000000000004</v>
      </c>
      <c r="O9">
        <v>2.1000000000000001E-2</v>
      </c>
      <c r="P9">
        <v>6.6740592010319233E-3</v>
      </c>
      <c r="AB9">
        <v>5</v>
      </c>
      <c r="AC9">
        <v>1.9755900000000002E-3</v>
      </c>
      <c r="AD9">
        <v>5.1051999999999998E-4</v>
      </c>
      <c r="AE9">
        <v>0.65500000000000003</v>
      </c>
      <c r="AF9">
        <v>0.09</v>
      </c>
      <c r="AG9">
        <v>0.11900635808706284</v>
      </c>
    </row>
    <row r="10" spans="1:33" x14ac:dyDescent="0.15">
      <c r="K10">
        <v>6</v>
      </c>
      <c r="L10">
        <v>1.8119999999999999E-5</v>
      </c>
      <c r="M10">
        <v>0</v>
      </c>
      <c r="N10">
        <v>0</v>
      </c>
      <c r="O10">
        <v>0</v>
      </c>
      <c r="P10">
        <v>0</v>
      </c>
      <c r="AB10">
        <v>6</v>
      </c>
      <c r="AC10">
        <v>9.0589999999999998E-5</v>
      </c>
      <c r="AD10">
        <v>0</v>
      </c>
      <c r="AE10">
        <v>0</v>
      </c>
      <c r="AF10">
        <v>0</v>
      </c>
      <c r="AG10">
        <v>0</v>
      </c>
    </row>
    <row r="11" spans="1:33" x14ac:dyDescent="0.15">
      <c r="L11"/>
    </row>
    <row r="12" spans="1:33" x14ac:dyDescent="0.15">
      <c r="L12"/>
    </row>
    <row r="13" spans="1:33" x14ac:dyDescent="0.15">
      <c r="B13">
        <v>1.5800000429153442</v>
      </c>
      <c r="C13">
        <v>229</v>
      </c>
      <c r="D13">
        <v>0.291451096534729</v>
      </c>
      <c r="E13">
        <v>5.9999998658895493E-2</v>
      </c>
      <c r="F13">
        <v>2.5899999141693115</v>
      </c>
      <c r="G13">
        <v>1.7400000095367432</v>
      </c>
      <c r="H13">
        <v>0.24400000274181366</v>
      </c>
      <c r="I13">
        <v>0.34299999475479126</v>
      </c>
      <c r="J13">
        <v>0.11400000005960464</v>
      </c>
      <c r="K13">
        <v>1</v>
      </c>
      <c r="L13">
        <v>8.5778199999999999E-3</v>
      </c>
      <c r="M13">
        <v>4.7644000000000001E-4</v>
      </c>
      <c r="N13">
        <v>0.67</v>
      </c>
      <c r="O13">
        <v>8.5999999999999993E-2</v>
      </c>
      <c r="P13">
        <v>1.9959021359682083E-2</v>
      </c>
      <c r="S13">
        <v>1.5800000429153442</v>
      </c>
      <c r="T13">
        <v>181</v>
      </c>
      <c r="U13">
        <v>0.23076869547367096</v>
      </c>
      <c r="V13">
        <v>0.14100000262260437</v>
      </c>
      <c r="W13">
        <v>2.2100000381469727</v>
      </c>
      <c r="X13">
        <v>1.1200000047683716</v>
      </c>
      <c r="Y13">
        <v>0.49000000953674316</v>
      </c>
      <c r="Z13">
        <v>0.43299999833106995</v>
      </c>
      <c r="AA13">
        <v>0.14399999380111694</v>
      </c>
      <c r="AB13">
        <v>1</v>
      </c>
      <c r="AC13">
        <v>5.0113669999999999E-2</v>
      </c>
      <c r="AD13">
        <v>2.78349E-3</v>
      </c>
      <c r="AE13">
        <v>0.32500000000000001</v>
      </c>
      <c r="AF13">
        <v>0.17699999999999999</v>
      </c>
      <c r="AG13">
        <v>0.33070936799049377</v>
      </c>
    </row>
    <row r="14" spans="1:33" x14ac:dyDescent="0.15">
      <c r="K14">
        <v>2</v>
      </c>
      <c r="L14">
        <v>4.54638E-3</v>
      </c>
      <c r="M14">
        <v>2.8072999999999998E-4</v>
      </c>
      <c r="N14">
        <v>0.77700000000000002</v>
      </c>
      <c r="O14">
        <v>5.8999999999999997E-2</v>
      </c>
      <c r="P14">
        <v>1.8688051030039787E-2</v>
      </c>
      <c r="AB14">
        <v>2</v>
      </c>
      <c r="AC14">
        <v>2.6561049999999999E-2</v>
      </c>
      <c r="AD14">
        <v>1.6401E-3</v>
      </c>
      <c r="AE14">
        <v>0.42499999999999999</v>
      </c>
      <c r="AF14">
        <v>0.15</v>
      </c>
      <c r="AG14">
        <v>0.34922093152999878</v>
      </c>
    </row>
    <row r="15" spans="1:33" x14ac:dyDescent="0.15">
      <c r="K15">
        <v>3</v>
      </c>
      <c r="L15">
        <v>2.86199E-3</v>
      </c>
      <c r="M15">
        <v>3.0172E-4</v>
      </c>
      <c r="N15">
        <v>0.76200000000000001</v>
      </c>
      <c r="O15">
        <v>6.2E-2</v>
      </c>
      <c r="P15">
        <v>3.0616821721196175E-2</v>
      </c>
      <c r="AB15">
        <v>3</v>
      </c>
      <c r="AC15">
        <v>1.6720430000000001E-2</v>
      </c>
      <c r="AD15">
        <v>1.76271E-3</v>
      </c>
      <c r="AE15">
        <v>0.40899999999999997</v>
      </c>
      <c r="AF15">
        <v>0.155</v>
      </c>
      <c r="AG15">
        <v>0.5606076717376709</v>
      </c>
    </row>
    <row r="16" spans="1:33" x14ac:dyDescent="0.15">
      <c r="K16">
        <v>4</v>
      </c>
      <c r="L16">
        <v>6.8033000000000004E-4</v>
      </c>
      <c r="M16">
        <v>5.7160000000000002E-5</v>
      </c>
      <c r="N16">
        <v>0.90700000000000003</v>
      </c>
      <c r="O16">
        <v>2.5999999999999999E-2</v>
      </c>
      <c r="P16">
        <v>4.8030936159193516E-3</v>
      </c>
      <c r="AB16">
        <v>4</v>
      </c>
      <c r="AC16">
        <v>3.9746399999999998E-3</v>
      </c>
      <c r="AD16">
        <v>3.3395000000000001E-4</v>
      </c>
      <c r="AE16">
        <v>0.56100000000000005</v>
      </c>
      <c r="AF16">
        <v>0.124</v>
      </c>
      <c r="AG16">
        <v>0.10133017599582672</v>
      </c>
    </row>
    <row r="17" spans="2:33" x14ac:dyDescent="0.15">
      <c r="K17">
        <v>5</v>
      </c>
      <c r="L17">
        <v>4.0770999999999998E-4</v>
      </c>
      <c r="M17">
        <v>1.0535999999999999E-4</v>
      </c>
      <c r="N17">
        <v>0.91500000000000004</v>
      </c>
      <c r="O17">
        <v>2.1999999999999999E-2</v>
      </c>
      <c r="P17">
        <v>7.0847021415829659E-3</v>
      </c>
      <c r="AB17">
        <v>5</v>
      </c>
      <c r="AC17">
        <v>2.3819599999999998E-3</v>
      </c>
      <c r="AD17">
        <v>6.1552999999999998E-4</v>
      </c>
      <c r="AE17">
        <v>0.61499999999999999</v>
      </c>
      <c r="AF17">
        <v>0.10100000000000001</v>
      </c>
      <c r="AG17">
        <v>0.16242754459381104</v>
      </c>
    </row>
    <row r="18" spans="2:33" x14ac:dyDescent="0.15">
      <c r="K18">
        <v>6</v>
      </c>
      <c r="L18">
        <v>1.8700000000000001E-5</v>
      </c>
      <c r="M18">
        <v>0</v>
      </c>
      <c r="N18">
        <v>0</v>
      </c>
      <c r="O18">
        <v>0</v>
      </c>
      <c r="P18">
        <v>0</v>
      </c>
      <c r="AB18">
        <v>6</v>
      </c>
      <c r="AC18">
        <v>1.0922E-4</v>
      </c>
      <c r="AD18">
        <v>0</v>
      </c>
      <c r="AE18">
        <v>0</v>
      </c>
      <c r="AF18">
        <v>0</v>
      </c>
      <c r="AG18">
        <v>0</v>
      </c>
    </row>
    <row r="19" spans="2:33" x14ac:dyDescent="0.15">
      <c r="L19"/>
    </row>
    <row r="20" spans="2:33" x14ac:dyDescent="0.15">
      <c r="L20"/>
    </row>
    <row r="21" spans="2:33" x14ac:dyDescent="0.15">
      <c r="B21">
        <v>1.5800000429153442</v>
      </c>
      <c r="C21">
        <v>228</v>
      </c>
      <c r="D21">
        <v>0.29055678844451904</v>
      </c>
      <c r="E21">
        <v>6.1999998986721039E-2</v>
      </c>
      <c r="F21">
        <v>2.5799999237060547</v>
      </c>
      <c r="G21">
        <v>1.7200000286102295</v>
      </c>
      <c r="H21">
        <v>0.25099998712539673</v>
      </c>
      <c r="I21">
        <v>0.34400001168251038</v>
      </c>
      <c r="J21">
        <v>0.11500000208616257</v>
      </c>
      <c r="K21">
        <v>1</v>
      </c>
      <c r="L21">
        <v>8.5482200000000005E-3</v>
      </c>
      <c r="M21">
        <v>4.7479999999999999E-4</v>
      </c>
      <c r="N21">
        <v>0.67100000000000004</v>
      </c>
      <c r="O21">
        <v>8.5999999999999993E-2</v>
      </c>
      <c r="P21">
        <v>1.9844381138682365E-2</v>
      </c>
      <c r="S21">
        <v>1.5800000429153442</v>
      </c>
      <c r="T21">
        <v>174</v>
      </c>
      <c r="U21">
        <v>0.2217119038105011</v>
      </c>
      <c r="V21">
        <v>0.15099999308586121</v>
      </c>
      <c r="W21">
        <v>2.1800000667572021</v>
      </c>
      <c r="X21">
        <v>1.0700000524520874</v>
      </c>
      <c r="Y21">
        <v>0.51700001955032349</v>
      </c>
      <c r="Z21">
        <v>0.45100000500679016</v>
      </c>
      <c r="AA21">
        <v>0.15000000596046448</v>
      </c>
      <c r="AB21">
        <v>1</v>
      </c>
      <c r="AC21">
        <v>5.2499179999999999E-2</v>
      </c>
      <c r="AD21">
        <v>2.9159899999999998E-3</v>
      </c>
      <c r="AE21">
        <v>0.317</v>
      </c>
      <c r="AF21">
        <v>0.17899999999999999</v>
      </c>
      <c r="AG21">
        <v>0.35318633913993835</v>
      </c>
    </row>
    <row r="22" spans="2:33" x14ac:dyDescent="0.15">
      <c r="K22">
        <v>2</v>
      </c>
      <c r="L22">
        <v>4.5306900000000004E-3</v>
      </c>
      <c r="M22">
        <v>2.7975999999999999E-4</v>
      </c>
      <c r="N22">
        <v>0.77700000000000002</v>
      </c>
      <c r="O22">
        <v>5.8000000000000003E-2</v>
      </c>
      <c r="P22">
        <v>1.8575742840766907E-2</v>
      </c>
      <c r="AB22">
        <v>2</v>
      </c>
      <c r="AC22">
        <v>2.7825409999999998E-2</v>
      </c>
      <c r="AD22">
        <v>1.7181799999999999E-3</v>
      </c>
      <c r="AE22">
        <v>0.41499999999999998</v>
      </c>
      <c r="AF22">
        <v>0.153</v>
      </c>
      <c r="AG22">
        <v>0.37383031845092773</v>
      </c>
    </row>
    <row r="23" spans="2:33" x14ac:dyDescent="0.15">
      <c r="K23">
        <v>3</v>
      </c>
      <c r="L23">
        <v>2.8521100000000001E-3</v>
      </c>
      <c r="M23">
        <v>3.0068E-4</v>
      </c>
      <c r="N23">
        <v>0.76300000000000001</v>
      </c>
      <c r="O23">
        <v>6.2E-2</v>
      </c>
      <c r="P23">
        <v>3.0429577454924583E-2</v>
      </c>
      <c r="AB23">
        <v>3</v>
      </c>
      <c r="AC23">
        <v>1.751635E-2</v>
      </c>
      <c r="AD23">
        <v>1.84662E-3</v>
      </c>
      <c r="AE23">
        <v>0.39800000000000002</v>
      </c>
      <c r="AF23">
        <v>0.158</v>
      </c>
      <c r="AG23">
        <v>0.59832799434661865</v>
      </c>
    </row>
    <row r="24" spans="2:33" x14ac:dyDescent="0.15">
      <c r="K24">
        <v>4</v>
      </c>
      <c r="L24">
        <v>6.7798000000000001E-4</v>
      </c>
      <c r="M24">
        <v>5.6959999999999997E-5</v>
      </c>
      <c r="N24">
        <v>0.90700000000000003</v>
      </c>
      <c r="O24">
        <v>2.5999999999999999E-2</v>
      </c>
      <c r="P24">
        <v>4.7721830196678638E-3</v>
      </c>
      <c r="AB24">
        <v>4</v>
      </c>
      <c r="AC24">
        <v>4.1638400000000002E-3</v>
      </c>
      <c r="AD24">
        <v>3.4985000000000002E-4</v>
      </c>
      <c r="AE24">
        <v>0.55000000000000004</v>
      </c>
      <c r="AF24">
        <v>0.127</v>
      </c>
      <c r="AG24">
        <v>0.1091255396604538</v>
      </c>
    </row>
    <row r="25" spans="2:33" x14ac:dyDescent="0.15">
      <c r="K25">
        <v>5</v>
      </c>
      <c r="L25">
        <v>4.0631E-4</v>
      </c>
      <c r="M25">
        <v>1.05E-4</v>
      </c>
      <c r="N25">
        <v>0.91600000000000004</v>
      </c>
      <c r="O25">
        <v>2.1999999999999999E-2</v>
      </c>
      <c r="P25">
        <v>7.0382989943027496E-3</v>
      </c>
      <c r="AB25">
        <v>5</v>
      </c>
      <c r="AC25">
        <v>2.4953499999999999E-3</v>
      </c>
      <c r="AD25">
        <v>6.4482999999999999E-4</v>
      </c>
      <c r="AE25">
        <v>0.60499999999999998</v>
      </c>
      <c r="AF25">
        <v>0.104</v>
      </c>
      <c r="AG25">
        <v>0.17545613646507263</v>
      </c>
    </row>
    <row r="26" spans="2:33" x14ac:dyDescent="0.15">
      <c r="K26">
        <v>6</v>
      </c>
      <c r="L26">
        <v>1.863E-5</v>
      </c>
      <c r="M26">
        <v>0</v>
      </c>
      <c r="N26">
        <v>0</v>
      </c>
      <c r="O26">
        <v>0</v>
      </c>
      <c r="P26">
        <v>0</v>
      </c>
      <c r="AB26">
        <v>6</v>
      </c>
      <c r="AC26">
        <v>1.1442000000000001E-4</v>
      </c>
      <c r="AD26">
        <v>0</v>
      </c>
      <c r="AE26">
        <v>0</v>
      </c>
      <c r="AF26">
        <v>0</v>
      </c>
      <c r="AG26">
        <v>0</v>
      </c>
    </row>
    <row r="27" spans="2:33" x14ac:dyDescent="0.15">
      <c r="L27"/>
    </row>
    <row r="28" spans="2:33" x14ac:dyDescent="0.15">
      <c r="L28"/>
    </row>
    <row r="29" spans="2:33" x14ac:dyDescent="0.15">
      <c r="B29">
        <v>1.5800000429153442</v>
      </c>
      <c r="C29">
        <v>228</v>
      </c>
      <c r="D29">
        <v>0.29065209627151489</v>
      </c>
      <c r="E29">
        <v>6.1999998986721039E-2</v>
      </c>
      <c r="F29">
        <v>2.5799999237060547</v>
      </c>
      <c r="G29">
        <v>1.7200000286102295</v>
      </c>
      <c r="H29">
        <v>0.25099998712539673</v>
      </c>
      <c r="I29">
        <v>0.34400001168251038</v>
      </c>
      <c r="J29">
        <v>0.11500000208616257</v>
      </c>
      <c r="K29">
        <v>1</v>
      </c>
      <c r="L29">
        <v>8.5461200000000008E-3</v>
      </c>
      <c r="M29">
        <v>4.7468E-4</v>
      </c>
      <c r="N29">
        <v>0.67100000000000004</v>
      </c>
      <c r="O29">
        <v>8.5999999999999993E-2</v>
      </c>
      <c r="P29">
        <v>1.9836252555251122E-2</v>
      </c>
      <c r="S29">
        <v>1.5800000429153442</v>
      </c>
      <c r="T29">
        <v>172</v>
      </c>
      <c r="U29">
        <v>0.21929299831390381</v>
      </c>
      <c r="V29">
        <v>0.15299999713897705</v>
      </c>
      <c r="W29">
        <v>2.1800000667572021</v>
      </c>
      <c r="X29">
        <v>1.059999942779541</v>
      </c>
      <c r="Y29">
        <v>0.52300000190734863</v>
      </c>
      <c r="Z29">
        <v>0.45600000023841858</v>
      </c>
      <c r="AA29">
        <v>0.15199999511241913</v>
      </c>
      <c r="AB29">
        <v>1</v>
      </c>
      <c r="AC29">
        <v>5.3364929999999998E-2</v>
      </c>
      <c r="AD29">
        <v>2.96408E-3</v>
      </c>
      <c r="AE29">
        <v>0.313</v>
      </c>
      <c r="AF29">
        <v>0.18</v>
      </c>
      <c r="AG29">
        <v>0.36127206683158875</v>
      </c>
    </row>
    <row r="30" spans="2:33" x14ac:dyDescent="0.15">
      <c r="K30">
        <v>2</v>
      </c>
      <c r="L30">
        <v>4.5295800000000001E-3</v>
      </c>
      <c r="M30">
        <v>2.7968999999999997E-4</v>
      </c>
      <c r="N30">
        <v>0.77700000000000002</v>
      </c>
      <c r="O30">
        <v>5.8000000000000003E-2</v>
      </c>
      <c r="P30">
        <v>1.8567787483334541E-2</v>
      </c>
      <c r="AB30">
        <v>2</v>
      </c>
      <c r="AC30">
        <v>2.8284259999999999E-2</v>
      </c>
      <c r="AD30">
        <v>1.7465099999999999E-3</v>
      </c>
      <c r="AE30">
        <v>0.41099999999999998</v>
      </c>
      <c r="AF30">
        <v>0.154</v>
      </c>
      <c r="AG30">
        <v>0.38272547721862793</v>
      </c>
    </row>
    <row r="31" spans="2:33" x14ac:dyDescent="0.15">
      <c r="K31">
        <v>3</v>
      </c>
      <c r="L31">
        <v>2.85141E-3</v>
      </c>
      <c r="M31">
        <v>3.0059999999999999E-4</v>
      </c>
      <c r="N31">
        <v>0.76300000000000001</v>
      </c>
      <c r="O31">
        <v>6.2E-2</v>
      </c>
      <c r="P31">
        <v>3.041631355881691E-2</v>
      </c>
      <c r="AB31">
        <v>3</v>
      </c>
      <c r="AC31">
        <v>1.7805209999999998E-2</v>
      </c>
      <c r="AD31">
        <v>1.8770799999999999E-3</v>
      </c>
      <c r="AE31">
        <v>0.39300000000000002</v>
      </c>
      <c r="AF31">
        <v>0.159</v>
      </c>
      <c r="AG31">
        <v>0.61187863349914551</v>
      </c>
    </row>
    <row r="32" spans="2:33" x14ac:dyDescent="0.15">
      <c r="K32">
        <v>4</v>
      </c>
      <c r="L32">
        <v>6.7781000000000004E-4</v>
      </c>
      <c r="M32">
        <v>5.6950000000000002E-5</v>
      </c>
      <c r="N32">
        <v>0.90700000000000003</v>
      </c>
      <c r="O32">
        <v>2.5999999999999999E-2</v>
      </c>
      <c r="P32">
        <v>4.7699939459562302E-3</v>
      </c>
      <c r="AB32">
        <v>4</v>
      </c>
      <c r="AC32">
        <v>4.2325100000000001E-3</v>
      </c>
      <c r="AD32">
        <v>3.5561000000000002E-4</v>
      </c>
      <c r="AE32">
        <v>0.54600000000000004</v>
      </c>
      <c r="AF32">
        <v>0.129</v>
      </c>
      <c r="AG32">
        <v>0.11197388917207718</v>
      </c>
    </row>
    <row r="33" spans="11:33" x14ac:dyDescent="0.15">
      <c r="K33">
        <v>5</v>
      </c>
      <c r="L33">
        <v>4.0621E-4</v>
      </c>
      <c r="M33">
        <v>1.0497000000000001E-4</v>
      </c>
      <c r="N33">
        <v>0.91600000000000004</v>
      </c>
      <c r="O33">
        <v>2.1999999999999999E-2</v>
      </c>
      <c r="P33">
        <v>7.0350128225982189E-3</v>
      </c>
      <c r="AB33">
        <v>5</v>
      </c>
      <c r="AC33">
        <v>2.5365000000000001E-3</v>
      </c>
      <c r="AD33">
        <v>6.5547000000000001E-4</v>
      </c>
      <c r="AE33">
        <v>0.60199999999999998</v>
      </c>
      <c r="AF33">
        <v>0.104</v>
      </c>
      <c r="AG33">
        <v>0.18023945391178131</v>
      </c>
    </row>
    <row r="34" spans="11:33" x14ac:dyDescent="0.15">
      <c r="K34">
        <v>6</v>
      </c>
      <c r="L34">
        <v>1.863E-5</v>
      </c>
      <c r="M34">
        <v>0</v>
      </c>
      <c r="N34">
        <v>0</v>
      </c>
      <c r="O34">
        <v>0</v>
      </c>
      <c r="P34">
        <v>0</v>
      </c>
      <c r="AB34">
        <v>6</v>
      </c>
      <c r="AC34">
        <v>1.1631E-4</v>
      </c>
      <c r="AD34">
        <v>0</v>
      </c>
      <c r="AE34">
        <v>0</v>
      </c>
      <c r="AF34">
        <v>0</v>
      </c>
      <c r="AG34">
        <v>0</v>
      </c>
    </row>
    <row r="35" spans="11:33" x14ac:dyDescent="0.15">
      <c r="L35"/>
    </row>
    <row r="36" spans="11:33" x14ac:dyDescent="0.15">
      <c r="L36"/>
    </row>
    <row r="37" spans="11:33" x14ac:dyDescent="0.15">
      <c r="L37"/>
      <c r="S37">
        <v>1.5800000429153442</v>
      </c>
      <c r="T37">
        <v>171</v>
      </c>
      <c r="U37">
        <v>0.21840819716453552</v>
      </c>
      <c r="V37">
        <v>0.15399999916553497</v>
      </c>
      <c r="W37">
        <v>2.1700000762939453</v>
      </c>
      <c r="X37">
        <v>1.059999942779541</v>
      </c>
      <c r="Y37">
        <v>0.52499997615814209</v>
      </c>
      <c r="Z37">
        <v>0.45800000429153442</v>
      </c>
      <c r="AA37">
        <v>0.15299999713897705</v>
      </c>
      <c r="AB37">
        <v>1</v>
      </c>
      <c r="AC37">
        <v>5.3642839999999997E-2</v>
      </c>
      <c r="AD37">
        <v>2.9795099999999999E-3</v>
      </c>
      <c r="AE37">
        <v>0.312</v>
      </c>
      <c r="AF37">
        <v>0.18099999999999999</v>
      </c>
      <c r="AG37">
        <v>0.36385795474052429</v>
      </c>
    </row>
    <row r="38" spans="11:33" x14ac:dyDescent="0.15">
      <c r="L38"/>
      <c r="AB38">
        <v>2</v>
      </c>
      <c r="AC38">
        <v>2.8431560000000002E-2</v>
      </c>
      <c r="AD38">
        <v>1.7556E-3</v>
      </c>
      <c r="AE38">
        <v>0.41</v>
      </c>
      <c r="AF38">
        <v>0.154</v>
      </c>
      <c r="AG38">
        <v>0.38557523488998413</v>
      </c>
    </row>
    <row r="39" spans="11:33" x14ac:dyDescent="0.15">
      <c r="L39"/>
      <c r="AB39">
        <v>3</v>
      </c>
      <c r="AC39">
        <v>1.7897929999999999E-2</v>
      </c>
      <c r="AD39">
        <v>1.88685E-3</v>
      </c>
      <c r="AE39">
        <v>0.39200000000000002</v>
      </c>
      <c r="AF39">
        <v>0.159</v>
      </c>
      <c r="AG39">
        <v>0.61621004343032837</v>
      </c>
    </row>
    <row r="40" spans="11:33" x14ac:dyDescent="0.15">
      <c r="L40"/>
      <c r="AB40">
        <v>4</v>
      </c>
      <c r="AC40">
        <v>4.2545500000000002E-3</v>
      </c>
      <c r="AD40">
        <v>3.5746999999999998E-4</v>
      </c>
      <c r="AE40">
        <v>0.54500000000000004</v>
      </c>
      <c r="AF40">
        <v>0.129</v>
      </c>
      <c r="AG40">
        <v>0.11289004236459732</v>
      </c>
    </row>
    <row r="41" spans="11:33" x14ac:dyDescent="0.15">
      <c r="L41"/>
      <c r="AB41">
        <v>5</v>
      </c>
      <c r="AC41">
        <v>2.5497100000000002E-3</v>
      </c>
      <c r="AD41">
        <v>6.5888000000000003E-4</v>
      </c>
      <c r="AE41">
        <v>0.60099999999999998</v>
      </c>
      <c r="AF41">
        <v>0.105</v>
      </c>
      <c r="AG41">
        <v>0.18178068101406097</v>
      </c>
    </row>
    <row r="42" spans="11:33" x14ac:dyDescent="0.15">
      <c r="L42"/>
      <c r="AB42">
        <v>6</v>
      </c>
      <c r="AC42">
        <v>1.1692E-4</v>
      </c>
      <c r="AD42">
        <v>0</v>
      </c>
      <c r="AE42">
        <v>0</v>
      </c>
      <c r="AF42">
        <v>0</v>
      </c>
      <c r="AG42">
        <v>0</v>
      </c>
    </row>
    <row r="43" spans="11:33" x14ac:dyDescent="0.15">
      <c r="L43"/>
    </row>
    <row r="44" spans="11:33" x14ac:dyDescent="0.15">
      <c r="L44"/>
    </row>
    <row r="45" spans="11:33" x14ac:dyDescent="0.15">
      <c r="L45"/>
      <c r="S45">
        <v>1.5800000429153442</v>
      </c>
      <c r="T45">
        <v>171</v>
      </c>
      <c r="U45">
        <v>0.21812330186367035</v>
      </c>
      <c r="V45">
        <v>0.1550000011920929</v>
      </c>
      <c r="W45">
        <v>2.1700000762939453</v>
      </c>
      <c r="X45">
        <v>1.0499999523162842</v>
      </c>
      <c r="Y45">
        <v>0.52700001001358032</v>
      </c>
      <c r="Z45">
        <v>0.45800000429153442</v>
      </c>
      <c r="AA45">
        <v>0.15299999713897705</v>
      </c>
      <c r="AB45">
        <v>1</v>
      </c>
      <c r="AC45">
        <v>5.3382680000000002E-2</v>
      </c>
      <c r="AD45">
        <v>2.9650599999999998E-3</v>
      </c>
      <c r="AE45">
        <v>0.313</v>
      </c>
      <c r="AF45">
        <v>0.18</v>
      </c>
      <c r="AG45">
        <v>0.36143741011619568</v>
      </c>
    </row>
    <row r="46" spans="11:33" x14ac:dyDescent="0.15">
      <c r="L46"/>
      <c r="AB46">
        <v>2</v>
      </c>
      <c r="AC46">
        <v>2.829367E-2</v>
      </c>
      <c r="AD46">
        <v>1.74709E-3</v>
      </c>
      <c r="AE46">
        <v>0.41099999999999998</v>
      </c>
      <c r="AF46">
        <v>0.154</v>
      </c>
      <c r="AG46">
        <v>0.38290765881538391</v>
      </c>
    </row>
    <row r="47" spans="11:33" x14ac:dyDescent="0.15">
      <c r="L47"/>
      <c r="AB47">
        <v>3</v>
      </c>
      <c r="AC47">
        <v>1.7811130000000001E-2</v>
      </c>
      <c r="AD47">
        <v>1.8776999999999999E-3</v>
      </c>
      <c r="AE47">
        <v>0.39300000000000002</v>
      </c>
      <c r="AF47">
        <v>0.159</v>
      </c>
      <c r="AG47">
        <v>0.61215555667877197</v>
      </c>
    </row>
    <row r="48" spans="11:33" x14ac:dyDescent="0.15">
      <c r="L48"/>
      <c r="AB48">
        <v>4</v>
      </c>
      <c r="AC48">
        <v>4.2339200000000004E-3</v>
      </c>
      <c r="AD48">
        <v>3.5573000000000001E-4</v>
      </c>
      <c r="AE48">
        <v>0.54600000000000004</v>
      </c>
      <c r="AF48">
        <v>0.129</v>
      </c>
      <c r="AG48">
        <v>0.11203239858150482</v>
      </c>
    </row>
    <row r="49" spans="12:33" x14ac:dyDescent="0.15">
      <c r="L49"/>
      <c r="AB49">
        <v>5</v>
      </c>
      <c r="AC49">
        <v>2.5373399999999999E-3</v>
      </c>
      <c r="AD49">
        <v>6.5569000000000001E-4</v>
      </c>
      <c r="AE49">
        <v>0.60199999999999998</v>
      </c>
      <c r="AF49">
        <v>0.104</v>
      </c>
      <c r="AG49">
        <v>0.1803378164768219</v>
      </c>
    </row>
    <row r="50" spans="12:33" x14ac:dyDescent="0.15">
      <c r="L50"/>
      <c r="AB50">
        <v>6</v>
      </c>
      <c r="AC50">
        <v>1.1635E-4</v>
      </c>
      <c r="AD50">
        <v>0</v>
      </c>
      <c r="AE50">
        <v>0</v>
      </c>
      <c r="AF50">
        <v>0</v>
      </c>
      <c r="AG50">
        <v>0</v>
      </c>
    </row>
    <row r="51" spans="12:33" x14ac:dyDescent="0.15">
      <c r="L51"/>
    </row>
    <row r="52" spans="12:33" x14ac:dyDescent="0.15">
      <c r="L52"/>
    </row>
    <row r="53" spans="12:33" x14ac:dyDescent="0.15">
      <c r="L53"/>
    </row>
    <row r="54" spans="12:33" x14ac:dyDescent="0.15">
      <c r="L54"/>
    </row>
    <row r="55" spans="12:33" x14ac:dyDescent="0.15">
      <c r="L55"/>
    </row>
    <row r="56" spans="12:33" x14ac:dyDescent="0.15">
      <c r="L56"/>
    </row>
    <row r="57" spans="12:33" x14ac:dyDescent="0.15">
      <c r="L57"/>
    </row>
    <row r="58" spans="12:33" x14ac:dyDescent="0.15">
      <c r="L58"/>
    </row>
    <row r="59" spans="12:33" x14ac:dyDescent="0.15">
      <c r="L59"/>
    </row>
    <row r="60" spans="12:33" x14ac:dyDescent="0.15">
      <c r="L60"/>
    </row>
    <row r="61" spans="12:33" x14ac:dyDescent="0.15">
      <c r="L61"/>
    </row>
    <row r="62" spans="12:33" x14ac:dyDescent="0.15">
      <c r="L62"/>
    </row>
    <row r="63" spans="12:33" x14ac:dyDescent="0.15">
      <c r="L63"/>
    </row>
    <row r="64" spans="12:33" x14ac:dyDescent="0.15">
      <c r="L64"/>
    </row>
    <row r="65" spans="12:12" x14ac:dyDescent="0.15">
      <c r="L65"/>
    </row>
    <row r="66" spans="12:12" x14ac:dyDescent="0.15">
      <c r="L66"/>
    </row>
    <row r="67" spans="12:12" x14ac:dyDescent="0.15">
      <c r="L67"/>
    </row>
    <row r="68" spans="12:12" x14ac:dyDescent="0.15">
      <c r="L68"/>
    </row>
    <row r="69" spans="12:12" x14ac:dyDescent="0.15">
      <c r="L69"/>
    </row>
    <row r="70" spans="12:12" x14ac:dyDescent="0.15">
      <c r="L70"/>
    </row>
    <row r="71" spans="12:12" x14ac:dyDescent="0.15">
      <c r="L71"/>
    </row>
    <row r="72" spans="12:12" x14ac:dyDescent="0.15">
      <c r="L72"/>
    </row>
    <row r="73" spans="12:12" x14ac:dyDescent="0.15">
      <c r="L73"/>
    </row>
    <row r="74" spans="12:12" x14ac:dyDescent="0.15">
      <c r="L74"/>
    </row>
    <row r="75" spans="12:12" x14ac:dyDescent="0.15">
      <c r="L75"/>
    </row>
    <row r="76" spans="12:12" x14ac:dyDescent="0.15">
      <c r="L76"/>
    </row>
    <row r="77" spans="12:12" x14ac:dyDescent="0.15">
      <c r="L77"/>
    </row>
    <row r="78" spans="12:12" x14ac:dyDescent="0.15">
      <c r="L78"/>
    </row>
    <row r="79" spans="12:12" x14ac:dyDescent="0.15">
      <c r="L79"/>
    </row>
    <row r="80" spans="12:12" x14ac:dyDescent="0.15">
      <c r="L80"/>
    </row>
    <row r="81" spans="12:12" x14ac:dyDescent="0.15">
      <c r="L81"/>
    </row>
    <row r="82" spans="12:12" x14ac:dyDescent="0.15">
      <c r="L82"/>
    </row>
    <row r="83" spans="12:12" x14ac:dyDescent="0.15">
      <c r="L83"/>
    </row>
    <row r="84" spans="12:12" x14ac:dyDescent="0.15">
      <c r="L84"/>
    </row>
    <row r="85" spans="12:12" x14ac:dyDescent="0.15">
      <c r="L85"/>
    </row>
    <row r="86" spans="12:12" x14ac:dyDescent="0.15">
      <c r="L86"/>
    </row>
    <row r="87" spans="12:12" x14ac:dyDescent="0.15">
      <c r="L87"/>
    </row>
    <row r="88" spans="12:12" x14ac:dyDescent="0.15">
      <c r="L88"/>
    </row>
    <row r="89" spans="12:12" x14ac:dyDescent="0.15">
      <c r="L89"/>
    </row>
    <row r="90" spans="12:12" x14ac:dyDescent="0.15">
      <c r="L90"/>
    </row>
    <row r="91" spans="12:12" x14ac:dyDescent="0.15">
      <c r="L91"/>
    </row>
    <row r="92" spans="12:12" x14ac:dyDescent="0.15">
      <c r="L92"/>
    </row>
    <row r="93" spans="12:12" x14ac:dyDescent="0.15">
      <c r="L93"/>
    </row>
    <row r="94" spans="12:12" x14ac:dyDescent="0.15">
      <c r="L94"/>
    </row>
    <row r="95" spans="12:12" x14ac:dyDescent="0.15">
      <c r="L95"/>
    </row>
    <row r="96" spans="12:12" x14ac:dyDescent="0.15">
      <c r="L96"/>
    </row>
    <row r="97" spans="12:12" x14ac:dyDescent="0.15">
      <c r="L97"/>
    </row>
    <row r="98" spans="12:12" x14ac:dyDescent="0.15">
      <c r="L98"/>
    </row>
    <row r="99" spans="12:12" x14ac:dyDescent="0.15">
      <c r="L99"/>
    </row>
    <row r="100" spans="12:12" x14ac:dyDescent="0.15">
      <c r="L100"/>
    </row>
    <row r="101" spans="12:12" x14ac:dyDescent="0.15">
      <c r="L101"/>
    </row>
    <row r="102" spans="12:12" x14ac:dyDescent="0.15">
      <c r="L102"/>
    </row>
    <row r="103" spans="12:12" x14ac:dyDescent="0.15">
      <c r="L103"/>
    </row>
    <row r="104" spans="12:12" x14ac:dyDescent="0.15">
      <c r="L104"/>
    </row>
    <row r="105" spans="12:12" x14ac:dyDescent="0.15">
      <c r="L105"/>
    </row>
    <row r="106" spans="12:12" x14ac:dyDescent="0.15">
      <c r="L106"/>
    </row>
    <row r="107" spans="12:12" x14ac:dyDescent="0.15">
      <c r="L107"/>
    </row>
    <row r="108" spans="12:12" x14ac:dyDescent="0.15">
      <c r="L108"/>
    </row>
    <row r="109" spans="12:12" x14ac:dyDescent="0.15">
      <c r="L109"/>
    </row>
    <row r="110" spans="12:12" x14ac:dyDescent="0.15">
      <c r="L110"/>
    </row>
    <row r="111" spans="12:12" x14ac:dyDescent="0.15">
      <c r="L111"/>
    </row>
    <row r="112" spans="12:12" x14ac:dyDescent="0.15">
      <c r="L112"/>
    </row>
    <row r="113" spans="12:12" x14ac:dyDescent="0.15">
      <c r="L113"/>
    </row>
    <row r="114" spans="12:12" x14ac:dyDescent="0.15">
      <c r="L114"/>
    </row>
    <row r="115" spans="12:12" x14ac:dyDescent="0.15">
      <c r="L115"/>
    </row>
    <row r="116" spans="12:12" x14ac:dyDescent="0.15">
      <c r="L116"/>
    </row>
    <row r="117" spans="12:12" x14ac:dyDescent="0.15">
      <c r="L117"/>
    </row>
    <row r="118" spans="12:12" x14ac:dyDescent="0.15">
      <c r="L118"/>
    </row>
    <row r="119" spans="12:12" x14ac:dyDescent="0.15">
      <c r="L119"/>
    </row>
    <row r="120" spans="12:12" x14ac:dyDescent="0.15">
      <c r="L120"/>
    </row>
    <row r="121" spans="12:12" x14ac:dyDescent="0.15">
      <c r="L121"/>
    </row>
    <row r="122" spans="12:12" x14ac:dyDescent="0.15">
      <c r="L122"/>
    </row>
    <row r="123" spans="12:12" x14ac:dyDescent="0.15">
      <c r="L123"/>
    </row>
    <row r="124" spans="12:12" x14ac:dyDescent="0.15">
      <c r="L124"/>
    </row>
    <row r="125" spans="12:12" x14ac:dyDescent="0.15">
      <c r="L125"/>
    </row>
    <row r="126" spans="12:12" x14ac:dyDescent="0.15">
      <c r="L126"/>
    </row>
    <row r="127" spans="12:12" x14ac:dyDescent="0.15">
      <c r="L127"/>
    </row>
    <row r="128" spans="12:12" x14ac:dyDescent="0.15">
      <c r="L128"/>
    </row>
    <row r="129" spans="12:12" x14ac:dyDescent="0.15">
      <c r="L129"/>
    </row>
    <row r="130" spans="12:12" x14ac:dyDescent="0.15">
      <c r="L130"/>
    </row>
    <row r="131" spans="12:12" x14ac:dyDescent="0.15">
      <c r="L131"/>
    </row>
    <row r="132" spans="12:12" x14ac:dyDescent="0.15">
      <c r="L132"/>
    </row>
    <row r="133" spans="12:12" x14ac:dyDescent="0.15">
      <c r="L133"/>
    </row>
    <row r="134" spans="12:12" x14ac:dyDescent="0.15">
      <c r="L134"/>
    </row>
    <row r="135" spans="12:12" x14ac:dyDescent="0.15">
      <c r="L135"/>
    </row>
    <row r="136" spans="12:12" x14ac:dyDescent="0.15">
      <c r="L136"/>
    </row>
    <row r="137" spans="12:12" x14ac:dyDescent="0.15">
      <c r="L137"/>
    </row>
    <row r="138" spans="12:12" x14ac:dyDescent="0.15">
      <c r="L138"/>
    </row>
    <row r="139" spans="12:12" x14ac:dyDescent="0.15">
      <c r="L139"/>
    </row>
    <row r="140" spans="12:12" x14ac:dyDescent="0.15">
      <c r="L140"/>
    </row>
    <row r="141" spans="12:12" x14ac:dyDescent="0.15">
      <c r="L141"/>
    </row>
    <row r="142" spans="12:12" x14ac:dyDescent="0.15">
      <c r="L142"/>
    </row>
    <row r="143" spans="12:12" x14ac:dyDescent="0.15">
      <c r="L143"/>
    </row>
    <row r="144" spans="12:12" x14ac:dyDescent="0.15">
      <c r="L144"/>
    </row>
    <row r="145" spans="12:12" x14ac:dyDescent="0.15">
      <c r="L145"/>
    </row>
    <row r="146" spans="12:12" x14ac:dyDescent="0.15">
      <c r="L146"/>
    </row>
    <row r="147" spans="12:12" x14ac:dyDescent="0.15">
      <c r="L147"/>
    </row>
    <row r="148" spans="12:12" x14ac:dyDescent="0.15">
      <c r="L148"/>
    </row>
    <row r="149" spans="12:12" x14ac:dyDescent="0.15">
      <c r="L149"/>
    </row>
    <row r="150" spans="12:12" x14ac:dyDescent="0.15">
      <c r="L150"/>
    </row>
    <row r="151" spans="12:12" x14ac:dyDescent="0.15">
      <c r="L151"/>
    </row>
    <row r="152" spans="12:12" x14ac:dyDescent="0.15">
      <c r="L152"/>
    </row>
    <row r="153" spans="12:12" x14ac:dyDescent="0.15">
      <c r="L153"/>
    </row>
    <row r="154" spans="12:12" x14ac:dyDescent="0.15">
      <c r="L154"/>
    </row>
    <row r="155" spans="12:12" x14ac:dyDescent="0.15">
      <c r="L155"/>
    </row>
    <row r="156" spans="12:12" x14ac:dyDescent="0.15">
      <c r="L156"/>
    </row>
    <row r="157" spans="12:12" x14ac:dyDescent="0.15">
      <c r="L157"/>
    </row>
    <row r="158" spans="12:12" x14ac:dyDescent="0.15">
      <c r="L158"/>
    </row>
    <row r="159" spans="12:12" x14ac:dyDescent="0.15">
      <c r="L159"/>
    </row>
    <row r="160" spans="12:12" x14ac:dyDescent="0.15">
      <c r="L160"/>
    </row>
    <row r="161" spans="12:12" x14ac:dyDescent="0.15">
      <c r="L161"/>
    </row>
    <row r="162" spans="12:12" x14ac:dyDescent="0.15">
      <c r="L162"/>
    </row>
    <row r="163" spans="12:12" x14ac:dyDescent="0.15">
      <c r="L163"/>
    </row>
    <row r="164" spans="12:12" x14ac:dyDescent="0.15">
      <c r="L164"/>
    </row>
    <row r="165" spans="12:12" x14ac:dyDescent="0.15">
      <c r="L165"/>
    </row>
    <row r="166" spans="12:12" x14ac:dyDescent="0.15">
      <c r="L166"/>
    </row>
    <row r="167" spans="12:12" x14ac:dyDescent="0.15">
      <c r="L167"/>
    </row>
    <row r="168" spans="12:12" x14ac:dyDescent="0.15">
      <c r="L168"/>
    </row>
    <row r="169" spans="12:12" x14ac:dyDescent="0.15">
      <c r="L169"/>
    </row>
    <row r="170" spans="12:12" x14ac:dyDescent="0.15">
      <c r="L170"/>
    </row>
    <row r="171" spans="12:12" x14ac:dyDescent="0.15">
      <c r="L171"/>
    </row>
    <row r="172" spans="12:12" x14ac:dyDescent="0.15">
      <c r="L172"/>
    </row>
    <row r="173" spans="12:12" x14ac:dyDescent="0.15">
      <c r="L173"/>
    </row>
    <row r="174" spans="12:12" x14ac:dyDescent="0.15">
      <c r="L174"/>
    </row>
    <row r="175" spans="12:12" x14ac:dyDescent="0.15">
      <c r="L175"/>
    </row>
    <row r="176" spans="12:12" x14ac:dyDescent="0.15">
      <c r="L176"/>
    </row>
    <row r="177" spans="12:12" x14ac:dyDescent="0.15">
      <c r="L177"/>
    </row>
    <row r="178" spans="12:12" x14ac:dyDescent="0.15">
      <c r="L178"/>
    </row>
    <row r="179" spans="12:12" x14ac:dyDescent="0.15">
      <c r="L179"/>
    </row>
    <row r="180" spans="12:12" x14ac:dyDescent="0.15">
      <c r="L180"/>
    </row>
    <row r="181" spans="12:12" x14ac:dyDescent="0.15">
      <c r="L181"/>
    </row>
    <row r="182" spans="12:12" x14ac:dyDescent="0.15">
      <c r="L182"/>
    </row>
    <row r="183" spans="12:12" x14ac:dyDescent="0.15">
      <c r="L183"/>
    </row>
    <row r="184" spans="12:12" x14ac:dyDescent="0.15">
      <c r="L184"/>
    </row>
    <row r="185" spans="12:12" x14ac:dyDescent="0.15">
      <c r="L185"/>
    </row>
    <row r="186" spans="12:12" x14ac:dyDescent="0.15">
      <c r="L186"/>
    </row>
    <row r="187" spans="12:12" x14ac:dyDescent="0.15">
      <c r="L187"/>
    </row>
    <row r="188" spans="12:12" x14ac:dyDescent="0.15">
      <c r="L188"/>
    </row>
    <row r="189" spans="12:12" x14ac:dyDescent="0.15">
      <c r="L189"/>
    </row>
    <row r="190" spans="12:12" x14ac:dyDescent="0.15">
      <c r="L190"/>
    </row>
    <row r="191" spans="12:12" x14ac:dyDescent="0.15">
      <c r="L191"/>
    </row>
    <row r="192" spans="12:12" x14ac:dyDescent="0.15">
      <c r="L192"/>
    </row>
    <row r="193" spans="12:12" x14ac:dyDescent="0.15">
      <c r="L193"/>
    </row>
    <row r="194" spans="12:12" x14ac:dyDescent="0.15">
      <c r="L194"/>
    </row>
    <row r="195" spans="12:12" x14ac:dyDescent="0.15">
      <c r="L195"/>
    </row>
    <row r="196" spans="12:12" x14ac:dyDescent="0.15">
      <c r="L196"/>
    </row>
    <row r="197" spans="12:12" x14ac:dyDescent="0.15">
      <c r="L197"/>
    </row>
    <row r="198" spans="12:12" x14ac:dyDescent="0.15">
      <c r="L198"/>
    </row>
    <row r="199" spans="12:12" x14ac:dyDescent="0.15">
      <c r="L199"/>
    </row>
    <row r="200" spans="12:12" x14ac:dyDescent="0.15">
      <c r="L200"/>
    </row>
    <row r="201" spans="12:12" x14ac:dyDescent="0.15">
      <c r="L201"/>
    </row>
    <row r="202" spans="12:12" x14ac:dyDescent="0.15">
      <c r="L202"/>
    </row>
    <row r="203" spans="12:12" x14ac:dyDescent="0.15">
      <c r="L203"/>
    </row>
    <row r="204" spans="12:12" x14ac:dyDescent="0.15">
      <c r="L204"/>
    </row>
    <row r="205" spans="12:12" x14ac:dyDescent="0.15">
      <c r="L205"/>
    </row>
    <row r="206" spans="12:12" x14ac:dyDescent="0.15">
      <c r="L206"/>
    </row>
    <row r="207" spans="12:12" x14ac:dyDescent="0.15">
      <c r="L207"/>
    </row>
    <row r="208" spans="12:12" x14ac:dyDescent="0.15">
      <c r="L208"/>
    </row>
    <row r="209" spans="12:12" x14ac:dyDescent="0.15">
      <c r="L209"/>
    </row>
    <row r="210" spans="12:12" x14ac:dyDescent="0.15">
      <c r="L210"/>
    </row>
    <row r="211" spans="12:12" x14ac:dyDescent="0.15">
      <c r="L211"/>
    </row>
    <row r="212" spans="12:12" x14ac:dyDescent="0.15">
      <c r="L212"/>
    </row>
    <row r="213" spans="12:12" x14ac:dyDescent="0.15">
      <c r="L213"/>
    </row>
    <row r="214" spans="12:12" x14ac:dyDescent="0.15">
      <c r="L214"/>
    </row>
    <row r="215" spans="12:12" x14ac:dyDescent="0.15">
      <c r="L215"/>
    </row>
    <row r="216" spans="12:12" x14ac:dyDescent="0.15">
      <c r="L216"/>
    </row>
    <row r="217" spans="12:12" x14ac:dyDescent="0.15">
      <c r="L217"/>
    </row>
    <row r="218" spans="12:12" x14ac:dyDescent="0.15">
      <c r="L218"/>
    </row>
    <row r="219" spans="12:12" x14ac:dyDescent="0.15">
      <c r="L219"/>
    </row>
    <row r="220" spans="12:12" x14ac:dyDescent="0.15">
      <c r="L220"/>
    </row>
    <row r="221" spans="12:12" x14ac:dyDescent="0.15">
      <c r="L221"/>
    </row>
    <row r="222" spans="12:12" x14ac:dyDescent="0.15">
      <c r="L222"/>
    </row>
    <row r="223" spans="12:12" x14ac:dyDescent="0.15">
      <c r="L223"/>
    </row>
    <row r="224" spans="12:12" x14ac:dyDescent="0.15">
      <c r="L224"/>
    </row>
    <row r="225" spans="12:12" x14ac:dyDescent="0.15">
      <c r="L225"/>
    </row>
    <row r="226" spans="12:12" x14ac:dyDescent="0.15">
      <c r="L226"/>
    </row>
    <row r="227" spans="12:12" x14ac:dyDescent="0.15">
      <c r="L227"/>
    </row>
    <row r="228" spans="12:12" x14ac:dyDescent="0.15">
      <c r="L228"/>
    </row>
    <row r="229" spans="12:12" x14ac:dyDescent="0.15">
      <c r="L229"/>
    </row>
    <row r="230" spans="12:12" x14ac:dyDescent="0.15">
      <c r="L230"/>
    </row>
    <row r="231" spans="12:12" x14ac:dyDescent="0.15">
      <c r="L231"/>
    </row>
    <row r="232" spans="12:12" x14ac:dyDescent="0.15">
      <c r="L232"/>
    </row>
    <row r="233" spans="12:12" x14ac:dyDescent="0.15">
      <c r="L233"/>
    </row>
    <row r="234" spans="12:12" x14ac:dyDescent="0.15">
      <c r="L234"/>
    </row>
    <row r="235" spans="12:12" x14ac:dyDescent="0.15">
      <c r="L235"/>
    </row>
    <row r="236" spans="12:12" x14ac:dyDescent="0.15">
      <c r="L236"/>
    </row>
    <row r="237" spans="12:12" x14ac:dyDescent="0.15">
      <c r="L237"/>
    </row>
    <row r="238" spans="12:12" x14ac:dyDescent="0.15">
      <c r="L238"/>
    </row>
    <row r="239" spans="12:12" x14ac:dyDescent="0.15">
      <c r="L239"/>
    </row>
    <row r="240" spans="12:12" x14ac:dyDescent="0.15">
      <c r="L240"/>
    </row>
    <row r="241" spans="12:12" x14ac:dyDescent="0.15">
      <c r="L241"/>
    </row>
    <row r="242" spans="12:12" x14ac:dyDescent="0.15">
      <c r="L242"/>
    </row>
    <row r="243" spans="12:12" x14ac:dyDescent="0.15">
      <c r="L243"/>
    </row>
    <row r="244" spans="12:12" x14ac:dyDescent="0.15">
      <c r="L244"/>
    </row>
    <row r="245" spans="12:12" x14ac:dyDescent="0.15">
      <c r="L245"/>
    </row>
    <row r="246" spans="12:12" x14ac:dyDescent="0.15">
      <c r="L246"/>
    </row>
    <row r="247" spans="12:12" x14ac:dyDescent="0.15">
      <c r="L247"/>
    </row>
    <row r="248" spans="12:12" x14ac:dyDescent="0.15">
      <c r="L248"/>
    </row>
    <row r="249" spans="12:12" x14ac:dyDescent="0.15">
      <c r="L249"/>
    </row>
    <row r="250" spans="12:12" x14ac:dyDescent="0.15">
      <c r="L250"/>
    </row>
    <row r="251" spans="12:12" x14ac:dyDescent="0.15">
      <c r="L251"/>
    </row>
    <row r="252" spans="12:12" x14ac:dyDescent="0.15">
      <c r="L252"/>
    </row>
    <row r="253" spans="12:12" x14ac:dyDescent="0.15">
      <c r="L253"/>
    </row>
    <row r="254" spans="12:12" x14ac:dyDescent="0.15">
      <c r="L254"/>
    </row>
    <row r="255" spans="12:12" x14ac:dyDescent="0.15">
      <c r="L255"/>
    </row>
    <row r="256" spans="12:12" x14ac:dyDescent="0.15">
      <c r="L256"/>
    </row>
    <row r="257" spans="12:12" x14ac:dyDescent="0.15">
      <c r="L257"/>
    </row>
    <row r="258" spans="12:12" x14ac:dyDescent="0.15">
      <c r="L258"/>
    </row>
    <row r="259" spans="12:12" x14ac:dyDescent="0.15">
      <c r="L259"/>
    </row>
    <row r="260" spans="12:12" x14ac:dyDescent="0.15">
      <c r="L260"/>
    </row>
    <row r="261" spans="12:12" x14ac:dyDescent="0.15">
      <c r="L261"/>
    </row>
    <row r="262" spans="12:12" x14ac:dyDescent="0.15">
      <c r="L262"/>
    </row>
    <row r="263" spans="12:12" x14ac:dyDescent="0.15">
      <c r="L263"/>
    </row>
    <row r="264" spans="12:12" x14ac:dyDescent="0.15">
      <c r="L264"/>
    </row>
    <row r="265" spans="12:12" x14ac:dyDescent="0.15">
      <c r="L265"/>
    </row>
    <row r="266" spans="12:12" x14ac:dyDescent="0.15">
      <c r="L266"/>
    </row>
    <row r="267" spans="12:12" x14ac:dyDescent="0.15">
      <c r="L267"/>
    </row>
    <row r="268" spans="12:12" x14ac:dyDescent="0.15">
      <c r="L268"/>
    </row>
    <row r="269" spans="12:12" x14ac:dyDescent="0.15">
      <c r="L269"/>
    </row>
    <row r="270" spans="12:12" x14ac:dyDescent="0.15">
      <c r="L270"/>
    </row>
    <row r="271" spans="12:12" x14ac:dyDescent="0.15">
      <c r="L271"/>
    </row>
    <row r="272" spans="12:12" x14ac:dyDescent="0.15">
      <c r="L272"/>
    </row>
    <row r="273" spans="12:12" x14ac:dyDescent="0.15">
      <c r="L273"/>
    </row>
    <row r="274" spans="12:12" x14ac:dyDescent="0.15">
      <c r="L274"/>
    </row>
    <row r="275" spans="12:12" x14ac:dyDescent="0.15">
      <c r="L275"/>
    </row>
    <row r="276" spans="12:12" x14ac:dyDescent="0.15">
      <c r="L276"/>
    </row>
    <row r="277" spans="12:12" x14ac:dyDescent="0.15">
      <c r="L277"/>
    </row>
    <row r="278" spans="12:12" x14ac:dyDescent="0.15">
      <c r="L278"/>
    </row>
    <row r="279" spans="12:12" x14ac:dyDescent="0.15">
      <c r="L279"/>
    </row>
    <row r="280" spans="12:12" x14ac:dyDescent="0.15">
      <c r="L280"/>
    </row>
    <row r="281" spans="12:12" x14ac:dyDescent="0.15">
      <c r="L281"/>
    </row>
    <row r="282" spans="12:12" x14ac:dyDescent="0.15">
      <c r="L282"/>
    </row>
    <row r="283" spans="12:12" x14ac:dyDescent="0.15">
      <c r="L283"/>
    </row>
    <row r="284" spans="12:12" x14ac:dyDescent="0.15">
      <c r="L284"/>
    </row>
    <row r="285" spans="12:12" x14ac:dyDescent="0.15">
      <c r="L285"/>
    </row>
    <row r="286" spans="12:12" x14ac:dyDescent="0.15">
      <c r="L286"/>
    </row>
    <row r="287" spans="12:12" x14ac:dyDescent="0.15">
      <c r="L287"/>
    </row>
    <row r="288" spans="12:12" x14ac:dyDescent="0.15">
      <c r="L288"/>
    </row>
    <row r="289" spans="12:12" x14ac:dyDescent="0.15">
      <c r="L289"/>
    </row>
    <row r="290" spans="12:12" x14ac:dyDescent="0.15">
      <c r="L290"/>
    </row>
    <row r="291" spans="12:12" x14ac:dyDescent="0.15">
      <c r="L291"/>
    </row>
    <row r="292" spans="12:12" x14ac:dyDescent="0.15">
      <c r="L292"/>
    </row>
    <row r="293" spans="12:12" x14ac:dyDescent="0.15">
      <c r="L293"/>
    </row>
    <row r="294" spans="12:12" x14ac:dyDescent="0.15">
      <c r="L294"/>
    </row>
    <row r="295" spans="12:12" x14ac:dyDescent="0.15">
      <c r="L295"/>
    </row>
    <row r="296" spans="12:12" x14ac:dyDescent="0.15">
      <c r="L296"/>
    </row>
    <row r="297" spans="12:12" x14ac:dyDescent="0.15">
      <c r="L297"/>
    </row>
    <row r="298" spans="12:12" x14ac:dyDescent="0.15">
      <c r="L298"/>
    </row>
    <row r="299" spans="12:12" x14ac:dyDescent="0.15">
      <c r="L299"/>
    </row>
    <row r="300" spans="12:12" x14ac:dyDescent="0.15">
      <c r="L300"/>
    </row>
    <row r="301" spans="12:12" x14ac:dyDescent="0.15">
      <c r="L301"/>
    </row>
    <row r="302" spans="12:12" x14ac:dyDescent="0.15">
      <c r="L302"/>
    </row>
    <row r="303" spans="12:12" x14ac:dyDescent="0.15">
      <c r="L303"/>
    </row>
    <row r="304" spans="12:12" x14ac:dyDescent="0.15">
      <c r="L304"/>
    </row>
    <row r="305" spans="12:12" x14ac:dyDescent="0.15">
      <c r="L305"/>
    </row>
    <row r="306" spans="12:12" x14ac:dyDescent="0.15">
      <c r="L306"/>
    </row>
    <row r="307" spans="12:12" x14ac:dyDescent="0.15">
      <c r="L307"/>
    </row>
    <row r="308" spans="12:12" x14ac:dyDescent="0.15">
      <c r="L308"/>
    </row>
    <row r="309" spans="12:12" x14ac:dyDescent="0.15">
      <c r="L309"/>
    </row>
    <row r="310" spans="12:12" x14ac:dyDescent="0.15">
      <c r="L310"/>
    </row>
    <row r="311" spans="12:12" x14ac:dyDescent="0.15">
      <c r="L311"/>
    </row>
    <row r="312" spans="12:12" x14ac:dyDescent="0.15">
      <c r="L312"/>
    </row>
    <row r="313" spans="12:12" x14ac:dyDescent="0.15">
      <c r="L313"/>
    </row>
    <row r="314" spans="12:12" x14ac:dyDescent="0.15">
      <c r="L314"/>
    </row>
    <row r="315" spans="12:12" x14ac:dyDescent="0.15">
      <c r="L315"/>
    </row>
    <row r="316" spans="12:12" x14ac:dyDescent="0.15">
      <c r="L316"/>
    </row>
    <row r="317" spans="12:12" x14ac:dyDescent="0.15">
      <c r="L317"/>
    </row>
    <row r="318" spans="12:12" x14ac:dyDescent="0.15">
      <c r="L318"/>
    </row>
    <row r="319" spans="12:12" x14ac:dyDescent="0.15">
      <c r="L319"/>
    </row>
    <row r="320" spans="12:12" x14ac:dyDescent="0.15">
      <c r="L320"/>
    </row>
    <row r="321" spans="12:12" x14ac:dyDescent="0.15">
      <c r="L321"/>
    </row>
    <row r="322" spans="12:12" x14ac:dyDescent="0.15">
      <c r="L322"/>
    </row>
    <row r="323" spans="12:12" x14ac:dyDescent="0.15">
      <c r="L323"/>
    </row>
    <row r="324" spans="12:12" x14ac:dyDescent="0.15">
      <c r="L324"/>
    </row>
    <row r="325" spans="12:12" x14ac:dyDescent="0.15">
      <c r="L325"/>
    </row>
    <row r="326" spans="12:12" x14ac:dyDescent="0.15">
      <c r="L326"/>
    </row>
    <row r="327" spans="12:12" x14ac:dyDescent="0.15">
      <c r="L327"/>
    </row>
    <row r="328" spans="12:12" x14ac:dyDescent="0.15">
      <c r="L328"/>
    </row>
    <row r="329" spans="12:12" x14ac:dyDescent="0.15">
      <c r="L329"/>
    </row>
    <row r="330" spans="12:12" x14ac:dyDescent="0.15">
      <c r="L330"/>
    </row>
    <row r="331" spans="12:12" x14ac:dyDescent="0.15">
      <c r="L331"/>
    </row>
    <row r="332" spans="12:12" x14ac:dyDescent="0.15">
      <c r="L332"/>
    </row>
    <row r="333" spans="12:12" x14ac:dyDescent="0.15">
      <c r="L333"/>
    </row>
    <row r="334" spans="12:12" x14ac:dyDescent="0.15">
      <c r="L334"/>
    </row>
    <row r="335" spans="12:12" x14ac:dyDescent="0.15">
      <c r="L335"/>
    </row>
    <row r="336" spans="12:12" x14ac:dyDescent="0.15">
      <c r="L336"/>
    </row>
    <row r="337" spans="12:12" x14ac:dyDescent="0.15">
      <c r="L337"/>
    </row>
    <row r="338" spans="12:12" x14ac:dyDescent="0.15">
      <c r="L338"/>
    </row>
    <row r="339" spans="12:12" x14ac:dyDescent="0.15">
      <c r="L339"/>
    </row>
    <row r="340" spans="12:12" x14ac:dyDescent="0.15">
      <c r="L340"/>
    </row>
    <row r="341" spans="12:12" x14ac:dyDescent="0.15">
      <c r="L341"/>
    </row>
    <row r="342" spans="12:12" x14ac:dyDescent="0.15">
      <c r="L342"/>
    </row>
    <row r="343" spans="12:12" x14ac:dyDescent="0.15">
      <c r="L343"/>
    </row>
    <row r="344" spans="12:12" x14ac:dyDescent="0.15">
      <c r="L344"/>
    </row>
    <row r="345" spans="12:12" x14ac:dyDescent="0.15">
      <c r="L345"/>
    </row>
    <row r="346" spans="12:12" x14ac:dyDescent="0.15">
      <c r="L346"/>
    </row>
    <row r="347" spans="12:12" x14ac:dyDescent="0.15">
      <c r="L347"/>
    </row>
    <row r="348" spans="12:12" x14ac:dyDescent="0.15">
      <c r="L348"/>
    </row>
    <row r="349" spans="12:12" x14ac:dyDescent="0.15">
      <c r="L349"/>
    </row>
    <row r="350" spans="12:12" x14ac:dyDescent="0.15">
      <c r="L350"/>
    </row>
    <row r="351" spans="12:12" x14ac:dyDescent="0.15">
      <c r="L351"/>
    </row>
    <row r="352" spans="12:12" x14ac:dyDescent="0.15">
      <c r="L352"/>
    </row>
    <row r="353" spans="12:12" x14ac:dyDescent="0.15">
      <c r="L353"/>
    </row>
    <row r="354" spans="12:12" x14ac:dyDescent="0.15">
      <c r="L354"/>
    </row>
    <row r="355" spans="12:12" x14ac:dyDescent="0.15">
      <c r="L355"/>
    </row>
    <row r="356" spans="12:12" x14ac:dyDescent="0.15">
      <c r="L356"/>
    </row>
    <row r="357" spans="12:12" x14ac:dyDescent="0.15">
      <c r="L357"/>
    </row>
    <row r="358" spans="12:12" x14ac:dyDescent="0.15">
      <c r="L358"/>
    </row>
    <row r="359" spans="12:12" x14ac:dyDescent="0.15">
      <c r="L359"/>
    </row>
    <row r="360" spans="12:12" x14ac:dyDescent="0.15">
      <c r="L360"/>
    </row>
    <row r="361" spans="12:12" x14ac:dyDescent="0.15">
      <c r="L361"/>
    </row>
    <row r="362" spans="12:12" x14ac:dyDescent="0.15">
      <c r="L362"/>
    </row>
    <row r="363" spans="12:12" x14ac:dyDescent="0.15">
      <c r="L363"/>
    </row>
    <row r="364" spans="12:12" x14ac:dyDescent="0.15">
      <c r="L364"/>
    </row>
    <row r="365" spans="12:12" x14ac:dyDescent="0.15">
      <c r="L365"/>
    </row>
    <row r="366" spans="12:12" x14ac:dyDescent="0.15">
      <c r="L366"/>
    </row>
    <row r="367" spans="12:12" x14ac:dyDescent="0.15">
      <c r="L367"/>
    </row>
    <row r="368" spans="12:12" x14ac:dyDescent="0.15">
      <c r="L368"/>
    </row>
    <row r="369" spans="12:12" x14ac:dyDescent="0.15">
      <c r="L369"/>
    </row>
    <row r="370" spans="12:12" x14ac:dyDescent="0.15">
      <c r="L370"/>
    </row>
    <row r="371" spans="12:12" x14ac:dyDescent="0.15">
      <c r="L371"/>
    </row>
    <row r="372" spans="12:12" x14ac:dyDescent="0.15">
      <c r="L372"/>
    </row>
    <row r="373" spans="12:12" x14ac:dyDescent="0.15">
      <c r="L373"/>
    </row>
    <row r="374" spans="12:12" x14ac:dyDescent="0.15">
      <c r="L374"/>
    </row>
    <row r="375" spans="12:12" x14ac:dyDescent="0.15">
      <c r="L375"/>
    </row>
    <row r="376" spans="12:12" x14ac:dyDescent="0.15">
      <c r="L376"/>
    </row>
    <row r="377" spans="12:12" x14ac:dyDescent="0.15">
      <c r="L377"/>
    </row>
    <row r="378" spans="12:12" x14ac:dyDescent="0.15">
      <c r="L378"/>
    </row>
    <row r="379" spans="12:12" x14ac:dyDescent="0.15">
      <c r="L379"/>
    </row>
    <row r="380" spans="12:12" x14ac:dyDescent="0.15">
      <c r="L380"/>
    </row>
    <row r="381" spans="12:12" x14ac:dyDescent="0.15">
      <c r="L381"/>
    </row>
    <row r="382" spans="12:12" x14ac:dyDescent="0.15">
      <c r="L382"/>
    </row>
    <row r="383" spans="12:12" x14ac:dyDescent="0.15">
      <c r="L383"/>
    </row>
    <row r="384" spans="12:12" x14ac:dyDescent="0.15">
      <c r="L384"/>
    </row>
    <row r="385" spans="12:12" x14ac:dyDescent="0.15">
      <c r="L385"/>
    </row>
    <row r="386" spans="12:12" x14ac:dyDescent="0.15">
      <c r="L386"/>
    </row>
    <row r="387" spans="12:12" x14ac:dyDescent="0.15">
      <c r="L387"/>
    </row>
    <row r="388" spans="12:12" x14ac:dyDescent="0.15">
      <c r="L388"/>
    </row>
    <row r="389" spans="12:12" x14ac:dyDescent="0.15">
      <c r="L389"/>
    </row>
    <row r="390" spans="12:12" x14ac:dyDescent="0.15">
      <c r="L390"/>
    </row>
    <row r="391" spans="12:12" x14ac:dyDescent="0.15">
      <c r="L391"/>
    </row>
    <row r="392" spans="12:12" x14ac:dyDescent="0.15">
      <c r="L392"/>
    </row>
    <row r="393" spans="12:12" x14ac:dyDescent="0.15">
      <c r="L393"/>
    </row>
    <row r="394" spans="12:12" x14ac:dyDescent="0.15">
      <c r="L394"/>
    </row>
    <row r="395" spans="12:12" x14ac:dyDescent="0.15">
      <c r="L395"/>
    </row>
    <row r="396" spans="12:12" x14ac:dyDescent="0.15">
      <c r="L396"/>
    </row>
    <row r="397" spans="12:12" x14ac:dyDescent="0.15">
      <c r="L397"/>
    </row>
    <row r="398" spans="12:12" x14ac:dyDescent="0.15">
      <c r="L398"/>
    </row>
    <row r="399" spans="12:12" x14ac:dyDescent="0.15">
      <c r="L399"/>
    </row>
    <row r="400" spans="12:12" x14ac:dyDescent="0.15">
      <c r="L400"/>
    </row>
    <row r="401" spans="12:12" x14ac:dyDescent="0.15">
      <c r="L401"/>
    </row>
    <row r="402" spans="12:12" x14ac:dyDescent="0.15">
      <c r="L402"/>
    </row>
    <row r="403" spans="12:12" x14ac:dyDescent="0.15">
      <c r="L403"/>
    </row>
    <row r="404" spans="12:12" x14ac:dyDescent="0.15">
      <c r="L404"/>
    </row>
    <row r="405" spans="12:12" x14ac:dyDescent="0.15">
      <c r="L405"/>
    </row>
    <row r="406" spans="12:12" x14ac:dyDescent="0.15">
      <c r="L406"/>
    </row>
    <row r="407" spans="12:12" x14ac:dyDescent="0.15">
      <c r="L407"/>
    </row>
    <row r="408" spans="12:12" x14ac:dyDescent="0.15">
      <c r="L408"/>
    </row>
    <row r="409" spans="12:12" x14ac:dyDescent="0.15">
      <c r="L409"/>
    </row>
    <row r="410" spans="12:12" x14ac:dyDescent="0.15">
      <c r="L410"/>
    </row>
    <row r="411" spans="12:12" x14ac:dyDescent="0.15">
      <c r="L411"/>
    </row>
    <row r="412" spans="12:12" x14ac:dyDescent="0.15">
      <c r="L412"/>
    </row>
    <row r="413" spans="12:12" x14ac:dyDescent="0.15">
      <c r="L413"/>
    </row>
    <row r="414" spans="12:12" x14ac:dyDescent="0.15">
      <c r="L414"/>
    </row>
    <row r="415" spans="12:12" x14ac:dyDescent="0.15">
      <c r="L415"/>
    </row>
    <row r="416" spans="12:12" x14ac:dyDescent="0.15">
      <c r="L416"/>
    </row>
    <row r="417" spans="12:12" x14ac:dyDescent="0.15">
      <c r="L417"/>
    </row>
    <row r="418" spans="12:12" x14ac:dyDescent="0.15">
      <c r="L418"/>
    </row>
    <row r="419" spans="12:12" x14ac:dyDescent="0.15">
      <c r="L419"/>
    </row>
    <row r="420" spans="12:12" x14ac:dyDescent="0.15">
      <c r="L420"/>
    </row>
    <row r="421" spans="12:12" x14ac:dyDescent="0.15">
      <c r="L421"/>
    </row>
    <row r="422" spans="12:12" x14ac:dyDescent="0.15">
      <c r="L422"/>
    </row>
    <row r="423" spans="12:12" x14ac:dyDescent="0.15">
      <c r="L423"/>
    </row>
    <row r="424" spans="12:12" x14ac:dyDescent="0.15">
      <c r="L424"/>
    </row>
    <row r="425" spans="12:12" x14ac:dyDescent="0.15">
      <c r="L425"/>
    </row>
    <row r="426" spans="12:12" x14ac:dyDescent="0.15">
      <c r="L426"/>
    </row>
    <row r="427" spans="12:12" x14ac:dyDescent="0.15">
      <c r="L427"/>
    </row>
    <row r="428" spans="12:12" x14ac:dyDescent="0.15">
      <c r="L428"/>
    </row>
    <row r="429" spans="12:12" x14ac:dyDescent="0.15">
      <c r="L429"/>
    </row>
    <row r="430" spans="12:12" x14ac:dyDescent="0.15">
      <c r="L430"/>
    </row>
    <row r="431" spans="12:12" x14ac:dyDescent="0.15">
      <c r="L431"/>
    </row>
    <row r="432" spans="12:12" x14ac:dyDescent="0.15">
      <c r="L432"/>
    </row>
    <row r="433" spans="12:12" x14ac:dyDescent="0.15">
      <c r="L433"/>
    </row>
    <row r="434" spans="12:12" x14ac:dyDescent="0.15">
      <c r="L434"/>
    </row>
    <row r="435" spans="12:12" x14ac:dyDescent="0.15">
      <c r="L435"/>
    </row>
    <row r="436" spans="12:12" x14ac:dyDescent="0.15">
      <c r="L436"/>
    </row>
    <row r="437" spans="12:12" x14ac:dyDescent="0.15">
      <c r="L437"/>
    </row>
    <row r="438" spans="12:12" x14ac:dyDescent="0.15">
      <c r="L438"/>
    </row>
    <row r="439" spans="12:12" x14ac:dyDescent="0.15">
      <c r="L439"/>
    </row>
    <row r="440" spans="12:12" x14ac:dyDescent="0.15">
      <c r="L440"/>
    </row>
    <row r="441" spans="12:12" x14ac:dyDescent="0.15">
      <c r="L441"/>
    </row>
    <row r="442" spans="12:12" x14ac:dyDescent="0.15">
      <c r="L442"/>
    </row>
    <row r="443" spans="12:12" x14ac:dyDescent="0.15">
      <c r="L443"/>
    </row>
    <row r="444" spans="12:12" x14ac:dyDescent="0.15">
      <c r="L444"/>
    </row>
    <row r="445" spans="12:12" x14ac:dyDescent="0.15">
      <c r="L445"/>
    </row>
    <row r="446" spans="12:12" x14ac:dyDescent="0.15">
      <c r="L446"/>
    </row>
    <row r="447" spans="12:12" x14ac:dyDescent="0.15">
      <c r="L447"/>
    </row>
    <row r="448" spans="12:12" x14ac:dyDescent="0.15">
      <c r="L448"/>
    </row>
    <row r="449" spans="12:12" x14ac:dyDescent="0.15">
      <c r="L449"/>
    </row>
    <row r="450" spans="12:12" x14ac:dyDescent="0.15">
      <c r="L450"/>
    </row>
    <row r="451" spans="12:12" x14ac:dyDescent="0.15">
      <c r="L451"/>
    </row>
    <row r="452" spans="12:12" x14ac:dyDescent="0.15">
      <c r="L452"/>
    </row>
    <row r="453" spans="12:12" x14ac:dyDescent="0.15">
      <c r="L453"/>
    </row>
    <row r="454" spans="12:12" x14ac:dyDescent="0.15">
      <c r="L454"/>
    </row>
    <row r="455" spans="12:12" x14ac:dyDescent="0.15">
      <c r="L455"/>
    </row>
    <row r="456" spans="12:12" x14ac:dyDescent="0.15">
      <c r="L456"/>
    </row>
    <row r="457" spans="12:12" x14ac:dyDescent="0.15">
      <c r="L457"/>
    </row>
    <row r="458" spans="12:12" x14ac:dyDescent="0.15">
      <c r="L458"/>
    </row>
    <row r="459" spans="12:12" x14ac:dyDescent="0.15">
      <c r="L459"/>
    </row>
    <row r="460" spans="12:12" x14ac:dyDescent="0.15">
      <c r="L460"/>
    </row>
    <row r="461" spans="12:12" x14ac:dyDescent="0.15">
      <c r="L461"/>
    </row>
    <row r="462" spans="12:12" x14ac:dyDescent="0.15">
      <c r="L462"/>
    </row>
    <row r="463" spans="12:12" x14ac:dyDescent="0.15">
      <c r="L463"/>
    </row>
    <row r="464" spans="12:12" x14ac:dyDescent="0.15">
      <c r="L464"/>
    </row>
    <row r="465" spans="12:12" x14ac:dyDescent="0.15">
      <c r="L465"/>
    </row>
    <row r="466" spans="12:12" x14ac:dyDescent="0.15">
      <c r="L466"/>
    </row>
    <row r="467" spans="12:12" x14ac:dyDescent="0.15">
      <c r="L467"/>
    </row>
    <row r="468" spans="12:12" x14ac:dyDescent="0.15">
      <c r="L468"/>
    </row>
    <row r="469" spans="12:12" x14ac:dyDescent="0.15">
      <c r="L469"/>
    </row>
    <row r="470" spans="12:12" x14ac:dyDescent="0.15">
      <c r="L470"/>
    </row>
    <row r="471" spans="12:12" x14ac:dyDescent="0.15">
      <c r="L471"/>
    </row>
    <row r="472" spans="12:12" x14ac:dyDescent="0.15">
      <c r="L472"/>
    </row>
    <row r="473" spans="12:12" x14ac:dyDescent="0.15">
      <c r="L473"/>
    </row>
    <row r="474" spans="12:12" x14ac:dyDescent="0.15">
      <c r="L474"/>
    </row>
    <row r="475" spans="12:12" x14ac:dyDescent="0.15">
      <c r="L475"/>
    </row>
    <row r="476" spans="12:12" x14ac:dyDescent="0.15">
      <c r="L476"/>
    </row>
    <row r="477" spans="12:12" x14ac:dyDescent="0.15">
      <c r="L477"/>
    </row>
    <row r="478" spans="12:12" x14ac:dyDescent="0.15">
      <c r="L478"/>
    </row>
    <row r="479" spans="12:12" x14ac:dyDescent="0.15">
      <c r="L479"/>
    </row>
    <row r="480" spans="12:12" x14ac:dyDescent="0.15">
      <c r="L480"/>
    </row>
    <row r="481" spans="12:12" x14ac:dyDescent="0.15">
      <c r="L481"/>
    </row>
    <row r="482" spans="12:12" x14ac:dyDescent="0.15">
      <c r="L482"/>
    </row>
    <row r="483" spans="12:12" x14ac:dyDescent="0.15">
      <c r="L483"/>
    </row>
    <row r="484" spans="12:12" x14ac:dyDescent="0.15">
      <c r="L484"/>
    </row>
    <row r="485" spans="12:12" x14ac:dyDescent="0.15">
      <c r="L485"/>
    </row>
    <row r="486" spans="12:12" x14ac:dyDescent="0.15">
      <c r="L486"/>
    </row>
    <row r="487" spans="12:12" x14ac:dyDescent="0.15">
      <c r="L487"/>
    </row>
    <row r="488" spans="12:12" x14ac:dyDescent="0.15">
      <c r="L488"/>
    </row>
    <row r="489" spans="12:12" x14ac:dyDescent="0.15">
      <c r="L489"/>
    </row>
    <row r="490" spans="12:12" x14ac:dyDescent="0.15">
      <c r="L490"/>
    </row>
    <row r="491" spans="12:12" x14ac:dyDescent="0.15">
      <c r="L491"/>
    </row>
    <row r="492" spans="12:12" x14ac:dyDescent="0.15">
      <c r="L492"/>
    </row>
    <row r="493" spans="12:12" x14ac:dyDescent="0.15">
      <c r="L493"/>
    </row>
    <row r="494" spans="12:12" x14ac:dyDescent="0.15">
      <c r="L494"/>
    </row>
    <row r="495" spans="12:12" x14ac:dyDescent="0.15">
      <c r="L495"/>
    </row>
    <row r="496" spans="12:12" x14ac:dyDescent="0.15">
      <c r="L496"/>
    </row>
    <row r="497" spans="12:12" x14ac:dyDescent="0.15">
      <c r="L497"/>
    </row>
    <row r="498" spans="12:12" x14ac:dyDescent="0.15">
      <c r="L498"/>
    </row>
    <row r="499" spans="12:12" x14ac:dyDescent="0.15">
      <c r="L499"/>
    </row>
    <row r="500" spans="12:12" x14ac:dyDescent="0.15">
      <c r="L500"/>
    </row>
    <row r="501" spans="12:12" x14ac:dyDescent="0.15">
      <c r="L501"/>
    </row>
    <row r="502" spans="12:12" x14ac:dyDescent="0.15">
      <c r="L502"/>
    </row>
    <row r="503" spans="12:12" x14ac:dyDescent="0.15">
      <c r="L503"/>
    </row>
    <row r="504" spans="12:12" x14ac:dyDescent="0.15">
      <c r="L504"/>
    </row>
    <row r="505" spans="12:12" x14ac:dyDescent="0.15">
      <c r="L505"/>
    </row>
    <row r="506" spans="12:12" x14ac:dyDescent="0.15">
      <c r="L506"/>
    </row>
    <row r="507" spans="12:12" x14ac:dyDescent="0.15">
      <c r="L507"/>
    </row>
    <row r="508" spans="12:12" x14ac:dyDescent="0.15">
      <c r="L508"/>
    </row>
    <row r="509" spans="12:12" x14ac:dyDescent="0.15">
      <c r="L509"/>
    </row>
    <row r="510" spans="12:12" x14ac:dyDescent="0.15">
      <c r="L510"/>
    </row>
    <row r="511" spans="12:12" x14ac:dyDescent="0.15">
      <c r="L511"/>
    </row>
    <row r="512" spans="12:12" x14ac:dyDescent="0.15">
      <c r="L512"/>
    </row>
    <row r="513" spans="12:12" x14ac:dyDescent="0.15">
      <c r="L513"/>
    </row>
    <row r="514" spans="12:12" x14ac:dyDescent="0.15">
      <c r="L514"/>
    </row>
    <row r="515" spans="12:12" x14ac:dyDescent="0.15">
      <c r="L515"/>
    </row>
    <row r="516" spans="12:12" x14ac:dyDescent="0.15">
      <c r="L516"/>
    </row>
    <row r="517" spans="12:12" x14ac:dyDescent="0.15">
      <c r="L517"/>
    </row>
    <row r="518" spans="12:12" x14ac:dyDescent="0.15">
      <c r="L518"/>
    </row>
    <row r="519" spans="12:12" x14ac:dyDescent="0.15">
      <c r="L519"/>
    </row>
    <row r="520" spans="12:12" x14ac:dyDescent="0.15">
      <c r="L520"/>
    </row>
    <row r="521" spans="12:12" x14ac:dyDescent="0.15">
      <c r="L521"/>
    </row>
    <row r="522" spans="12:12" x14ac:dyDescent="0.15">
      <c r="L522"/>
    </row>
    <row r="523" spans="12:12" x14ac:dyDescent="0.15">
      <c r="L523"/>
    </row>
    <row r="524" spans="12:12" x14ac:dyDescent="0.15">
      <c r="L524"/>
    </row>
    <row r="525" spans="12:12" x14ac:dyDescent="0.15">
      <c r="L525"/>
    </row>
    <row r="526" spans="12:12" x14ac:dyDescent="0.15">
      <c r="L526"/>
    </row>
    <row r="527" spans="12:12" x14ac:dyDescent="0.15">
      <c r="L527"/>
    </row>
    <row r="528" spans="12:12" x14ac:dyDescent="0.15">
      <c r="L528"/>
    </row>
    <row r="529" spans="12:12" x14ac:dyDescent="0.15">
      <c r="L529"/>
    </row>
    <row r="530" spans="12:12" x14ac:dyDescent="0.15">
      <c r="L530"/>
    </row>
    <row r="531" spans="12:12" x14ac:dyDescent="0.15">
      <c r="L531"/>
    </row>
    <row r="532" spans="12:12" x14ac:dyDescent="0.15">
      <c r="L532"/>
    </row>
    <row r="533" spans="12:12" x14ac:dyDescent="0.15">
      <c r="L533"/>
    </row>
    <row r="534" spans="12:12" x14ac:dyDescent="0.15">
      <c r="L534"/>
    </row>
    <row r="535" spans="12:12" x14ac:dyDescent="0.15">
      <c r="L535"/>
    </row>
    <row r="536" spans="12:12" x14ac:dyDescent="0.15">
      <c r="L536"/>
    </row>
    <row r="537" spans="12:12" x14ac:dyDescent="0.15">
      <c r="L537"/>
    </row>
    <row r="538" spans="12:12" x14ac:dyDescent="0.15">
      <c r="L538"/>
    </row>
    <row r="539" spans="12:12" x14ac:dyDescent="0.15">
      <c r="L539"/>
    </row>
    <row r="540" spans="12:12" x14ac:dyDescent="0.15">
      <c r="L540"/>
    </row>
    <row r="541" spans="12:12" x14ac:dyDescent="0.15">
      <c r="L541"/>
    </row>
    <row r="542" spans="12:12" x14ac:dyDescent="0.15">
      <c r="L542"/>
    </row>
    <row r="543" spans="12:12" x14ac:dyDescent="0.15">
      <c r="L543"/>
    </row>
    <row r="544" spans="12:12" x14ac:dyDescent="0.15">
      <c r="L544"/>
    </row>
    <row r="545" spans="12:12" x14ac:dyDescent="0.15">
      <c r="L545"/>
    </row>
    <row r="546" spans="12:12" x14ac:dyDescent="0.15">
      <c r="L546"/>
    </row>
    <row r="547" spans="12:12" x14ac:dyDescent="0.15">
      <c r="L547"/>
    </row>
    <row r="548" spans="12:12" x14ac:dyDescent="0.15">
      <c r="L548"/>
    </row>
    <row r="549" spans="12:12" x14ac:dyDescent="0.15">
      <c r="L549"/>
    </row>
    <row r="550" spans="12:12" x14ac:dyDescent="0.15">
      <c r="L550"/>
    </row>
    <row r="551" spans="12:12" x14ac:dyDescent="0.15">
      <c r="L551"/>
    </row>
    <row r="552" spans="12:12" x14ac:dyDescent="0.15">
      <c r="L552"/>
    </row>
    <row r="553" spans="12:12" x14ac:dyDescent="0.15">
      <c r="L553"/>
    </row>
    <row r="554" spans="12:12" x14ac:dyDescent="0.15">
      <c r="L554"/>
    </row>
    <row r="555" spans="12:12" x14ac:dyDescent="0.15">
      <c r="L555"/>
    </row>
    <row r="556" spans="12:12" x14ac:dyDescent="0.15">
      <c r="L556"/>
    </row>
    <row r="557" spans="12:12" x14ac:dyDescent="0.15">
      <c r="L557"/>
    </row>
    <row r="558" spans="12:12" x14ac:dyDescent="0.15">
      <c r="L558"/>
    </row>
    <row r="559" spans="12:12" x14ac:dyDescent="0.15">
      <c r="L559"/>
    </row>
    <row r="560" spans="12:12" x14ac:dyDescent="0.15">
      <c r="L560"/>
    </row>
    <row r="561" spans="12:12" x14ac:dyDescent="0.15">
      <c r="L561"/>
    </row>
    <row r="562" spans="12:12" x14ac:dyDescent="0.15">
      <c r="L562"/>
    </row>
    <row r="563" spans="12:12" x14ac:dyDescent="0.15">
      <c r="L563"/>
    </row>
    <row r="564" spans="12:12" x14ac:dyDescent="0.15">
      <c r="L564"/>
    </row>
    <row r="565" spans="12:12" x14ac:dyDescent="0.15">
      <c r="L565"/>
    </row>
    <row r="566" spans="12:12" x14ac:dyDescent="0.15">
      <c r="L566"/>
    </row>
    <row r="567" spans="12:12" x14ac:dyDescent="0.15">
      <c r="L567"/>
    </row>
    <row r="568" spans="12:12" x14ac:dyDescent="0.15">
      <c r="L568"/>
    </row>
    <row r="569" spans="12:12" x14ac:dyDescent="0.15">
      <c r="L569"/>
    </row>
    <row r="570" spans="12:12" x14ac:dyDescent="0.15">
      <c r="L570"/>
    </row>
    <row r="571" spans="12:12" x14ac:dyDescent="0.15">
      <c r="L571"/>
    </row>
    <row r="572" spans="12:12" x14ac:dyDescent="0.15">
      <c r="L572"/>
    </row>
    <row r="573" spans="12:12" x14ac:dyDescent="0.15">
      <c r="L573"/>
    </row>
    <row r="574" spans="12:12" x14ac:dyDescent="0.15">
      <c r="L574"/>
    </row>
    <row r="575" spans="12:12" x14ac:dyDescent="0.15">
      <c r="L575"/>
    </row>
    <row r="576" spans="12:12" x14ac:dyDescent="0.15">
      <c r="L576"/>
    </row>
    <row r="577" spans="12:12" x14ac:dyDescent="0.15">
      <c r="L577"/>
    </row>
    <row r="578" spans="12:12" x14ac:dyDescent="0.15">
      <c r="L578"/>
    </row>
    <row r="579" spans="12:12" x14ac:dyDescent="0.15">
      <c r="L579"/>
    </row>
    <row r="580" spans="12:12" x14ac:dyDescent="0.15">
      <c r="L580"/>
    </row>
    <row r="581" spans="12:12" x14ac:dyDescent="0.15">
      <c r="L581"/>
    </row>
    <row r="582" spans="12:12" x14ac:dyDescent="0.15">
      <c r="L582"/>
    </row>
    <row r="583" spans="12:12" x14ac:dyDescent="0.15">
      <c r="L583"/>
    </row>
    <row r="584" spans="12:12" x14ac:dyDescent="0.15">
      <c r="L584"/>
    </row>
    <row r="585" spans="12:12" x14ac:dyDescent="0.15">
      <c r="L585"/>
    </row>
    <row r="586" spans="12:12" x14ac:dyDescent="0.15">
      <c r="L586"/>
    </row>
    <row r="587" spans="12:12" x14ac:dyDescent="0.15">
      <c r="L587"/>
    </row>
    <row r="588" spans="12:12" x14ac:dyDescent="0.15">
      <c r="L588"/>
    </row>
    <row r="589" spans="12:12" x14ac:dyDescent="0.15">
      <c r="L589"/>
    </row>
    <row r="590" spans="12:12" x14ac:dyDescent="0.15">
      <c r="L590"/>
    </row>
    <row r="591" spans="12:12" x14ac:dyDescent="0.15">
      <c r="L591"/>
    </row>
    <row r="592" spans="12:12" x14ac:dyDescent="0.15">
      <c r="L592"/>
    </row>
    <row r="593" spans="12:12" x14ac:dyDescent="0.15">
      <c r="L593"/>
    </row>
    <row r="594" spans="12:12" x14ac:dyDescent="0.15">
      <c r="L594"/>
    </row>
    <row r="595" spans="12:12" x14ac:dyDescent="0.15">
      <c r="L595"/>
    </row>
    <row r="596" spans="12:12" x14ac:dyDescent="0.15">
      <c r="L596"/>
    </row>
    <row r="597" spans="12:12" x14ac:dyDescent="0.15">
      <c r="L597"/>
    </row>
    <row r="598" spans="12:12" x14ac:dyDescent="0.15">
      <c r="L598"/>
    </row>
    <row r="599" spans="12:12" x14ac:dyDescent="0.15">
      <c r="L599"/>
    </row>
    <row r="600" spans="12:12" x14ac:dyDescent="0.15">
      <c r="L600"/>
    </row>
    <row r="601" spans="12:12" x14ac:dyDescent="0.15">
      <c r="L601"/>
    </row>
    <row r="602" spans="12:12" x14ac:dyDescent="0.15">
      <c r="L602"/>
    </row>
    <row r="603" spans="12:12" x14ac:dyDescent="0.15">
      <c r="L603"/>
    </row>
    <row r="604" spans="12:12" x14ac:dyDescent="0.15">
      <c r="L604"/>
    </row>
    <row r="605" spans="12:12" x14ac:dyDescent="0.15">
      <c r="L605"/>
    </row>
    <row r="606" spans="12:12" x14ac:dyDescent="0.15">
      <c r="L606"/>
    </row>
    <row r="607" spans="12:12" x14ac:dyDescent="0.15">
      <c r="L607"/>
    </row>
    <row r="608" spans="12:12" x14ac:dyDescent="0.15">
      <c r="L608"/>
    </row>
    <row r="609" spans="12:12" x14ac:dyDescent="0.15">
      <c r="L609"/>
    </row>
    <row r="610" spans="12:12" x14ac:dyDescent="0.15">
      <c r="L610"/>
    </row>
    <row r="611" spans="12:12" x14ac:dyDescent="0.15">
      <c r="L611"/>
    </row>
    <row r="612" spans="12:12" x14ac:dyDescent="0.15">
      <c r="L612"/>
    </row>
    <row r="613" spans="12:12" x14ac:dyDescent="0.15">
      <c r="L613"/>
    </row>
    <row r="614" spans="12:12" x14ac:dyDescent="0.15">
      <c r="L614"/>
    </row>
    <row r="615" spans="12:12" x14ac:dyDescent="0.15">
      <c r="L615"/>
    </row>
    <row r="616" spans="12:12" x14ac:dyDescent="0.15">
      <c r="L616"/>
    </row>
    <row r="617" spans="12:12" x14ac:dyDescent="0.15">
      <c r="L617"/>
    </row>
    <row r="618" spans="12:12" x14ac:dyDescent="0.15">
      <c r="L618"/>
    </row>
    <row r="619" spans="12:12" x14ac:dyDescent="0.15">
      <c r="L619"/>
    </row>
    <row r="620" spans="12:12" x14ac:dyDescent="0.15">
      <c r="L620"/>
    </row>
    <row r="621" spans="12:12" x14ac:dyDescent="0.15">
      <c r="L621"/>
    </row>
    <row r="622" spans="12:12" x14ac:dyDescent="0.15">
      <c r="L622"/>
    </row>
    <row r="623" spans="12:12" x14ac:dyDescent="0.15">
      <c r="L623"/>
    </row>
    <row r="624" spans="12:12" x14ac:dyDescent="0.15">
      <c r="L624"/>
    </row>
    <row r="625" spans="12:12" x14ac:dyDescent="0.15">
      <c r="L625"/>
    </row>
    <row r="626" spans="12:12" x14ac:dyDescent="0.15">
      <c r="L626"/>
    </row>
    <row r="627" spans="12:12" x14ac:dyDescent="0.15">
      <c r="L627"/>
    </row>
    <row r="628" spans="12:12" x14ac:dyDescent="0.15">
      <c r="L628"/>
    </row>
    <row r="629" spans="12:12" x14ac:dyDescent="0.15">
      <c r="L629"/>
    </row>
    <row r="630" spans="12:12" x14ac:dyDescent="0.15">
      <c r="L630"/>
    </row>
    <row r="631" spans="12:12" x14ac:dyDescent="0.15">
      <c r="L631"/>
    </row>
    <row r="632" spans="12:12" x14ac:dyDescent="0.15">
      <c r="L632"/>
    </row>
    <row r="633" spans="12:12" x14ac:dyDescent="0.15">
      <c r="L633"/>
    </row>
    <row r="634" spans="12:12" x14ac:dyDescent="0.15">
      <c r="L634"/>
    </row>
    <row r="635" spans="12:12" x14ac:dyDescent="0.15">
      <c r="L635"/>
    </row>
    <row r="636" spans="12:12" x14ac:dyDescent="0.15">
      <c r="L636"/>
    </row>
    <row r="637" spans="12:12" x14ac:dyDescent="0.15">
      <c r="L637"/>
    </row>
    <row r="638" spans="12:12" x14ac:dyDescent="0.15">
      <c r="L638"/>
    </row>
    <row r="639" spans="12:12" x14ac:dyDescent="0.15">
      <c r="L639"/>
    </row>
    <row r="640" spans="12:12" x14ac:dyDescent="0.15">
      <c r="L640"/>
    </row>
    <row r="641" spans="12:12" x14ac:dyDescent="0.15">
      <c r="L641"/>
    </row>
    <row r="642" spans="12:12" x14ac:dyDescent="0.15">
      <c r="L642"/>
    </row>
    <row r="643" spans="12:12" x14ac:dyDescent="0.15">
      <c r="L643"/>
    </row>
    <row r="644" spans="12:12" x14ac:dyDescent="0.15">
      <c r="L644"/>
    </row>
    <row r="645" spans="12:12" x14ac:dyDescent="0.15">
      <c r="L645"/>
    </row>
    <row r="646" spans="12:12" x14ac:dyDescent="0.15">
      <c r="L646"/>
    </row>
    <row r="647" spans="12:12" x14ac:dyDescent="0.15">
      <c r="L647"/>
    </row>
    <row r="648" spans="12:12" x14ac:dyDescent="0.15">
      <c r="L648"/>
    </row>
    <row r="649" spans="12:12" x14ac:dyDescent="0.15">
      <c r="L649"/>
    </row>
    <row r="650" spans="12:12" x14ac:dyDescent="0.15">
      <c r="L650"/>
    </row>
    <row r="651" spans="12:12" x14ac:dyDescent="0.15">
      <c r="L651"/>
    </row>
    <row r="652" spans="12:12" x14ac:dyDescent="0.15">
      <c r="L652"/>
    </row>
    <row r="653" spans="12:12" x14ac:dyDescent="0.15">
      <c r="L653"/>
    </row>
    <row r="654" spans="12:12" x14ac:dyDescent="0.15">
      <c r="L654"/>
    </row>
    <row r="655" spans="12:12" x14ac:dyDescent="0.15">
      <c r="L655"/>
    </row>
    <row r="656" spans="12:12" x14ac:dyDescent="0.15">
      <c r="L656"/>
    </row>
    <row r="657" spans="12:12" x14ac:dyDescent="0.15">
      <c r="L657"/>
    </row>
    <row r="658" spans="12:12" x14ac:dyDescent="0.15">
      <c r="L658"/>
    </row>
    <row r="659" spans="12:12" x14ac:dyDescent="0.15">
      <c r="L659"/>
    </row>
    <row r="660" spans="12:12" x14ac:dyDescent="0.15">
      <c r="L660"/>
    </row>
    <row r="661" spans="12:12" x14ac:dyDescent="0.15">
      <c r="L661"/>
    </row>
    <row r="662" spans="12:12" x14ac:dyDescent="0.15">
      <c r="L662"/>
    </row>
    <row r="663" spans="12:12" x14ac:dyDescent="0.15">
      <c r="L663"/>
    </row>
    <row r="664" spans="12:12" x14ac:dyDescent="0.15">
      <c r="L664"/>
    </row>
    <row r="665" spans="12:12" x14ac:dyDescent="0.15">
      <c r="L665"/>
    </row>
    <row r="666" spans="12:12" x14ac:dyDescent="0.15">
      <c r="L666"/>
    </row>
    <row r="667" spans="12:12" x14ac:dyDescent="0.15">
      <c r="L667"/>
    </row>
    <row r="668" spans="12:12" x14ac:dyDescent="0.15">
      <c r="L668"/>
    </row>
    <row r="669" spans="12:12" x14ac:dyDescent="0.15">
      <c r="L669"/>
    </row>
    <row r="670" spans="12:12" x14ac:dyDescent="0.15">
      <c r="L670"/>
    </row>
    <row r="671" spans="12:12" x14ac:dyDescent="0.15">
      <c r="L671"/>
    </row>
    <row r="672" spans="12:12" x14ac:dyDescent="0.15">
      <c r="L672"/>
    </row>
    <row r="673" spans="12:12" x14ac:dyDescent="0.15">
      <c r="L673"/>
    </row>
    <row r="674" spans="12:12" x14ac:dyDescent="0.15">
      <c r="L674"/>
    </row>
    <row r="675" spans="12:12" x14ac:dyDescent="0.15">
      <c r="L675"/>
    </row>
    <row r="676" spans="12:12" x14ac:dyDescent="0.15">
      <c r="L676"/>
    </row>
    <row r="677" spans="12:12" x14ac:dyDescent="0.15">
      <c r="L677"/>
    </row>
    <row r="678" spans="12:12" x14ac:dyDescent="0.15">
      <c r="L678"/>
    </row>
    <row r="679" spans="12:12" x14ac:dyDescent="0.15">
      <c r="L679"/>
    </row>
    <row r="680" spans="12:12" x14ac:dyDescent="0.15">
      <c r="L680"/>
    </row>
    <row r="681" spans="12:12" x14ac:dyDescent="0.15">
      <c r="L681"/>
    </row>
    <row r="682" spans="12:12" x14ac:dyDescent="0.15">
      <c r="L682"/>
    </row>
    <row r="683" spans="12:12" x14ac:dyDescent="0.15">
      <c r="L683"/>
    </row>
    <row r="684" spans="12:12" x14ac:dyDescent="0.15">
      <c r="L684"/>
    </row>
    <row r="685" spans="12:12" x14ac:dyDescent="0.15">
      <c r="L685"/>
    </row>
    <row r="686" spans="12:12" x14ac:dyDescent="0.15">
      <c r="L686"/>
    </row>
    <row r="687" spans="12:12" x14ac:dyDescent="0.15">
      <c r="L687"/>
    </row>
    <row r="688" spans="12:12" x14ac:dyDescent="0.15">
      <c r="L688"/>
    </row>
    <row r="689" spans="12:12" x14ac:dyDescent="0.15">
      <c r="L689"/>
    </row>
    <row r="690" spans="12:12" x14ac:dyDescent="0.15">
      <c r="L690"/>
    </row>
    <row r="691" spans="12:12" x14ac:dyDescent="0.15">
      <c r="L691"/>
    </row>
    <row r="692" spans="12:12" x14ac:dyDescent="0.15">
      <c r="L692"/>
    </row>
    <row r="693" spans="12:12" x14ac:dyDescent="0.15">
      <c r="L693"/>
    </row>
    <row r="694" spans="12:12" x14ac:dyDescent="0.15">
      <c r="L694"/>
    </row>
    <row r="695" spans="12:12" x14ac:dyDescent="0.15">
      <c r="L695"/>
    </row>
    <row r="696" spans="12:12" x14ac:dyDescent="0.15">
      <c r="L696"/>
    </row>
    <row r="697" spans="12:12" x14ac:dyDescent="0.15">
      <c r="L697"/>
    </row>
    <row r="698" spans="12:12" x14ac:dyDescent="0.15">
      <c r="L698"/>
    </row>
    <row r="699" spans="12:12" x14ac:dyDescent="0.15">
      <c r="L699"/>
    </row>
    <row r="700" spans="12:12" x14ac:dyDescent="0.15">
      <c r="L700"/>
    </row>
    <row r="701" spans="12:12" x14ac:dyDescent="0.15">
      <c r="L701"/>
    </row>
    <row r="702" spans="12:12" x14ac:dyDescent="0.15">
      <c r="L702"/>
    </row>
    <row r="703" spans="12:12" x14ac:dyDescent="0.15">
      <c r="L703"/>
    </row>
    <row r="704" spans="12:12" x14ac:dyDescent="0.15">
      <c r="L704"/>
    </row>
    <row r="705" spans="12:12" x14ac:dyDescent="0.15">
      <c r="L705"/>
    </row>
    <row r="706" spans="12:12" x14ac:dyDescent="0.15">
      <c r="L706"/>
    </row>
    <row r="707" spans="12:12" x14ac:dyDescent="0.15">
      <c r="L707"/>
    </row>
    <row r="708" spans="12:12" x14ac:dyDescent="0.15">
      <c r="L708"/>
    </row>
    <row r="709" spans="12:12" x14ac:dyDescent="0.15">
      <c r="L709"/>
    </row>
    <row r="710" spans="12:12" x14ac:dyDescent="0.15">
      <c r="L710"/>
    </row>
    <row r="711" spans="12:12" x14ac:dyDescent="0.15">
      <c r="L711"/>
    </row>
    <row r="712" spans="12:12" x14ac:dyDescent="0.15">
      <c r="L712"/>
    </row>
    <row r="713" spans="12:12" x14ac:dyDescent="0.15">
      <c r="L713"/>
    </row>
    <row r="714" spans="12:12" x14ac:dyDescent="0.15">
      <c r="L714"/>
    </row>
    <row r="715" spans="12:12" x14ac:dyDescent="0.15">
      <c r="L715"/>
    </row>
    <row r="716" spans="12:12" x14ac:dyDescent="0.15">
      <c r="L716"/>
    </row>
    <row r="717" spans="12:12" x14ac:dyDescent="0.15">
      <c r="L717"/>
    </row>
    <row r="718" spans="12:12" x14ac:dyDescent="0.15">
      <c r="L718"/>
    </row>
    <row r="719" spans="12:12" x14ac:dyDescent="0.15">
      <c r="L719"/>
    </row>
    <row r="720" spans="12:12" x14ac:dyDescent="0.15">
      <c r="L720"/>
    </row>
    <row r="721" spans="12:12" x14ac:dyDescent="0.15">
      <c r="L721"/>
    </row>
    <row r="722" spans="12:12" x14ac:dyDescent="0.15">
      <c r="L722"/>
    </row>
    <row r="723" spans="12:12" x14ac:dyDescent="0.15">
      <c r="L723"/>
    </row>
    <row r="724" spans="12:12" x14ac:dyDescent="0.15">
      <c r="L724"/>
    </row>
    <row r="725" spans="12:12" x14ac:dyDescent="0.15">
      <c r="L725"/>
    </row>
    <row r="726" spans="12:12" x14ac:dyDescent="0.15">
      <c r="L726"/>
    </row>
    <row r="727" spans="12:12" x14ac:dyDescent="0.15">
      <c r="L727"/>
    </row>
    <row r="728" spans="12:12" x14ac:dyDescent="0.15">
      <c r="L728"/>
    </row>
    <row r="729" spans="12:12" x14ac:dyDescent="0.15">
      <c r="L729"/>
    </row>
    <row r="730" spans="12:12" x14ac:dyDescent="0.15">
      <c r="L730"/>
    </row>
    <row r="731" spans="12:12" x14ac:dyDescent="0.15">
      <c r="L731"/>
    </row>
    <row r="732" spans="12:12" x14ac:dyDescent="0.15">
      <c r="L732"/>
    </row>
    <row r="733" spans="12:12" x14ac:dyDescent="0.15">
      <c r="L733"/>
    </row>
    <row r="734" spans="12:12" x14ac:dyDescent="0.15">
      <c r="L734"/>
    </row>
    <row r="735" spans="12:12" x14ac:dyDescent="0.15">
      <c r="L735"/>
    </row>
    <row r="736" spans="12:12" x14ac:dyDescent="0.15">
      <c r="L736"/>
    </row>
    <row r="737" spans="12:12" x14ac:dyDescent="0.15">
      <c r="L737"/>
    </row>
    <row r="738" spans="12:12" x14ac:dyDescent="0.15">
      <c r="L738"/>
    </row>
    <row r="739" spans="12:12" x14ac:dyDescent="0.15">
      <c r="L739"/>
    </row>
    <row r="740" spans="12:12" x14ac:dyDescent="0.15">
      <c r="L740"/>
    </row>
    <row r="741" spans="12:12" x14ac:dyDescent="0.15">
      <c r="L741"/>
    </row>
    <row r="742" spans="12:12" x14ac:dyDescent="0.15">
      <c r="L742"/>
    </row>
    <row r="743" spans="12:12" x14ac:dyDescent="0.15">
      <c r="L743"/>
    </row>
    <row r="744" spans="12:12" x14ac:dyDescent="0.15">
      <c r="L744"/>
    </row>
    <row r="745" spans="12:12" x14ac:dyDescent="0.15">
      <c r="L745"/>
    </row>
    <row r="746" spans="12:12" x14ac:dyDescent="0.15">
      <c r="L746"/>
    </row>
    <row r="747" spans="12:12" x14ac:dyDescent="0.15">
      <c r="L747"/>
    </row>
    <row r="748" spans="12:12" x14ac:dyDescent="0.15">
      <c r="L748"/>
    </row>
    <row r="749" spans="12:12" x14ac:dyDescent="0.15">
      <c r="L749"/>
    </row>
    <row r="750" spans="12:12" x14ac:dyDescent="0.15">
      <c r="L750"/>
    </row>
    <row r="751" spans="12:12" x14ac:dyDescent="0.15">
      <c r="L751"/>
    </row>
    <row r="752" spans="12:12" x14ac:dyDescent="0.15">
      <c r="L752"/>
    </row>
    <row r="753" spans="12:12" x14ac:dyDescent="0.15">
      <c r="L753"/>
    </row>
    <row r="754" spans="12:12" x14ac:dyDescent="0.15">
      <c r="L754"/>
    </row>
    <row r="755" spans="12:12" x14ac:dyDescent="0.15">
      <c r="L755"/>
    </row>
    <row r="756" spans="12:12" x14ac:dyDescent="0.15">
      <c r="L756"/>
    </row>
    <row r="757" spans="12:12" x14ac:dyDescent="0.15">
      <c r="L757"/>
    </row>
    <row r="758" spans="12:12" x14ac:dyDescent="0.15">
      <c r="L758"/>
    </row>
    <row r="759" spans="12:12" x14ac:dyDescent="0.15">
      <c r="L759"/>
    </row>
    <row r="760" spans="12:12" x14ac:dyDescent="0.15">
      <c r="L760"/>
    </row>
    <row r="761" spans="12:12" x14ac:dyDescent="0.15">
      <c r="L761"/>
    </row>
    <row r="762" spans="12:12" x14ac:dyDescent="0.15">
      <c r="L762"/>
    </row>
    <row r="763" spans="12:12" x14ac:dyDescent="0.15">
      <c r="L763"/>
    </row>
    <row r="764" spans="12:12" x14ac:dyDescent="0.15">
      <c r="L764"/>
    </row>
    <row r="765" spans="12:12" x14ac:dyDescent="0.15">
      <c r="L765"/>
    </row>
    <row r="766" spans="12:12" x14ac:dyDescent="0.15">
      <c r="L766"/>
    </row>
    <row r="767" spans="12:12" x14ac:dyDescent="0.15">
      <c r="L767"/>
    </row>
    <row r="768" spans="12:12" x14ac:dyDescent="0.15">
      <c r="L768"/>
    </row>
    <row r="769" spans="12:12" x14ac:dyDescent="0.15">
      <c r="L769"/>
    </row>
    <row r="770" spans="12:12" x14ac:dyDescent="0.15">
      <c r="L770"/>
    </row>
    <row r="771" spans="12:12" x14ac:dyDescent="0.15">
      <c r="L771"/>
    </row>
    <row r="772" spans="12:12" x14ac:dyDescent="0.15">
      <c r="L772"/>
    </row>
    <row r="773" spans="12:12" x14ac:dyDescent="0.15">
      <c r="L773"/>
    </row>
    <row r="774" spans="12:12" x14ac:dyDescent="0.15">
      <c r="L774"/>
    </row>
    <row r="775" spans="12:12" x14ac:dyDescent="0.15">
      <c r="L775"/>
    </row>
    <row r="776" spans="12:12" x14ac:dyDescent="0.15">
      <c r="L776"/>
    </row>
    <row r="777" spans="12:12" x14ac:dyDescent="0.15">
      <c r="L777"/>
    </row>
    <row r="778" spans="12:12" x14ac:dyDescent="0.15">
      <c r="L778"/>
    </row>
    <row r="779" spans="12:12" x14ac:dyDescent="0.15">
      <c r="L779"/>
    </row>
    <row r="780" spans="12:12" x14ac:dyDescent="0.15">
      <c r="L780"/>
    </row>
    <row r="781" spans="12:12" x14ac:dyDescent="0.15">
      <c r="L781"/>
    </row>
    <row r="782" spans="12:12" x14ac:dyDescent="0.15">
      <c r="L782"/>
    </row>
    <row r="783" spans="12:12" x14ac:dyDescent="0.15">
      <c r="L783"/>
    </row>
    <row r="784" spans="12:12" x14ac:dyDescent="0.15">
      <c r="L784"/>
    </row>
    <row r="785" spans="12:12" x14ac:dyDescent="0.15">
      <c r="L785"/>
    </row>
    <row r="786" spans="12:12" x14ac:dyDescent="0.15">
      <c r="L786"/>
    </row>
    <row r="787" spans="12:12" x14ac:dyDescent="0.15">
      <c r="L787"/>
    </row>
    <row r="788" spans="12:12" x14ac:dyDescent="0.15">
      <c r="L788"/>
    </row>
    <row r="789" spans="12:12" x14ac:dyDescent="0.15">
      <c r="L789"/>
    </row>
    <row r="790" spans="12:12" x14ac:dyDescent="0.15">
      <c r="L790"/>
    </row>
    <row r="791" spans="12:12" x14ac:dyDescent="0.15">
      <c r="L791"/>
    </row>
    <row r="792" spans="12:12" x14ac:dyDescent="0.15">
      <c r="L792"/>
    </row>
    <row r="793" spans="12:12" x14ac:dyDescent="0.15">
      <c r="L793"/>
    </row>
    <row r="794" spans="12:12" x14ac:dyDescent="0.15">
      <c r="L794"/>
    </row>
    <row r="795" spans="12:12" x14ac:dyDescent="0.15">
      <c r="L795"/>
    </row>
    <row r="796" spans="12:12" x14ac:dyDescent="0.15">
      <c r="L796"/>
    </row>
    <row r="797" spans="12:12" x14ac:dyDescent="0.15">
      <c r="L797"/>
    </row>
    <row r="798" spans="12:12" x14ac:dyDescent="0.15">
      <c r="L798"/>
    </row>
    <row r="799" spans="12:12" x14ac:dyDescent="0.15">
      <c r="L799"/>
    </row>
    <row r="800" spans="12:12" x14ac:dyDescent="0.15">
      <c r="L800"/>
    </row>
    <row r="801" spans="12:12" x14ac:dyDescent="0.15">
      <c r="L801"/>
    </row>
    <row r="802" spans="12:12" x14ac:dyDescent="0.15">
      <c r="L802"/>
    </row>
    <row r="803" spans="12:12" x14ac:dyDescent="0.15">
      <c r="L803"/>
    </row>
    <row r="804" spans="12:12" x14ac:dyDescent="0.15">
      <c r="L804"/>
    </row>
    <row r="805" spans="12:12" x14ac:dyDescent="0.15">
      <c r="L805"/>
    </row>
    <row r="806" spans="12:12" x14ac:dyDescent="0.15">
      <c r="L806"/>
    </row>
    <row r="807" spans="12:12" x14ac:dyDescent="0.15">
      <c r="L807"/>
    </row>
    <row r="808" spans="12:12" x14ac:dyDescent="0.15">
      <c r="L808"/>
    </row>
    <row r="809" spans="12:12" x14ac:dyDescent="0.15">
      <c r="L809"/>
    </row>
    <row r="810" spans="12:12" x14ac:dyDescent="0.15">
      <c r="L810"/>
    </row>
    <row r="811" spans="12:12" x14ac:dyDescent="0.15">
      <c r="L811"/>
    </row>
    <row r="812" spans="12:12" x14ac:dyDescent="0.15">
      <c r="L812"/>
    </row>
    <row r="813" spans="12:12" x14ac:dyDescent="0.15">
      <c r="L813"/>
    </row>
    <row r="814" spans="12:12" x14ac:dyDescent="0.15">
      <c r="L814"/>
    </row>
    <row r="815" spans="12:12" x14ac:dyDescent="0.15">
      <c r="L815"/>
    </row>
    <row r="816" spans="12:12" x14ac:dyDescent="0.15">
      <c r="L816"/>
    </row>
    <row r="817" spans="12:12" x14ac:dyDescent="0.15">
      <c r="L817"/>
    </row>
    <row r="818" spans="12:12" x14ac:dyDescent="0.15">
      <c r="L818"/>
    </row>
    <row r="819" spans="12:12" x14ac:dyDescent="0.15">
      <c r="L819"/>
    </row>
    <row r="820" spans="12:12" x14ac:dyDescent="0.15">
      <c r="L820"/>
    </row>
    <row r="821" spans="12:12" x14ac:dyDescent="0.15">
      <c r="L821"/>
    </row>
    <row r="822" spans="12:12" x14ac:dyDescent="0.15">
      <c r="L822"/>
    </row>
    <row r="823" spans="12:12" x14ac:dyDescent="0.15">
      <c r="L823"/>
    </row>
    <row r="824" spans="12:12" x14ac:dyDescent="0.15">
      <c r="L824"/>
    </row>
    <row r="825" spans="12:12" x14ac:dyDescent="0.15">
      <c r="L825"/>
    </row>
    <row r="826" spans="12:12" x14ac:dyDescent="0.15">
      <c r="L826"/>
    </row>
    <row r="827" spans="12:12" x14ac:dyDescent="0.15">
      <c r="L827"/>
    </row>
    <row r="828" spans="12:12" x14ac:dyDescent="0.15">
      <c r="L828"/>
    </row>
    <row r="829" spans="12:12" x14ac:dyDescent="0.15">
      <c r="L829"/>
    </row>
    <row r="830" spans="12:12" x14ac:dyDescent="0.15">
      <c r="L830"/>
    </row>
    <row r="831" spans="12:12" x14ac:dyDescent="0.15">
      <c r="L831"/>
    </row>
    <row r="832" spans="12:12" x14ac:dyDescent="0.15">
      <c r="L832"/>
    </row>
    <row r="833" spans="12:12" x14ac:dyDescent="0.15">
      <c r="L833"/>
    </row>
    <row r="834" spans="12:12" x14ac:dyDescent="0.15">
      <c r="L834"/>
    </row>
    <row r="835" spans="12:12" x14ac:dyDescent="0.15">
      <c r="L835"/>
    </row>
    <row r="836" spans="12:12" x14ac:dyDescent="0.15">
      <c r="L836"/>
    </row>
    <row r="837" spans="12:12" x14ac:dyDescent="0.15">
      <c r="L837"/>
    </row>
    <row r="838" spans="12:12" x14ac:dyDescent="0.15">
      <c r="L838"/>
    </row>
    <row r="839" spans="12:12" x14ac:dyDescent="0.15">
      <c r="L839"/>
    </row>
    <row r="840" spans="12:12" x14ac:dyDescent="0.15">
      <c r="L840"/>
    </row>
    <row r="841" spans="12:12" x14ac:dyDescent="0.15">
      <c r="L841"/>
    </row>
    <row r="842" spans="12:12" x14ac:dyDescent="0.15">
      <c r="L842"/>
    </row>
    <row r="843" spans="12:12" x14ac:dyDescent="0.15">
      <c r="L843"/>
    </row>
    <row r="844" spans="12:12" x14ac:dyDescent="0.15">
      <c r="L844"/>
    </row>
    <row r="845" spans="12:12" x14ac:dyDescent="0.15">
      <c r="L845"/>
    </row>
    <row r="846" spans="12:12" x14ac:dyDescent="0.15">
      <c r="L846"/>
    </row>
    <row r="847" spans="12:12" x14ac:dyDescent="0.15">
      <c r="L847"/>
    </row>
    <row r="848" spans="12:12" x14ac:dyDescent="0.15">
      <c r="L848"/>
    </row>
    <row r="849" spans="12:12" x14ac:dyDescent="0.15">
      <c r="L849"/>
    </row>
    <row r="850" spans="12:12" x14ac:dyDescent="0.15">
      <c r="L850"/>
    </row>
    <row r="851" spans="12:12" x14ac:dyDescent="0.15">
      <c r="L851"/>
    </row>
    <row r="852" spans="12:12" x14ac:dyDescent="0.15">
      <c r="L852"/>
    </row>
    <row r="853" spans="12:12" x14ac:dyDescent="0.15">
      <c r="L853"/>
    </row>
    <row r="854" spans="12:12" x14ac:dyDescent="0.15">
      <c r="L854"/>
    </row>
    <row r="855" spans="12:12" x14ac:dyDescent="0.15">
      <c r="L855"/>
    </row>
    <row r="856" spans="12:12" x14ac:dyDescent="0.15">
      <c r="L856"/>
    </row>
    <row r="857" spans="12:12" x14ac:dyDescent="0.15">
      <c r="L857"/>
    </row>
    <row r="858" spans="12:12" x14ac:dyDescent="0.15">
      <c r="L858"/>
    </row>
    <row r="859" spans="12:12" x14ac:dyDescent="0.15">
      <c r="L859"/>
    </row>
    <row r="860" spans="12:12" x14ac:dyDescent="0.15">
      <c r="L860"/>
    </row>
    <row r="861" spans="12:12" x14ac:dyDescent="0.15">
      <c r="L861"/>
    </row>
    <row r="862" spans="12:12" x14ac:dyDescent="0.15">
      <c r="L862"/>
    </row>
    <row r="863" spans="12:12" x14ac:dyDescent="0.15">
      <c r="L863"/>
    </row>
    <row r="864" spans="12:12" x14ac:dyDescent="0.15">
      <c r="L864"/>
    </row>
    <row r="865" spans="12:12" x14ac:dyDescent="0.15">
      <c r="L865"/>
    </row>
    <row r="866" spans="12:12" x14ac:dyDescent="0.15">
      <c r="L866"/>
    </row>
    <row r="867" spans="12:12" x14ac:dyDescent="0.15">
      <c r="L867"/>
    </row>
    <row r="868" spans="12:12" x14ac:dyDescent="0.15">
      <c r="L868"/>
    </row>
    <row r="869" spans="12:12" x14ac:dyDescent="0.15">
      <c r="L869"/>
    </row>
    <row r="870" spans="12:12" x14ac:dyDescent="0.15">
      <c r="L870"/>
    </row>
    <row r="871" spans="12:12" x14ac:dyDescent="0.15">
      <c r="L871"/>
    </row>
    <row r="872" spans="12:12" x14ac:dyDescent="0.15">
      <c r="L872"/>
    </row>
    <row r="873" spans="12:12" x14ac:dyDescent="0.15">
      <c r="L873"/>
    </row>
    <row r="874" spans="12:12" x14ac:dyDescent="0.15">
      <c r="L874"/>
    </row>
    <row r="875" spans="12:12" x14ac:dyDescent="0.15">
      <c r="L875"/>
    </row>
    <row r="876" spans="12:12" x14ac:dyDescent="0.15">
      <c r="L876"/>
    </row>
    <row r="877" spans="12:12" x14ac:dyDescent="0.15">
      <c r="L877"/>
    </row>
    <row r="878" spans="12:12" x14ac:dyDescent="0.15">
      <c r="L878"/>
    </row>
    <row r="879" spans="12:12" x14ac:dyDescent="0.15">
      <c r="L879"/>
    </row>
    <row r="880" spans="12:12" x14ac:dyDescent="0.15">
      <c r="L880"/>
    </row>
    <row r="881" spans="12:12" x14ac:dyDescent="0.15">
      <c r="L881"/>
    </row>
    <row r="882" spans="12:12" x14ac:dyDescent="0.15">
      <c r="L882"/>
    </row>
    <row r="883" spans="12:12" x14ac:dyDescent="0.15">
      <c r="L883"/>
    </row>
    <row r="884" spans="12:12" x14ac:dyDescent="0.15">
      <c r="L884"/>
    </row>
    <row r="885" spans="12:12" x14ac:dyDescent="0.15">
      <c r="L885"/>
    </row>
    <row r="886" spans="12:12" x14ac:dyDescent="0.15">
      <c r="L886"/>
    </row>
    <row r="887" spans="12:12" x14ac:dyDescent="0.15">
      <c r="L887"/>
    </row>
    <row r="888" spans="12:12" x14ac:dyDescent="0.15">
      <c r="L888"/>
    </row>
    <row r="889" spans="12:12" x14ac:dyDescent="0.15">
      <c r="L889"/>
    </row>
    <row r="890" spans="12:12" x14ac:dyDescent="0.15">
      <c r="L890"/>
    </row>
    <row r="891" spans="12:12" x14ac:dyDescent="0.15">
      <c r="L891"/>
    </row>
    <row r="892" spans="12:12" x14ac:dyDescent="0.15">
      <c r="L892"/>
    </row>
    <row r="893" spans="12:12" x14ac:dyDescent="0.15">
      <c r="L893"/>
    </row>
    <row r="894" spans="12:12" x14ac:dyDescent="0.15">
      <c r="L894"/>
    </row>
    <row r="895" spans="12:12" x14ac:dyDescent="0.15">
      <c r="L895"/>
    </row>
    <row r="896" spans="12:12" x14ac:dyDescent="0.15">
      <c r="L896"/>
    </row>
    <row r="897" spans="12:12" x14ac:dyDescent="0.15">
      <c r="L897"/>
    </row>
    <row r="898" spans="12:12" x14ac:dyDescent="0.15">
      <c r="L898"/>
    </row>
    <row r="899" spans="12:12" x14ac:dyDescent="0.15">
      <c r="L899"/>
    </row>
    <row r="900" spans="12:12" x14ac:dyDescent="0.15">
      <c r="L900"/>
    </row>
    <row r="901" spans="12:12" x14ac:dyDescent="0.15">
      <c r="L901"/>
    </row>
    <row r="902" spans="12:12" x14ac:dyDescent="0.15">
      <c r="L902"/>
    </row>
    <row r="903" spans="12:12" x14ac:dyDescent="0.15">
      <c r="L903"/>
    </row>
    <row r="904" spans="12:12" x14ac:dyDescent="0.15">
      <c r="L904"/>
    </row>
    <row r="905" spans="12:12" x14ac:dyDescent="0.15">
      <c r="L905"/>
    </row>
    <row r="906" spans="12:12" x14ac:dyDescent="0.15">
      <c r="L906"/>
    </row>
    <row r="907" spans="12:12" x14ac:dyDescent="0.15">
      <c r="L907"/>
    </row>
    <row r="908" spans="12:12" x14ac:dyDescent="0.15">
      <c r="L908"/>
    </row>
    <row r="909" spans="12:12" x14ac:dyDescent="0.15">
      <c r="L909"/>
    </row>
    <row r="910" spans="12:12" x14ac:dyDescent="0.15">
      <c r="L910"/>
    </row>
    <row r="911" spans="12:12" x14ac:dyDescent="0.15">
      <c r="L911"/>
    </row>
    <row r="912" spans="12:12" x14ac:dyDescent="0.15">
      <c r="L912"/>
    </row>
    <row r="913" spans="12:12" x14ac:dyDescent="0.15">
      <c r="L913"/>
    </row>
    <row r="914" spans="12:12" x14ac:dyDescent="0.15">
      <c r="L914"/>
    </row>
    <row r="915" spans="12:12" x14ac:dyDescent="0.15">
      <c r="L915"/>
    </row>
    <row r="916" spans="12:12" x14ac:dyDescent="0.15">
      <c r="L916"/>
    </row>
    <row r="917" spans="12:12" x14ac:dyDescent="0.15">
      <c r="L917"/>
    </row>
    <row r="918" spans="12:12" x14ac:dyDescent="0.15">
      <c r="L918"/>
    </row>
    <row r="919" spans="12:12" x14ac:dyDescent="0.15">
      <c r="L919"/>
    </row>
    <row r="920" spans="12:12" x14ac:dyDescent="0.15">
      <c r="L920"/>
    </row>
    <row r="921" spans="12:12" x14ac:dyDescent="0.15">
      <c r="L921"/>
    </row>
    <row r="922" spans="12:12" x14ac:dyDescent="0.15">
      <c r="L922"/>
    </row>
    <row r="923" spans="12:12" x14ac:dyDescent="0.15">
      <c r="L923"/>
    </row>
    <row r="924" spans="12:12" x14ac:dyDescent="0.15">
      <c r="L924"/>
    </row>
    <row r="925" spans="12:12" x14ac:dyDescent="0.15">
      <c r="L925"/>
    </row>
    <row r="926" spans="12:12" x14ac:dyDescent="0.15">
      <c r="L926"/>
    </row>
    <row r="927" spans="12:12" x14ac:dyDescent="0.15">
      <c r="L927"/>
    </row>
    <row r="928" spans="12:12" x14ac:dyDescent="0.15">
      <c r="L928"/>
    </row>
    <row r="929" spans="12:12" x14ac:dyDescent="0.15">
      <c r="L929"/>
    </row>
    <row r="930" spans="12:12" x14ac:dyDescent="0.15">
      <c r="L930"/>
    </row>
    <row r="931" spans="12:12" x14ac:dyDescent="0.15">
      <c r="L931"/>
    </row>
    <row r="932" spans="12:12" x14ac:dyDescent="0.15">
      <c r="L932"/>
    </row>
    <row r="933" spans="12:12" x14ac:dyDescent="0.15">
      <c r="L933"/>
    </row>
    <row r="934" spans="12:12" x14ac:dyDescent="0.15">
      <c r="L934"/>
    </row>
    <row r="935" spans="12:12" x14ac:dyDescent="0.15">
      <c r="L935"/>
    </row>
    <row r="936" spans="12:12" x14ac:dyDescent="0.15">
      <c r="L936"/>
    </row>
    <row r="937" spans="12:12" x14ac:dyDescent="0.15">
      <c r="L937"/>
    </row>
    <row r="938" spans="12:12" x14ac:dyDescent="0.15">
      <c r="L938"/>
    </row>
    <row r="939" spans="12:12" x14ac:dyDescent="0.15">
      <c r="L939"/>
    </row>
    <row r="940" spans="12:12" x14ac:dyDescent="0.15">
      <c r="L940"/>
    </row>
    <row r="941" spans="12:12" x14ac:dyDescent="0.15">
      <c r="L941"/>
    </row>
    <row r="942" spans="12:12" x14ac:dyDescent="0.15">
      <c r="L942"/>
    </row>
    <row r="943" spans="12:12" x14ac:dyDescent="0.15">
      <c r="L943"/>
    </row>
    <row r="944" spans="12:12" x14ac:dyDescent="0.15">
      <c r="L944"/>
    </row>
    <row r="945" spans="12:12" x14ac:dyDescent="0.15">
      <c r="L945"/>
    </row>
    <row r="946" spans="12:12" x14ac:dyDescent="0.15">
      <c r="L946"/>
    </row>
    <row r="947" spans="12:12" x14ac:dyDescent="0.15">
      <c r="L947"/>
    </row>
    <row r="948" spans="12:12" x14ac:dyDescent="0.15">
      <c r="L948"/>
    </row>
    <row r="949" spans="12:12" x14ac:dyDescent="0.15">
      <c r="L949"/>
    </row>
    <row r="950" spans="12:12" x14ac:dyDescent="0.15">
      <c r="L950"/>
    </row>
    <row r="951" spans="12:12" x14ac:dyDescent="0.15">
      <c r="L951"/>
    </row>
    <row r="952" spans="12:12" x14ac:dyDescent="0.15">
      <c r="L952"/>
    </row>
    <row r="953" spans="12:12" x14ac:dyDescent="0.15">
      <c r="L953"/>
    </row>
    <row r="954" spans="12:12" x14ac:dyDescent="0.15">
      <c r="L954"/>
    </row>
    <row r="955" spans="12:12" x14ac:dyDescent="0.15">
      <c r="L955"/>
    </row>
    <row r="956" spans="12:12" x14ac:dyDescent="0.15">
      <c r="L956"/>
    </row>
    <row r="957" spans="12:12" x14ac:dyDescent="0.15">
      <c r="L957"/>
    </row>
    <row r="958" spans="12:12" x14ac:dyDescent="0.15">
      <c r="L958"/>
    </row>
    <row r="959" spans="12:12" x14ac:dyDescent="0.15">
      <c r="L959"/>
    </row>
    <row r="960" spans="12:12" x14ac:dyDescent="0.15">
      <c r="L960"/>
    </row>
    <row r="961" spans="12:12" x14ac:dyDescent="0.15">
      <c r="L961"/>
    </row>
    <row r="962" spans="12:12" x14ac:dyDescent="0.15">
      <c r="L962"/>
    </row>
    <row r="963" spans="12:12" x14ac:dyDescent="0.15">
      <c r="L963"/>
    </row>
    <row r="964" spans="12:12" x14ac:dyDescent="0.15">
      <c r="L964"/>
    </row>
    <row r="965" spans="12:12" x14ac:dyDescent="0.15">
      <c r="L965"/>
    </row>
    <row r="966" spans="12:12" x14ac:dyDescent="0.15">
      <c r="L966"/>
    </row>
    <row r="967" spans="12:12" x14ac:dyDescent="0.15">
      <c r="L967"/>
    </row>
    <row r="968" spans="12:12" x14ac:dyDescent="0.15">
      <c r="L968"/>
    </row>
    <row r="969" spans="12:12" x14ac:dyDescent="0.15">
      <c r="L969"/>
    </row>
    <row r="970" spans="12:12" x14ac:dyDescent="0.15">
      <c r="L970"/>
    </row>
    <row r="971" spans="12:12" x14ac:dyDescent="0.15">
      <c r="L971"/>
    </row>
    <row r="972" spans="12:12" x14ac:dyDescent="0.15">
      <c r="L972"/>
    </row>
    <row r="973" spans="12:12" x14ac:dyDescent="0.15">
      <c r="L973"/>
    </row>
    <row r="974" spans="12:12" x14ac:dyDescent="0.15">
      <c r="L974"/>
    </row>
    <row r="975" spans="12:12" x14ac:dyDescent="0.15">
      <c r="L975"/>
    </row>
    <row r="976" spans="12:12" x14ac:dyDescent="0.15">
      <c r="L976"/>
    </row>
    <row r="977" spans="12:12" x14ac:dyDescent="0.15">
      <c r="L977"/>
    </row>
    <row r="978" spans="12:12" x14ac:dyDescent="0.15">
      <c r="L978"/>
    </row>
    <row r="979" spans="12:12" x14ac:dyDescent="0.15">
      <c r="L979"/>
    </row>
    <row r="980" spans="12:12" x14ac:dyDescent="0.15">
      <c r="L980"/>
    </row>
    <row r="981" spans="12:12" x14ac:dyDescent="0.15">
      <c r="L981"/>
    </row>
    <row r="982" spans="12:12" x14ac:dyDescent="0.15">
      <c r="L982"/>
    </row>
    <row r="983" spans="12:12" x14ac:dyDescent="0.15">
      <c r="L983"/>
    </row>
    <row r="984" spans="12:12" x14ac:dyDescent="0.15">
      <c r="L984"/>
    </row>
    <row r="985" spans="12:12" x14ac:dyDescent="0.15">
      <c r="L985"/>
    </row>
    <row r="986" spans="12:12" x14ac:dyDescent="0.15">
      <c r="L986"/>
    </row>
    <row r="987" spans="12:12" x14ac:dyDescent="0.15">
      <c r="L987"/>
    </row>
    <row r="988" spans="12:12" x14ac:dyDescent="0.15">
      <c r="L988"/>
    </row>
    <row r="989" spans="12:12" x14ac:dyDescent="0.15">
      <c r="L989"/>
    </row>
    <row r="990" spans="12:12" x14ac:dyDescent="0.15">
      <c r="L990"/>
    </row>
    <row r="991" spans="12:12" x14ac:dyDescent="0.15">
      <c r="L991"/>
    </row>
    <row r="992" spans="12:12" x14ac:dyDescent="0.15">
      <c r="L992"/>
    </row>
    <row r="993" spans="12:12" x14ac:dyDescent="0.15">
      <c r="L993"/>
    </row>
    <row r="994" spans="12:12" x14ac:dyDescent="0.15">
      <c r="L994"/>
    </row>
    <row r="995" spans="12:12" x14ac:dyDescent="0.15">
      <c r="L995"/>
    </row>
    <row r="996" spans="12:12" x14ac:dyDescent="0.15">
      <c r="L996"/>
    </row>
    <row r="997" spans="12:12" x14ac:dyDescent="0.15">
      <c r="L997"/>
    </row>
    <row r="998" spans="12:12" x14ac:dyDescent="0.15">
      <c r="L998"/>
    </row>
    <row r="999" spans="12:12" x14ac:dyDescent="0.15">
      <c r="L999"/>
    </row>
    <row r="1000" spans="12:12" x14ac:dyDescent="0.15">
      <c r="L1000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G_amp">
                <anchor moveWithCells="1" sizeWithCells="1">
                  <from>
                    <xdr:col>0</xdr:col>
                    <xdr:colOff>85725</xdr:colOff>
                    <xdr:row>1</xdr:row>
                    <xdr:rowOff>38100</xdr:rowOff>
                  </from>
                  <to>
                    <xdr:col>0</xdr:col>
                    <xdr:colOff>457200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G_amp_clear">
                <anchor moveWithCells="1" sizeWithCells="1">
                  <from>
                    <xdr:col>0</xdr:col>
                    <xdr:colOff>85725</xdr:colOff>
                    <xdr:row>4</xdr:row>
                    <xdr:rowOff>38100</xdr:rowOff>
                  </from>
                  <to>
                    <xdr:col>0</xdr:col>
                    <xdr:colOff>457200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56B9-44A5-41E7-B01C-01A85A872703}">
  <sheetPr codeName="Sheet9"/>
  <dimension ref="A1:AL107"/>
  <sheetViews>
    <sheetView topLeftCell="A13" zoomScaleNormal="100" workbookViewId="0">
      <selection activeCell="F5" sqref="F5"/>
    </sheetView>
  </sheetViews>
  <sheetFormatPr defaultColWidth="17.85546875" defaultRowHeight="13.5" x14ac:dyDescent="0.15"/>
  <cols>
    <col min="1" max="1" width="5.28515625" style="34" customWidth="1"/>
    <col min="2" max="54" width="11" style="34" customWidth="1"/>
    <col min="55" max="256" width="17.85546875" style="34"/>
    <col min="257" max="257" width="5.28515625" style="34" customWidth="1"/>
    <col min="258" max="310" width="11" style="34" customWidth="1"/>
    <col min="311" max="512" width="17.85546875" style="34"/>
    <col min="513" max="513" width="5.28515625" style="34" customWidth="1"/>
    <col min="514" max="566" width="11" style="34" customWidth="1"/>
    <col min="567" max="768" width="17.85546875" style="34"/>
    <col min="769" max="769" width="5.28515625" style="34" customWidth="1"/>
    <col min="770" max="822" width="11" style="34" customWidth="1"/>
    <col min="823" max="1024" width="17.85546875" style="34"/>
    <col min="1025" max="1025" width="5.28515625" style="34" customWidth="1"/>
    <col min="1026" max="1078" width="11" style="34" customWidth="1"/>
    <col min="1079" max="1280" width="17.85546875" style="34"/>
    <col min="1281" max="1281" width="5.28515625" style="34" customWidth="1"/>
    <col min="1282" max="1334" width="11" style="34" customWidth="1"/>
    <col min="1335" max="1536" width="17.85546875" style="34"/>
    <col min="1537" max="1537" width="5.28515625" style="34" customWidth="1"/>
    <col min="1538" max="1590" width="11" style="34" customWidth="1"/>
    <col min="1591" max="1792" width="17.85546875" style="34"/>
    <col min="1793" max="1793" width="5.28515625" style="34" customWidth="1"/>
    <col min="1794" max="1846" width="11" style="34" customWidth="1"/>
    <col min="1847" max="2048" width="17.85546875" style="34"/>
    <col min="2049" max="2049" width="5.28515625" style="34" customWidth="1"/>
    <col min="2050" max="2102" width="11" style="34" customWidth="1"/>
    <col min="2103" max="2304" width="17.85546875" style="34"/>
    <col min="2305" max="2305" width="5.28515625" style="34" customWidth="1"/>
    <col min="2306" max="2358" width="11" style="34" customWidth="1"/>
    <col min="2359" max="2560" width="17.85546875" style="34"/>
    <col min="2561" max="2561" width="5.28515625" style="34" customWidth="1"/>
    <col min="2562" max="2614" width="11" style="34" customWidth="1"/>
    <col min="2615" max="2816" width="17.85546875" style="34"/>
    <col min="2817" max="2817" width="5.28515625" style="34" customWidth="1"/>
    <col min="2818" max="2870" width="11" style="34" customWidth="1"/>
    <col min="2871" max="3072" width="17.85546875" style="34"/>
    <col min="3073" max="3073" width="5.28515625" style="34" customWidth="1"/>
    <col min="3074" max="3126" width="11" style="34" customWidth="1"/>
    <col min="3127" max="3328" width="17.85546875" style="34"/>
    <col min="3329" max="3329" width="5.28515625" style="34" customWidth="1"/>
    <col min="3330" max="3382" width="11" style="34" customWidth="1"/>
    <col min="3383" max="3584" width="17.85546875" style="34"/>
    <col min="3585" max="3585" width="5.28515625" style="34" customWidth="1"/>
    <col min="3586" max="3638" width="11" style="34" customWidth="1"/>
    <col min="3639" max="3840" width="17.85546875" style="34"/>
    <col min="3841" max="3841" width="5.28515625" style="34" customWidth="1"/>
    <col min="3842" max="3894" width="11" style="34" customWidth="1"/>
    <col min="3895" max="4096" width="17.85546875" style="34"/>
    <col min="4097" max="4097" width="5.28515625" style="34" customWidth="1"/>
    <col min="4098" max="4150" width="11" style="34" customWidth="1"/>
    <col min="4151" max="4352" width="17.85546875" style="34"/>
    <col min="4353" max="4353" width="5.28515625" style="34" customWidth="1"/>
    <col min="4354" max="4406" width="11" style="34" customWidth="1"/>
    <col min="4407" max="4608" width="17.85546875" style="34"/>
    <col min="4609" max="4609" width="5.28515625" style="34" customWidth="1"/>
    <col min="4610" max="4662" width="11" style="34" customWidth="1"/>
    <col min="4663" max="4864" width="17.85546875" style="34"/>
    <col min="4865" max="4865" width="5.28515625" style="34" customWidth="1"/>
    <col min="4866" max="4918" width="11" style="34" customWidth="1"/>
    <col min="4919" max="5120" width="17.85546875" style="34"/>
    <col min="5121" max="5121" width="5.28515625" style="34" customWidth="1"/>
    <col min="5122" max="5174" width="11" style="34" customWidth="1"/>
    <col min="5175" max="5376" width="17.85546875" style="34"/>
    <col min="5377" max="5377" width="5.28515625" style="34" customWidth="1"/>
    <col min="5378" max="5430" width="11" style="34" customWidth="1"/>
    <col min="5431" max="5632" width="17.85546875" style="34"/>
    <col min="5633" max="5633" width="5.28515625" style="34" customWidth="1"/>
    <col min="5634" max="5686" width="11" style="34" customWidth="1"/>
    <col min="5687" max="5888" width="17.85546875" style="34"/>
    <col min="5889" max="5889" width="5.28515625" style="34" customWidth="1"/>
    <col min="5890" max="5942" width="11" style="34" customWidth="1"/>
    <col min="5943" max="6144" width="17.85546875" style="34"/>
    <col min="6145" max="6145" width="5.28515625" style="34" customWidth="1"/>
    <col min="6146" max="6198" width="11" style="34" customWidth="1"/>
    <col min="6199" max="6400" width="17.85546875" style="34"/>
    <col min="6401" max="6401" width="5.28515625" style="34" customWidth="1"/>
    <col min="6402" max="6454" width="11" style="34" customWidth="1"/>
    <col min="6455" max="6656" width="17.85546875" style="34"/>
    <col min="6657" max="6657" width="5.28515625" style="34" customWidth="1"/>
    <col min="6658" max="6710" width="11" style="34" customWidth="1"/>
    <col min="6711" max="6912" width="17.85546875" style="34"/>
    <col min="6913" max="6913" width="5.28515625" style="34" customWidth="1"/>
    <col min="6914" max="6966" width="11" style="34" customWidth="1"/>
    <col min="6967" max="7168" width="17.85546875" style="34"/>
    <col min="7169" max="7169" width="5.28515625" style="34" customWidth="1"/>
    <col min="7170" max="7222" width="11" style="34" customWidth="1"/>
    <col min="7223" max="7424" width="17.85546875" style="34"/>
    <col min="7425" max="7425" width="5.28515625" style="34" customWidth="1"/>
    <col min="7426" max="7478" width="11" style="34" customWidth="1"/>
    <col min="7479" max="7680" width="17.85546875" style="34"/>
    <col min="7681" max="7681" width="5.28515625" style="34" customWidth="1"/>
    <col min="7682" max="7734" width="11" style="34" customWidth="1"/>
    <col min="7735" max="7936" width="17.85546875" style="34"/>
    <col min="7937" max="7937" width="5.28515625" style="34" customWidth="1"/>
    <col min="7938" max="7990" width="11" style="34" customWidth="1"/>
    <col min="7991" max="8192" width="17.85546875" style="34"/>
    <col min="8193" max="8193" width="5.28515625" style="34" customWidth="1"/>
    <col min="8194" max="8246" width="11" style="34" customWidth="1"/>
    <col min="8247" max="8448" width="17.85546875" style="34"/>
    <col min="8449" max="8449" width="5.28515625" style="34" customWidth="1"/>
    <col min="8450" max="8502" width="11" style="34" customWidth="1"/>
    <col min="8503" max="8704" width="17.85546875" style="34"/>
    <col min="8705" max="8705" width="5.28515625" style="34" customWidth="1"/>
    <col min="8706" max="8758" width="11" style="34" customWidth="1"/>
    <col min="8759" max="8960" width="17.85546875" style="34"/>
    <col min="8961" max="8961" width="5.28515625" style="34" customWidth="1"/>
    <col min="8962" max="9014" width="11" style="34" customWidth="1"/>
    <col min="9015" max="9216" width="17.85546875" style="34"/>
    <col min="9217" max="9217" width="5.28515625" style="34" customWidth="1"/>
    <col min="9218" max="9270" width="11" style="34" customWidth="1"/>
    <col min="9271" max="9472" width="17.85546875" style="34"/>
    <col min="9473" max="9473" width="5.28515625" style="34" customWidth="1"/>
    <col min="9474" max="9526" width="11" style="34" customWidth="1"/>
    <col min="9527" max="9728" width="17.85546875" style="34"/>
    <col min="9729" max="9729" width="5.28515625" style="34" customWidth="1"/>
    <col min="9730" max="9782" width="11" style="34" customWidth="1"/>
    <col min="9783" max="9984" width="17.85546875" style="34"/>
    <col min="9985" max="9985" width="5.28515625" style="34" customWidth="1"/>
    <col min="9986" max="10038" width="11" style="34" customWidth="1"/>
    <col min="10039" max="10240" width="17.85546875" style="34"/>
    <col min="10241" max="10241" width="5.28515625" style="34" customWidth="1"/>
    <col min="10242" max="10294" width="11" style="34" customWidth="1"/>
    <col min="10295" max="10496" width="17.85546875" style="34"/>
    <col min="10497" max="10497" width="5.28515625" style="34" customWidth="1"/>
    <col min="10498" max="10550" width="11" style="34" customWidth="1"/>
    <col min="10551" max="10752" width="17.85546875" style="34"/>
    <col min="10753" max="10753" width="5.28515625" style="34" customWidth="1"/>
    <col min="10754" max="10806" width="11" style="34" customWidth="1"/>
    <col min="10807" max="11008" width="17.85546875" style="34"/>
    <col min="11009" max="11009" width="5.28515625" style="34" customWidth="1"/>
    <col min="11010" max="11062" width="11" style="34" customWidth="1"/>
    <col min="11063" max="11264" width="17.85546875" style="34"/>
    <col min="11265" max="11265" width="5.28515625" style="34" customWidth="1"/>
    <col min="11266" max="11318" width="11" style="34" customWidth="1"/>
    <col min="11319" max="11520" width="17.85546875" style="34"/>
    <col min="11521" max="11521" width="5.28515625" style="34" customWidth="1"/>
    <col min="11522" max="11574" width="11" style="34" customWidth="1"/>
    <col min="11575" max="11776" width="17.85546875" style="34"/>
    <col min="11777" max="11777" width="5.28515625" style="34" customWidth="1"/>
    <col min="11778" max="11830" width="11" style="34" customWidth="1"/>
    <col min="11831" max="12032" width="17.85546875" style="34"/>
    <col min="12033" max="12033" width="5.28515625" style="34" customWidth="1"/>
    <col min="12034" max="12086" width="11" style="34" customWidth="1"/>
    <col min="12087" max="12288" width="17.85546875" style="34"/>
    <col min="12289" max="12289" width="5.28515625" style="34" customWidth="1"/>
    <col min="12290" max="12342" width="11" style="34" customWidth="1"/>
    <col min="12343" max="12544" width="17.85546875" style="34"/>
    <col min="12545" max="12545" width="5.28515625" style="34" customWidth="1"/>
    <col min="12546" max="12598" width="11" style="34" customWidth="1"/>
    <col min="12599" max="12800" width="17.85546875" style="34"/>
    <col min="12801" max="12801" width="5.28515625" style="34" customWidth="1"/>
    <col min="12802" max="12854" width="11" style="34" customWidth="1"/>
    <col min="12855" max="13056" width="17.85546875" style="34"/>
    <col min="13057" max="13057" width="5.28515625" style="34" customWidth="1"/>
    <col min="13058" max="13110" width="11" style="34" customWidth="1"/>
    <col min="13111" max="13312" width="17.85546875" style="34"/>
    <col min="13313" max="13313" width="5.28515625" style="34" customWidth="1"/>
    <col min="13314" max="13366" width="11" style="34" customWidth="1"/>
    <col min="13367" max="13568" width="17.85546875" style="34"/>
    <col min="13569" max="13569" width="5.28515625" style="34" customWidth="1"/>
    <col min="13570" max="13622" width="11" style="34" customWidth="1"/>
    <col min="13623" max="13824" width="17.85546875" style="34"/>
    <col min="13825" max="13825" width="5.28515625" style="34" customWidth="1"/>
    <col min="13826" max="13878" width="11" style="34" customWidth="1"/>
    <col min="13879" max="14080" width="17.85546875" style="34"/>
    <col min="14081" max="14081" width="5.28515625" style="34" customWidth="1"/>
    <col min="14082" max="14134" width="11" style="34" customWidth="1"/>
    <col min="14135" max="14336" width="17.85546875" style="34"/>
    <col min="14337" max="14337" width="5.28515625" style="34" customWidth="1"/>
    <col min="14338" max="14390" width="11" style="34" customWidth="1"/>
    <col min="14391" max="14592" width="17.85546875" style="34"/>
    <col min="14593" max="14593" width="5.28515625" style="34" customWidth="1"/>
    <col min="14594" max="14646" width="11" style="34" customWidth="1"/>
    <col min="14647" max="14848" width="17.85546875" style="34"/>
    <col min="14849" max="14849" width="5.28515625" style="34" customWidth="1"/>
    <col min="14850" max="14902" width="11" style="34" customWidth="1"/>
    <col min="14903" max="15104" width="17.85546875" style="34"/>
    <col min="15105" max="15105" width="5.28515625" style="34" customWidth="1"/>
    <col min="15106" max="15158" width="11" style="34" customWidth="1"/>
    <col min="15159" max="15360" width="17.85546875" style="34"/>
    <col min="15361" max="15361" width="5.28515625" style="34" customWidth="1"/>
    <col min="15362" max="15414" width="11" style="34" customWidth="1"/>
    <col min="15415" max="15616" width="17.85546875" style="34"/>
    <col min="15617" max="15617" width="5.28515625" style="34" customWidth="1"/>
    <col min="15618" max="15670" width="11" style="34" customWidth="1"/>
    <col min="15671" max="15872" width="17.85546875" style="34"/>
    <col min="15873" max="15873" width="5.28515625" style="34" customWidth="1"/>
    <col min="15874" max="15926" width="11" style="34" customWidth="1"/>
    <col min="15927" max="16128" width="17.85546875" style="34"/>
    <col min="16129" max="16129" width="5.28515625" style="34" customWidth="1"/>
    <col min="16130" max="16182" width="11" style="34" customWidth="1"/>
    <col min="16183" max="16384" width="17.85546875" style="34"/>
  </cols>
  <sheetData>
    <row r="1" spans="1:38" x14ac:dyDescent="0.15">
      <c r="A1" s="34">
        <v>1</v>
      </c>
      <c r="B1" s="34">
        <v>2</v>
      </c>
      <c r="C1" s="34">
        <v>3</v>
      </c>
      <c r="D1" s="34">
        <v>4</v>
      </c>
      <c r="E1" s="34">
        <v>5</v>
      </c>
      <c r="F1" s="34">
        <v>6</v>
      </c>
      <c r="G1" s="34">
        <v>7</v>
      </c>
      <c r="H1" s="34">
        <v>8</v>
      </c>
      <c r="I1" s="34">
        <v>9</v>
      </c>
      <c r="J1" s="34">
        <v>10</v>
      </c>
      <c r="K1" s="34">
        <v>11</v>
      </c>
      <c r="L1" s="34">
        <v>12</v>
      </c>
      <c r="M1" s="34">
        <v>13</v>
      </c>
      <c r="N1" s="34">
        <v>14</v>
      </c>
      <c r="O1" s="34">
        <v>15</v>
      </c>
      <c r="P1" s="34">
        <v>16</v>
      </c>
      <c r="Q1" s="34">
        <v>17</v>
      </c>
    </row>
    <row r="2" spans="1:38" x14ac:dyDescent="0.15">
      <c r="B2" s="34" t="s">
        <v>50</v>
      </c>
      <c r="D2" s="34" t="s">
        <v>87</v>
      </c>
    </row>
    <row r="3" spans="1:38" x14ac:dyDescent="0.15">
      <c r="B3" s="34">
        <v>5</v>
      </c>
      <c r="H3" s="34" t="s">
        <v>52</v>
      </c>
      <c r="J3" s="34" t="s">
        <v>53</v>
      </c>
      <c r="K3" s="34" t="s">
        <v>54</v>
      </c>
    </row>
    <row r="4" spans="1:38" x14ac:dyDescent="0.15">
      <c r="B4" s="34" t="s">
        <v>55</v>
      </c>
      <c r="C4" s="34" t="s">
        <v>56</v>
      </c>
      <c r="D4" s="34" t="s">
        <v>57</v>
      </c>
      <c r="E4" s="34" t="s">
        <v>58</v>
      </c>
      <c r="F4" s="34" t="s">
        <v>59</v>
      </c>
      <c r="G4" s="34" t="s">
        <v>60</v>
      </c>
      <c r="H4" s="34" t="s">
        <v>61</v>
      </c>
      <c r="I4" s="34" t="s">
        <v>62</v>
      </c>
      <c r="J4" s="34" t="s">
        <v>63</v>
      </c>
      <c r="K4" s="34" t="s">
        <v>64</v>
      </c>
      <c r="L4" s="34" t="s">
        <v>65</v>
      </c>
      <c r="N4" s="34" t="s">
        <v>66</v>
      </c>
      <c r="O4" s="34" t="s">
        <v>67</v>
      </c>
      <c r="P4" s="34" t="s">
        <v>68</v>
      </c>
      <c r="Q4" s="34" t="s">
        <v>69</v>
      </c>
      <c r="R4" s="34" t="s">
        <v>70</v>
      </c>
      <c r="S4" s="34" t="s">
        <v>71</v>
      </c>
      <c r="T4" s="34" t="s">
        <v>72</v>
      </c>
      <c r="U4" s="34" t="s">
        <v>73</v>
      </c>
      <c r="V4" s="34" t="s">
        <v>74</v>
      </c>
    </row>
    <row r="5" spans="1:38" x14ac:dyDescent="0.15">
      <c r="B5" s="34">
        <v>1</v>
      </c>
      <c r="C5" s="34">
        <v>6</v>
      </c>
      <c r="D5" s="34">
        <v>1.6</v>
      </c>
      <c r="E5" s="34">
        <v>240</v>
      </c>
      <c r="F5" s="34">
        <v>100</v>
      </c>
      <c r="G5" s="34" t="s">
        <v>75</v>
      </c>
      <c r="H5" s="34">
        <v>16000</v>
      </c>
      <c r="I5" s="34">
        <v>1</v>
      </c>
      <c r="J5" s="34">
        <v>16000</v>
      </c>
      <c r="K5" s="34">
        <v>2667</v>
      </c>
      <c r="L5" s="34">
        <v>4.8000000000000007</v>
      </c>
      <c r="N5" s="34">
        <v>1.76</v>
      </c>
      <c r="O5" s="34">
        <v>80.7</v>
      </c>
      <c r="P5" s="34">
        <v>0.19700000000000001</v>
      </c>
      <c r="Q5" s="34">
        <v>0.182</v>
      </c>
      <c r="R5" s="34">
        <v>2.0680000000000001</v>
      </c>
      <c r="S5" s="34">
        <v>0.94699999999999995</v>
      </c>
      <c r="T5" s="34">
        <v>0.59199999999999997</v>
      </c>
      <c r="U5" s="34">
        <v>1.4859999418258667</v>
      </c>
      <c r="V5" s="34">
        <v>0.49500000476837158</v>
      </c>
    </row>
    <row r="6" spans="1:38" x14ac:dyDescent="0.15">
      <c r="B6" s="34">
        <v>2</v>
      </c>
      <c r="C6" s="34">
        <v>10</v>
      </c>
      <c r="D6" s="34">
        <v>1.8</v>
      </c>
      <c r="E6" s="34">
        <v>340</v>
      </c>
      <c r="F6" s="34">
        <v>130</v>
      </c>
      <c r="G6" s="34" t="s">
        <v>76</v>
      </c>
      <c r="H6" s="34">
        <v>30420</v>
      </c>
      <c r="I6" s="34">
        <v>1</v>
      </c>
      <c r="J6" s="34">
        <v>30420</v>
      </c>
      <c r="K6" s="34">
        <v>3042</v>
      </c>
      <c r="L6" s="34">
        <v>13.8</v>
      </c>
      <c r="O6" s="35" t="s">
        <v>88</v>
      </c>
      <c r="P6" s="36" t="s">
        <v>89</v>
      </c>
      <c r="R6" s="34">
        <v>1.5</v>
      </c>
    </row>
    <row r="7" spans="1:38" x14ac:dyDescent="0.15">
      <c r="B7" s="34">
        <v>3</v>
      </c>
      <c r="C7" s="34">
        <v>6</v>
      </c>
      <c r="D7" s="34">
        <v>1.8</v>
      </c>
      <c r="E7" s="34">
        <v>360</v>
      </c>
      <c r="F7" s="34">
        <v>150</v>
      </c>
      <c r="G7" s="34" t="s">
        <v>77</v>
      </c>
      <c r="H7" s="34">
        <v>40500</v>
      </c>
      <c r="I7" s="34">
        <v>1</v>
      </c>
      <c r="J7" s="34">
        <v>40500</v>
      </c>
      <c r="K7" s="34">
        <v>6750</v>
      </c>
      <c r="L7" s="34">
        <v>14.4</v>
      </c>
      <c r="O7" s="35" t="s">
        <v>90</v>
      </c>
      <c r="P7" s="36" t="s">
        <v>91</v>
      </c>
      <c r="R7" s="34">
        <v>1.5</v>
      </c>
    </row>
    <row r="8" spans="1:38" x14ac:dyDescent="0.15">
      <c r="B8" s="34">
        <v>4</v>
      </c>
      <c r="C8" s="34">
        <v>8</v>
      </c>
      <c r="D8" s="34">
        <v>1.8</v>
      </c>
      <c r="E8" s="34">
        <v>400</v>
      </c>
      <c r="F8" s="34">
        <v>200</v>
      </c>
      <c r="G8" s="34" t="s">
        <v>77</v>
      </c>
      <c r="H8" s="34">
        <v>72000</v>
      </c>
      <c r="I8" s="34">
        <v>1</v>
      </c>
      <c r="J8" s="34">
        <v>72000</v>
      </c>
      <c r="K8" s="34">
        <v>9000</v>
      </c>
      <c r="L8" s="34">
        <v>12.600000000000001</v>
      </c>
      <c r="O8" s="35" t="s">
        <v>92</v>
      </c>
      <c r="P8" s="36">
        <v>2.0680000000000001</v>
      </c>
      <c r="R8" s="34">
        <v>1.5</v>
      </c>
    </row>
    <row r="9" spans="1:38" x14ac:dyDescent="0.15">
      <c r="B9" s="34">
        <v>5</v>
      </c>
      <c r="D9" s="34">
        <v>1.8</v>
      </c>
      <c r="E9" s="34">
        <v>1220</v>
      </c>
      <c r="F9" s="34">
        <v>400</v>
      </c>
      <c r="G9" s="34" t="s">
        <v>77</v>
      </c>
      <c r="H9" s="34">
        <v>288000</v>
      </c>
      <c r="I9" s="34">
        <v>1</v>
      </c>
      <c r="J9" s="34">
        <v>288000</v>
      </c>
      <c r="K9" s="34">
        <v>833146</v>
      </c>
      <c r="L9" s="34">
        <v>7.2</v>
      </c>
      <c r="O9" s="35" t="s">
        <v>93</v>
      </c>
      <c r="P9" s="36" t="s">
        <v>94</v>
      </c>
      <c r="R9" s="34">
        <v>1.35</v>
      </c>
    </row>
    <row r="10" spans="1:38" x14ac:dyDescent="0.15">
      <c r="A10" s="34">
        <v>1</v>
      </c>
      <c r="M10" s="34">
        <v>13</v>
      </c>
      <c r="N10" s="34">
        <v>14</v>
      </c>
      <c r="O10" s="34">
        <v>15</v>
      </c>
      <c r="P10" s="34">
        <v>16</v>
      </c>
      <c r="Q10" s="34">
        <v>17</v>
      </c>
      <c r="R10" s="34">
        <v>18</v>
      </c>
      <c r="S10" s="34">
        <v>19</v>
      </c>
      <c r="T10" s="34">
        <v>20</v>
      </c>
      <c r="U10" s="34">
        <v>21</v>
      </c>
      <c r="V10" s="34">
        <v>22</v>
      </c>
      <c r="W10" s="34">
        <v>23</v>
      </c>
      <c r="X10" s="34">
        <v>24</v>
      </c>
      <c r="Y10" s="34">
        <v>24</v>
      </c>
      <c r="Z10" s="34">
        <v>25</v>
      </c>
      <c r="AA10" s="34">
        <v>26</v>
      </c>
      <c r="AB10" s="34">
        <v>27</v>
      </c>
      <c r="AC10" s="34">
        <v>28</v>
      </c>
      <c r="AD10" s="34">
        <v>29</v>
      </c>
      <c r="AE10" s="34">
        <v>30</v>
      </c>
    </row>
    <row r="11" spans="1:38" x14ac:dyDescent="0.15">
      <c r="B11" s="34" t="s">
        <v>78</v>
      </c>
      <c r="C11" s="34" t="s">
        <v>79</v>
      </c>
      <c r="D11" s="34" t="s">
        <v>80</v>
      </c>
      <c r="E11" s="34" t="s">
        <v>81</v>
      </c>
      <c r="F11" s="34" t="s">
        <v>82</v>
      </c>
      <c r="G11" s="34" t="s">
        <v>83</v>
      </c>
      <c r="H11" s="34" t="s">
        <v>84</v>
      </c>
      <c r="I11" s="34" t="s">
        <v>85</v>
      </c>
      <c r="J11" s="34" t="s">
        <v>86</v>
      </c>
      <c r="K11" s="34" t="s">
        <v>95</v>
      </c>
      <c r="L11" s="34" t="s">
        <v>96</v>
      </c>
      <c r="M11" s="34" t="s">
        <v>97</v>
      </c>
      <c r="N11" s="34" t="s">
        <v>98</v>
      </c>
      <c r="O11" s="34" t="s">
        <v>99</v>
      </c>
      <c r="P11" s="34" t="s">
        <v>100</v>
      </c>
      <c r="Q11" s="34" t="s">
        <v>101</v>
      </c>
    </row>
    <row r="12" spans="1:38" x14ac:dyDescent="0.15">
      <c r="B12" s="34">
        <v>1.7600000000000002</v>
      </c>
      <c r="C12" s="34">
        <v>146.69999999999999</v>
      </c>
      <c r="D12" s="34">
        <v>0.35899999999999999</v>
      </c>
      <c r="E12" s="34">
        <v>0.02</v>
      </c>
      <c r="F12" s="34">
        <v>2.5649999999999999</v>
      </c>
      <c r="G12" s="34">
        <v>2.2090000000000001</v>
      </c>
      <c r="H12" s="34">
        <v>8.1000000000000003E-2</v>
      </c>
      <c r="I12" s="34">
        <v>0.81800001859664917</v>
      </c>
      <c r="J12" s="34">
        <v>0.27300000190734863</v>
      </c>
      <c r="K12" s="34">
        <v>1</v>
      </c>
      <c r="L12" s="34">
        <v>1</v>
      </c>
      <c r="M12" s="34">
        <v>0.18076974026604106</v>
      </c>
      <c r="N12" s="34">
        <v>2.5631733770515716E-3</v>
      </c>
      <c r="O12" s="34">
        <v>0.33983055711459631</v>
      </c>
      <c r="P12" s="34">
        <v>0.17313712078692828</v>
      </c>
      <c r="Q12" s="34">
        <v>0.74639804146661759</v>
      </c>
      <c r="T12" s="34">
        <v>1771.427490234375</v>
      </c>
      <c r="U12" s="34">
        <v>4.8000000000000007</v>
      </c>
      <c r="V12" s="34">
        <v>1.7933328197770104E-2</v>
      </c>
      <c r="W12" s="34">
        <v>1</v>
      </c>
      <c r="X12" s="34">
        <v>4.8000000000000007</v>
      </c>
      <c r="Y12" s="34">
        <v>1.4443064953267037E-2</v>
      </c>
      <c r="Z12" s="34">
        <v>1</v>
      </c>
      <c r="AA12" s="34">
        <v>4.8000000000000007</v>
      </c>
      <c r="AB12" s="34">
        <v>1.3876899550954187E-2</v>
      </c>
      <c r="AC12" s="34">
        <v>1</v>
      </c>
      <c r="AD12" s="34">
        <v>4.8000000000000007</v>
      </c>
      <c r="AE12" s="34">
        <v>1.3774112628133106E-2</v>
      </c>
      <c r="AF12" s="34">
        <v>1</v>
      </c>
      <c r="AG12" s="34">
        <v>4.8000000000000007</v>
      </c>
      <c r="AH12" s="34">
        <v>1.3755738354843575E-2</v>
      </c>
      <c r="AI12" s="34">
        <v>1</v>
      </c>
      <c r="AJ12" s="34">
        <v>4.8000000000000007</v>
      </c>
      <c r="AK12" s="34">
        <v>1.3752522007184194E-2</v>
      </c>
      <c r="AL12" s="34">
        <v>1</v>
      </c>
    </row>
    <row r="13" spans="1:38" x14ac:dyDescent="0.15">
      <c r="K13" s="34">
        <v>2</v>
      </c>
      <c r="L13" s="34">
        <v>0.86911491985775002</v>
      </c>
      <c r="M13" s="34">
        <v>0.15710967832402656</v>
      </c>
      <c r="N13" s="34">
        <v>4.7169043078188547E-3</v>
      </c>
      <c r="O13" s="34">
        <v>0.2482097750732532</v>
      </c>
      <c r="P13" s="34">
        <v>0.197018330154732</v>
      </c>
      <c r="Q13" s="34">
        <v>8.0097070496832217</v>
      </c>
      <c r="T13" s="34">
        <v>1387.1944580078125</v>
      </c>
      <c r="U13" s="34">
        <v>13.8</v>
      </c>
      <c r="V13" s="34">
        <v>1.6133328252701744E-2</v>
      </c>
      <c r="W13" s="34">
        <v>0.89962822710777246</v>
      </c>
      <c r="X13" s="34">
        <v>12.414869534087261</v>
      </c>
      <c r="Y13" s="34">
        <v>1.2643065008198676E-2</v>
      </c>
      <c r="Z13" s="34">
        <v>0.87537271687882301</v>
      </c>
      <c r="AA13" s="34">
        <v>12.080143492927759</v>
      </c>
      <c r="AB13" s="34">
        <v>1.2076899605885826E-2</v>
      </c>
      <c r="AC13" s="34">
        <v>0.87028803239088148</v>
      </c>
      <c r="AD13" s="34">
        <v>12.009974846994165</v>
      </c>
      <c r="AE13" s="34">
        <v>1.1974112683064744E-2</v>
      </c>
      <c r="AF13" s="34">
        <v>0.86932007936453704</v>
      </c>
      <c r="AG13" s="34">
        <v>11.996617095230611</v>
      </c>
      <c r="AH13" s="34">
        <v>1.1955738409775214E-2</v>
      </c>
      <c r="AI13" s="34">
        <v>0.86914552322561756</v>
      </c>
      <c r="AJ13" s="34">
        <v>11.994208220513523</v>
      </c>
      <c r="AK13" s="34">
        <v>1.1952522062115833E-2</v>
      </c>
      <c r="AL13" s="34">
        <v>0.86911491985775002</v>
      </c>
    </row>
    <row r="14" spans="1:38" x14ac:dyDescent="0.15">
      <c r="D14" s="34">
        <v>26.964670181274414</v>
      </c>
      <c r="J14" s="34">
        <v>12</v>
      </c>
      <c r="K14" s="34">
        <v>3</v>
      </c>
      <c r="L14" s="34">
        <v>0.46767738681140242</v>
      </c>
      <c r="M14" s="34">
        <v>8.4541919742198032E-2</v>
      </c>
      <c r="N14" s="34">
        <v>4.9638492984578272E-3</v>
      </c>
      <c r="O14" s="34">
        <v>0.13765071262775913</v>
      </c>
      <c r="P14" s="34">
        <v>0.24381924649228914</v>
      </c>
      <c r="Q14" s="34">
        <v>7.0857649295212584</v>
      </c>
      <c r="T14" s="34">
        <v>762.0712890625</v>
      </c>
      <c r="U14" s="34">
        <v>14.4</v>
      </c>
      <c r="V14" s="34">
        <v>1.0018929830611013E-2</v>
      </c>
      <c r="W14" s="34">
        <v>0.55867654459459481</v>
      </c>
      <c r="X14" s="34">
        <v>8.0449422421621648</v>
      </c>
      <c r="Y14" s="34">
        <v>6.9840020449878724E-3</v>
      </c>
      <c r="Z14" s="34">
        <v>0.48355401485666544</v>
      </c>
      <c r="AA14" s="34">
        <v>6.9631778139359826</v>
      </c>
      <c r="AB14" s="34">
        <v>6.5278715017018166E-3</v>
      </c>
      <c r="AC14" s="34">
        <v>0.47041282368098969</v>
      </c>
      <c r="AD14" s="34">
        <v>6.7739446610062517</v>
      </c>
      <c r="AE14" s="34">
        <v>6.4481511949009817E-3</v>
      </c>
      <c r="AF14" s="34">
        <v>0.46813550672809773</v>
      </c>
      <c r="AG14" s="34">
        <v>6.741151296884607</v>
      </c>
      <c r="AH14" s="34">
        <v>6.4341680300149875E-3</v>
      </c>
      <c r="AI14" s="34">
        <v>0.46774428707779492</v>
      </c>
      <c r="AJ14" s="34">
        <v>6.735517733920247</v>
      </c>
      <c r="AK14" s="34">
        <v>6.4317435543862064E-3</v>
      </c>
      <c r="AL14" s="34">
        <v>0.46767738681140242</v>
      </c>
    </row>
    <row r="15" spans="1:38" x14ac:dyDescent="0.15">
      <c r="D15" s="34">
        <v>0.18662991974606757</v>
      </c>
      <c r="K15" s="34">
        <v>4</v>
      </c>
      <c r="L15" s="34">
        <v>0.21420494555577047</v>
      </c>
      <c r="M15" s="34">
        <v>3.8721772371818092E-2</v>
      </c>
      <c r="N15" s="34">
        <v>3.1125002833754254E-3</v>
      </c>
      <c r="O15" s="34">
        <v>0.1798499920654881</v>
      </c>
      <c r="P15" s="34">
        <v>0.23190000226700341</v>
      </c>
      <c r="Q15" s="34">
        <v>6.6036580071845803</v>
      </c>
      <c r="T15" s="34">
        <v>1992.51416015625</v>
      </c>
      <c r="U15" s="34">
        <v>12.600000000000001</v>
      </c>
      <c r="V15" s="34">
        <v>5.1300409417221237E-3</v>
      </c>
      <c r="W15" s="34">
        <v>0.28606184446900446</v>
      </c>
      <c r="X15" s="34">
        <v>3.6043792403094566</v>
      </c>
      <c r="Y15" s="34">
        <v>3.2418077077657347E-3</v>
      </c>
      <c r="Z15" s="34">
        <v>0.224454277416542</v>
      </c>
      <c r="AA15" s="34">
        <v>2.8281238954484293</v>
      </c>
      <c r="AB15" s="34">
        <v>2.9955276043886706E-3</v>
      </c>
      <c r="AC15" s="34">
        <v>0.2158643285835917</v>
      </c>
      <c r="AD15" s="34">
        <v>2.7198905401532558</v>
      </c>
      <c r="AE15" s="34">
        <v>2.9542371937157342E-3</v>
      </c>
      <c r="AF15" s="34">
        <v>0.21447749655261392</v>
      </c>
      <c r="AG15" s="34">
        <v>2.7024164565629358</v>
      </c>
      <c r="AH15" s="34">
        <v>2.9470912311831028E-3</v>
      </c>
      <c r="AI15" s="34">
        <v>0.21424449601757609</v>
      </c>
      <c r="AJ15" s="34">
        <v>2.6994806498214592</v>
      </c>
      <c r="AK15" s="34">
        <v>2.9458582278034254E-3</v>
      </c>
      <c r="AL15" s="34">
        <v>0.21420494555577047</v>
      </c>
    </row>
    <row r="16" spans="1:38" x14ac:dyDescent="0.15">
      <c r="D16" s="34">
        <v>5.8601794800265221E-3</v>
      </c>
      <c r="K16" s="34">
        <v>5</v>
      </c>
      <c r="L16" s="34">
        <v>2.2906299241169477E-3</v>
      </c>
      <c r="M16" s="34">
        <v>4.1407657642824198E-4</v>
      </c>
      <c r="T16" s="34">
        <v>833145.625</v>
      </c>
      <c r="U16" s="34">
        <v>7.2</v>
      </c>
      <c r="V16" s="34">
        <v>6.3374275055456242E-5</v>
      </c>
      <c r="W16" s="34">
        <v>3.5338825206654295E-3</v>
      </c>
      <c r="X16" s="34">
        <v>2.5443954148791092E-2</v>
      </c>
      <c r="Y16" s="34">
        <v>3.4675372592525676E-5</v>
      </c>
      <c r="Z16" s="34">
        <v>2.4008320051681323E-3</v>
      </c>
      <c r="AA16" s="34">
        <v>1.7285990437210554E-2</v>
      </c>
      <c r="AB16" s="34">
        <v>3.2033693020652153E-5</v>
      </c>
      <c r="AC16" s="34">
        <v>2.308418599055831E-3</v>
      </c>
      <c r="AD16" s="34">
        <v>1.6620613913201982E-2</v>
      </c>
      <c r="AE16" s="34">
        <v>3.1591632809770645E-5</v>
      </c>
      <c r="AF16" s="34">
        <v>2.2935512190633556E-3</v>
      </c>
      <c r="AG16" s="34">
        <v>1.6513568777256162E-2</v>
      </c>
      <c r="AH16" s="34">
        <v>3.1515136885529955E-5</v>
      </c>
      <c r="AI16" s="34">
        <v>2.2910538186002253E-3</v>
      </c>
      <c r="AJ16" s="34">
        <v>1.6495587493921621E-2</v>
      </c>
      <c r="AK16" s="34">
        <v>3.1501938441732982E-5</v>
      </c>
      <c r="AL16" s="34">
        <v>2.2906299241169477E-3</v>
      </c>
    </row>
    <row r="17" spans="2:38" x14ac:dyDescent="0.15">
      <c r="W17" s="34">
        <v>21.494452891633006</v>
      </c>
      <c r="Z17" s="34">
        <v>19.376526623936225</v>
      </c>
      <c r="AC17" s="34">
        <v>19.025853526702576</v>
      </c>
      <c r="AF17" s="34">
        <v>18.96431779459169</v>
      </c>
      <c r="AI17" s="34">
        <v>18.953598983656516</v>
      </c>
      <c r="AL17" s="34">
        <v>18.951750193149394</v>
      </c>
    </row>
    <row r="18" spans="2:38" x14ac:dyDescent="0.15">
      <c r="W18" s="34">
        <v>1610.8342543529525</v>
      </c>
      <c r="Z18" s="34">
        <v>1410.0976791986432</v>
      </c>
      <c r="AC18" s="34">
        <v>1383.4962069733429</v>
      </c>
      <c r="AF18" s="34">
        <v>1378.9910201340317</v>
      </c>
      <c r="AI18" s="34">
        <v>1378.2107815615273</v>
      </c>
      <c r="AL18" s="34">
        <v>1378.0763336655291</v>
      </c>
    </row>
    <row r="19" spans="2:38" x14ac:dyDescent="0.15">
      <c r="W19" s="34">
        <v>0.72580111400689729</v>
      </c>
      <c r="Z19" s="34">
        <v>0.7365347243962479</v>
      </c>
      <c r="AC19" s="34">
        <v>0.73682261839281971</v>
      </c>
      <c r="AF19" s="34">
        <v>0.73683077072295478</v>
      </c>
      <c r="AI19" s="34">
        <v>0.73683098988505835</v>
      </c>
      <c r="AL19" s="34">
        <v>0.73683099339008151</v>
      </c>
    </row>
    <row r="20" spans="2:38" x14ac:dyDescent="0.15">
      <c r="B20" s="34">
        <v>1.7600000000000002</v>
      </c>
      <c r="C20" s="34">
        <v>67</v>
      </c>
      <c r="D20" s="34">
        <v>0.16400000000000001</v>
      </c>
      <c r="E20" s="34">
        <v>0.221</v>
      </c>
      <c r="F20" s="34">
        <v>1.956</v>
      </c>
      <c r="G20" s="34">
        <v>0.82899999999999996</v>
      </c>
      <c r="H20" s="34">
        <v>0.68</v>
      </c>
      <c r="I20" s="34">
        <v>1.7910000085830688</v>
      </c>
      <c r="J20" s="34">
        <v>0.59700000286102295</v>
      </c>
      <c r="K20" s="34">
        <v>1</v>
      </c>
      <c r="L20" s="34">
        <v>1</v>
      </c>
      <c r="M20" s="34">
        <v>0.14296261296459112</v>
      </c>
      <c r="N20" s="34">
        <v>1.0853714392572711E-3</v>
      </c>
      <c r="O20" s="34">
        <v>0.49956022713952569</v>
      </c>
      <c r="P20" s="34">
        <v>0.13098800037400449</v>
      </c>
      <c r="Q20" s="34">
        <v>4.5481390102016885E-2</v>
      </c>
      <c r="U20" s="34">
        <v>4.8000000000000007</v>
      </c>
      <c r="V20" s="34">
        <v>6.9095939662853212E-2</v>
      </c>
      <c r="W20" s="34">
        <v>1</v>
      </c>
      <c r="X20" s="34">
        <v>4.8000000000000007</v>
      </c>
      <c r="Y20" s="34">
        <v>7.4782993947727402E-2</v>
      </c>
      <c r="Z20" s="34">
        <v>1</v>
      </c>
      <c r="AA20" s="34">
        <v>4.8000000000000007</v>
      </c>
      <c r="AB20" s="34">
        <v>7.5492478774802127E-2</v>
      </c>
      <c r="AC20" s="34">
        <v>1</v>
      </c>
      <c r="AD20" s="34">
        <v>4.8000000000000007</v>
      </c>
      <c r="AE20" s="34">
        <v>7.5581631100582539E-2</v>
      </c>
      <c r="AF20" s="34">
        <v>1</v>
      </c>
    </row>
    <row r="21" spans="2:38" x14ac:dyDescent="0.15">
      <c r="K21" s="34">
        <v>2</v>
      </c>
      <c r="L21" s="34">
        <v>0.92992004638350312</v>
      </c>
      <c r="M21" s="34">
        <v>0.13294379967913939</v>
      </c>
      <c r="N21" s="34">
        <v>2.8710252571126096E-3</v>
      </c>
      <c r="O21" s="34">
        <v>0.31951233303056775</v>
      </c>
      <c r="P21" s="34">
        <v>0.17867845462802698</v>
      </c>
      <c r="Q21" s="34">
        <v>0.73653842366398592</v>
      </c>
      <c r="U21" s="34">
        <v>11.99378589403695</v>
      </c>
      <c r="V21" s="34">
        <v>6.379918246106521E-2</v>
      </c>
      <c r="W21" s="34">
        <v>2</v>
      </c>
      <c r="X21" s="34">
        <v>12.742119468360437</v>
      </c>
      <c r="Y21" s="34">
        <v>6.94862367459394E-2</v>
      </c>
      <c r="Z21" s="34">
        <v>0.92917163485737964</v>
      </c>
      <c r="AA21" s="34">
        <v>12.82256856103184</v>
      </c>
      <c r="AB21" s="34">
        <v>7.0195721573014125E-2</v>
      </c>
      <c r="AC21" s="34">
        <v>0.92983728594223936</v>
      </c>
      <c r="AD21" s="34">
        <v>12.831754546002903</v>
      </c>
      <c r="AE21" s="34">
        <v>7.0284873898794537E-2</v>
      </c>
      <c r="AF21" s="34">
        <v>0.92992004638350312</v>
      </c>
    </row>
    <row r="22" spans="2:38" x14ac:dyDescent="0.15">
      <c r="D22" s="34">
        <v>8.6574201583862305</v>
      </c>
      <c r="K22" s="34">
        <v>3</v>
      </c>
      <c r="L22" s="34">
        <v>0.62096081274712656</v>
      </c>
      <c r="M22" s="34">
        <v>8.8774180338945394E-2</v>
      </c>
      <c r="N22" s="34">
        <v>5.859612363848664E-3</v>
      </c>
      <c r="O22" s="34">
        <v>0.1249654269061187</v>
      </c>
      <c r="P22" s="34">
        <v>0.24743844945539464</v>
      </c>
      <c r="Q22" s="34">
        <v>1.3591450324464915</v>
      </c>
      <c r="U22" s="34">
        <v>6.7345543700841946</v>
      </c>
      <c r="V22" s="34">
        <v>4.1557352313048072E-2</v>
      </c>
      <c r="W22" s="34">
        <v>0.60144420230512896</v>
      </c>
      <c r="X22" s="34">
        <v>8.6607965131938567</v>
      </c>
      <c r="Y22" s="34">
        <v>4.625330736876801E-2</v>
      </c>
      <c r="Z22" s="34">
        <v>0.61850034248560082</v>
      </c>
      <c r="AA22" s="34">
        <v>8.9064049317926521</v>
      </c>
      <c r="AB22" s="34">
        <v>4.6856244746324827E-2</v>
      </c>
      <c r="AC22" s="34">
        <v>0.62067434407736655</v>
      </c>
      <c r="AD22" s="34">
        <v>8.9377105547140783</v>
      </c>
      <c r="AE22" s="34">
        <v>4.6933231076971227E-2</v>
      </c>
      <c r="AF22" s="34">
        <v>0.62096081274712656</v>
      </c>
    </row>
    <row r="23" spans="2:38" x14ac:dyDescent="0.15">
      <c r="D23" s="34">
        <v>0.21905948494592858</v>
      </c>
      <c r="K23" s="34">
        <v>4</v>
      </c>
      <c r="L23" s="34">
        <v>0.24261903239756158</v>
      </c>
      <c r="M23" s="34">
        <v>3.4685450826496191E-2</v>
      </c>
      <c r="N23" s="34">
        <v>2.8127276386772067E-3</v>
      </c>
      <c r="O23" s="34">
        <v>0.19180180098217128</v>
      </c>
      <c r="P23" s="34">
        <v>0.2285654593028037</v>
      </c>
      <c r="Q23" s="34">
        <v>0.96991027213589631</v>
      </c>
      <c r="U23" s="34">
        <v>2.6989823140027083</v>
      </c>
      <c r="V23" s="34">
        <v>1.6234708619453534E-2</v>
      </c>
      <c r="W23" s="34">
        <v>0.23495893823384104</v>
      </c>
      <c r="X23" s="34">
        <v>2.9604826217463973</v>
      </c>
      <c r="Y23" s="34">
        <v>1.8052121153099416E-2</v>
      </c>
      <c r="Z23" s="34">
        <v>0.24139339975767318</v>
      </c>
      <c r="AA23" s="34">
        <v>3.0415568369466826</v>
      </c>
      <c r="AB23" s="34">
        <v>1.8304135427333643E-2</v>
      </c>
      <c r="AC23" s="34">
        <v>0.24246303372731742</v>
      </c>
      <c r="AD23" s="34">
        <v>3.0550342249641997</v>
      </c>
      <c r="AE23" s="34">
        <v>1.8337542204652783E-2</v>
      </c>
      <c r="AF23" s="34">
        <v>0.24261903239756158</v>
      </c>
    </row>
    <row r="24" spans="2:38" x14ac:dyDescent="0.15">
      <c r="D24" s="34">
        <v>7.6096871981337452E-2</v>
      </c>
      <c r="K24" s="34">
        <v>5</v>
      </c>
      <c r="L24" s="34">
        <v>4.7050416133513027E-4</v>
      </c>
      <c r="M24" s="34">
        <v>6.7264504315183769E-5</v>
      </c>
      <c r="U24" s="34">
        <v>1.6492535453642022E-2</v>
      </c>
      <c r="V24" s="34">
        <v>3.1499673437734849E-5</v>
      </c>
      <c r="W24" s="34">
        <v>4.5588313280685354E-4</v>
      </c>
      <c r="X24" s="34">
        <v>3.2823585562093455E-3</v>
      </c>
      <c r="Y24" s="34">
        <v>3.5007902684307929E-5</v>
      </c>
      <c r="Z24" s="34">
        <v>4.6812651963062778E-4</v>
      </c>
      <c r="AA24" s="34">
        <v>3.37051094134052E-3</v>
      </c>
      <c r="AB24" s="34">
        <v>3.549667663526711E-5</v>
      </c>
      <c r="AC24" s="34">
        <v>4.7020149836589001E-4</v>
      </c>
      <c r="AD24" s="34">
        <v>3.3854507882344082E-3</v>
      </c>
      <c r="AE24" s="34">
        <v>3.5561471953320785E-5</v>
      </c>
      <c r="AF24" s="34">
        <v>4.7050416133513027E-4</v>
      </c>
    </row>
    <row r="25" spans="2:38" x14ac:dyDescent="0.15">
      <c r="W25" s="34">
        <v>22.469913152648619</v>
      </c>
      <c r="Z25" s="34">
        <v>22.957194816806307</v>
      </c>
      <c r="AC25" s="34">
        <v>23.019585915202487</v>
      </c>
      <c r="AF25" s="34">
        <v>23.027785334123671</v>
      </c>
    </row>
    <row r="26" spans="2:38" x14ac:dyDescent="0.15">
      <c r="W26" s="34">
        <v>297.54221760735027</v>
      </c>
      <c r="Z26" s="34">
        <v>303.69120522712001</v>
      </c>
      <c r="AC26" s="34">
        <v>304.51138217143398</v>
      </c>
      <c r="AF26" s="34">
        <v>304.61975237907245</v>
      </c>
    </row>
    <row r="27" spans="2:38" x14ac:dyDescent="0.15">
      <c r="W27" s="34">
        <v>1.7266577413842636</v>
      </c>
      <c r="Z27" s="34">
        <v>1.7275203151057577</v>
      </c>
      <c r="AC27" s="34">
        <v>1.7275349771719946</v>
      </c>
      <c r="AF27" s="34">
        <v>1.7275352455921269</v>
      </c>
    </row>
    <row r="28" spans="2:38" x14ac:dyDescent="0.15">
      <c r="B28" s="34">
        <v>1.7600000000000002</v>
      </c>
      <c r="C28" s="34">
        <v>72.599999999999994</v>
      </c>
      <c r="D28" s="34">
        <v>0.17699999999999999</v>
      </c>
      <c r="E28" s="34">
        <v>0.224</v>
      </c>
      <c r="F28" s="34">
        <v>1.8919999999999999</v>
      </c>
      <c r="G28" s="34">
        <v>0.81299999999999994</v>
      </c>
      <c r="H28" s="34">
        <v>0.66400000000000003</v>
      </c>
      <c r="I28" s="34">
        <v>1.6529999971389771</v>
      </c>
      <c r="J28" s="34">
        <v>0.55099999904632568</v>
      </c>
      <c r="K28" s="34">
        <v>1</v>
      </c>
      <c r="L28" s="34">
        <v>1</v>
      </c>
      <c r="M28" s="34">
        <v>0.13157457443065601</v>
      </c>
      <c r="N28" s="34">
        <v>7.0121975919614963E-4</v>
      </c>
      <c r="O28" s="34">
        <v>0.58664626983311652</v>
      </c>
      <c r="P28" s="34">
        <v>0.10809758073569196</v>
      </c>
      <c r="Q28" s="34">
        <v>2.7906840426471079E-2</v>
      </c>
      <c r="U28" s="34">
        <v>4.8000000000000007</v>
      </c>
      <c r="V28" s="34">
        <v>7.0450797674681598E-2</v>
      </c>
      <c r="W28" s="34">
        <v>1</v>
      </c>
      <c r="X28" s="34">
        <v>4.8000000000000007</v>
      </c>
      <c r="Y28" s="34">
        <v>7.2982371572254109E-2</v>
      </c>
      <c r="Z28" s="34">
        <v>1</v>
      </c>
      <c r="AA28" s="34">
        <v>4.8000000000000007</v>
      </c>
      <c r="AB28" s="34">
        <v>7.3242738345753899E-2</v>
      </c>
      <c r="AC28" s="34">
        <v>1</v>
      </c>
    </row>
    <row r="29" spans="2:38" x14ac:dyDescent="0.15">
      <c r="K29" s="34">
        <v>2</v>
      </c>
      <c r="L29" s="34">
        <v>0.95080510193398649</v>
      </c>
      <c r="M29" s="34">
        <v>0.12510177665346078</v>
      </c>
      <c r="N29" s="34">
        <v>2.1526832342241651E-3</v>
      </c>
      <c r="O29" s="34">
        <v>0.36692290654120513</v>
      </c>
      <c r="P29" s="34">
        <v>0.16574829821603498</v>
      </c>
      <c r="Q29" s="34">
        <v>0.53302844285195061</v>
      </c>
      <c r="U29" s="34">
        <v>12.832896640092343</v>
      </c>
      <c r="V29" s="34">
        <v>6.6847628627686534E-2</v>
      </c>
      <c r="W29" s="34">
        <v>0.94885552519031369</v>
      </c>
      <c r="X29" s="34">
        <v>13.09420624762633</v>
      </c>
      <c r="Y29" s="34">
        <v>6.9379202525259046E-2</v>
      </c>
      <c r="Z29" s="34">
        <v>0.95062959767718913</v>
      </c>
      <c r="AA29" s="34">
        <v>13.11868844794521</v>
      </c>
      <c r="AB29" s="34">
        <v>6.9639569298758836E-2</v>
      </c>
      <c r="AC29" s="34">
        <v>0.95080510193398649</v>
      </c>
    </row>
    <row r="30" spans="2:38" x14ac:dyDescent="0.15">
      <c r="D30" s="34">
        <v>9.7254667282104492</v>
      </c>
      <c r="K30" s="34">
        <v>3</v>
      </c>
      <c r="L30" s="34">
        <v>0.69909838924457524</v>
      </c>
      <c r="M30" s="34">
        <v>9.1983573050012091E-2</v>
      </c>
      <c r="N30" s="34">
        <v>6.4543028328861484E-3</v>
      </c>
      <c r="O30" s="34">
        <v>0.11800266883825238</v>
      </c>
      <c r="P30" s="34">
        <v>0.24936290849865844</v>
      </c>
      <c r="Q30" s="34">
        <v>1.4970562499170463</v>
      </c>
      <c r="U30" s="34">
        <v>8.9418357035586222</v>
      </c>
      <c r="V30" s="34">
        <v>4.8705977370075454E-2</v>
      </c>
      <c r="W30" s="34">
        <v>0.69134742228162549</v>
      </c>
      <c r="X30" s="34">
        <v>9.9554028808554076</v>
      </c>
      <c r="Y30" s="34">
        <v>5.0968702202919366E-2</v>
      </c>
      <c r="Z30" s="34">
        <v>0.69837004614818887</v>
      </c>
      <c r="AA30" s="34">
        <v>10.05652866453392</v>
      </c>
      <c r="AB30" s="34">
        <v>5.1203880401378438E-2</v>
      </c>
      <c r="AC30" s="34">
        <v>0.69909838924457524</v>
      </c>
    </row>
    <row r="31" spans="2:38" x14ac:dyDescent="0.15">
      <c r="D31" s="34">
        <v>0.2027375426869244</v>
      </c>
      <c r="K31" s="34">
        <v>4</v>
      </c>
      <c r="L31" s="34">
        <v>0.24628917246636148</v>
      </c>
      <c r="M31" s="34">
        <v>3.2405393054139954E-2</v>
      </c>
      <c r="N31" s="34">
        <v>2.6274935714532925E-3</v>
      </c>
      <c r="O31" s="34">
        <v>0.20050780214169525</v>
      </c>
      <c r="P31" s="34">
        <v>0.22615741642889281</v>
      </c>
      <c r="Q31" s="34">
        <v>0.90261340596565653</v>
      </c>
      <c r="U31" s="34">
        <v>3.0569998082092762</v>
      </c>
      <c r="V31" s="34">
        <v>1.7201283456019845E-2</v>
      </c>
      <c r="W31" s="34">
        <v>0.24416023698481973</v>
      </c>
      <c r="X31" s="34">
        <v>3.0764189860087288</v>
      </c>
      <c r="Y31" s="34">
        <v>1.7952625131176951E-2</v>
      </c>
      <c r="Z31" s="34">
        <v>0.24598577361114482</v>
      </c>
      <c r="AA31" s="34">
        <v>3.099420747500425</v>
      </c>
      <c r="AB31" s="34">
        <v>1.8038893416345968E-2</v>
      </c>
      <c r="AC31" s="34">
        <v>0.24628917246636148</v>
      </c>
    </row>
    <row r="32" spans="2:38" x14ac:dyDescent="0.15">
      <c r="D32" s="34">
        <v>7.1162968256268389E-2</v>
      </c>
      <c r="K32" s="34">
        <v>5</v>
      </c>
      <c r="L32" s="34">
        <v>5.0929776169326589E-4</v>
      </c>
      <c r="M32" s="34">
        <v>6.7010636253277126E-5</v>
      </c>
      <c r="U32" s="34">
        <v>3.3876299616129378E-3</v>
      </c>
      <c r="V32" s="34">
        <v>3.557015591580626E-5</v>
      </c>
      <c r="W32" s="34">
        <v>5.0489358658588129E-4</v>
      </c>
      <c r="X32" s="34">
        <v>3.6352338234183455E-3</v>
      </c>
      <c r="Y32" s="34">
        <v>3.7123958189558856E-5</v>
      </c>
      <c r="Z32" s="34">
        <v>5.0867020884358828E-4</v>
      </c>
      <c r="AA32" s="34">
        <v>3.6624255036738357E-3</v>
      </c>
      <c r="AB32" s="34">
        <v>3.7302362699777997E-5</v>
      </c>
      <c r="AC32" s="34">
        <v>5.0929776169326589E-4</v>
      </c>
    </row>
    <row r="33" spans="2:29" x14ac:dyDescent="0.15">
      <c r="W33" s="34">
        <v>24.858293089590962</v>
      </c>
      <c r="Z33" s="34">
        <v>25.056607182150749</v>
      </c>
      <c r="AC33" s="34">
        <v>25.07775110981861</v>
      </c>
    </row>
    <row r="34" spans="2:29" x14ac:dyDescent="0.15">
      <c r="W34" s="34">
        <v>339.31267268706915</v>
      </c>
      <c r="Z34" s="34">
        <v>341.9595609804519</v>
      </c>
      <c r="AC34" s="34">
        <v>342.24746787924414</v>
      </c>
    </row>
    <row r="35" spans="2:29" x14ac:dyDescent="0.15">
      <c r="W35" s="34">
        <v>1.7006520739968414</v>
      </c>
      <c r="Z35" s="34">
        <v>1.7008014513663861</v>
      </c>
      <c r="AC35" s="34">
        <v>1.7008030774987142</v>
      </c>
    </row>
    <row r="36" spans="2:29" x14ac:dyDescent="0.15">
      <c r="B36" s="34">
        <v>1.7600000000000002</v>
      </c>
      <c r="C36" s="34">
        <v>75.8</v>
      </c>
      <c r="D36" s="34">
        <v>0.185</v>
      </c>
      <c r="E36" s="34">
        <v>0.22600000000000001</v>
      </c>
      <c r="F36" s="34">
        <v>1.8520000000000001</v>
      </c>
      <c r="G36" s="34">
        <v>0.80100000000000005</v>
      </c>
      <c r="H36" s="34">
        <v>0.65700000000000003</v>
      </c>
      <c r="I36" s="34">
        <v>1.5839999914169312</v>
      </c>
      <c r="J36" s="34">
        <v>0.52799999713897705</v>
      </c>
      <c r="K36" s="34">
        <v>1</v>
      </c>
      <c r="L36" s="34">
        <v>1</v>
      </c>
      <c r="M36" s="34">
        <v>0.12510593190497005</v>
      </c>
      <c r="N36" s="34">
        <v>5.7196405295086548E-4</v>
      </c>
      <c r="O36" s="34">
        <v>0.63093401934916249</v>
      </c>
      <c r="P36" s="34">
        <v>9.6916045824595204E-2</v>
      </c>
      <c r="Q36" s="34">
        <v>2.1803605093913925E-2</v>
      </c>
      <c r="U36" s="34">
        <v>4.8000000000000007</v>
      </c>
      <c r="V36" s="34">
        <v>7.152870822047952E-2</v>
      </c>
      <c r="W36" s="34">
        <v>1</v>
      </c>
      <c r="X36" s="34">
        <v>4.8000000000000007</v>
      </c>
      <c r="Y36" s="34">
        <v>7.2604308662159514E-2</v>
      </c>
      <c r="Z36" s="34">
        <v>1</v>
      </c>
      <c r="AA36" s="34">
        <v>4.8000000000000007</v>
      </c>
      <c r="AB36" s="34">
        <v>7.2705535207883393E-2</v>
      </c>
      <c r="AC36" s="34">
        <v>1</v>
      </c>
    </row>
    <row r="37" spans="2:29" x14ac:dyDescent="0.15">
      <c r="K37" s="34">
        <v>2</v>
      </c>
      <c r="L37" s="34">
        <v>0.95779841850268677</v>
      </c>
      <c r="M37" s="34">
        <v>0.11982626372388513</v>
      </c>
      <c r="N37" s="34">
        <v>1.8053756077491109E-3</v>
      </c>
      <c r="O37" s="34">
        <v>0.40307966856161914</v>
      </c>
      <c r="P37" s="34">
        <v>0.15618814627121888</v>
      </c>
      <c r="Q37" s="34">
        <v>0.43053896925143298</v>
      </c>
      <c r="U37" s="34">
        <v>13.121110406689015</v>
      </c>
      <c r="V37" s="34">
        <v>6.8460419651098253E-2</v>
      </c>
      <c r="W37" s="34">
        <v>0.95710409644301697</v>
      </c>
      <c r="X37" s="34">
        <v>13.208036530913635</v>
      </c>
      <c r="Y37" s="34">
        <v>6.9536020092778247E-2</v>
      </c>
      <c r="Z37" s="34">
        <v>0.95773958011695215</v>
      </c>
      <c r="AA37" s="34">
        <v>13.21680620561394</v>
      </c>
      <c r="AB37" s="34">
        <v>6.9637246638502126E-2</v>
      </c>
      <c r="AC37" s="34">
        <v>0.95779841850268677</v>
      </c>
    </row>
    <row r="38" spans="2:29" x14ac:dyDescent="0.15">
      <c r="D38" s="34">
        <v>10.345622062683105</v>
      </c>
      <c r="K38" s="34">
        <v>3</v>
      </c>
      <c r="L38" s="34">
        <v>0.73578648887584774</v>
      </c>
      <c r="M38" s="34">
        <v>9.2051254373898814E-2</v>
      </c>
      <c r="N38" s="34">
        <v>6.6953037191949238E-3</v>
      </c>
      <c r="O38" s="34">
        <v>0.11535165908885583</v>
      </c>
      <c r="P38" s="34">
        <v>0.25008591115758477</v>
      </c>
      <c r="Q38" s="34">
        <v>1.5211847390880595</v>
      </c>
      <c r="U38" s="34">
        <v>10.067016805121884</v>
      </c>
      <c r="V38" s="34">
        <v>5.2404658623326869E-2</v>
      </c>
      <c r="W38" s="34">
        <v>0.7326381242870369</v>
      </c>
      <c r="X38" s="34">
        <v>10.549988989733331</v>
      </c>
      <c r="Y38" s="34">
        <v>5.3402380794857936E-2</v>
      </c>
      <c r="Z38" s="34">
        <v>0.7355263314102819</v>
      </c>
      <c r="AA38" s="34">
        <v>10.591579172308059</v>
      </c>
      <c r="AB38" s="34">
        <v>5.3495750472447853E-2</v>
      </c>
      <c r="AC38" s="34">
        <v>0.73578648887584774</v>
      </c>
    </row>
    <row r="39" spans="2:29" x14ac:dyDescent="0.15">
      <c r="D39" s="34">
        <v>0.19386260383777029</v>
      </c>
      <c r="K39" s="34">
        <v>4</v>
      </c>
      <c r="L39" s="34">
        <v>0.24178270647531022</v>
      </c>
      <c r="M39" s="34">
        <v>3.0248450812099523E-2</v>
      </c>
      <c r="N39" s="34">
        <v>2.45237422306272E-3</v>
      </c>
      <c r="O39" s="34">
        <v>0.20873841151605216</v>
      </c>
      <c r="P39" s="34">
        <v>0.22388086489981537</v>
      </c>
      <c r="Q39" s="34">
        <v>0.82199757477008262</v>
      </c>
      <c r="U39" s="34">
        <v>3.1032435730761549</v>
      </c>
      <c r="V39" s="34">
        <v>1.7266561275770528E-2</v>
      </c>
      <c r="W39" s="34">
        <v>0.2413934447487604</v>
      </c>
      <c r="X39" s="34">
        <v>3.0415574038343816</v>
      </c>
      <c r="Y39" s="34">
        <v>1.7548796408724789E-2</v>
      </c>
      <c r="Z39" s="34">
        <v>0.24170461412121411</v>
      </c>
      <c r="AA39" s="34">
        <v>3.0454781379272982</v>
      </c>
      <c r="AB39" s="34">
        <v>1.7578941078298004E-2</v>
      </c>
      <c r="AC39" s="34">
        <v>0.24178270647531022</v>
      </c>
    </row>
    <row r="40" spans="2:29" x14ac:dyDescent="0.15">
      <c r="D40" s="34">
        <v>6.8756671932800245E-2</v>
      </c>
      <c r="K40" s="34">
        <v>5</v>
      </c>
      <c r="L40" s="34">
        <v>5.2262470957212845E-4</v>
      </c>
      <c r="M40" s="34">
        <v>6.5383451327585446E-5</v>
      </c>
      <c r="U40" s="34">
        <v>3.6669438841915145E-3</v>
      </c>
      <c r="V40" s="34">
        <v>3.7322452156873832E-5</v>
      </c>
      <c r="W40" s="34">
        <v>5.217828349679041E-4</v>
      </c>
      <c r="X40" s="34">
        <v>3.7568364117689097E-3</v>
      </c>
      <c r="Y40" s="34">
        <v>3.7932552020414333E-5</v>
      </c>
      <c r="Z40" s="34">
        <v>5.2245593573407747E-4</v>
      </c>
      <c r="AA40" s="34">
        <v>3.7616827372853579E-3</v>
      </c>
      <c r="AB40" s="34">
        <v>3.7997709222306218E-5</v>
      </c>
      <c r="AC40" s="34">
        <v>5.2262470957212845E-4</v>
      </c>
    </row>
    <row r="41" spans="2:29" x14ac:dyDescent="0.15">
      <c r="W41" s="34">
        <v>25.905003993759006</v>
      </c>
      <c r="Z41" s="34">
        <v>25.984751881756903</v>
      </c>
      <c r="AC41" s="34">
        <v>25.992294907246645</v>
      </c>
    </row>
    <row r="42" spans="2:29" x14ac:dyDescent="0.15">
      <c r="W42" s="34">
        <v>356.26000930431564</v>
      </c>
      <c r="Z42" s="34">
        <v>357.34489034698345</v>
      </c>
      <c r="AC42" s="34">
        <v>357.44853448151298</v>
      </c>
    </row>
    <row r="43" spans="2:29" x14ac:dyDescent="0.15">
      <c r="W43" s="34">
        <v>1.694291590611632</v>
      </c>
      <c r="Z43" s="34">
        <v>1.6943196975436414</v>
      </c>
      <c r="AC43" s="34">
        <v>1.6943199068202519</v>
      </c>
    </row>
    <row r="44" spans="2:29" x14ac:dyDescent="0.15">
      <c r="B44" s="34">
        <v>1.7600000000000002</v>
      </c>
      <c r="C44" s="34">
        <v>78</v>
      </c>
      <c r="D44" s="34">
        <v>0.191</v>
      </c>
      <c r="E44" s="34">
        <v>0.22700000000000001</v>
      </c>
      <c r="F44" s="34">
        <v>1.83</v>
      </c>
      <c r="G44" s="34">
        <v>0.79500000000000004</v>
      </c>
      <c r="H44" s="34">
        <v>0.65100000000000002</v>
      </c>
      <c r="I44" s="34">
        <v>1.5390000343322754</v>
      </c>
      <c r="J44" s="34">
        <v>0.5130000114440918</v>
      </c>
      <c r="K44" s="34">
        <v>1</v>
      </c>
      <c r="L44" s="34">
        <v>1</v>
      </c>
      <c r="M44" s="34">
        <v>0.12140635178116985</v>
      </c>
      <c r="N44" s="34">
        <v>5.2300789831805051E-4</v>
      </c>
      <c r="O44" s="34">
        <v>0.65002691965596027</v>
      </c>
      <c r="P44" s="34">
        <v>9.1530868814985553E-2</v>
      </c>
      <c r="Q44" s="34">
        <v>1.9607172237793482E-2</v>
      </c>
      <c r="U44" s="34">
        <v>4.8000000000000007</v>
      </c>
      <c r="V44" s="34">
        <v>7.1185513363006492E-2</v>
      </c>
      <c r="W44" s="34">
        <v>1</v>
      </c>
      <c r="X44" s="34">
        <v>4.8000000000000007</v>
      </c>
      <c r="Y44" s="34">
        <v>7.169609194548851E-2</v>
      </c>
      <c r="Z44" s="34">
        <v>1</v>
      </c>
      <c r="AA44" s="34">
        <v>4.8000000000000007</v>
      </c>
      <c r="AB44" s="34">
        <v>7.1743709299888991E-2</v>
      </c>
      <c r="AC44" s="34">
        <v>1</v>
      </c>
    </row>
    <row r="45" spans="2:29" x14ac:dyDescent="0.15">
      <c r="K45" s="34">
        <v>2</v>
      </c>
      <c r="L45" s="34">
        <v>0.96023465704705957</v>
      </c>
      <c r="M45" s="34">
        <v>0.1165785865659263</v>
      </c>
      <c r="N45" s="34">
        <v>1.6192692629759882E-3</v>
      </c>
      <c r="O45" s="34">
        <v>0.42801791876121759</v>
      </c>
      <c r="P45" s="34">
        <v>0.14967442420415958</v>
      </c>
      <c r="Q45" s="34">
        <v>0.38047974150200531</v>
      </c>
      <c r="U45" s="34">
        <v>13.217618175337078</v>
      </c>
      <c r="V45" s="34">
        <v>6.8332600157980344E-2</v>
      </c>
      <c r="W45" s="34">
        <v>0.95992284005204997</v>
      </c>
      <c r="X45" s="34">
        <v>13.24693519271829</v>
      </c>
      <c r="Y45" s="34">
        <v>6.8843178740462363E-2</v>
      </c>
      <c r="Z45" s="34">
        <v>0.96020824667549165</v>
      </c>
      <c r="AA45" s="34">
        <v>13.250873804121785</v>
      </c>
      <c r="AB45" s="34">
        <v>6.8890796094862844E-2</v>
      </c>
      <c r="AC45" s="34">
        <v>0.96023465704705957</v>
      </c>
    </row>
    <row r="46" spans="2:29" x14ac:dyDescent="0.15">
      <c r="D46" s="34">
        <v>10.783988952636719</v>
      </c>
      <c r="K46" s="34">
        <v>3</v>
      </c>
      <c r="L46" s="34">
        <v>0.75504082287339302</v>
      </c>
      <c r="M46" s="34">
        <v>9.1666751750911102E-2</v>
      </c>
      <c r="N46" s="34">
        <v>6.8095253050220505E-3</v>
      </c>
      <c r="O46" s="34">
        <v>0.11409522164475745</v>
      </c>
      <c r="P46" s="34">
        <v>0.25042857591506618</v>
      </c>
      <c r="Q46" s="34">
        <v>1.538179737843127</v>
      </c>
      <c r="U46" s="34">
        <v>10.595325439812207</v>
      </c>
      <c r="V46" s="34">
        <v>5.3638354953947184E-2</v>
      </c>
      <c r="W46" s="34">
        <v>0.75350099226539857</v>
      </c>
      <c r="X46" s="34">
        <v>10.850414288621741</v>
      </c>
      <c r="Y46" s="34">
        <v>5.4125024080814252E-2</v>
      </c>
      <c r="Z46" s="34">
        <v>0.75492293390225829</v>
      </c>
      <c r="AA46" s="34">
        <v>10.87089024819252</v>
      </c>
      <c r="AB46" s="34">
        <v>5.4169429305777686E-2</v>
      </c>
      <c r="AC46" s="34">
        <v>0.75504082287339302</v>
      </c>
    </row>
    <row r="47" spans="2:29" x14ac:dyDescent="0.15">
      <c r="D47" s="34">
        <v>0.18850683112897273</v>
      </c>
      <c r="K47" s="34">
        <v>4</v>
      </c>
      <c r="L47" s="34">
        <v>0.23729891118956653</v>
      </c>
      <c r="M47" s="34">
        <v>2.8809595089169096E-2</v>
      </c>
      <c r="N47" s="34">
        <v>2.3355126592675534E-3</v>
      </c>
      <c r="O47" s="34">
        <v>0.21423090501442499</v>
      </c>
      <c r="P47" s="34">
        <v>0.22236166457047821</v>
      </c>
      <c r="Q47" s="34">
        <v>0.77612665685258697</v>
      </c>
      <c r="U47" s="34">
        <v>3.0464621015889093</v>
      </c>
      <c r="V47" s="34">
        <v>1.6890253214858344E-2</v>
      </c>
      <c r="W47" s="34">
        <v>0.23727093360593546</v>
      </c>
      <c r="X47" s="34">
        <v>2.9896137634347872</v>
      </c>
      <c r="Y47" s="34">
        <v>1.7011654935248661E-2</v>
      </c>
      <c r="Z47" s="34">
        <v>0.23727450790738841</v>
      </c>
      <c r="AA47" s="34">
        <v>2.9896587996330943</v>
      </c>
      <c r="AB47" s="34">
        <v>1.7024704101564436E-2</v>
      </c>
      <c r="AC47" s="34">
        <v>0.23729891118956653</v>
      </c>
    </row>
    <row r="48" spans="2:29" x14ac:dyDescent="0.15">
      <c r="D48" s="34">
        <v>6.7100479347802888E-2</v>
      </c>
      <c r="K48" s="34">
        <v>5</v>
      </c>
      <c r="L48" s="34">
        <v>5.3394157087156271E-4</v>
      </c>
      <c r="M48" s="34">
        <v>6.4823898183823377E-5</v>
      </c>
      <c r="U48" s="34">
        <v>3.7628979089193251E-3</v>
      </c>
      <c r="V48" s="34">
        <v>3.8004362820301808E-5</v>
      </c>
      <c r="W48" s="34">
        <v>5.3387776564173543E-4</v>
      </c>
      <c r="X48" s="34">
        <v>3.8439199126204951E-3</v>
      </c>
      <c r="Y48" s="34">
        <v>3.827759062491318E-5</v>
      </c>
      <c r="Z48" s="34">
        <v>5.3388670966914259E-4</v>
      </c>
      <c r="AA48" s="34">
        <v>3.8439843096178265E-3</v>
      </c>
      <c r="AB48" s="34">
        <v>3.830694884373547E-5</v>
      </c>
      <c r="AC48" s="34">
        <v>5.3394157087156271E-4</v>
      </c>
    </row>
    <row r="49" spans="2:29" x14ac:dyDescent="0.15">
      <c r="W49" s="34">
        <v>26.401184086101427</v>
      </c>
      <c r="Z49" s="34">
        <v>26.439654535415002</v>
      </c>
      <c r="AC49" s="34">
        <v>26.443063705203908</v>
      </c>
    </row>
    <row r="50" spans="2:29" x14ac:dyDescent="0.15">
      <c r="W50" s="34">
        <v>367.97209672602366</v>
      </c>
      <c r="Z50" s="34">
        <v>368.50496424675293</v>
      </c>
      <c r="AC50" s="34">
        <v>368.55246048055596</v>
      </c>
    </row>
    <row r="51" spans="2:29" x14ac:dyDescent="0.15">
      <c r="W51" s="34">
        <v>1.6830000151450535</v>
      </c>
      <c r="Z51" s="34">
        <v>1.6830076022665283</v>
      </c>
      <c r="AC51" s="34">
        <v>1.6830076464797354</v>
      </c>
    </row>
    <row r="52" spans="2:29" x14ac:dyDescent="0.15">
      <c r="B52" s="34">
        <v>1.7600000000000002</v>
      </c>
      <c r="C52" s="34">
        <v>79.3</v>
      </c>
      <c r="D52" s="34">
        <v>0.19400000000000001</v>
      </c>
      <c r="E52" s="34">
        <v>0.22700000000000001</v>
      </c>
      <c r="F52" s="34">
        <v>1.8169999999999999</v>
      </c>
      <c r="G52" s="34">
        <v>0.79100000000000004</v>
      </c>
      <c r="H52" s="34">
        <v>0.64800000000000002</v>
      </c>
      <c r="I52" s="34">
        <v>1.5130000114440918</v>
      </c>
      <c r="J52" s="34">
        <v>0.50400000810623169</v>
      </c>
      <c r="K52" s="34">
        <v>1</v>
      </c>
      <c r="L52" s="34">
        <v>1</v>
      </c>
      <c r="M52" s="34">
        <v>0.11929945688060999</v>
      </c>
      <c r="N52" s="34">
        <v>5.0374432387914755E-4</v>
      </c>
      <c r="O52" s="34">
        <v>0.65753971368713249</v>
      </c>
      <c r="P52" s="34">
        <v>8.941187562670623E-2</v>
      </c>
      <c r="Q52" s="34">
        <v>1.8739853775179574E-2</v>
      </c>
      <c r="U52" s="34">
        <v>4.8000000000000007</v>
      </c>
      <c r="V52" s="34">
        <v>7.0779912764546149E-2</v>
      </c>
      <c r="W52" s="34">
        <v>1</v>
      </c>
      <c r="X52" s="34">
        <v>4.8000000000000007</v>
      </c>
      <c r="Y52" s="34">
        <v>7.104467987349801E-2</v>
      </c>
      <c r="Z52" s="34">
        <v>1</v>
      </c>
    </row>
    <row r="53" spans="2:29" x14ac:dyDescent="0.15">
      <c r="K53" s="34">
        <v>2</v>
      </c>
      <c r="L53" s="34">
        <v>0.96102289376143801</v>
      </c>
      <c r="M53" s="34">
        <v>0.1146495092755717</v>
      </c>
      <c r="N53" s="34">
        <v>1.513977223460842E-3</v>
      </c>
      <c r="O53" s="34">
        <v>0.44212705205624719</v>
      </c>
      <c r="P53" s="34">
        <v>0.14598920282112948</v>
      </c>
      <c r="Q53" s="34">
        <v>0.35318571921673103</v>
      </c>
      <c r="U53" s="34">
        <v>13.251238267249423</v>
      </c>
      <c r="V53" s="34">
        <v>6.8010796729432194E-2</v>
      </c>
      <c r="W53" s="34">
        <v>0.96087709172056213</v>
      </c>
      <c r="X53" s="34">
        <v>13.260103865743758</v>
      </c>
      <c r="Y53" s="34">
        <v>6.8275563838384054E-2</v>
      </c>
      <c r="Z53" s="34">
        <v>0.96102289376143801</v>
      </c>
    </row>
    <row r="54" spans="2:29" x14ac:dyDescent="0.15">
      <c r="D54" s="34">
        <v>11.053760528564453</v>
      </c>
      <c r="K54" s="34">
        <v>3</v>
      </c>
      <c r="L54" s="34">
        <v>0.76578346943344133</v>
      </c>
      <c r="M54" s="34">
        <v>9.1357551991558747E-2</v>
      </c>
      <c r="N54" s="34">
        <v>6.8680705082008317E-3</v>
      </c>
      <c r="O54" s="34">
        <v>0.11345122440979086</v>
      </c>
      <c r="P54" s="34">
        <v>0.25060421152460249</v>
      </c>
      <c r="Q54" s="34">
        <v>1.5476990322883819</v>
      </c>
      <c r="U54" s="34">
        <v>10.87258784937686</v>
      </c>
      <c r="V54" s="34">
        <v>5.4146883385199615E-2</v>
      </c>
      <c r="W54" s="34">
        <v>0.76500353377550268</v>
      </c>
      <c r="X54" s="34">
        <v>11.016050886367239</v>
      </c>
      <c r="Y54" s="34">
        <v>5.440484143831549E-2</v>
      </c>
      <c r="Z54" s="34">
        <v>0.76578346943344133</v>
      </c>
    </row>
    <row r="55" spans="2:29" x14ac:dyDescent="0.15">
      <c r="D55" s="34">
        <v>0.18541991761452328</v>
      </c>
      <c r="K55" s="34">
        <v>4</v>
      </c>
      <c r="L55" s="34">
        <v>0.23436802480740648</v>
      </c>
      <c r="M55" s="34">
        <v>2.7959978069704922E-2</v>
      </c>
      <c r="N55" s="34">
        <v>2.2665024060591166E-3</v>
      </c>
      <c r="O55" s="34">
        <v>0.21747438691522153</v>
      </c>
      <c r="P55" s="34">
        <v>0.22146453127876853</v>
      </c>
      <c r="Q55" s="34">
        <v>0.75017099059397707</v>
      </c>
      <c r="U55" s="34">
        <v>2.9899662809885386</v>
      </c>
      <c r="V55" s="34">
        <v>1.659043596704269E-2</v>
      </c>
      <c r="W55" s="34">
        <v>0.23439469362207074</v>
      </c>
      <c r="X55" s="34">
        <v>2.9533731396380918</v>
      </c>
      <c r="Y55" s="34">
        <v>1.6650601295026234E-2</v>
      </c>
      <c r="Z55" s="34">
        <v>0.23436802480740648</v>
      </c>
    </row>
    <row r="56" spans="2:29" x14ac:dyDescent="0.15">
      <c r="D56" s="34">
        <v>6.6120460733913297E-2</v>
      </c>
      <c r="K56" s="34">
        <v>5</v>
      </c>
      <c r="L56" s="34">
        <v>5.4119141002997742E-4</v>
      </c>
      <c r="M56" s="34">
        <v>6.4563841285027805E-5</v>
      </c>
      <c r="U56" s="34">
        <v>3.8443793102752514E-3</v>
      </c>
      <c r="V56" s="34">
        <v>3.830979341327646E-5</v>
      </c>
      <c r="W56" s="34">
        <v>5.412523400631533E-4</v>
      </c>
      <c r="X56" s="34">
        <v>3.8970168484547037E-3</v>
      </c>
      <c r="Y56" s="34">
        <v>3.8448770475866743E-5</v>
      </c>
      <c r="Z56" s="34">
        <v>5.4119141002997742E-4</v>
      </c>
    </row>
    <row r="57" spans="2:29" x14ac:dyDescent="0.15">
      <c r="W57" s="34">
        <v>26.660904996236752</v>
      </c>
      <c r="Z57" s="34">
        <v>26.681806853883462</v>
      </c>
    </row>
    <row r="58" spans="2:29" x14ac:dyDescent="0.15">
      <c r="W58" s="34">
        <v>375.1230074873547</v>
      </c>
      <c r="Z58" s="34">
        <v>375.4160244215791</v>
      </c>
    </row>
    <row r="59" spans="2:29" x14ac:dyDescent="0.15">
      <c r="W59" s="34">
        <v>1.6750603312517096</v>
      </c>
      <c r="Z59" s="34">
        <v>1.6750627303948247</v>
      </c>
    </row>
    <row r="60" spans="2:29" x14ac:dyDescent="0.15">
      <c r="B60" s="34">
        <v>1.7600000000000002</v>
      </c>
      <c r="C60" s="34">
        <v>80</v>
      </c>
      <c r="D60" s="34">
        <v>0.19600000000000001</v>
      </c>
      <c r="E60" s="34">
        <v>0.22700000000000001</v>
      </c>
      <c r="F60" s="34">
        <v>1.8089999999999999</v>
      </c>
      <c r="G60" s="34">
        <v>0.78900000000000003</v>
      </c>
      <c r="H60" s="34">
        <v>0.64600000000000002</v>
      </c>
      <c r="I60" s="34">
        <v>1.5</v>
      </c>
      <c r="J60" s="34">
        <v>0.5</v>
      </c>
      <c r="K60" s="34">
        <v>1</v>
      </c>
      <c r="L60" s="34">
        <v>1</v>
      </c>
      <c r="M60" s="34">
        <v>0.11814224861493774</v>
      </c>
      <c r="N60" s="34">
        <v>4.956287216314277E-4</v>
      </c>
      <c r="O60" s="34">
        <v>0.66105450083322903</v>
      </c>
      <c r="P60" s="34">
        <v>8.847544659577132E-2</v>
      </c>
      <c r="Q60" s="34">
        <v>1.8350565144170508E-2</v>
      </c>
      <c r="U60" s="34">
        <v>4.8000000000000007</v>
      </c>
      <c r="V60" s="34">
        <v>7.0562349053460816E-2</v>
      </c>
      <c r="W60" s="34">
        <v>1</v>
      </c>
      <c r="X60" s="34">
        <v>4.8000000000000007</v>
      </c>
      <c r="Y60" s="34">
        <v>7.069055588214411E-2</v>
      </c>
      <c r="Z60" s="34">
        <v>1</v>
      </c>
    </row>
    <row r="61" spans="2:29" x14ac:dyDescent="0.15">
      <c r="K61" s="34">
        <v>2</v>
      </c>
      <c r="L61" s="34">
        <v>0.96127520504174313</v>
      </c>
      <c r="M61" s="34">
        <v>0.11356721426141687</v>
      </c>
      <c r="N61" s="34">
        <v>1.4590826944321626E-3</v>
      </c>
      <c r="O61" s="34">
        <v>0.44948291894609022</v>
      </c>
      <c r="P61" s="34">
        <v>0.1440678943051257</v>
      </c>
      <c r="Q61" s="34">
        <v>0.33885149206304899</v>
      </c>
      <c r="U61" s="34">
        <v>13.262115933907845</v>
      </c>
      <c r="V61" s="34">
        <v>6.7824871771439588E-2</v>
      </c>
      <c r="W61" s="34">
        <v>0.96120484481111579</v>
      </c>
      <c r="X61" s="34">
        <v>13.264626858393399</v>
      </c>
      <c r="Y61" s="34">
        <v>6.7953078600122882E-2</v>
      </c>
      <c r="Z61" s="34">
        <v>0.96127520504174313</v>
      </c>
    </row>
    <row r="62" spans="2:29" x14ac:dyDescent="0.15">
      <c r="D62" s="34">
        <v>11.198359489440918</v>
      </c>
      <c r="K62" s="34">
        <v>3</v>
      </c>
      <c r="L62" s="34">
        <v>0.77127182918464188</v>
      </c>
      <c r="M62" s="34">
        <v>9.1119788193229759E-2</v>
      </c>
      <c r="N62" s="34">
        <v>6.8954082819646257E-3</v>
      </c>
      <c r="O62" s="34">
        <v>0.11315050889838912</v>
      </c>
      <c r="P62" s="34">
        <v>0.25068622484589387</v>
      </c>
      <c r="Q62" s="34">
        <v>1.5512390335366428</v>
      </c>
      <c r="U62" s="34">
        <v>11.027281959841556</v>
      </c>
      <c r="V62" s="34">
        <v>5.4395294439763223E-2</v>
      </c>
      <c r="W62" s="34">
        <v>0.7708827040118974</v>
      </c>
      <c r="X62" s="34">
        <v>11.100710937771323</v>
      </c>
      <c r="Y62" s="34">
        <v>5.4521634341300432E-2</v>
      </c>
      <c r="Z62" s="34">
        <v>0.77127182918464188</v>
      </c>
    </row>
    <row r="63" spans="2:29" x14ac:dyDescent="0.15">
      <c r="D63" s="34">
        <v>0.1837615663298128</v>
      </c>
      <c r="K63" s="34">
        <v>4</v>
      </c>
      <c r="L63" s="34">
        <v>0.23251517482126299</v>
      </c>
      <c r="M63" s="34">
        <v>2.7469865590479366E-2</v>
      </c>
      <c r="N63" s="34">
        <v>2.2266948708164025E-3</v>
      </c>
      <c r="O63" s="34">
        <v>0.21934534107162909</v>
      </c>
      <c r="P63" s="34">
        <v>0.22094703332061325</v>
      </c>
      <c r="Q63" s="34">
        <v>0.73501348522747767</v>
      </c>
      <c r="U63" s="34">
        <v>2.9530371125733219</v>
      </c>
      <c r="V63" s="34">
        <v>1.640945174976453E-2</v>
      </c>
      <c r="W63" s="34">
        <v>0.23255251518528788</v>
      </c>
      <c r="X63" s="34">
        <v>2.9301616913346278</v>
      </c>
      <c r="Y63" s="34">
        <v>1.6436626959148999E-2</v>
      </c>
      <c r="Z63" s="34">
        <v>0.23251517482126299</v>
      </c>
    </row>
    <row r="64" spans="2:29" x14ac:dyDescent="0.15">
      <c r="D64" s="34">
        <v>6.5619317714875058E-2</v>
      </c>
      <c r="K64" s="34">
        <v>5</v>
      </c>
      <c r="L64" s="34">
        <v>5.4502312347447864E-4</v>
      </c>
      <c r="M64" s="34">
        <v>6.4390257354411773E-5</v>
      </c>
      <c r="U64" s="34">
        <v>3.8965781522158375E-3</v>
      </c>
      <c r="V64" s="34">
        <v>3.8464261976380107E-5</v>
      </c>
      <c r="W64" s="34">
        <v>5.4511028179118676E-4</v>
      </c>
      <c r="X64" s="34">
        <v>3.9247940288965446E-3</v>
      </c>
      <c r="Y64" s="34">
        <v>3.8527987567033364E-5</v>
      </c>
      <c r="Z64" s="34">
        <v>5.4502312347447864E-4</v>
      </c>
    </row>
    <row r="65" spans="2:26" x14ac:dyDescent="0.15">
      <c r="W65" s="34">
        <v>26.788788275728017</v>
      </c>
      <c r="Z65" s="34">
        <v>26.799077451278805</v>
      </c>
    </row>
    <row r="66" spans="2:26" x14ac:dyDescent="0.15">
      <c r="W66" s="34">
        <v>378.88546335678984</v>
      </c>
      <c r="Z66" s="34">
        <v>379.03069647680513</v>
      </c>
    </row>
    <row r="67" spans="2:26" x14ac:dyDescent="0.15">
      <c r="W67" s="34">
        <v>1.6707152020164149</v>
      </c>
      <c r="Z67" s="34">
        <v>1.6707158437063205</v>
      </c>
    </row>
    <row r="68" spans="2:26" x14ac:dyDescent="0.15">
      <c r="B68" s="34">
        <v>1.7600000000000002</v>
      </c>
      <c r="C68" s="34">
        <v>80.400000000000006</v>
      </c>
      <c r="D68" s="34">
        <v>0.19600000000000001</v>
      </c>
      <c r="E68" s="34">
        <v>0.22800000000000001</v>
      </c>
      <c r="F68" s="34">
        <v>1.806</v>
      </c>
      <c r="G68" s="34">
        <v>0.78800000000000003</v>
      </c>
      <c r="H68" s="34">
        <v>0.64500000000000002</v>
      </c>
      <c r="I68" s="34">
        <v>1.4930000305175781</v>
      </c>
      <c r="J68" s="34">
        <v>0.49799999594688416</v>
      </c>
      <c r="K68" s="34">
        <v>1</v>
      </c>
      <c r="L68" s="34">
        <v>1</v>
      </c>
      <c r="M68" s="34">
        <v>0.11753224471484219</v>
      </c>
      <c r="N68" s="34">
        <v>4.9184392800743885E-4</v>
      </c>
      <c r="O68" s="34">
        <v>0.66283335383650377</v>
      </c>
      <c r="P68" s="34">
        <v>8.8021271360892661E-2</v>
      </c>
      <c r="Q68" s="34">
        <v>1.8167970626536051E-2</v>
      </c>
      <c r="U68" s="34">
        <v>4.8000000000000007</v>
      </c>
      <c r="V68" s="34">
        <v>7.0429957080285308E-2</v>
      </c>
      <c r="W68" s="34">
        <v>1</v>
      </c>
      <c r="X68" s="34">
        <v>4.8000000000000007</v>
      </c>
      <c r="Y68" s="34">
        <v>7.0489926704472808E-2</v>
      </c>
      <c r="Z68" s="34">
        <v>1</v>
      </c>
    </row>
    <row r="69" spans="2:26" x14ac:dyDescent="0.15">
      <c r="K69" s="34">
        <v>2</v>
      </c>
      <c r="L69" s="34">
        <v>0.96137147037387938</v>
      </c>
      <c r="M69" s="34">
        <v>0.11299214691785045</v>
      </c>
      <c r="N69" s="34">
        <v>1.4320042007351134E-3</v>
      </c>
      <c r="O69" s="34">
        <v>0.45311143710149482</v>
      </c>
      <c r="P69" s="34">
        <v>0.14312014702572898</v>
      </c>
      <c r="Q69" s="34">
        <v>0.3318213127951079</v>
      </c>
      <c r="U69" s="34">
        <v>13.265597829576055</v>
      </c>
      <c r="V69" s="34">
        <v>6.7707034858238507E-2</v>
      </c>
      <c r="W69" s="34">
        <v>0.96133857899497432</v>
      </c>
      <c r="X69" s="34">
        <v>13.266472390130646</v>
      </c>
      <c r="Y69" s="34">
        <v>6.7767004482426008E-2</v>
      </c>
      <c r="Z69" s="34">
        <v>0.96137147037387938</v>
      </c>
    </row>
    <row r="70" spans="2:26" x14ac:dyDescent="0.15">
      <c r="D70" s="34">
        <v>11.274616241455078</v>
      </c>
      <c r="K70" s="34">
        <v>3</v>
      </c>
      <c r="L70" s="34">
        <v>0.77392645125666015</v>
      </c>
      <c r="M70" s="34">
        <v>9.0961313060387169E-2</v>
      </c>
      <c r="N70" s="34">
        <v>6.9077903628135496E-3</v>
      </c>
      <c r="O70" s="34">
        <v>0.11301430600905096</v>
      </c>
      <c r="P70" s="34">
        <v>0.25072337108844067</v>
      </c>
      <c r="Q70" s="34">
        <v>1.5526886361982291</v>
      </c>
      <c r="U70" s="34">
        <v>11.106314340258843</v>
      </c>
      <c r="V70" s="34">
        <v>5.4494688812849475E-2</v>
      </c>
      <c r="W70" s="34">
        <v>0.77374303594604321</v>
      </c>
      <c r="X70" s="34">
        <v>11.141899717623023</v>
      </c>
      <c r="Y70" s="34">
        <v>5.4554018823734722E-2</v>
      </c>
      <c r="Z70" s="34">
        <v>0.77392645125666015</v>
      </c>
    </row>
    <row r="71" spans="2:26" x14ac:dyDescent="0.15">
      <c r="D71" s="34">
        <v>0.18289260193058307</v>
      </c>
      <c r="K71" s="34">
        <v>4</v>
      </c>
      <c r="L71" s="34">
        <v>0.23140113075105029</v>
      </c>
      <c r="M71" s="34">
        <v>2.7197094326723639E-2</v>
      </c>
      <c r="N71" s="34">
        <v>2.2045396974372106E-3</v>
      </c>
      <c r="O71" s="34">
        <v>0.2203866342204511</v>
      </c>
      <c r="P71" s="34">
        <v>0.22065901606668373</v>
      </c>
      <c r="Q71" s="34">
        <v>0.7266579613461821</v>
      </c>
      <c r="U71" s="34">
        <v>2.9296912027479141</v>
      </c>
      <c r="V71" s="34">
        <v>1.6299855792317956E-2</v>
      </c>
      <c r="W71" s="34">
        <v>0.23143356134289905</v>
      </c>
      <c r="X71" s="34">
        <v>2.9160628729205285</v>
      </c>
      <c r="Y71" s="34">
        <v>1.6311448745973664E-2</v>
      </c>
      <c r="Z71" s="34">
        <v>0.23140113075105029</v>
      </c>
    </row>
    <row r="72" spans="2:26" x14ac:dyDescent="0.15">
      <c r="D72" s="34">
        <v>6.5360357215740877E-2</v>
      </c>
      <c r="K72" s="34">
        <v>5</v>
      </c>
      <c r="L72" s="34">
        <v>5.4706732377447222E-4</v>
      </c>
      <c r="M72" s="34">
        <v>6.4298050573355074E-5</v>
      </c>
      <c r="U72" s="34">
        <v>3.9241664890162465E-3</v>
      </c>
      <c r="V72" s="34">
        <v>3.8535313126167854E-5</v>
      </c>
      <c r="W72" s="34">
        <v>5.4714378261284816E-4</v>
      </c>
      <c r="X72" s="34">
        <v>3.9394352348125069E-3</v>
      </c>
      <c r="Y72" s="34">
        <v>3.8562735555274642E-5</v>
      </c>
      <c r="Z72" s="34">
        <v>5.4706732377447222E-4</v>
      </c>
    </row>
    <row r="73" spans="2:26" x14ac:dyDescent="0.15">
      <c r="W73" s="34">
        <v>26.849416000741559</v>
      </c>
      <c r="Z73" s="34">
        <v>26.854187268599222</v>
      </c>
    </row>
    <row r="74" spans="2:26" x14ac:dyDescent="0.15">
      <c r="W74" s="34">
        <v>380.86284370726571</v>
      </c>
      <c r="Z74" s="34">
        <v>380.93045328790231</v>
      </c>
    </row>
    <row r="75" spans="2:26" x14ac:dyDescent="0.15">
      <c r="W75" s="34">
        <v>1.6682570928590554</v>
      </c>
      <c r="Z75" s="34">
        <v>1.6682572495177552</v>
      </c>
    </row>
    <row r="76" spans="2:26" x14ac:dyDescent="0.15">
      <c r="B76" s="34">
        <v>1.7600000000000002</v>
      </c>
      <c r="C76" s="34">
        <v>80.599999999999994</v>
      </c>
      <c r="D76" s="34">
        <v>0.19700000000000001</v>
      </c>
      <c r="E76" s="34">
        <v>0.22800000000000001</v>
      </c>
      <c r="F76" s="34">
        <v>1.804</v>
      </c>
      <c r="G76" s="34">
        <v>0.78800000000000003</v>
      </c>
      <c r="H76" s="34">
        <v>0.64500000000000002</v>
      </c>
      <c r="I76" s="34">
        <v>1.4889999628067017</v>
      </c>
      <c r="J76" s="34">
        <v>0.49599999189376831</v>
      </c>
      <c r="K76" s="34">
        <v>1</v>
      </c>
      <c r="L76" s="34">
        <v>1</v>
      </c>
      <c r="M76" s="34">
        <v>0.11722512783037804</v>
      </c>
      <c r="N76" s="34">
        <v>4.900125128699175E-4</v>
      </c>
      <c r="O76" s="34">
        <v>0.66369411895113883</v>
      </c>
      <c r="P76" s="34">
        <v>8.7801501544390093E-2</v>
      </c>
      <c r="Q76" s="34">
        <v>1.8081448493653032E-2</v>
      </c>
      <c r="U76" s="34">
        <v>4.8000000000000007</v>
      </c>
      <c r="V76" s="34">
        <v>7.0351755572894997E-2</v>
      </c>
      <c r="W76" s="34">
        <v>1</v>
      </c>
      <c r="X76" s="34">
        <v>4.8000000000000007</v>
      </c>
      <c r="Y76" s="34">
        <v>7.0379112970004265E-2</v>
      </c>
      <c r="Z76" s="34">
        <v>1</v>
      </c>
    </row>
    <row r="77" spans="2:26" x14ac:dyDescent="0.15">
      <c r="K77" s="34">
        <v>2</v>
      </c>
      <c r="L77" s="34">
        <v>0.96141448074992508</v>
      </c>
      <c r="M77" s="34">
        <v>0.1127019354038865</v>
      </c>
      <c r="N77" s="34">
        <v>1.4191216051512416E-3</v>
      </c>
      <c r="O77" s="34">
        <v>0.45483770490973363</v>
      </c>
      <c r="P77" s="34">
        <v>0.14266925618029347</v>
      </c>
      <c r="Q77" s="34">
        <v>0.32850860430442336</v>
      </c>
      <c r="U77" s="34">
        <v>13.266926291159535</v>
      </c>
      <c r="V77" s="34">
        <v>6.7636140954587698E-2</v>
      </c>
      <c r="W77" s="34">
        <v>0.96139947615815335</v>
      </c>
      <c r="X77" s="34">
        <v>13.267312770982517</v>
      </c>
      <c r="Y77" s="34">
        <v>6.7663498351696966E-2</v>
      </c>
      <c r="Z77" s="34">
        <v>0.96141448074992508</v>
      </c>
    </row>
    <row r="78" spans="2:26" x14ac:dyDescent="0.15">
      <c r="D78" s="34">
        <v>11.313694000244141</v>
      </c>
      <c r="K78" s="34">
        <v>3</v>
      </c>
      <c r="L78" s="34">
        <v>0.77516908709301924</v>
      </c>
      <c r="M78" s="34">
        <v>9.0869295324636626E-2</v>
      </c>
      <c r="N78" s="34">
        <v>6.9136764876515993E-3</v>
      </c>
      <c r="O78" s="34">
        <v>0.11294955863583241</v>
      </c>
      <c r="P78" s="34">
        <v>0.25074102946295479</v>
      </c>
      <c r="Q78" s="34">
        <v>1.5534636464897444</v>
      </c>
      <c r="U78" s="34">
        <v>11.144540898095906</v>
      </c>
      <c r="V78" s="34">
        <v>5.4528635744311375E-2</v>
      </c>
      <c r="W78" s="34">
        <v>0.77508564356736642</v>
      </c>
      <c r="X78" s="34">
        <v>11.161233267370077</v>
      </c>
      <c r="Y78" s="34">
        <v>5.4555712751374677E-2</v>
      </c>
      <c r="Z78" s="34">
        <v>0.77516908709301924</v>
      </c>
    </row>
    <row r="79" spans="2:26" x14ac:dyDescent="0.15">
      <c r="D79" s="34">
        <v>0.18245329726303131</v>
      </c>
      <c r="K79" s="34">
        <v>4</v>
      </c>
      <c r="L79" s="34">
        <v>0.23075891348202526</v>
      </c>
      <c r="M79" s="34">
        <v>2.7050743130929557E-2</v>
      </c>
      <c r="N79" s="34">
        <v>2.1926521650780613E-3</v>
      </c>
      <c r="O79" s="34">
        <v>0.22094534824133114</v>
      </c>
      <c r="P79" s="34">
        <v>0.22050447814601479</v>
      </c>
      <c r="Q79" s="34">
        <v>0.7222549235586212</v>
      </c>
      <c r="U79" s="34">
        <v>2.9156542474632339</v>
      </c>
      <c r="V79" s="34">
        <v>1.623591894881346E-2</v>
      </c>
      <c r="W79" s="34">
        <v>0.23078200133883806</v>
      </c>
      <c r="X79" s="34">
        <v>2.90785321686936</v>
      </c>
      <c r="Y79" s="34">
        <v>1.6240607640786896E-2</v>
      </c>
      <c r="Z79" s="34">
        <v>0.23075891348202526</v>
      </c>
    </row>
    <row r="80" spans="2:26" x14ac:dyDescent="0.15">
      <c r="D80" s="34">
        <v>6.5228169432653263E-2</v>
      </c>
      <c r="K80" s="34">
        <v>5</v>
      </c>
      <c r="L80" s="34">
        <v>5.4813286658467555E-4</v>
      </c>
      <c r="M80" s="34">
        <v>6.425494535342015E-5</v>
      </c>
      <c r="U80" s="34">
        <v>3.9388847311762005E-3</v>
      </c>
      <c r="V80" s="34">
        <v>3.8565959368087489E-5</v>
      </c>
      <c r="W80" s="34">
        <v>5.4818759040245067E-4</v>
      </c>
      <c r="X80" s="34">
        <v>3.9469506508976451E-3</v>
      </c>
      <c r="Y80" s="34">
        <v>3.8577104939935153E-5</v>
      </c>
      <c r="Z80" s="34">
        <v>5.4813286658467555E-4</v>
      </c>
    </row>
    <row r="81" spans="2:26" x14ac:dyDescent="0.15">
      <c r="W81" s="34">
        <v>26.877181566752061</v>
      </c>
      <c r="Z81" s="34">
        <v>26.879308210743645</v>
      </c>
    </row>
    <row r="82" spans="2:26" x14ac:dyDescent="0.15">
      <c r="W82" s="34">
        <v>381.8757637279723</v>
      </c>
      <c r="Z82" s="34">
        <v>381.90596269277285</v>
      </c>
    </row>
    <row r="83" spans="2:26" x14ac:dyDescent="0.15">
      <c r="W83" s="34">
        <v>1.666904332805931</v>
      </c>
      <c r="Z83" s="34">
        <v>1.6669043694045806</v>
      </c>
    </row>
    <row r="84" spans="2:26" x14ac:dyDescent="0.15">
      <c r="B84" s="34">
        <v>1.7600000000000002</v>
      </c>
      <c r="C84" s="34">
        <v>80.7</v>
      </c>
      <c r="D84" s="34">
        <v>0.19700000000000001</v>
      </c>
      <c r="E84" s="34">
        <v>0.22800000000000001</v>
      </c>
      <c r="F84" s="34">
        <v>1.8029999999999999</v>
      </c>
      <c r="G84" s="34">
        <v>0.78700000000000003</v>
      </c>
      <c r="H84" s="34">
        <v>0.64500000000000002</v>
      </c>
      <c r="I84" s="34">
        <v>1.4880000352859497</v>
      </c>
      <c r="J84" s="34">
        <v>0.49599999189376831</v>
      </c>
      <c r="K84" s="34">
        <v>1</v>
      </c>
      <c r="L84" s="34">
        <v>1</v>
      </c>
      <c r="M84" s="34">
        <v>0.11707555410824651</v>
      </c>
      <c r="N84" s="34">
        <v>4.8915277044689451E-4</v>
      </c>
      <c r="O84" s="34">
        <v>0.66409819788995961</v>
      </c>
      <c r="P84" s="34">
        <v>8.7698332453627334E-2</v>
      </c>
      <c r="Q84" s="34">
        <v>1.804145372160703E-2</v>
      </c>
      <c r="U84" s="34">
        <v>4.8000000000000007</v>
      </c>
      <c r="V84" s="34">
        <v>7.0309394144753179E-2</v>
      </c>
      <c r="W84" s="34">
        <v>1</v>
      </c>
      <c r="X84" s="34">
        <v>4.8000000000000007</v>
      </c>
      <c r="Y84" s="34">
        <v>7.0321536951180347E-2</v>
      </c>
      <c r="Z84" s="34">
        <v>1</v>
      </c>
    </row>
    <row r="85" spans="2:26" x14ac:dyDescent="0.15">
      <c r="K85" s="34">
        <v>2</v>
      </c>
      <c r="L85" s="34">
        <v>0.96143297055496346</v>
      </c>
      <c r="M85" s="34">
        <v>0.11256029776565979</v>
      </c>
      <c r="N85" s="34">
        <v>1.4131166335461126E-3</v>
      </c>
      <c r="O85" s="34">
        <v>0.45564237110482092</v>
      </c>
      <c r="P85" s="34">
        <v>0.14245908217411393</v>
      </c>
      <c r="Q85" s="34">
        <v>0.32697532269372642</v>
      </c>
      <c r="U85" s="34">
        <v>13.267519834348967</v>
      </c>
      <c r="V85" s="34">
        <v>6.7597301358536782E-2</v>
      </c>
      <c r="W85" s="34">
        <v>0.96142630982379496</v>
      </c>
      <c r="X85" s="34">
        <v>13.267683075568371</v>
      </c>
      <c r="Y85" s="34">
        <v>6.760944416496395E-2</v>
      </c>
      <c r="Z85" s="34">
        <v>0.96143297055496346</v>
      </c>
    </row>
    <row r="86" spans="2:26" x14ac:dyDescent="0.15">
      <c r="D86" s="34">
        <v>11.333022117614746</v>
      </c>
      <c r="K86" s="34">
        <v>3</v>
      </c>
      <c r="L86" s="34">
        <v>0.77573873176785779</v>
      </c>
      <c r="M86" s="34">
        <v>9.0820041864950365E-2</v>
      </c>
      <c r="N86" s="34">
        <v>6.9166555819620574E-3</v>
      </c>
      <c r="O86" s="34">
        <v>0.11291678859841738</v>
      </c>
      <c r="P86" s="34">
        <v>0.25074996674588618</v>
      </c>
      <c r="Q86" s="34">
        <v>1.5539119391090799</v>
      </c>
      <c r="U86" s="34">
        <v>11.162434854139477</v>
      </c>
      <c r="V86" s="34">
        <v>5.4539115065612362E-2</v>
      </c>
      <c r="W86" s="34">
        <v>0.77570167868787321</v>
      </c>
      <c r="X86" s="34">
        <v>11.170104173105374</v>
      </c>
      <c r="Y86" s="34">
        <v>5.4551139890475192E-2</v>
      </c>
      <c r="Z86" s="34">
        <v>0.77573873176785779</v>
      </c>
    </row>
    <row r="87" spans="2:26" x14ac:dyDescent="0.15">
      <c r="D87" s="34">
        <v>0.1822383122140479</v>
      </c>
      <c r="K87" s="34">
        <v>4</v>
      </c>
      <c r="L87" s="34">
        <v>0.23039814369964001</v>
      </c>
      <c r="M87" s="34">
        <v>2.6973990339146759E-2</v>
      </c>
      <c r="N87" s="34">
        <v>2.1864176469349504E-3</v>
      </c>
      <c r="O87" s="34">
        <v>0.22123837059405735</v>
      </c>
      <c r="P87" s="34">
        <v>0.22042342941015436</v>
      </c>
      <c r="Q87" s="34">
        <v>0.7199741185495343</v>
      </c>
      <c r="U87" s="34">
        <v>2.9075623098735188</v>
      </c>
      <c r="V87" s="34">
        <v>1.620020017959355E-2</v>
      </c>
      <c r="W87" s="34">
        <v>0.23041302484047199</v>
      </c>
      <c r="X87" s="34">
        <v>2.9032041129899473</v>
      </c>
      <c r="Y87" s="34">
        <v>1.6201951575657594E-2</v>
      </c>
      <c r="Z87" s="34">
        <v>0.23039814369964001</v>
      </c>
    </row>
    <row r="88" spans="2:26" x14ac:dyDescent="0.15">
      <c r="D88" s="34">
        <v>6.5162758105801397E-2</v>
      </c>
      <c r="K88" s="34">
        <v>5</v>
      </c>
      <c r="L88" s="34">
        <v>5.4866009434697703E-4</v>
      </c>
      <c r="M88" s="34">
        <v>6.4234684562755137E-5</v>
      </c>
      <c r="U88" s="34">
        <v>3.9465566394096645E-3</v>
      </c>
      <c r="V88" s="34">
        <v>3.8578446060976881E-5</v>
      </c>
      <c r="W88" s="34">
        <v>5.4869546993324204E-4</v>
      </c>
      <c r="X88" s="34">
        <v>3.9506073835193431E-3</v>
      </c>
      <c r="Y88" s="34">
        <v>3.8582621098259044E-5</v>
      </c>
      <c r="Z88" s="34">
        <v>5.4866009434697703E-4</v>
      </c>
    </row>
    <row r="89" spans="2:26" x14ac:dyDescent="0.15">
      <c r="W89" s="34">
        <v>26.889506346535264</v>
      </c>
      <c r="Z89" s="34">
        <v>26.89042448191703</v>
      </c>
    </row>
    <row r="90" spans="2:26" x14ac:dyDescent="0.15">
      <c r="W90" s="34">
        <v>382.37226641307734</v>
      </c>
      <c r="Z90" s="34">
        <v>382.38531855590827</v>
      </c>
    </row>
    <row r="91" spans="2:26" x14ac:dyDescent="0.15">
      <c r="W91" s="34">
        <v>1.6662036556184565</v>
      </c>
      <c r="Z91" s="34">
        <v>1.66620366403113</v>
      </c>
    </row>
    <row r="92" spans="2:26" x14ac:dyDescent="0.15">
      <c r="B92" s="34">
        <v>1.7600000000000002</v>
      </c>
      <c r="C92" s="34">
        <v>80.7</v>
      </c>
      <c r="D92" s="34">
        <v>0.19700000000000001</v>
      </c>
      <c r="E92" s="34">
        <v>0.22800000000000001</v>
      </c>
      <c r="F92" s="34">
        <v>1.802</v>
      </c>
      <c r="G92" s="34">
        <v>0.78700000000000003</v>
      </c>
      <c r="H92" s="34">
        <v>0.64400000000000002</v>
      </c>
      <c r="I92" s="34">
        <v>1.4869999885559082</v>
      </c>
      <c r="J92" s="34">
        <v>0.49599999189376831</v>
      </c>
      <c r="K92" s="34">
        <v>1</v>
      </c>
      <c r="L92" s="34">
        <v>1</v>
      </c>
      <c r="M92" s="34">
        <v>0.11700393051078728</v>
      </c>
      <c r="N92" s="34">
        <v>4.8875468539700856E-4</v>
      </c>
      <c r="O92" s="34">
        <v>0.66428529786340595</v>
      </c>
      <c r="P92" s="34">
        <v>8.765056224764102E-2</v>
      </c>
      <c r="Q92" s="34">
        <v>1.8023066839385014E-2</v>
      </c>
      <c r="U92" s="34">
        <v>4.8000000000000007</v>
      </c>
      <c r="V92" s="34">
        <v>7.0287657971819101E-2</v>
      </c>
      <c r="W92" s="34">
        <v>1</v>
      </c>
      <c r="X92" s="34">
        <v>4.8000000000000007</v>
      </c>
      <c r="Y92" s="34">
        <v>7.0292961690837277E-2</v>
      </c>
      <c r="Z92" s="34">
        <v>1</v>
      </c>
    </row>
    <row r="93" spans="2:26" x14ac:dyDescent="0.15">
      <c r="K93" s="34">
        <v>2</v>
      </c>
      <c r="L93" s="34">
        <v>0.9614407679155611</v>
      </c>
      <c r="M93" s="34">
        <v>0.11249234879943028</v>
      </c>
      <c r="N93" s="34">
        <v>1.4103436566866687E-3</v>
      </c>
      <c r="O93" s="34">
        <v>0.45601395000398642</v>
      </c>
      <c r="P93" s="34">
        <v>0.14236202798403341</v>
      </c>
      <c r="Q93" s="34">
        <v>0.32626951928241832</v>
      </c>
      <c r="U93" s="34">
        <v>13.267774993658497</v>
      </c>
      <c r="V93" s="34">
        <v>6.7577215348079533E-2</v>
      </c>
      <c r="W93" s="34">
        <v>0.96143785833885254</v>
      </c>
      <c r="X93" s="34">
        <v>13.267842445076166</v>
      </c>
      <c r="Y93" s="34">
        <v>6.758251906709771E-2</v>
      </c>
      <c r="Z93" s="34">
        <v>0.9614407679155611</v>
      </c>
    </row>
    <row r="94" spans="2:26" x14ac:dyDescent="0.15">
      <c r="D94" s="34">
        <v>11.342384338378906</v>
      </c>
      <c r="K94" s="34">
        <v>3</v>
      </c>
      <c r="L94" s="34">
        <v>0.77599747021150656</v>
      </c>
      <c r="M94" s="34">
        <v>9.0794754081173837E-2</v>
      </c>
      <c r="N94" s="34">
        <v>6.9182317639734899E-3</v>
      </c>
      <c r="O94" s="34">
        <v>0.11289945059629161</v>
      </c>
      <c r="P94" s="34">
        <v>0.25075469529192046</v>
      </c>
      <c r="Q94" s="34">
        <v>1.5541691955202646</v>
      </c>
      <c r="U94" s="34">
        <v>11.170637737457152</v>
      </c>
      <c r="V94" s="34">
        <v>5.4541905390742246E-2</v>
      </c>
      <c r="W94" s="34">
        <v>0.77598125993343092</v>
      </c>
      <c r="X94" s="34">
        <v>11.174130143041406</v>
      </c>
      <c r="Y94" s="34">
        <v>5.4547160445764069E-2</v>
      </c>
      <c r="Z94" s="34">
        <v>0.77599747021150656</v>
      </c>
    </row>
    <row r="95" spans="2:26" x14ac:dyDescent="0.15">
      <c r="D95" s="34">
        <v>0.18213495423698212</v>
      </c>
      <c r="K95" s="34">
        <v>4</v>
      </c>
      <c r="L95" s="34">
        <v>0.230198704140745</v>
      </c>
      <c r="M95" s="34">
        <v>2.693415318295701E-2</v>
      </c>
      <c r="N95" s="34">
        <v>2.1831816907009654E-3</v>
      </c>
      <c r="O95" s="34">
        <v>0.22139046053705463</v>
      </c>
      <c r="P95" s="34">
        <v>0.22038136197911254</v>
      </c>
      <c r="Q95" s="34">
        <v>0.71879655444156021</v>
      </c>
      <c r="U95" s="34">
        <v>2.9030166106154645</v>
      </c>
      <c r="V95" s="34">
        <v>1.6180764210654078E-2</v>
      </c>
      <c r="W95" s="34">
        <v>0.23020775876671748</v>
      </c>
      <c r="X95" s="34">
        <v>2.9006177604606407</v>
      </c>
      <c r="Y95" s="34">
        <v>1.6181348691445774E-2</v>
      </c>
      <c r="Z95" s="34">
        <v>0.230198704140745</v>
      </c>
    </row>
    <row r="96" spans="2:26" x14ac:dyDescent="0.15">
      <c r="D96" s="34">
        <v>6.5131023726194837E-2</v>
      </c>
      <c r="K96" s="34">
        <v>5</v>
      </c>
      <c r="L96" s="34">
        <v>5.4891046601318041E-4</v>
      </c>
      <c r="M96" s="34">
        <v>6.4224682022050029E-5</v>
      </c>
      <c r="U96" s="34">
        <v>3.9503526792982347E-3</v>
      </c>
      <c r="V96" s="34">
        <v>3.8583146487038699E-5</v>
      </c>
      <c r="W96" s="34">
        <v>5.4893202591140672E-4</v>
      </c>
      <c r="X96" s="34">
        <v>3.9523105865621284E-3</v>
      </c>
      <c r="Y96" s="34">
        <v>3.8584542359164126E-5</v>
      </c>
      <c r="Z96" s="34">
        <v>5.4891046601318041E-4</v>
      </c>
    </row>
    <row r="97" spans="2:26" x14ac:dyDescent="0.15">
      <c r="W97" s="34">
        <v>26.894868495453196</v>
      </c>
      <c r="Z97" s="34">
        <v>26.895255451323177</v>
      </c>
    </row>
    <row r="98" spans="2:26" x14ac:dyDescent="0.15">
      <c r="W98" s="34">
        <v>382.60776416726549</v>
      </c>
      <c r="Z98" s="34">
        <v>382.61326813669803</v>
      </c>
    </row>
    <row r="99" spans="2:26" x14ac:dyDescent="0.15">
      <c r="W99" s="34">
        <v>1.6658568695939564</v>
      </c>
      <c r="Z99" s="34">
        <v>1.6658568715192741</v>
      </c>
    </row>
    <row r="100" spans="2:26" x14ac:dyDescent="0.15">
      <c r="B100" s="34">
        <v>1.7600000000000002</v>
      </c>
      <c r="C100" s="34">
        <v>80.7</v>
      </c>
      <c r="D100" s="34">
        <v>0.19700000000000001</v>
      </c>
      <c r="E100" s="34">
        <v>0.22800000000000001</v>
      </c>
      <c r="F100" s="34">
        <v>1.802</v>
      </c>
      <c r="G100" s="34">
        <v>0.78700000000000003</v>
      </c>
      <c r="H100" s="34">
        <v>0.64400000000000002</v>
      </c>
      <c r="I100" s="34">
        <v>1.4859999418258667</v>
      </c>
      <c r="J100" s="34">
        <v>0.49500000476837158</v>
      </c>
      <c r="K100" s="34">
        <v>1</v>
      </c>
      <c r="L100" s="34">
        <v>1</v>
      </c>
      <c r="M100" s="34">
        <v>0.1169697932715878</v>
      </c>
      <c r="N100" s="34">
        <v>4.8857051333438663E-4</v>
      </c>
      <c r="O100" s="34">
        <v>0.66437185873283833</v>
      </c>
      <c r="P100" s="34">
        <v>8.7628461600126384E-2</v>
      </c>
      <c r="Q100" s="34">
        <v>1.8014560439627757E-2</v>
      </c>
      <c r="U100" s="34">
        <v>4.8000000000000007</v>
      </c>
      <c r="V100" s="34">
        <v>7.0276845383811168E-2</v>
      </c>
      <c r="W100" s="34">
        <v>1</v>
      </c>
      <c r="X100" s="34">
        <v>4.8000000000000007</v>
      </c>
      <c r="Y100" s="34">
        <v>7.0279139190786405E-2</v>
      </c>
      <c r="Z100" s="34">
        <v>1</v>
      </c>
    </row>
    <row r="101" spans="2:26" x14ac:dyDescent="0.15">
      <c r="K101" s="34">
        <v>2</v>
      </c>
      <c r="L101" s="34">
        <v>0.9614440486264958</v>
      </c>
      <c r="M101" s="34">
        <v>0.11245991161003961</v>
      </c>
      <c r="N101" s="34">
        <v>1.4090656607967575E-3</v>
      </c>
      <c r="O101" s="34">
        <v>0.45618520145323449</v>
      </c>
      <c r="P101" s="34">
        <v>0.14231729812788652</v>
      </c>
      <c r="Q101" s="34">
        <v>0.32594407555471711</v>
      </c>
      <c r="U101" s="34">
        <v>13.267882597234744</v>
      </c>
      <c r="V101" s="34">
        <v>6.7567166310599475E-2</v>
      </c>
      <c r="W101" s="34">
        <v>0.96144279017629486</v>
      </c>
      <c r="X101" s="34">
        <v>13.267910504432869</v>
      </c>
      <c r="Y101" s="34">
        <v>6.7569460117574712E-2</v>
      </c>
      <c r="Z101" s="34">
        <v>0.9614440486264958</v>
      </c>
    </row>
    <row r="102" spans="2:26" x14ac:dyDescent="0.15">
      <c r="D102" s="34">
        <v>11.346880912780762</v>
      </c>
      <c r="K102" s="34">
        <v>3</v>
      </c>
      <c r="L102" s="34">
        <v>0.77611472011606697</v>
      </c>
      <c r="M102" s="34">
        <v>9.0781978367012572E-2</v>
      </c>
      <c r="N102" s="34">
        <v>6.9190825432029071E-3</v>
      </c>
      <c r="O102" s="34">
        <v>0.11289009202476802</v>
      </c>
      <c r="P102" s="34">
        <v>0.25075724762960871</v>
      </c>
      <c r="Q102" s="34">
        <v>1.5543127750122792</v>
      </c>
      <c r="U102" s="34">
        <v>11.174363571045694</v>
      </c>
      <c r="V102" s="34">
        <v>5.4542400753806147E-2</v>
      </c>
      <c r="W102" s="34">
        <v>0.77610769885767272</v>
      </c>
      <c r="X102" s="34">
        <v>11.175950863550488</v>
      </c>
      <c r="Y102" s="34">
        <v>5.4544674443055302E-2</v>
      </c>
      <c r="Z102" s="34">
        <v>0.77611472011606697</v>
      </c>
    </row>
    <row r="103" spans="2:26" x14ac:dyDescent="0.15">
      <c r="D103" s="34">
        <v>0.18208554366142146</v>
      </c>
      <c r="K103" s="34">
        <v>4</v>
      </c>
      <c r="L103" s="34">
        <v>0.23008952456274889</v>
      </c>
      <c r="M103" s="34">
        <v>2.691352412206266E-2</v>
      </c>
      <c r="N103" s="34">
        <v>2.1815060001985982E-3</v>
      </c>
      <c r="O103" s="34">
        <v>0.22146921799066588</v>
      </c>
      <c r="P103" s="34">
        <v>0.22035957800258177</v>
      </c>
      <c r="Q103" s="34">
        <v>0.71818693751700635</v>
      </c>
      <c r="U103" s="34">
        <v>2.9005036721733872</v>
      </c>
      <c r="V103" s="34">
        <v>1.6170339520198668E-2</v>
      </c>
      <c r="W103" s="34">
        <v>0.23009484036862637</v>
      </c>
      <c r="X103" s="34">
        <v>2.8991949886446928</v>
      </c>
      <c r="Y103" s="34">
        <v>1.6170493723087296E-2</v>
      </c>
      <c r="Z103" s="34">
        <v>0.23008952456274889</v>
      </c>
    </row>
    <row r="104" spans="2:26" x14ac:dyDescent="0.15">
      <c r="D104" s="34">
        <v>6.5115750389833665E-2</v>
      </c>
      <c r="K104" s="34">
        <v>5</v>
      </c>
      <c r="L104" s="34">
        <v>5.4902639764993488E-4</v>
      </c>
      <c r="M104" s="34">
        <v>6.4219504233757439E-5</v>
      </c>
      <c r="U104" s="34">
        <v>3.9521553552948991E-3</v>
      </c>
      <c r="V104" s="34">
        <v>3.8584733606215741E-5</v>
      </c>
      <c r="W104" s="34">
        <v>5.4903906678634216E-4</v>
      </c>
      <c r="X104" s="34">
        <v>3.9530812808616636E-3</v>
      </c>
      <c r="Y104" s="34">
        <v>3.858510261985582E-5</v>
      </c>
      <c r="Z104" s="34">
        <v>5.4902639764993488E-4</v>
      </c>
    </row>
    <row r="105" spans="2:26" x14ac:dyDescent="0.15">
      <c r="W105" s="34">
        <v>26.897170380953682</v>
      </c>
      <c r="Z105" s="34">
        <v>26.897329891312697</v>
      </c>
    </row>
    <row r="106" spans="2:26" x14ac:dyDescent="0.15">
      <c r="W106" s="34">
        <v>382.71738583747901</v>
      </c>
      <c r="Z106" s="34">
        <v>382.71965529733643</v>
      </c>
    </row>
    <row r="107" spans="2:26" x14ac:dyDescent="0.15">
      <c r="W107" s="34">
        <v>1.6656895541453816</v>
      </c>
      <c r="Z107" s="34">
        <v>1.6656895545773474</v>
      </c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D3AD1-5077-4E58-B4AF-47419120A90F}">
  <sheetPr codeName="Sheet11"/>
  <dimension ref="A1:J40"/>
  <sheetViews>
    <sheetView workbookViewId="0">
      <selection activeCell="H11" sqref="H11"/>
    </sheetView>
  </sheetViews>
  <sheetFormatPr defaultRowHeight="13.5" x14ac:dyDescent="0.15"/>
  <cols>
    <col min="1" max="1" width="11.42578125" style="34" bestFit="1" customWidth="1"/>
    <col min="2" max="9" width="15.5703125" style="34" customWidth="1"/>
    <col min="10" max="10" width="17.28515625" style="34" customWidth="1"/>
    <col min="11" max="256" width="9.140625" style="34"/>
    <col min="257" max="257" width="11.42578125" style="34" bestFit="1" customWidth="1"/>
    <col min="258" max="265" width="15.5703125" style="34" customWidth="1"/>
    <col min="266" max="512" width="9.140625" style="34"/>
    <col min="513" max="513" width="11.42578125" style="34" bestFit="1" customWidth="1"/>
    <col min="514" max="521" width="15.5703125" style="34" customWidth="1"/>
    <col min="522" max="768" width="9.140625" style="34"/>
    <col min="769" max="769" width="11.42578125" style="34" bestFit="1" customWidth="1"/>
    <col min="770" max="777" width="15.5703125" style="34" customWidth="1"/>
    <col min="778" max="1024" width="9.140625" style="34"/>
    <col min="1025" max="1025" width="11.42578125" style="34" bestFit="1" customWidth="1"/>
    <col min="1026" max="1033" width="15.5703125" style="34" customWidth="1"/>
    <col min="1034" max="1280" width="9.140625" style="34"/>
    <col min="1281" max="1281" width="11.42578125" style="34" bestFit="1" customWidth="1"/>
    <col min="1282" max="1289" width="15.5703125" style="34" customWidth="1"/>
    <col min="1290" max="1536" width="9.140625" style="34"/>
    <col min="1537" max="1537" width="11.42578125" style="34" bestFit="1" customWidth="1"/>
    <col min="1538" max="1545" width="15.5703125" style="34" customWidth="1"/>
    <col min="1546" max="1792" width="9.140625" style="34"/>
    <col min="1793" max="1793" width="11.42578125" style="34" bestFit="1" customWidth="1"/>
    <col min="1794" max="1801" width="15.5703125" style="34" customWidth="1"/>
    <col min="1802" max="2048" width="9.140625" style="34"/>
    <col min="2049" max="2049" width="11.42578125" style="34" bestFit="1" customWidth="1"/>
    <col min="2050" max="2057" width="15.5703125" style="34" customWidth="1"/>
    <col min="2058" max="2304" width="9.140625" style="34"/>
    <col min="2305" max="2305" width="11.42578125" style="34" bestFit="1" customWidth="1"/>
    <col min="2306" max="2313" width="15.5703125" style="34" customWidth="1"/>
    <col min="2314" max="2560" width="9.140625" style="34"/>
    <col min="2561" max="2561" width="11.42578125" style="34" bestFit="1" customWidth="1"/>
    <col min="2562" max="2569" width="15.5703125" style="34" customWidth="1"/>
    <col min="2570" max="2816" width="9.140625" style="34"/>
    <col min="2817" max="2817" width="11.42578125" style="34" bestFit="1" customWidth="1"/>
    <col min="2818" max="2825" width="15.5703125" style="34" customWidth="1"/>
    <col min="2826" max="3072" width="9.140625" style="34"/>
    <col min="3073" max="3073" width="11.42578125" style="34" bestFit="1" customWidth="1"/>
    <col min="3074" max="3081" width="15.5703125" style="34" customWidth="1"/>
    <col min="3082" max="3328" width="9.140625" style="34"/>
    <col min="3329" max="3329" width="11.42578125" style="34" bestFit="1" customWidth="1"/>
    <col min="3330" max="3337" width="15.5703125" style="34" customWidth="1"/>
    <col min="3338" max="3584" width="9.140625" style="34"/>
    <col min="3585" max="3585" width="11.42578125" style="34" bestFit="1" customWidth="1"/>
    <col min="3586" max="3593" width="15.5703125" style="34" customWidth="1"/>
    <col min="3594" max="3840" width="9.140625" style="34"/>
    <col min="3841" max="3841" width="11.42578125" style="34" bestFit="1" customWidth="1"/>
    <col min="3842" max="3849" width="15.5703125" style="34" customWidth="1"/>
    <col min="3850" max="4096" width="9.140625" style="34"/>
    <col min="4097" max="4097" width="11.42578125" style="34" bestFit="1" customWidth="1"/>
    <col min="4098" max="4105" width="15.5703125" style="34" customWidth="1"/>
    <col min="4106" max="4352" width="9.140625" style="34"/>
    <col min="4353" max="4353" width="11.42578125" style="34" bestFit="1" customWidth="1"/>
    <col min="4354" max="4361" width="15.5703125" style="34" customWidth="1"/>
    <col min="4362" max="4608" width="9.140625" style="34"/>
    <col min="4609" max="4609" width="11.42578125" style="34" bestFit="1" customWidth="1"/>
    <col min="4610" max="4617" width="15.5703125" style="34" customWidth="1"/>
    <col min="4618" max="4864" width="9.140625" style="34"/>
    <col min="4865" max="4865" width="11.42578125" style="34" bestFit="1" customWidth="1"/>
    <col min="4866" max="4873" width="15.5703125" style="34" customWidth="1"/>
    <col min="4874" max="5120" width="9.140625" style="34"/>
    <col min="5121" max="5121" width="11.42578125" style="34" bestFit="1" customWidth="1"/>
    <col min="5122" max="5129" width="15.5703125" style="34" customWidth="1"/>
    <col min="5130" max="5376" width="9.140625" style="34"/>
    <col min="5377" max="5377" width="11.42578125" style="34" bestFit="1" customWidth="1"/>
    <col min="5378" max="5385" width="15.5703125" style="34" customWidth="1"/>
    <col min="5386" max="5632" width="9.140625" style="34"/>
    <col min="5633" max="5633" width="11.42578125" style="34" bestFit="1" customWidth="1"/>
    <col min="5634" max="5641" width="15.5703125" style="34" customWidth="1"/>
    <col min="5642" max="5888" width="9.140625" style="34"/>
    <col min="5889" max="5889" width="11.42578125" style="34" bestFit="1" customWidth="1"/>
    <col min="5890" max="5897" width="15.5703125" style="34" customWidth="1"/>
    <col min="5898" max="6144" width="9.140625" style="34"/>
    <col min="6145" max="6145" width="11.42578125" style="34" bestFit="1" customWidth="1"/>
    <col min="6146" max="6153" width="15.5703125" style="34" customWidth="1"/>
    <col min="6154" max="6400" width="9.140625" style="34"/>
    <col min="6401" max="6401" width="11.42578125" style="34" bestFit="1" customWidth="1"/>
    <col min="6402" max="6409" width="15.5703125" style="34" customWidth="1"/>
    <col min="6410" max="6656" width="9.140625" style="34"/>
    <col min="6657" max="6657" width="11.42578125" style="34" bestFit="1" customWidth="1"/>
    <col min="6658" max="6665" width="15.5703125" style="34" customWidth="1"/>
    <col min="6666" max="6912" width="9.140625" style="34"/>
    <col min="6913" max="6913" width="11.42578125" style="34" bestFit="1" customWidth="1"/>
    <col min="6914" max="6921" width="15.5703125" style="34" customWidth="1"/>
    <col min="6922" max="7168" width="9.140625" style="34"/>
    <col min="7169" max="7169" width="11.42578125" style="34" bestFit="1" customWidth="1"/>
    <col min="7170" max="7177" width="15.5703125" style="34" customWidth="1"/>
    <col min="7178" max="7424" width="9.140625" style="34"/>
    <col min="7425" max="7425" width="11.42578125" style="34" bestFit="1" customWidth="1"/>
    <col min="7426" max="7433" width="15.5703125" style="34" customWidth="1"/>
    <col min="7434" max="7680" width="9.140625" style="34"/>
    <col min="7681" max="7681" width="11.42578125" style="34" bestFit="1" customWidth="1"/>
    <col min="7682" max="7689" width="15.5703125" style="34" customWidth="1"/>
    <col min="7690" max="7936" width="9.140625" style="34"/>
    <col min="7937" max="7937" width="11.42578125" style="34" bestFit="1" customWidth="1"/>
    <col min="7938" max="7945" width="15.5703125" style="34" customWidth="1"/>
    <col min="7946" max="8192" width="9.140625" style="34"/>
    <col min="8193" max="8193" width="11.42578125" style="34" bestFit="1" customWidth="1"/>
    <col min="8194" max="8201" width="15.5703125" style="34" customWidth="1"/>
    <col min="8202" max="8448" width="9.140625" style="34"/>
    <col min="8449" max="8449" width="11.42578125" style="34" bestFit="1" customWidth="1"/>
    <col min="8450" max="8457" width="15.5703125" style="34" customWidth="1"/>
    <col min="8458" max="8704" width="9.140625" style="34"/>
    <col min="8705" max="8705" width="11.42578125" style="34" bestFit="1" customWidth="1"/>
    <col min="8706" max="8713" width="15.5703125" style="34" customWidth="1"/>
    <col min="8714" max="8960" width="9.140625" style="34"/>
    <col min="8961" max="8961" width="11.42578125" style="34" bestFit="1" customWidth="1"/>
    <col min="8962" max="8969" width="15.5703125" style="34" customWidth="1"/>
    <col min="8970" max="9216" width="9.140625" style="34"/>
    <col min="9217" max="9217" width="11.42578125" style="34" bestFit="1" customWidth="1"/>
    <col min="9218" max="9225" width="15.5703125" style="34" customWidth="1"/>
    <col min="9226" max="9472" width="9.140625" style="34"/>
    <col min="9473" max="9473" width="11.42578125" style="34" bestFit="1" customWidth="1"/>
    <col min="9474" max="9481" width="15.5703125" style="34" customWidth="1"/>
    <col min="9482" max="9728" width="9.140625" style="34"/>
    <col min="9729" max="9729" width="11.42578125" style="34" bestFit="1" customWidth="1"/>
    <col min="9730" max="9737" width="15.5703125" style="34" customWidth="1"/>
    <col min="9738" max="9984" width="9.140625" style="34"/>
    <col min="9985" max="9985" width="11.42578125" style="34" bestFit="1" customWidth="1"/>
    <col min="9986" max="9993" width="15.5703125" style="34" customWidth="1"/>
    <col min="9994" max="10240" width="9.140625" style="34"/>
    <col min="10241" max="10241" width="11.42578125" style="34" bestFit="1" customWidth="1"/>
    <col min="10242" max="10249" width="15.5703125" style="34" customWidth="1"/>
    <col min="10250" max="10496" width="9.140625" style="34"/>
    <col min="10497" max="10497" width="11.42578125" style="34" bestFit="1" customWidth="1"/>
    <col min="10498" max="10505" width="15.5703125" style="34" customWidth="1"/>
    <col min="10506" max="10752" width="9.140625" style="34"/>
    <col min="10753" max="10753" width="11.42578125" style="34" bestFit="1" customWidth="1"/>
    <col min="10754" max="10761" width="15.5703125" style="34" customWidth="1"/>
    <col min="10762" max="11008" width="9.140625" style="34"/>
    <col min="11009" max="11009" width="11.42578125" style="34" bestFit="1" customWidth="1"/>
    <col min="11010" max="11017" width="15.5703125" style="34" customWidth="1"/>
    <col min="11018" max="11264" width="9.140625" style="34"/>
    <col min="11265" max="11265" width="11.42578125" style="34" bestFit="1" customWidth="1"/>
    <col min="11266" max="11273" width="15.5703125" style="34" customWidth="1"/>
    <col min="11274" max="11520" width="9.140625" style="34"/>
    <col min="11521" max="11521" width="11.42578125" style="34" bestFit="1" customWidth="1"/>
    <col min="11522" max="11529" width="15.5703125" style="34" customWidth="1"/>
    <col min="11530" max="11776" width="9.140625" style="34"/>
    <col min="11777" max="11777" width="11.42578125" style="34" bestFit="1" customWidth="1"/>
    <col min="11778" max="11785" width="15.5703125" style="34" customWidth="1"/>
    <col min="11786" max="12032" width="9.140625" style="34"/>
    <col min="12033" max="12033" width="11.42578125" style="34" bestFit="1" customWidth="1"/>
    <col min="12034" max="12041" width="15.5703125" style="34" customWidth="1"/>
    <col min="12042" max="12288" width="9.140625" style="34"/>
    <col min="12289" max="12289" width="11.42578125" style="34" bestFit="1" customWidth="1"/>
    <col min="12290" max="12297" width="15.5703125" style="34" customWidth="1"/>
    <col min="12298" max="12544" width="9.140625" style="34"/>
    <col min="12545" max="12545" width="11.42578125" style="34" bestFit="1" customWidth="1"/>
    <col min="12546" max="12553" width="15.5703125" style="34" customWidth="1"/>
    <col min="12554" max="12800" width="9.140625" style="34"/>
    <col min="12801" max="12801" width="11.42578125" style="34" bestFit="1" customWidth="1"/>
    <col min="12802" max="12809" width="15.5703125" style="34" customWidth="1"/>
    <col min="12810" max="13056" width="9.140625" style="34"/>
    <col min="13057" max="13057" width="11.42578125" style="34" bestFit="1" customWidth="1"/>
    <col min="13058" max="13065" width="15.5703125" style="34" customWidth="1"/>
    <col min="13066" max="13312" width="9.140625" style="34"/>
    <col min="13313" max="13313" width="11.42578125" style="34" bestFit="1" customWidth="1"/>
    <col min="13314" max="13321" width="15.5703125" style="34" customWidth="1"/>
    <col min="13322" max="13568" width="9.140625" style="34"/>
    <col min="13569" max="13569" width="11.42578125" style="34" bestFit="1" customWidth="1"/>
    <col min="13570" max="13577" width="15.5703125" style="34" customWidth="1"/>
    <col min="13578" max="13824" width="9.140625" style="34"/>
    <col min="13825" max="13825" width="11.42578125" style="34" bestFit="1" customWidth="1"/>
    <col min="13826" max="13833" width="15.5703125" style="34" customWidth="1"/>
    <col min="13834" max="14080" width="9.140625" style="34"/>
    <col min="14081" max="14081" width="11.42578125" style="34" bestFit="1" customWidth="1"/>
    <col min="14082" max="14089" width="15.5703125" style="34" customWidth="1"/>
    <col min="14090" max="14336" width="9.140625" style="34"/>
    <col min="14337" max="14337" width="11.42578125" style="34" bestFit="1" customWidth="1"/>
    <col min="14338" max="14345" width="15.5703125" style="34" customWidth="1"/>
    <col min="14346" max="14592" width="9.140625" style="34"/>
    <col min="14593" max="14593" width="11.42578125" style="34" bestFit="1" customWidth="1"/>
    <col min="14594" max="14601" width="15.5703125" style="34" customWidth="1"/>
    <col min="14602" max="14848" width="9.140625" style="34"/>
    <col min="14849" max="14849" width="11.42578125" style="34" bestFit="1" customWidth="1"/>
    <col min="14850" max="14857" width="15.5703125" style="34" customWidth="1"/>
    <col min="14858" max="15104" width="9.140625" style="34"/>
    <col min="15105" max="15105" width="11.42578125" style="34" bestFit="1" customWidth="1"/>
    <col min="15106" max="15113" width="15.5703125" style="34" customWidth="1"/>
    <col min="15114" max="15360" width="9.140625" style="34"/>
    <col min="15361" max="15361" width="11.42578125" style="34" bestFit="1" customWidth="1"/>
    <col min="15362" max="15369" width="15.5703125" style="34" customWidth="1"/>
    <col min="15370" max="15616" width="9.140625" style="34"/>
    <col min="15617" max="15617" width="11.42578125" style="34" bestFit="1" customWidth="1"/>
    <col min="15618" max="15625" width="15.5703125" style="34" customWidth="1"/>
    <col min="15626" max="15872" width="9.140625" style="34"/>
    <col min="15873" max="15873" width="11.42578125" style="34" bestFit="1" customWidth="1"/>
    <col min="15874" max="15881" width="15.5703125" style="34" customWidth="1"/>
    <col min="15882" max="16128" width="9.140625" style="34"/>
    <col min="16129" max="16129" width="11.42578125" style="34" bestFit="1" customWidth="1"/>
    <col min="16130" max="16137" width="15.5703125" style="34" customWidth="1"/>
    <col min="16138" max="16384" width="9.140625" style="34"/>
  </cols>
  <sheetData>
    <row r="1" spans="1:10" x14ac:dyDescent="0.15">
      <c r="A1" s="34">
        <v>1</v>
      </c>
      <c r="B1" s="34">
        <v>2</v>
      </c>
      <c r="C1" s="34">
        <v>3</v>
      </c>
      <c r="D1" s="34">
        <v>4</v>
      </c>
      <c r="E1" s="34">
        <v>5</v>
      </c>
      <c r="F1" s="34">
        <v>6</v>
      </c>
      <c r="G1" s="34">
        <v>7</v>
      </c>
      <c r="H1" s="34">
        <v>8</v>
      </c>
    </row>
    <row r="2" spans="1:10" x14ac:dyDescent="0.15">
      <c r="A2" s="37"/>
      <c r="C2" s="34" t="s">
        <v>102</v>
      </c>
      <c r="G2" s="34" t="s">
        <v>104</v>
      </c>
    </row>
    <row r="3" spans="1:10" x14ac:dyDescent="0.15">
      <c r="B3" s="34" t="s">
        <v>103</v>
      </c>
      <c r="C3" s="34" t="s">
        <v>75</v>
      </c>
      <c r="D3" s="34" t="s">
        <v>77</v>
      </c>
      <c r="F3" s="34" t="s">
        <v>103</v>
      </c>
      <c r="G3" s="34" t="s">
        <v>75</v>
      </c>
      <c r="H3" s="34" t="s">
        <v>77</v>
      </c>
    </row>
    <row r="4" spans="1:10" x14ac:dyDescent="0.15">
      <c r="A4" s="34">
        <v>1</v>
      </c>
      <c r="B4" s="37">
        <v>1.0000000000000001E-5</v>
      </c>
      <c r="C4" s="38">
        <v>1</v>
      </c>
      <c r="D4" s="38">
        <v>1</v>
      </c>
      <c r="E4" s="61"/>
      <c r="F4" s="37">
        <v>1.0000000000000001E-5</v>
      </c>
      <c r="G4" s="38">
        <v>0.02</v>
      </c>
      <c r="H4" s="38">
        <v>0.02</v>
      </c>
    </row>
    <row r="5" spans="1:10" x14ac:dyDescent="0.15">
      <c r="A5" s="34">
        <v>2</v>
      </c>
      <c r="B5" s="37">
        <v>2.0000000000000002E-5</v>
      </c>
      <c r="C5" s="38">
        <v>0.99</v>
      </c>
      <c r="D5" s="34">
        <v>0.97899999999999998</v>
      </c>
      <c r="E5" s="61"/>
      <c r="F5" s="37">
        <v>2.0000000000000002E-5</v>
      </c>
      <c r="G5" s="38">
        <v>0.02</v>
      </c>
      <c r="H5" s="38">
        <v>0.02</v>
      </c>
    </row>
    <row r="6" spans="1:10" x14ac:dyDescent="0.15">
      <c r="A6" s="34">
        <v>3</v>
      </c>
      <c r="B6" s="37">
        <v>3.0000000000000001E-5</v>
      </c>
      <c r="C6" s="38">
        <v>0.98299999999999998</v>
      </c>
      <c r="D6" s="34">
        <v>0.96199999999999997</v>
      </c>
      <c r="E6" s="61"/>
      <c r="F6" s="37">
        <v>3.0000000000000001E-5</v>
      </c>
      <c r="G6" s="38">
        <v>0.02</v>
      </c>
      <c r="H6" s="38">
        <v>0.02</v>
      </c>
    </row>
    <row r="7" spans="1:10" x14ac:dyDescent="0.15">
      <c r="A7" s="34">
        <v>4</v>
      </c>
      <c r="B7" s="37">
        <v>4.0000000000000003E-5</v>
      </c>
      <c r="C7" s="38">
        <v>0.97499999999999998</v>
      </c>
      <c r="D7" s="34">
        <v>0.94199999999999995</v>
      </c>
      <c r="E7" s="61"/>
      <c r="F7" s="37">
        <v>4.0000000000000003E-5</v>
      </c>
      <c r="G7" s="38">
        <v>0.02</v>
      </c>
      <c r="H7" s="38">
        <v>0.02</v>
      </c>
    </row>
    <row r="8" spans="1:10" x14ac:dyDescent="0.15">
      <c r="A8" s="34">
        <v>5</v>
      </c>
      <c r="B8" s="37">
        <v>5.0000000000000002E-5</v>
      </c>
      <c r="C8" s="38">
        <v>0.96599999999999997</v>
      </c>
      <c r="D8" s="34">
        <v>0.92200000000000004</v>
      </c>
      <c r="E8" s="61"/>
      <c r="F8" s="37">
        <v>5.0000000000000002E-5</v>
      </c>
      <c r="G8" s="38">
        <v>0.02</v>
      </c>
      <c r="H8" s="38">
        <v>2.1999999999999999E-2</v>
      </c>
    </row>
    <row r="9" spans="1:10" x14ac:dyDescent="0.15">
      <c r="A9" s="34">
        <v>6</v>
      </c>
      <c r="B9" s="37">
        <v>6.0000000000000002E-5</v>
      </c>
      <c r="C9" s="38">
        <v>0.95699999999999996</v>
      </c>
      <c r="D9" s="34">
        <v>0.90100000000000002</v>
      </c>
      <c r="E9"/>
      <c r="F9" s="37">
        <v>6.0000000000000002E-5</v>
      </c>
      <c r="G9" s="38">
        <v>0.02</v>
      </c>
      <c r="H9" s="38">
        <v>2.8000000000000001E-2</v>
      </c>
    </row>
    <row r="10" spans="1:10" x14ac:dyDescent="0.15">
      <c r="A10" s="34">
        <v>7</v>
      </c>
      <c r="B10" s="37">
        <v>6.9999999999999994E-5</v>
      </c>
      <c r="C10" s="38">
        <v>0.94799999999999995</v>
      </c>
      <c r="D10" s="34">
        <v>0.88100000000000001</v>
      </c>
      <c r="F10" s="37">
        <v>6.9999999999999994E-5</v>
      </c>
      <c r="G10" s="38">
        <v>0.02</v>
      </c>
      <c r="H10" s="38">
        <v>3.4000000000000002E-2</v>
      </c>
    </row>
    <row r="11" spans="1:10" x14ac:dyDescent="0.15">
      <c r="A11" s="34">
        <v>8</v>
      </c>
      <c r="B11" s="37">
        <v>8.0000000000000007E-5</v>
      </c>
      <c r="C11" s="38">
        <v>0.93899999999999995</v>
      </c>
      <c r="D11" s="34">
        <v>0.86099999999999999</v>
      </c>
      <c r="F11" s="37">
        <v>8.0000000000000007E-5</v>
      </c>
      <c r="G11" s="38">
        <v>0.02</v>
      </c>
      <c r="H11" s="38">
        <v>3.9E-2</v>
      </c>
    </row>
    <row r="12" spans="1:10" x14ac:dyDescent="0.15">
      <c r="A12" s="34">
        <v>9</v>
      </c>
      <c r="B12" s="37">
        <v>9.0000000000000006E-5</v>
      </c>
      <c r="C12" s="38">
        <v>0.93</v>
      </c>
      <c r="D12" s="34">
        <v>0.84199999999999997</v>
      </c>
      <c r="F12" s="37">
        <v>9.0000000000000006E-5</v>
      </c>
      <c r="G12" s="38">
        <v>0.02</v>
      </c>
      <c r="H12" s="38">
        <v>4.4999999999999998E-2</v>
      </c>
    </row>
    <row r="13" spans="1:10" x14ac:dyDescent="0.15">
      <c r="A13" s="34">
        <v>10</v>
      </c>
      <c r="B13" s="37">
        <v>1E-4</v>
      </c>
      <c r="C13" s="38">
        <v>0.92</v>
      </c>
      <c r="D13" s="34">
        <v>0.82299999999999995</v>
      </c>
      <c r="F13" s="37">
        <v>1E-4</v>
      </c>
      <c r="G13" s="38">
        <v>2.1000000000000001E-2</v>
      </c>
      <c r="H13" s="38">
        <v>0.05</v>
      </c>
    </row>
    <row r="14" spans="1:10" x14ac:dyDescent="0.15">
      <c r="A14" s="34">
        <v>11</v>
      </c>
      <c r="B14" s="37">
        <v>2.0000000000000001E-4</v>
      </c>
      <c r="C14" s="38">
        <v>0.83399999999999996</v>
      </c>
      <c r="D14" s="34">
        <v>0.67800000000000005</v>
      </c>
      <c r="F14" s="37">
        <v>2.0000000000000001E-4</v>
      </c>
      <c r="G14" s="38">
        <v>4.3999999999999997E-2</v>
      </c>
      <c r="H14" s="38">
        <v>9.0999999999999998E-2</v>
      </c>
    </row>
    <row r="15" spans="1:10" x14ac:dyDescent="0.15">
      <c r="A15" s="34">
        <v>12</v>
      </c>
      <c r="B15" s="37">
        <v>2.9999999999999997E-4</v>
      </c>
      <c r="C15" s="38">
        <v>0.76300000000000001</v>
      </c>
      <c r="D15" s="34">
        <v>0.58299999999999996</v>
      </c>
      <c r="F15" s="37">
        <v>2.9999999999999997E-4</v>
      </c>
      <c r="G15" s="38">
        <v>6.2E-2</v>
      </c>
      <c r="H15" s="38">
        <v>0.11799999999999999</v>
      </c>
      <c r="J15"/>
    </row>
    <row r="16" spans="1:10" x14ac:dyDescent="0.15">
      <c r="A16" s="34">
        <v>13</v>
      </c>
      <c r="B16" s="37">
        <v>4.0000000000000002E-4</v>
      </c>
      <c r="C16" s="38">
        <v>0.70599999999999996</v>
      </c>
      <c r="D16" s="34">
        <v>0.51700000000000002</v>
      </c>
      <c r="F16" s="37">
        <v>4.0000000000000002E-4</v>
      </c>
      <c r="G16" s="38">
        <v>7.6999999999999999E-2</v>
      </c>
      <c r="H16" s="38">
        <v>0.13700000000000001</v>
      </c>
      <c r="J16"/>
    </row>
    <row r="17" spans="1:10" x14ac:dyDescent="0.15">
      <c r="A17" s="34">
        <v>14</v>
      </c>
      <c r="B17" s="37">
        <v>5.0000000000000001E-4</v>
      </c>
      <c r="C17" s="38">
        <v>0.65900000000000003</v>
      </c>
      <c r="D17" s="34">
        <v>0.46800000000000003</v>
      </c>
      <c r="E17" s="39"/>
      <c r="F17" s="37">
        <v>5.0000000000000001E-4</v>
      </c>
      <c r="G17" s="38">
        <v>8.8999999999999996E-2</v>
      </c>
      <c r="H17" s="38">
        <v>0.151</v>
      </c>
      <c r="J17"/>
    </row>
    <row r="18" spans="1:10" x14ac:dyDescent="0.15">
      <c r="A18" s="34">
        <v>15</v>
      </c>
      <c r="B18" s="37">
        <v>5.9999999999999995E-4</v>
      </c>
      <c r="C18" s="38">
        <v>0.62</v>
      </c>
      <c r="D18" s="34">
        <v>0.42899999999999999</v>
      </c>
      <c r="E18" s="40"/>
      <c r="F18" s="37">
        <v>5.9999999999999995E-4</v>
      </c>
      <c r="G18" s="38">
        <v>0.1</v>
      </c>
      <c r="H18" s="38">
        <v>0.16200000000000001</v>
      </c>
      <c r="J18" s="66"/>
    </row>
    <row r="19" spans="1:10" x14ac:dyDescent="0.15">
      <c r="A19" s="34">
        <v>16</v>
      </c>
      <c r="B19" s="37">
        <v>6.9999999999999999E-4</v>
      </c>
      <c r="C19" s="38">
        <v>0.58699999999999997</v>
      </c>
      <c r="D19" s="34">
        <v>0.39800000000000002</v>
      </c>
      <c r="F19" s="37">
        <v>6.9999999999999999E-4</v>
      </c>
      <c r="G19" s="38">
        <v>0.108</v>
      </c>
      <c r="H19" s="38">
        <v>1.7000000000000001E-2</v>
      </c>
      <c r="J19" s="66"/>
    </row>
    <row r="20" spans="1:10" x14ac:dyDescent="0.15">
      <c r="A20" s="34">
        <v>17</v>
      </c>
      <c r="B20" s="37">
        <v>8.0000000000000004E-4</v>
      </c>
      <c r="C20" s="38">
        <v>0.55800000000000005</v>
      </c>
      <c r="D20" s="34">
        <v>0.373</v>
      </c>
      <c r="F20" s="37">
        <v>8.0000000000000004E-4</v>
      </c>
      <c r="G20" s="38">
        <v>0.11600000000000001</v>
      </c>
      <c r="H20" s="38">
        <v>0.17699999999999999</v>
      </c>
      <c r="J20"/>
    </row>
    <row r="21" spans="1:10" x14ac:dyDescent="0.15">
      <c r="A21" s="34">
        <v>18</v>
      </c>
      <c r="B21" s="37">
        <v>8.9999999999999998E-4</v>
      </c>
      <c r="C21" s="38">
        <v>0.53300000000000003</v>
      </c>
      <c r="D21" s="34">
        <v>0.35099999999999998</v>
      </c>
      <c r="E21" s="39"/>
      <c r="F21" s="37">
        <v>8.9999999999999998E-4</v>
      </c>
      <c r="G21" s="38">
        <v>0.122</v>
      </c>
      <c r="H21" s="38">
        <v>0.184</v>
      </c>
    </row>
    <row r="22" spans="1:10" x14ac:dyDescent="0.15">
      <c r="A22" s="34">
        <v>19</v>
      </c>
      <c r="B22" s="37">
        <v>1E-3</v>
      </c>
      <c r="C22" s="38">
        <v>0.51100000000000001</v>
      </c>
      <c r="D22" s="34">
        <v>0.33300000000000002</v>
      </c>
      <c r="F22" s="37">
        <v>1E-3</v>
      </c>
      <c r="G22" s="38">
        <v>0.128</v>
      </c>
      <c r="H22" s="38">
        <v>0.189</v>
      </c>
    </row>
    <row r="23" spans="1:10" x14ac:dyDescent="0.15">
      <c r="A23" s="34">
        <v>20</v>
      </c>
      <c r="B23" s="37">
        <v>2E-3</v>
      </c>
      <c r="C23" s="38">
        <v>0.377</v>
      </c>
      <c r="D23" s="38">
        <v>0.23</v>
      </c>
      <c r="F23" s="37">
        <v>2E-3</v>
      </c>
      <c r="G23" s="38">
        <v>0.16300000000000001</v>
      </c>
      <c r="H23" s="38">
        <v>0.218</v>
      </c>
    </row>
    <row r="24" spans="1:10" x14ac:dyDescent="0.15">
      <c r="A24" s="34">
        <v>21</v>
      </c>
      <c r="B24" s="37">
        <v>3.0000000000000001E-3</v>
      </c>
      <c r="C24" s="38">
        <v>0.311</v>
      </c>
      <c r="D24" s="34">
        <v>0.183</v>
      </c>
      <c r="F24" s="37">
        <v>3.0000000000000001E-3</v>
      </c>
      <c r="G24" s="38">
        <v>0.18099999999999999</v>
      </c>
      <c r="H24" s="38">
        <v>0.23100000000000001</v>
      </c>
    </row>
    <row r="25" spans="1:10" x14ac:dyDescent="0.15">
      <c r="A25" s="34">
        <v>22</v>
      </c>
      <c r="B25" s="37">
        <v>4.0000000000000001E-3</v>
      </c>
      <c r="C25" s="38">
        <v>0.26900000000000002</v>
      </c>
      <c r="D25" s="34">
        <v>0.155</v>
      </c>
      <c r="F25" s="37">
        <v>4.0000000000000001E-3</v>
      </c>
      <c r="G25" s="38">
        <v>0.192</v>
      </c>
      <c r="H25" s="38">
        <v>0.23899999999999999</v>
      </c>
    </row>
    <row r="26" spans="1:10" x14ac:dyDescent="0.15">
      <c r="A26" s="34">
        <v>23</v>
      </c>
      <c r="B26" s="37">
        <v>5.0000000000000001E-3</v>
      </c>
      <c r="C26" s="38">
        <v>0.24</v>
      </c>
      <c r="D26" s="34">
        <v>0.13700000000000001</v>
      </c>
      <c r="F26" s="37">
        <v>5.0000000000000001E-3</v>
      </c>
      <c r="G26" s="38">
        <v>0.19900000000000001</v>
      </c>
      <c r="H26" s="38">
        <v>0.24399999999999999</v>
      </c>
    </row>
    <row r="27" spans="1:10" x14ac:dyDescent="0.15">
      <c r="A27" s="34">
        <v>24</v>
      </c>
      <c r="B27" s="37">
        <v>6.0000000000000001E-3</v>
      </c>
      <c r="C27" s="38">
        <v>0.219</v>
      </c>
      <c r="D27" s="34">
        <v>0.123</v>
      </c>
      <c r="F27" s="37">
        <v>6.0000000000000001E-3</v>
      </c>
      <c r="G27" s="38">
        <v>0.20499999999999999</v>
      </c>
      <c r="H27" s="38">
        <v>0.248</v>
      </c>
    </row>
    <row r="28" spans="1:10" x14ac:dyDescent="0.15">
      <c r="A28" s="34">
        <v>25</v>
      </c>
      <c r="B28" s="37">
        <v>7.0000000000000001E-3</v>
      </c>
      <c r="C28" s="38">
        <v>0.20200000000000001</v>
      </c>
      <c r="D28" s="34">
        <v>0.112</v>
      </c>
      <c r="F28" s="37">
        <v>7.0000000000000001E-3</v>
      </c>
      <c r="G28" s="38">
        <v>0.20899999999999999</v>
      </c>
      <c r="H28" s="38">
        <v>0.251</v>
      </c>
    </row>
    <row r="29" spans="1:10" x14ac:dyDescent="0.15">
      <c r="A29" s="34">
        <v>26</v>
      </c>
      <c r="B29" s="37">
        <v>8.0000000000000002E-3</v>
      </c>
      <c r="C29" s="38">
        <v>0.188</v>
      </c>
      <c r="D29" s="34">
        <v>0.104</v>
      </c>
      <c r="F29" s="37">
        <v>8.0000000000000002E-3</v>
      </c>
      <c r="G29" s="38">
        <v>0.21299999999999999</v>
      </c>
      <c r="H29" s="38">
        <v>0.254</v>
      </c>
    </row>
    <row r="30" spans="1:10" x14ac:dyDescent="0.15">
      <c r="A30" s="34">
        <v>27</v>
      </c>
      <c r="B30" s="37">
        <v>8.9999999999999993E-3</v>
      </c>
      <c r="C30" s="38">
        <v>0.17599999999999999</v>
      </c>
      <c r="D30" s="34">
        <v>9.7000000000000003E-2</v>
      </c>
      <c r="F30" s="37">
        <v>8.9999999999999993E-3</v>
      </c>
      <c r="G30" s="38">
        <v>0.216</v>
      </c>
      <c r="H30" s="38">
        <v>0.25600000000000001</v>
      </c>
    </row>
    <row r="31" spans="1:10" x14ac:dyDescent="0.15">
      <c r="A31" s="34">
        <v>28</v>
      </c>
      <c r="B31" s="37">
        <v>0.01</v>
      </c>
      <c r="C31" s="38">
        <v>0.16700000000000001</v>
      </c>
      <c r="D31" s="34">
        <v>9.0999999999999998E-2</v>
      </c>
      <c r="F31" s="37">
        <v>0.01</v>
      </c>
      <c r="G31" s="38">
        <v>0.218</v>
      </c>
      <c r="H31" s="38">
        <v>0.25700000000000001</v>
      </c>
    </row>
    <row r="32" spans="1:10" x14ac:dyDescent="0.15">
      <c r="A32" s="34">
        <v>29</v>
      </c>
      <c r="B32" s="37">
        <v>0.02</v>
      </c>
      <c r="C32" s="38">
        <v>0.114</v>
      </c>
      <c r="D32" s="38">
        <v>0.06</v>
      </c>
      <c r="F32" s="37">
        <v>0.02</v>
      </c>
      <c r="G32" s="38">
        <v>0.23200000000000001</v>
      </c>
      <c r="H32" s="38">
        <v>0.26600000000000001</v>
      </c>
    </row>
    <row r="33" spans="1:8" x14ac:dyDescent="0.15">
      <c r="A33" s="34">
        <v>30</v>
      </c>
      <c r="B33" s="37">
        <v>0.03</v>
      </c>
      <c r="C33" s="38">
        <v>9.0999999999999998E-2</v>
      </c>
      <c r="D33" s="34">
        <v>4.7E-2</v>
      </c>
      <c r="F33" s="37">
        <v>0.03</v>
      </c>
      <c r="G33" s="38">
        <v>0.23799999999999999</v>
      </c>
      <c r="H33" s="38">
        <v>0.27</v>
      </c>
    </row>
    <row r="34" spans="1:8" x14ac:dyDescent="0.15">
      <c r="A34" s="34">
        <v>31</v>
      </c>
      <c r="B34" s="37">
        <v>0.04</v>
      </c>
      <c r="C34" s="38">
        <v>7.6999999999999999E-2</v>
      </c>
      <c r="D34" s="38">
        <v>0.04</v>
      </c>
      <c r="F34" s="37">
        <v>0.04</v>
      </c>
      <c r="G34" s="38">
        <v>0.24199999999999999</v>
      </c>
      <c r="H34" s="38">
        <v>0.27200000000000002</v>
      </c>
    </row>
    <row r="35" spans="1:8" x14ac:dyDescent="0.15">
      <c r="A35" s="34">
        <v>32</v>
      </c>
      <c r="B35" s="37">
        <v>0.05</v>
      </c>
      <c r="C35" s="38">
        <v>6.8000000000000005E-2</v>
      </c>
      <c r="D35" s="38">
        <v>3.5000000000000003E-2</v>
      </c>
      <c r="F35" s="37">
        <v>0.05</v>
      </c>
      <c r="G35" s="38">
        <v>0.24399999999999999</v>
      </c>
      <c r="H35" s="38">
        <v>0.27300000000000002</v>
      </c>
    </row>
    <row r="36" spans="1:8" x14ac:dyDescent="0.15">
      <c r="A36" s="34">
        <v>33</v>
      </c>
      <c r="B36" s="37">
        <v>0.06</v>
      </c>
      <c r="C36" s="38">
        <v>6.2E-2</v>
      </c>
      <c r="D36" s="38">
        <v>3.1E-2</v>
      </c>
      <c r="F36" s="37">
        <v>0.06</v>
      </c>
      <c r="G36" s="38">
        <v>0.246</v>
      </c>
      <c r="H36" s="38">
        <v>0.27400000000000002</v>
      </c>
    </row>
    <row r="37" spans="1:8" x14ac:dyDescent="0.15">
      <c r="A37" s="34">
        <v>34</v>
      </c>
      <c r="B37" s="37">
        <v>7.0000000000000007E-2</v>
      </c>
      <c r="C37" s="38">
        <v>5.6000000000000001E-2</v>
      </c>
      <c r="D37" s="38">
        <v>0.28000000000000003</v>
      </c>
      <c r="F37" s="37">
        <v>7.0000000000000007E-2</v>
      </c>
      <c r="G37" s="38">
        <v>0.247</v>
      </c>
      <c r="H37" s="38">
        <v>0.27500000000000002</v>
      </c>
    </row>
    <row r="38" spans="1:8" x14ac:dyDescent="0.15">
      <c r="A38" s="34">
        <v>35</v>
      </c>
      <c r="B38" s="37">
        <v>0.08</v>
      </c>
      <c r="C38" s="38">
        <v>5.1999999999999998E-2</v>
      </c>
      <c r="D38" s="38">
        <v>2.5999999999999999E-2</v>
      </c>
      <c r="F38" s="37">
        <v>0.08</v>
      </c>
      <c r="G38" s="38">
        <v>0.248</v>
      </c>
      <c r="H38" s="38">
        <v>0.27600000000000002</v>
      </c>
    </row>
    <row r="39" spans="1:8" x14ac:dyDescent="0.15">
      <c r="A39" s="34">
        <v>36</v>
      </c>
      <c r="B39" s="37">
        <v>0.09</v>
      </c>
      <c r="C39" s="38">
        <v>4.9000000000000002E-2</v>
      </c>
      <c r="D39" s="38">
        <v>2.4E-2</v>
      </c>
      <c r="F39" s="37">
        <v>0.09</v>
      </c>
      <c r="G39" s="38">
        <v>0.249</v>
      </c>
      <c r="H39" s="38">
        <v>0.27600000000000002</v>
      </c>
    </row>
    <row r="40" spans="1:8" x14ac:dyDescent="0.15">
      <c r="A40" s="34">
        <v>37</v>
      </c>
      <c r="B40" s="37">
        <v>0.1</v>
      </c>
      <c r="C40" s="38">
        <v>4.5999999999999999E-2</v>
      </c>
      <c r="D40" s="38">
        <v>0.23</v>
      </c>
      <c r="F40" s="37">
        <v>0.1</v>
      </c>
      <c r="G40" s="38">
        <v>0.25</v>
      </c>
      <c r="H40" s="38">
        <v>0.27700000000000002</v>
      </c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BF3A1-AAC7-40EC-9DED-8ACB0E9AE9EB}">
  <sheetPr codeName="Sheet12"/>
  <dimension ref="A1:AF219"/>
  <sheetViews>
    <sheetView workbookViewId="0">
      <selection activeCell="A15" sqref="A15"/>
    </sheetView>
  </sheetViews>
  <sheetFormatPr defaultRowHeight="13.5" x14ac:dyDescent="0.15"/>
  <cols>
    <col min="1" max="1" width="11.42578125" style="34" bestFit="1" customWidth="1"/>
    <col min="2" max="5" width="15.5703125" style="34" customWidth="1"/>
    <col min="6" max="256" width="9.140625" style="34"/>
    <col min="257" max="257" width="11.42578125" style="34" bestFit="1" customWidth="1"/>
    <col min="258" max="261" width="15.5703125" style="34" customWidth="1"/>
    <col min="262" max="512" width="9.140625" style="34"/>
    <col min="513" max="513" width="11.42578125" style="34" bestFit="1" customWidth="1"/>
    <col min="514" max="517" width="15.5703125" style="34" customWidth="1"/>
    <col min="518" max="768" width="9.140625" style="34"/>
    <col min="769" max="769" width="11.42578125" style="34" bestFit="1" customWidth="1"/>
    <col min="770" max="773" width="15.5703125" style="34" customWidth="1"/>
    <col min="774" max="1024" width="9.140625" style="34"/>
    <col min="1025" max="1025" width="11.42578125" style="34" bestFit="1" customWidth="1"/>
    <col min="1026" max="1029" width="15.5703125" style="34" customWidth="1"/>
    <col min="1030" max="1280" width="9.140625" style="34"/>
    <col min="1281" max="1281" width="11.42578125" style="34" bestFit="1" customWidth="1"/>
    <col min="1282" max="1285" width="15.5703125" style="34" customWidth="1"/>
    <col min="1286" max="1536" width="9.140625" style="34"/>
    <col min="1537" max="1537" width="11.42578125" style="34" bestFit="1" customWidth="1"/>
    <col min="1538" max="1541" width="15.5703125" style="34" customWidth="1"/>
    <col min="1542" max="1792" width="9.140625" style="34"/>
    <col min="1793" max="1793" width="11.42578125" style="34" bestFit="1" customWidth="1"/>
    <col min="1794" max="1797" width="15.5703125" style="34" customWidth="1"/>
    <col min="1798" max="2048" width="9.140625" style="34"/>
    <col min="2049" max="2049" width="11.42578125" style="34" bestFit="1" customWidth="1"/>
    <col min="2050" max="2053" width="15.5703125" style="34" customWidth="1"/>
    <col min="2054" max="2304" width="9.140625" style="34"/>
    <col min="2305" max="2305" width="11.42578125" style="34" bestFit="1" customWidth="1"/>
    <col min="2306" max="2309" width="15.5703125" style="34" customWidth="1"/>
    <col min="2310" max="2560" width="9.140625" style="34"/>
    <col min="2561" max="2561" width="11.42578125" style="34" bestFit="1" customWidth="1"/>
    <col min="2562" max="2565" width="15.5703125" style="34" customWidth="1"/>
    <col min="2566" max="2816" width="9.140625" style="34"/>
    <col min="2817" max="2817" width="11.42578125" style="34" bestFit="1" customWidth="1"/>
    <col min="2818" max="2821" width="15.5703125" style="34" customWidth="1"/>
    <col min="2822" max="3072" width="9.140625" style="34"/>
    <col min="3073" max="3073" width="11.42578125" style="34" bestFit="1" customWidth="1"/>
    <col min="3074" max="3077" width="15.5703125" style="34" customWidth="1"/>
    <col min="3078" max="3328" width="9.140625" style="34"/>
    <col min="3329" max="3329" width="11.42578125" style="34" bestFit="1" customWidth="1"/>
    <col min="3330" max="3333" width="15.5703125" style="34" customWidth="1"/>
    <col min="3334" max="3584" width="9.140625" style="34"/>
    <col min="3585" max="3585" width="11.42578125" style="34" bestFit="1" customWidth="1"/>
    <col min="3586" max="3589" width="15.5703125" style="34" customWidth="1"/>
    <col min="3590" max="3840" width="9.140625" style="34"/>
    <col min="3841" max="3841" width="11.42578125" style="34" bestFit="1" customWidth="1"/>
    <col min="3842" max="3845" width="15.5703125" style="34" customWidth="1"/>
    <col min="3846" max="4096" width="9.140625" style="34"/>
    <col min="4097" max="4097" width="11.42578125" style="34" bestFit="1" customWidth="1"/>
    <col min="4098" max="4101" width="15.5703125" style="34" customWidth="1"/>
    <col min="4102" max="4352" width="9.140625" style="34"/>
    <col min="4353" max="4353" width="11.42578125" style="34" bestFit="1" customWidth="1"/>
    <col min="4354" max="4357" width="15.5703125" style="34" customWidth="1"/>
    <col min="4358" max="4608" width="9.140625" style="34"/>
    <col min="4609" max="4609" width="11.42578125" style="34" bestFit="1" customWidth="1"/>
    <col min="4610" max="4613" width="15.5703125" style="34" customWidth="1"/>
    <col min="4614" max="4864" width="9.140625" style="34"/>
    <col min="4865" max="4865" width="11.42578125" style="34" bestFit="1" customWidth="1"/>
    <col min="4866" max="4869" width="15.5703125" style="34" customWidth="1"/>
    <col min="4870" max="5120" width="9.140625" style="34"/>
    <col min="5121" max="5121" width="11.42578125" style="34" bestFit="1" customWidth="1"/>
    <col min="5122" max="5125" width="15.5703125" style="34" customWidth="1"/>
    <col min="5126" max="5376" width="9.140625" style="34"/>
    <col min="5377" max="5377" width="11.42578125" style="34" bestFit="1" customWidth="1"/>
    <col min="5378" max="5381" width="15.5703125" style="34" customWidth="1"/>
    <col min="5382" max="5632" width="9.140625" style="34"/>
    <col min="5633" max="5633" width="11.42578125" style="34" bestFit="1" customWidth="1"/>
    <col min="5634" max="5637" width="15.5703125" style="34" customWidth="1"/>
    <col min="5638" max="5888" width="9.140625" style="34"/>
    <col min="5889" max="5889" width="11.42578125" style="34" bestFit="1" customWidth="1"/>
    <col min="5890" max="5893" width="15.5703125" style="34" customWidth="1"/>
    <col min="5894" max="6144" width="9.140625" style="34"/>
    <col min="6145" max="6145" width="11.42578125" style="34" bestFit="1" customWidth="1"/>
    <col min="6146" max="6149" width="15.5703125" style="34" customWidth="1"/>
    <col min="6150" max="6400" width="9.140625" style="34"/>
    <col min="6401" max="6401" width="11.42578125" style="34" bestFit="1" customWidth="1"/>
    <col min="6402" max="6405" width="15.5703125" style="34" customWidth="1"/>
    <col min="6406" max="6656" width="9.140625" style="34"/>
    <col min="6657" max="6657" width="11.42578125" style="34" bestFit="1" customWidth="1"/>
    <col min="6658" max="6661" width="15.5703125" style="34" customWidth="1"/>
    <col min="6662" max="6912" width="9.140625" style="34"/>
    <col min="6913" max="6913" width="11.42578125" style="34" bestFit="1" customWidth="1"/>
    <col min="6914" max="6917" width="15.5703125" style="34" customWidth="1"/>
    <col min="6918" max="7168" width="9.140625" style="34"/>
    <col min="7169" max="7169" width="11.42578125" style="34" bestFit="1" customWidth="1"/>
    <col min="7170" max="7173" width="15.5703125" style="34" customWidth="1"/>
    <col min="7174" max="7424" width="9.140625" style="34"/>
    <col min="7425" max="7425" width="11.42578125" style="34" bestFit="1" customWidth="1"/>
    <col min="7426" max="7429" width="15.5703125" style="34" customWidth="1"/>
    <col min="7430" max="7680" width="9.140625" style="34"/>
    <col min="7681" max="7681" width="11.42578125" style="34" bestFit="1" customWidth="1"/>
    <col min="7682" max="7685" width="15.5703125" style="34" customWidth="1"/>
    <col min="7686" max="7936" width="9.140625" style="34"/>
    <col min="7937" max="7937" width="11.42578125" style="34" bestFit="1" customWidth="1"/>
    <col min="7938" max="7941" width="15.5703125" style="34" customWidth="1"/>
    <col min="7942" max="8192" width="9.140625" style="34"/>
    <col min="8193" max="8193" width="11.42578125" style="34" bestFit="1" customWidth="1"/>
    <col min="8194" max="8197" width="15.5703125" style="34" customWidth="1"/>
    <col min="8198" max="8448" width="9.140625" style="34"/>
    <col min="8449" max="8449" width="11.42578125" style="34" bestFit="1" customWidth="1"/>
    <col min="8450" max="8453" width="15.5703125" style="34" customWidth="1"/>
    <col min="8454" max="8704" width="9.140625" style="34"/>
    <col min="8705" max="8705" width="11.42578125" style="34" bestFit="1" customWidth="1"/>
    <col min="8706" max="8709" width="15.5703125" style="34" customWidth="1"/>
    <col min="8710" max="8960" width="9.140625" style="34"/>
    <col min="8961" max="8961" width="11.42578125" style="34" bestFit="1" customWidth="1"/>
    <col min="8962" max="8965" width="15.5703125" style="34" customWidth="1"/>
    <col min="8966" max="9216" width="9.140625" style="34"/>
    <col min="9217" max="9217" width="11.42578125" style="34" bestFit="1" customWidth="1"/>
    <col min="9218" max="9221" width="15.5703125" style="34" customWidth="1"/>
    <col min="9222" max="9472" width="9.140625" style="34"/>
    <col min="9473" max="9473" width="11.42578125" style="34" bestFit="1" customWidth="1"/>
    <col min="9474" max="9477" width="15.5703125" style="34" customWidth="1"/>
    <col min="9478" max="9728" width="9.140625" style="34"/>
    <col min="9729" max="9729" width="11.42578125" style="34" bestFit="1" customWidth="1"/>
    <col min="9730" max="9733" width="15.5703125" style="34" customWidth="1"/>
    <col min="9734" max="9984" width="9.140625" style="34"/>
    <col min="9985" max="9985" width="11.42578125" style="34" bestFit="1" customWidth="1"/>
    <col min="9986" max="9989" width="15.5703125" style="34" customWidth="1"/>
    <col min="9990" max="10240" width="9.140625" style="34"/>
    <col min="10241" max="10241" width="11.42578125" style="34" bestFit="1" customWidth="1"/>
    <col min="10242" max="10245" width="15.5703125" style="34" customWidth="1"/>
    <col min="10246" max="10496" width="9.140625" style="34"/>
    <col min="10497" max="10497" width="11.42578125" style="34" bestFit="1" customWidth="1"/>
    <col min="10498" max="10501" width="15.5703125" style="34" customWidth="1"/>
    <col min="10502" max="10752" width="9.140625" style="34"/>
    <col min="10753" max="10753" width="11.42578125" style="34" bestFit="1" customWidth="1"/>
    <col min="10754" max="10757" width="15.5703125" style="34" customWidth="1"/>
    <col min="10758" max="11008" width="9.140625" style="34"/>
    <col min="11009" max="11009" width="11.42578125" style="34" bestFit="1" customWidth="1"/>
    <col min="11010" max="11013" width="15.5703125" style="34" customWidth="1"/>
    <col min="11014" max="11264" width="9.140625" style="34"/>
    <col min="11265" max="11265" width="11.42578125" style="34" bestFit="1" customWidth="1"/>
    <col min="11266" max="11269" width="15.5703125" style="34" customWidth="1"/>
    <col min="11270" max="11520" width="9.140625" style="34"/>
    <col min="11521" max="11521" width="11.42578125" style="34" bestFit="1" customWidth="1"/>
    <col min="11522" max="11525" width="15.5703125" style="34" customWidth="1"/>
    <col min="11526" max="11776" width="9.140625" style="34"/>
    <col min="11777" max="11777" width="11.42578125" style="34" bestFit="1" customWidth="1"/>
    <col min="11778" max="11781" width="15.5703125" style="34" customWidth="1"/>
    <col min="11782" max="12032" width="9.140625" style="34"/>
    <col min="12033" max="12033" width="11.42578125" style="34" bestFit="1" customWidth="1"/>
    <col min="12034" max="12037" width="15.5703125" style="34" customWidth="1"/>
    <col min="12038" max="12288" width="9.140625" style="34"/>
    <col min="12289" max="12289" width="11.42578125" style="34" bestFit="1" customWidth="1"/>
    <col min="12290" max="12293" width="15.5703125" style="34" customWidth="1"/>
    <col min="12294" max="12544" width="9.140625" style="34"/>
    <col min="12545" max="12545" width="11.42578125" style="34" bestFit="1" customWidth="1"/>
    <col min="12546" max="12549" width="15.5703125" style="34" customWidth="1"/>
    <col min="12550" max="12800" width="9.140625" style="34"/>
    <col min="12801" max="12801" width="11.42578125" style="34" bestFit="1" customWidth="1"/>
    <col min="12802" max="12805" width="15.5703125" style="34" customWidth="1"/>
    <col min="12806" max="13056" width="9.140625" style="34"/>
    <col min="13057" max="13057" width="11.42578125" style="34" bestFit="1" customWidth="1"/>
    <col min="13058" max="13061" width="15.5703125" style="34" customWidth="1"/>
    <col min="13062" max="13312" width="9.140625" style="34"/>
    <col min="13313" max="13313" width="11.42578125" style="34" bestFit="1" customWidth="1"/>
    <col min="13314" max="13317" width="15.5703125" style="34" customWidth="1"/>
    <col min="13318" max="13568" width="9.140625" style="34"/>
    <col min="13569" max="13569" width="11.42578125" style="34" bestFit="1" customWidth="1"/>
    <col min="13570" max="13573" width="15.5703125" style="34" customWidth="1"/>
    <col min="13574" max="13824" width="9.140625" style="34"/>
    <col min="13825" max="13825" width="11.42578125" style="34" bestFit="1" customWidth="1"/>
    <col min="13826" max="13829" width="15.5703125" style="34" customWidth="1"/>
    <col min="13830" max="14080" width="9.140625" style="34"/>
    <col min="14081" max="14081" width="11.42578125" style="34" bestFit="1" customWidth="1"/>
    <col min="14082" max="14085" width="15.5703125" style="34" customWidth="1"/>
    <col min="14086" max="14336" width="9.140625" style="34"/>
    <col min="14337" max="14337" width="11.42578125" style="34" bestFit="1" customWidth="1"/>
    <col min="14338" max="14341" width="15.5703125" style="34" customWidth="1"/>
    <col min="14342" max="14592" width="9.140625" style="34"/>
    <col min="14593" max="14593" width="11.42578125" style="34" bestFit="1" customWidth="1"/>
    <col min="14594" max="14597" width="15.5703125" style="34" customWidth="1"/>
    <col min="14598" max="14848" width="9.140625" style="34"/>
    <col min="14849" max="14849" width="11.42578125" style="34" bestFit="1" customWidth="1"/>
    <col min="14850" max="14853" width="15.5703125" style="34" customWidth="1"/>
    <col min="14854" max="15104" width="9.140625" style="34"/>
    <col min="15105" max="15105" width="11.42578125" style="34" bestFit="1" customWidth="1"/>
    <col min="15106" max="15109" width="15.5703125" style="34" customWidth="1"/>
    <col min="15110" max="15360" width="9.140625" style="34"/>
    <col min="15361" max="15361" width="11.42578125" style="34" bestFit="1" customWidth="1"/>
    <col min="15362" max="15365" width="15.5703125" style="34" customWidth="1"/>
    <col min="15366" max="15616" width="9.140625" style="34"/>
    <col min="15617" max="15617" width="11.42578125" style="34" bestFit="1" customWidth="1"/>
    <col min="15618" max="15621" width="15.5703125" style="34" customWidth="1"/>
    <col min="15622" max="15872" width="9.140625" style="34"/>
    <col min="15873" max="15873" width="11.42578125" style="34" bestFit="1" customWidth="1"/>
    <col min="15874" max="15877" width="15.5703125" style="34" customWidth="1"/>
    <col min="15878" max="16128" width="9.140625" style="34"/>
    <col min="16129" max="16129" width="11.42578125" style="34" bestFit="1" customWidth="1"/>
    <col min="16130" max="16133" width="15.5703125" style="34" customWidth="1"/>
    <col min="16134" max="16384" width="9.140625" style="34"/>
  </cols>
  <sheetData>
    <row r="1" spans="1:4" x14ac:dyDescent="0.15">
      <c r="A1" s="34">
        <v>1.3999999999999985E-2</v>
      </c>
      <c r="B1" s="34">
        <v>4.0000000000000002E-4</v>
      </c>
      <c r="C1" s="34">
        <v>0.02</v>
      </c>
    </row>
    <row r="2" spans="1:4" x14ac:dyDescent="0.15">
      <c r="A2" s="37"/>
      <c r="C2" s="34" t="s">
        <v>104</v>
      </c>
    </row>
    <row r="3" spans="1:4" x14ac:dyDescent="0.15">
      <c r="B3" s="34" t="s">
        <v>103</v>
      </c>
      <c r="C3" s="34" t="s">
        <v>75</v>
      </c>
      <c r="D3" s="34" t="s">
        <v>77</v>
      </c>
    </row>
    <row r="4" spans="1:4" x14ac:dyDescent="0.15">
      <c r="A4" s="34">
        <v>1</v>
      </c>
      <c r="B4" s="37">
        <v>1.0000000000000001E-5</v>
      </c>
      <c r="C4" s="38">
        <v>0.02</v>
      </c>
      <c r="D4" s="38">
        <v>0.02</v>
      </c>
    </row>
    <row r="5" spans="1:4" x14ac:dyDescent="0.15">
      <c r="A5" s="34">
        <v>2</v>
      </c>
      <c r="B5" s="37">
        <v>2.0000000000000002E-5</v>
      </c>
      <c r="C5" s="38">
        <v>0.02</v>
      </c>
      <c r="D5" s="38">
        <v>0.02</v>
      </c>
    </row>
    <row r="6" spans="1:4" x14ac:dyDescent="0.15">
      <c r="A6" s="34">
        <v>3</v>
      </c>
      <c r="B6" s="37">
        <v>3.0000000000000001E-5</v>
      </c>
      <c r="C6" s="38">
        <v>0.02</v>
      </c>
      <c r="D6" s="38">
        <v>0.02</v>
      </c>
    </row>
    <row r="7" spans="1:4" x14ac:dyDescent="0.15">
      <c r="A7" s="34">
        <v>4</v>
      </c>
      <c r="B7" s="37">
        <v>4.0000000000000003E-5</v>
      </c>
      <c r="C7" s="38">
        <v>0.02</v>
      </c>
      <c r="D7" s="38">
        <v>0.02</v>
      </c>
    </row>
    <row r="8" spans="1:4" x14ac:dyDescent="0.15">
      <c r="A8" s="34">
        <v>5</v>
      </c>
      <c r="B8" s="37">
        <v>5.0000000000000002E-5</v>
      </c>
      <c r="C8" s="38">
        <v>0.02</v>
      </c>
      <c r="D8" s="38">
        <v>2.1999999999999999E-2</v>
      </c>
    </row>
    <row r="9" spans="1:4" x14ac:dyDescent="0.15">
      <c r="A9" s="34">
        <v>6</v>
      </c>
      <c r="B9" s="37">
        <v>6.0000000000000002E-5</v>
      </c>
      <c r="C9" s="38">
        <v>0.02</v>
      </c>
      <c r="D9" s="38">
        <v>2.8000000000000001E-2</v>
      </c>
    </row>
    <row r="10" spans="1:4" x14ac:dyDescent="0.15">
      <c r="A10" s="34">
        <v>7</v>
      </c>
      <c r="B10" s="37">
        <v>6.9999999999999994E-5</v>
      </c>
      <c r="C10" s="38">
        <v>0.02</v>
      </c>
      <c r="D10" s="38">
        <v>3.4000000000000002E-2</v>
      </c>
    </row>
    <row r="11" spans="1:4" x14ac:dyDescent="0.15">
      <c r="A11" s="34">
        <v>8</v>
      </c>
      <c r="B11" s="37">
        <v>8.0000000000000007E-5</v>
      </c>
      <c r="C11" s="38">
        <v>0.02</v>
      </c>
      <c r="D11" s="38">
        <v>3.9E-2</v>
      </c>
    </row>
    <row r="12" spans="1:4" x14ac:dyDescent="0.15">
      <c r="A12" s="34">
        <v>9</v>
      </c>
      <c r="B12" s="37">
        <v>9.0000000000000006E-5</v>
      </c>
      <c r="C12" s="38">
        <v>0.02</v>
      </c>
      <c r="D12" s="38">
        <v>4.4999999999999998E-2</v>
      </c>
    </row>
    <row r="13" spans="1:4" x14ac:dyDescent="0.15">
      <c r="A13" s="34">
        <v>10</v>
      </c>
      <c r="B13" s="37">
        <v>1E-4</v>
      </c>
      <c r="C13" s="38">
        <v>2.1000000000000001E-2</v>
      </c>
      <c r="D13" s="38">
        <v>0.05</v>
      </c>
    </row>
    <row r="14" spans="1:4" x14ac:dyDescent="0.15">
      <c r="A14" s="34">
        <v>11</v>
      </c>
      <c r="B14" s="37">
        <v>2.0000000000000001E-4</v>
      </c>
      <c r="C14" s="38">
        <v>4.3999999999999997E-2</v>
      </c>
      <c r="D14" s="38">
        <v>9.0999999999999998E-2</v>
      </c>
    </row>
    <row r="15" spans="1:4" x14ac:dyDescent="0.15">
      <c r="A15" s="34">
        <v>12</v>
      </c>
      <c r="B15" s="37">
        <v>2.9999999999999997E-4</v>
      </c>
      <c r="C15" s="38">
        <v>6.2E-2</v>
      </c>
      <c r="D15" s="38">
        <v>0.11799999999999999</v>
      </c>
    </row>
    <row r="16" spans="1:4" x14ac:dyDescent="0.15">
      <c r="A16" s="34">
        <v>13</v>
      </c>
      <c r="B16" s="37">
        <v>4.0000000000000002E-4</v>
      </c>
      <c r="C16" s="38">
        <v>7.6999999999999999E-2</v>
      </c>
      <c r="D16" s="38">
        <v>0.13700000000000001</v>
      </c>
    </row>
    <row r="17" spans="1:23" x14ac:dyDescent="0.15">
      <c r="A17" s="34">
        <v>14</v>
      </c>
      <c r="B17" s="37">
        <v>5.0000000000000001E-4</v>
      </c>
      <c r="C17" s="38">
        <v>8.8999999999999996E-2</v>
      </c>
      <c r="D17" s="38">
        <v>0.151</v>
      </c>
    </row>
    <row r="18" spans="1:23" x14ac:dyDescent="0.15">
      <c r="A18" s="34">
        <v>15</v>
      </c>
      <c r="B18" s="37">
        <v>5.9999999999999995E-4</v>
      </c>
      <c r="C18" s="38">
        <v>0.1</v>
      </c>
      <c r="D18" s="38">
        <v>0.16200000000000001</v>
      </c>
    </row>
    <row r="19" spans="1:23" x14ac:dyDescent="0.15">
      <c r="A19" s="34">
        <v>16</v>
      </c>
      <c r="B19" s="37">
        <v>6.9999999999999999E-4</v>
      </c>
      <c r="C19" s="38">
        <v>0.108</v>
      </c>
      <c r="D19" s="38">
        <v>1.7000000000000001E-2</v>
      </c>
      <c r="E19" s="40"/>
    </row>
    <row r="20" spans="1:23" x14ac:dyDescent="0.15">
      <c r="A20" s="34">
        <v>17</v>
      </c>
      <c r="B20" s="37">
        <v>8.0000000000000004E-4</v>
      </c>
      <c r="C20" s="38">
        <v>0.11600000000000001</v>
      </c>
      <c r="D20" s="38">
        <v>0.17699999999999999</v>
      </c>
    </row>
    <row r="21" spans="1:23" x14ac:dyDescent="0.15">
      <c r="A21" s="34">
        <v>18</v>
      </c>
      <c r="B21" s="37">
        <v>8.9999999999999998E-4</v>
      </c>
      <c r="C21" s="38">
        <v>0.122</v>
      </c>
      <c r="D21" s="38">
        <v>0.184</v>
      </c>
      <c r="W21" s="34">
        <v>2</v>
      </c>
    </row>
    <row r="22" spans="1:23" x14ac:dyDescent="0.15">
      <c r="A22" s="34">
        <v>19</v>
      </c>
      <c r="B22" s="37">
        <v>1E-3</v>
      </c>
      <c r="C22" s="38">
        <v>0.128</v>
      </c>
      <c r="D22" s="38">
        <v>0.189</v>
      </c>
    </row>
    <row r="23" spans="1:23" x14ac:dyDescent="0.15">
      <c r="A23" s="34">
        <v>20</v>
      </c>
      <c r="B23" s="37">
        <v>2E-3</v>
      </c>
      <c r="C23" s="38">
        <v>0.16300000000000001</v>
      </c>
      <c r="D23" s="38">
        <v>0.218</v>
      </c>
    </row>
    <row r="24" spans="1:23" x14ac:dyDescent="0.15">
      <c r="A24" s="34">
        <v>21</v>
      </c>
      <c r="B24" s="37">
        <v>3.0000000000000001E-3</v>
      </c>
      <c r="C24" s="38">
        <v>0.18099999999999999</v>
      </c>
      <c r="D24" s="38">
        <v>0.23100000000000001</v>
      </c>
    </row>
    <row r="25" spans="1:23" x14ac:dyDescent="0.15">
      <c r="A25" s="34">
        <v>22</v>
      </c>
      <c r="B25" s="37">
        <v>4.0000000000000001E-3</v>
      </c>
      <c r="C25" s="38">
        <v>0.192</v>
      </c>
      <c r="D25" s="38">
        <v>0.23899999999999999</v>
      </c>
    </row>
    <row r="26" spans="1:23" x14ac:dyDescent="0.15">
      <c r="A26" s="34">
        <v>23</v>
      </c>
      <c r="B26" s="37">
        <v>5.0000000000000001E-3</v>
      </c>
      <c r="C26" s="38">
        <v>0.19900000000000001</v>
      </c>
      <c r="D26" s="38">
        <v>0.24399999999999999</v>
      </c>
    </row>
    <row r="27" spans="1:23" x14ac:dyDescent="0.15">
      <c r="A27" s="34">
        <v>24</v>
      </c>
      <c r="B27" s="37">
        <v>6.0000000000000001E-3</v>
      </c>
      <c r="C27" s="38">
        <v>0.20499999999999999</v>
      </c>
      <c r="D27" s="38">
        <v>0.248</v>
      </c>
    </row>
    <row r="28" spans="1:23" x14ac:dyDescent="0.15">
      <c r="A28" s="34">
        <v>25</v>
      </c>
      <c r="B28" s="37">
        <v>7.0000000000000001E-3</v>
      </c>
      <c r="C28" s="38">
        <v>0.20899999999999999</v>
      </c>
      <c r="D28" s="38">
        <v>0.251</v>
      </c>
    </row>
    <row r="29" spans="1:23" x14ac:dyDescent="0.15">
      <c r="A29" s="34">
        <v>26</v>
      </c>
      <c r="B29" s="37">
        <v>8.0000000000000002E-3</v>
      </c>
      <c r="C29" s="38">
        <v>0.21299999999999999</v>
      </c>
      <c r="D29" s="38">
        <v>0.254</v>
      </c>
    </row>
    <row r="30" spans="1:23" x14ac:dyDescent="0.15">
      <c r="A30" s="34">
        <v>27</v>
      </c>
      <c r="B30" s="37">
        <v>8.9999999999999993E-3</v>
      </c>
      <c r="C30" s="38">
        <v>0.216</v>
      </c>
      <c r="D30" s="38">
        <v>0.25600000000000001</v>
      </c>
    </row>
    <row r="31" spans="1:23" x14ac:dyDescent="0.15">
      <c r="A31" s="34">
        <v>28</v>
      </c>
      <c r="B31" s="37">
        <v>0.01</v>
      </c>
      <c r="C31" s="38">
        <v>0.218</v>
      </c>
      <c r="D31" s="38">
        <v>0.25700000000000001</v>
      </c>
    </row>
    <row r="32" spans="1:23" x14ac:dyDescent="0.15">
      <c r="A32" s="34">
        <v>29</v>
      </c>
      <c r="B32" s="37">
        <v>0.02</v>
      </c>
      <c r="C32" s="38">
        <v>0.23200000000000001</v>
      </c>
      <c r="D32" s="38">
        <v>0.26600000000000001</v>
      </c>
    </row>
    <row r="33" spans="1:4" x14ac:dyDescent="0.15">
      <c r="A33" s="34">
        <v>30</v>
      </c>
      <c r="B33" s="37">
        <v>0.03</v>
      </c>
      <c r="C33" s="38">
        <v>0.23799999999999999</v>
      </c>
      <c r="D33" s="38">
        <v>0.27</v>
      </c>
    </row>
    <row r="34" spans="1:4" x14ac:dyDescent="0.15">
      <c r="A34" s="34">
        <v>31</v>
      </c>
      <c r="B34" s="37">
        <v>0.04</v>
      </c>
      <c r="C34" s="38">
        <v>0.24199999999999999</v>
      </c>
      <c r="D34" s="38">
        <v>0.27200000000000002</v>
      </c>
    </row>
    <row r="35" spans="1:4" x14ac:dyDescent="0.15">
      <c r="A35" s="34">
        <v>32</v>
      </c>
      <c r="B35" s="37">
        <v>0.05</v>
      </c>
      <c r="C35" s="38">
        <v>0.24399999999999999</v>
      </c>
      <c r="D35" s="38">
        <v>0.27300000000000002</v>
      </c>
    </row>
    <row r="36" spans="1:4" x14ac:dyDescent="0.15">
      <c r="A36" s="34">
        <v>33</v>
      </c>
      <c r="B36" s="37">
        <v>0.06</v>
      </c>
      <c r="C36" s="38">
        <v>0.246</v>
      </c>
      <c r="D36" s="38">
        <v>0.27400000000000002</v>
      </c>
    </row>
    <row r="37" spans="1:4" x14ac:dyDescent="0.15">
      <c r="A37" s="34">
        <v>34</v>
      </c>
      <c r="B37" s="37">
        <v>7.0000000000000007E-2</v>
      </c>
      <c r="C37" s="38">
        <v>0.247</v>
      </c>
      <c r="D37" s="38">
        <v>0.27500000000000002</v>
      </c>
    </row>
    <row r="38" spans="1:4" x14ac:dyDescent="0.15">
      <c r="A38" s="34">
        <v>35</v>
      </c>
      <c r="B38" s="37">
        <v>0.08</v>
      </c>
      <c r="C38" s="38">
        <v>0.248</v>
      </c>
      <c r="D38" s="38">
        <v>0.27600000000000002</v>
      </c>
    </row>
    <row r="39" spans="1:4" x14ac:dyDescent="0.15">
      <c r="A39" s="34">
        <v>36</v>
      </c>
      <c r="B39" s="37">
        <v>0.09</v>
      </c>
      <c r="C39" s="38">
        <v>0.249</v>
      </c>
      <c r="D39" s="38">
        <v>0.27600000000000002</v>
      </c>
    </row>
    <row r="40" spans="1:4" x14ac:dyDescent="0.15">
      <c r="A40" s="34">
        <v>37</v>
      </c>
      <c r="B40" s="37">
        <v>0.1</v>
      </c>
      <c r="C40" s="38">
        <v>0.25</v>
      </c>
      <c r="D40" s="38">
        <v>0.27700000000000002</v>
      </c>
    </row>
    <row r="156" spans="2:32" x14ac:dyDescent="0.15">
      <c r="B156" s="34">
        <v>1.7600000000000002</v>
      </c>
      <c r="C156" s="34">
        <v>99.51954851375919</v>
      </c>
      <c r="D156" s="34">
        <v>0.24327000747807803</v>
      </c>
      <c r="E156" s="34">
        <v>0.1450843381635373</v>
      </c>
      <c r="W156" s="34">
        <v>1</v>
      </c>
      <c r="X156" s="34">
        <v>4.8000000000000007</v>
      </c>
      <c r="Y156" s="34">
        <v>3.2464944277766646E-2</v>
      </c>
      <c r="Z156" s="34">
        <v>1</v>
      </c>
      <c r="AA156" s="34">
        <v>4.8000000000000007</v>
      </c>
      <c r="AB156" s="34">
        <v>3.270658662034201E-2</v>
      </c>
      <c r="AC156" s="34">
        <v>1</v>
      </c>
      <c r="AD156" s="34">
        <v>4.8000000000000007</v>
      </c>
      <c r="AE156" s="34">
        <v>3.2739237942076109E-2</v>
      </c>
      <c r="AF156" s="34">
        <v>1</v>
      </c>
    </row>
    <row r="157" spans="2:32" x14ac:dyDescent="0.15">
      <c r="W157" s="34">
        <v>0.91024733472041108</v>
      </c>
      <c r="X157" s="34">
        <v>12.561413219141674</v>
      </c>
      <c r="Y157" s="34">
        <v>2.9712955623449035E-2</v>
      </c>
      <c r="Z157" s="34">
        <v>0.91523199205974648</v>
      </c>
      <c r="AA157" s="34">
        <v>12.630201490424502</v>
      </c>
      <c r="AB157" s="34">
        <v>2.9954597966024402E-2</v>
      </c>
      <c r="AC157" s="34">
        <v>0.91585827386199958</v>
      </c>
      <c r="AD157" s="34">
        <v>12.638844179295594</v>
      </c>
      <c r="AE157" s="34">
        <v>2.9987249287758498E-2</v>
      </c>
      <c r="AF157" s="34">
        <v>0.91594218963842211</v>
      </c>
    </row>
    <row r="158" spans="2:32" x14ac:dyDescent="0.15">
      <c r="D158" s="34">
        <v>3.073347806930542</v>
      </c>
      <c r="W158" s="34">
        <v>0.56628588602171126</v>
      </c>
      <c r="X158" s="34">
        <v>8.1545167587126421</v>
      </c>
      <c r="Y158" s="34">
        <v>1.880996807268201E-2</v>
      </c>
      <c r="Z158" s="34">
        <v>0.57939320368905933</v>
      </c>
      <c r="AA158" s="34">
        <v>8.3432621331224546</v>
      </c>
      <c r="AB158" s="34">
        <v>1.900841130145433E-2</v>
      </c>
      <c r="AC158" s="34">
        <v>0.58117991712507111</v>
      </c>
      <c r="AD158" s="34">
        <v>8.3689908066010243</v>
      </c>
      <c r="AE158" s="34">
        <v>1.9035635004596711E-2</v>
      </c>
      <c r="AF158" s="34">
        <v>0.58143182924035997</v>
      </c>
    </row>
    <row r="159" spans="2:32" x14ac:dyDescent="0.15">
      <c r="D159" s="34">
        <v>3.8242700694181987E-2</v>
      </c>
      <c r="W159" s="34">
        <v>0.22623023430062861</v>
      </c>
      <c r="X159" s="34">
        <v>2.8505009521879208</v>
      </c>
      <c r="Y159" s="34">
        <v>7.5023952974660989E-3</v>
      </c>
      <c r="Z159" s="34">
        <v>0.23109219696409747</v>
      </c>
      <c r="AA159" s="34">
        <v>2.9117616817476284</v>
      </c>
      <c r="AB159" s="34">
        <v>7.5867105895626374E-3</v>
      </c>
      <c r="AC159" s="34">
        <v>0.23196277488779732</v>
      </c>
      <c r="AD159" s="34">
        <v>2.9227309635862464</v>
      </c>
      <c r="AE159" s="34">
        <v>7.5987023696871452E-3</v>
      </c>
      <c r="AF159" s="34">
        <v>0.23209771660327427</v>
      </c>
    </row>
    <row r="160" spans="2:32" x14ac:dyDescent="0.15">
      <c r="D160" s="34">
        <v>8.7110145640885775E-3</v>
      </c>
      <c r="W160" s="34">
        <v>1.0273224208383999E-3</v>
      </c>
      <c r="X160" s="34">
        <v>7.3967214300364797E-3</v>
      </c>
      <c r="Y160" s="34">
        <v>3.4056264355312767E-5</v>
      </c>
      <c r="Z160" s="34">
        <v>1.0490165658049789E-3</v>
      </c>
      <c r="AA160" s="34">
        <v>7.5529192737958479E-3</v>
      </c>
      <c r="AB160" s="34">
        <v>3.44390912747917E-5</v>
      </c>
      <c r="AC160" s="34">
        <v>1.0529711239684104E-3</v>
      </c>
      <c r="AD160" s="34">
        <v>7.5813920925725548E-3</v>
      </c>
      <c r="AE160" s="34">
        <v>3.4493546481235423E-5</v>
      </c>
      <c r="AF160" s="34">
        <v>1.0535842814137313E-3</v>
      </c>
    </row>
    <row r="161" spans="2:32" x14ac:dyDescent="0.15">
      <c r="W161" s="34">
        <v>21.496657747937331</v>
      </c>
      <c r="Z161" s="34">
        <v>21.866487173933006</v>
      </c>
      <c r="AC161" s="34">
        <v>21.917252164612215</v>
      </c>
      <c r="AF161" s="34">
        <v>21.9243799082052</v>
      </c>
    </row>
    <row r="162" spans="2:32" x14ac:dyDescent="0.15">
      <c r="W162" s="34">
        <v>656.88916434594466</v>
      </c>
      <c r="Z162" s="34">
        <v>667.79352031171038</v>
      </c>
      <c r="AC162" s="34">
        <v>669.33617136013163</v>
      </c>
      <c r="AF162" s="34">
        <v>669.55368418848502</v>
      </c>
    </row>
    <row r="163" spans="2:32" x14ac:dyDescent="0.15">
      <c r="W163" s="34">
        <v>1.1366304407027641</v>
      </c>
      <c r="Z163" s="34">
        <v>1.1369680754662592</v>
      </c>
      <c r="AC163" s="34">
        <v>1.1369746075029485</v>
      </c>
      <c r="AF163" s="34">
        <v>1.1369747459214914</v>
      </c>
    </row>
    <row r="164" spans="2:32" x14ac:dyDescent="0.15">
      <c r="B164" s="34">
        <v>1.7600000000000002</v>
      </c>
      <c r="C164" s="34">
        <v>104.10028570220317</v>
      </c>
      <c r="D164" s="34">
        <v>0.25446736504983003</v>
      </c>
      <c r="E164" s="34">
        <v>0.15543236876311894</v>
      </c>
      <c r="W164" s="34">
        <v>1</v>
      </c>
      <c r="X164" s="34">
        <v>4.8000000000000007</v>
      </c>
      <c r="Y164" s="34">
        <v>3.1406291318233297E-2</v>
      </c>
      <c r="Z164" s="34">
        <v>1</v>
      </c>
      <c r="AA164" s="34">
        <v>4.8000000000000007</v>
      </c>
      <c r="AB164" s="34">
        <v>3.147860392382261E-2</v>
      </c>
      <c r="AC164" s="34">
        <v>1</v>
      </c>
    </row>
    <row r="165" spans="2:32" x14ac:dyDescent="0.15">
      <c r="W165" s="34">
        <v>0.92567896469905864</v>
      </c>
      <c r="X165" s="34">
        <v>12.77436971284701</v>
      </c>
      <c r="Y165" s="34">
        <v>2.9113485851362579E-2</v>
      </c>
      <c r="Z165" s="34">
        <v>0.92699534486137802</v>
      </c>
      <c r="AA165" s="34">
        <v>12.792535759087018</v>
      </c>
      <c r="AB165" s="34">
        <v>2.9185798456951892E-2</v>
      </c>
      <c r="AC165" s="34">
        <v>0.9271630510546387</v>
      </c>
    </row>
    <row r="166" spans="2:32" x14ac:dyDescent="0.15">
      <c r="D166" s="34">
        <v>3.280573844909668</v>
      </c>
      <c r="W166" s="34">
        <v>0.61906951421221135</v>
      </c>
      <c r="X166" s="34">
        <v>8.914601004655843</v>
      </c>
      <c r="Y166" s="34">
        <v>1.9581701303565451E-2</v>
      </c>
      <c r="Z166" s="34">
        <v>0.62349613665453907</v>
      </c>
      <c r="AA166" s="34">
        <v>8.9783443678253629</v>
      </c>
      <c r="AB166" s="34">
        <v>1.9644161217896167E-2</v>
      </c>
      <c r="AC166" s="34">
        <v>0.62404804436164063</v>
      </c>
    </row>
    <row r="167" spans="2:32" x14ac:dyDescent="0.15">
      <c r="D167" s="34">
        <v>3.5253889717487497E-2</v>
      </c>
      <c r="W167" s="34">
        <v>0.23277170041467674</v>
      </c>
      <c r="X167" s="34">
        <v>2.932923425224927</v>
      </c>
      <c r="Y167" s="34">
        <v>7.3521451940478915E-3</v>
      </c>
      <c r="Z167" s="34">
        <v>0.23409784745196946</v>
      </c>
      <c r="AA167" s="34">
        <v>2.9496328778948153</v>
      </c>
      <c r="AB167" s="34">
        <v>7.3767887761037754E-3</v>
      </c>
      <c r="AC167" s="34">
        <v>0.23434294589288043</v>
      </c>
    </row>
    <row r="168" spans="2:32" x14ac:dyDescent="0.15">
      <c r="D168" s="34">
        <v>8.6029650714374642E-3</v>
      </c>
      <c r="W168" s="34">
        <v>1.1183570031967878E-3</v>
      </c>
      <c r="X168" s="34">
        <v>8.0521704230168724E-3</v>
      </c>
      <c r="Y168" s="34">
        <v>3.5323892282517594E-5</v>
      </c>
      <c r="Z168" s="34">
        <v>1.1247393690833494E-3</v>
      </c>
      <c r="AA168" s="34">
        <v>8.0981234574001165E-3</v>
      </c>
      <c r="AB168" s="34">
        <v>3.5442316735762249E-5</v>
      </c>
      <c r="AC168" s="34">
        <v>1.1259176811504003E-3</v>
      </c>
    </row>
    <row r="169" spans="2:32" x14ac:dyDescent="0.15">
      <c r="W169" s="34">
        <v>22.826433621896044</v>
      </c>
      <c r="Z169" s="34">
        <v>22.947095940306536</v>
      </c>
      <c r="AC169" s="34">
        <v>22.962748601419328</v>
      </c>
    </row>
    <row r="170" spans="2:32" x14ac:dyDescent="0.15">
      <c r="W170" s="34">
        <v>724.93939032077742</v>
      </c>
      <c r="Z170" s="34">
        <v>728.72153762540438</v>
      </c>
      <c r="AC170" s="34">
        <v>729.21782354140669</v>
      </c>
    </row>
    <row r="171" spans="2:32" x14ac:dyDescent="0.15">
      <c r="W171" s="34">
        <v>1.1149311346355593</v>
      </c>
      <c r="Z171" s="34">
        <v>1.1149693370068059</v>
      </c>
      <c r="AC171" s="34">
        <v>1.1149699403773952</v>
      </c>
    </row>
    <row r="172" spans="2:32" x14ac:dyDescent="0.15">
      <c r="B172" s="34">
        <v>1.7600000000000002</v>
      </c>
      <c r="C172" s="34">
        <v>106.48277837918658</v>
      </c>
      <c r="D172" s="34">
        <v>0.26029123603801169</v>
      </c>
      <c r="E172" s="34">
        <v>0.15458574556589574</v>
      </c>
      <c r="W172" s="34">
        <v>1</v>
      </c>
      <c r="X172" s="34">
        <v>4.8000000000000007</v>
      </c>
      <c r="Y172" s="34">
        <v>3.0603467475202279E-2</v>
      </c>
      <c r="Z172" s="34">
        <v>1</v>
      </c>
      <c r="AA172" s="34">
        <v>4.8000000000000007</v>
      </c>
      <c r="AB172" s="34">
        <v>3.0623110074404693E-2</v>
      </c>
      <c r="AC172" s="34">
        <v>1</v>
      </c>
    </row>
    <row r="173" spans="2:32" x14ac:dyDescent="0.15">
      <c r="W173" s="34">
        <v>0.92852950214486119</v>
      </c>
      <c r="X173" s="34">
        <v>12.813707129599084</v>
      </c>
      <c r="Y173" s="34">
        <v>2.8426113603369003E-2</v>
      </c>
      <c r="Z173" s="34">
        <v>0.92885270685102705</v>
      </c>
      <c r="AA173" s="34">
        <v>12.818167354544174</v>
      </c>
      <c r="AB173" s="34">
        <v>2.8445756202571417E-2</v>
      </c>
      <c r="AC173" s="34">
        <v>0.92889834290041151</v>
      </c>
    </row>
    <row r="174" spans="2:32" x14ac:dyDescent="0.15">
      <c r="D174" s="34">
        <v>3.3899998664855957</v>
      </c>
      <c r="W174" s="34">
        <v>0.63609039199545581</v>
      </c>
      <c r="X174" s="34">
        <v>9.1597016447345645</v>
      </c>
      <c r="Y174" s="34">
        <v>1.9507386738296304E-2</v>
      </c>
      <c r="Z174" s="34">
        <v>0.63742406817472463</v>
      </c>
      <c r="AA174" s="34">
        <v>9.1789065817160349</v>
      </c>
      <c r="AB174" s="34">
        <v>1.952477089594809E-2</v>
      </c>
      <c r="AC174" s="34">
        <v>0.63758288588288159</v>
      </c>
    </row>
    <row r="175" spans="2:32" x14ac:dyDescent="0.15">
      <c r="D175" s="34">
        <v>3.450671978248062E-2</v>
      </c>
      <c r="W175" s="34">
        <v>0.23228783806020767</v>
      </c>
      <c r="X175" s="34">
        <v>2.926826759558617</v>
      </c>
      <c r="Y175" s="34">
        <v>7.1165308413943112E-3</v>
      </c>
      <c r="Z175" s="34">
        <v>0.23254001681870767</v>
      </c>
      <c r="AA175" s="34">
        <v>2.9300042119157168</v>
      </c>
      <c r="AB175" s="34">
        <v>7.1229626539905831E-3</v>
      </c>
      <c r="AC175" s="34">
        <v>0.23260088987317046</v>
      </c>
    </row>
    <row r="176" spans="2:32" x14ac:dyDescent="0.15">
      <c r="D176" s="34">
        <v>8.3747677972348909E-3</v>
      </c>
      <c r="W176" s="34">
        <v>1.1639017446882281E-3</v>
      </c>
      <c r="X176" s="34">
        <v>8.3800925617552435E-3</v>
      </c>
      <c r="Y176" s="34">
        <v>3.5658370799767474E-5</v>
      </c>
      <c r="Z176" s="34">
        <v>1.1651742021933018E-3</v>
      </c>
      <c r="AA176" s="34">
        <v>8.3892542557917737E-3</v>
      </c>
      <c r="AB176" s="34">
        <v>3.5690600190610996E-5</v>
      </c>
      <c r="AC176" s="34">
        <v>1.1654792770523265E-3</v>
      </c>
    </row>
    <row r="177" spans="2:29" x14ac:dyDescent="0.15">
      <c r="W177" s="34">
        <v>23.204179325396311</v>
      </c>
      <c r="Z177" s="34">
        <v>23.238398422511416</v>
      </c>
      <c r="AC177" s="34">
        <v>23.242841069735277</v>
      </c>
    </row>
    <row r="178" spans="2:29" x14ac:dyDescent="0.15">
      <c r="W178" s="34">
        <v>757.66133553003874</v>
      </c>
      <c r="Z178" s="34">
        <v>758.77351785748397</v>
      </c>
      <c r="AC178" s="34">
        <v>758.91850945280294</v>
      </c>
    </row>
    <row r="179" spans="2:29" x14ac:dyDescent="0.15">
      <c r="W179" s="34">
        <v>1.099576386874225</v>
      </c>
      <c r="Z179" s="34">
        <v>1.0995801092830919</v>
      </c>
      <c r="AC179" s="34">
        <v>1.0995801588688836</v>
      </c>
    </row>
    <row r="180" spans="2:29" x14ac:dyDescent="0.15">
      <c r="B180" s="34">
        <v>1.7600000000000002</v>
      </c>
      <c r="C180" s="34">
        <v>107.06192775934066</v>
      </c>
      <c r="D180" s="34">
        <v>0.26170693452283272</v>
      </c>
      <c r="E180" s="34">
        <v>0.15497988564924883</v>
      </c>
      <c r="W180" s="34">
        <v>1</v>
      </c>
      <c r="X180" s="34">
        <v>4.8000000000000007</v>
      </c>
      <c r="Y180" s="34">
        <v>3.0472242365027484E-2</v>
      </c>
      <c r="Z180" s="34">
        <v>1</v>
      </c>
    </row>
    <row r="181" spans="2:29" x14ac:dyDescent="0.15">
      <c r="W181" s="34">
        <v>0.92901334497129273</v>
      </c>
      <c r="X181" s="34">
        <v>12.82038416060384</v>
      </c>
      <c r="Y181" s="34">
        <v>2.831160353649885E-2</v>
      </c>
      <c r="Z181" s="34">
        <v>0.92909485286162052</v>
      </c>
    </row>
    <row r="182" spans="2:29" x14ac:dyDescent="0.15">
      <c r="D182" s="34">
        <v>3.4167671203613281</v>
      </c>
      <c r="W182" s="34">
        <v>0.64132306614950452</v>
      </c>
      <c r="X182" s="34">
        <v>9.2350521525528659</v>
      </c>
      <c r="Y182" s="34">
        <v>1.9554312782963872E-2</v>
      </c>
      <c r="Z182" s="34">
        <v>0.64170901992450846</v>
      </c>
    </row>
    <row r="183" spans="2:29" x14ac:dyDescent="0.15">
      <c r="D183" s="34">
        <v>3.4265332655437755E-2</v>
      </c>
      <c r="W183" s="34">
        <v>0.23100661643064219</v>
      </c>
      <c r="X183" s="34">
        <v>2.9106833670260919</v>
      </c>
      <c r="Y183" s="34">
        <v>7.0395690159748177E-3</v>
      </c>
      <c r="Z183" s="34">
        <v>0.23101578583051771</v>
      </c>
    </row>
    <row r="184" spans="2:29" x14ac:dyDescent="0.15">
      <c r="D184" s="34">
        <v>8.3373866185769488E-3</v>
      </c>
      <c r="W184" s="34">
        <v>1.1727412951454896E-3</v>
      </c>
      <c r="X184" s="34">
        <v>8.4437373250475251E-3</v>
      </c>
      <c r="Y184" s="34">
        <v>3.5737525978736131E-5</v>
      </c>
      <c r="Z184" s="34">
        <v>1.1727895030052508E-3</v>
      </c>
    </row>
    <row r="185" spans="2:29" x14ac:dyDescent="0.15">
      <c r="W185" s="34">
        <v>23.305356953822432</v>
      </c>
      <c r="Z185" s="34">
        <v>23.314631102258222</v>
      </c>
    </row>
    <row r="186" spans="2:29" x14ac:dyDescent="0.15">
      <c r="W186" s="34">
        <v>764.64862786279082</v>
      </c>
      <c r="Z186" s="34">
        <v>764.95239511354248</v>
      </c>
    </row>
    <row r="187" spans="2:29" x14ac:dyDescent="0.15">
      <c r="W187" s="34">
        <v>1.0969246190072233</v>
      </c>
      <c r="Z187" s="34">
        <v>1.0969249900533058</v>
      </c>
    </row>
    <row r="188" spans="2:29" x14ac:dyDescent="0.15">
      <c r="B188" s="34">
        <v>1.7600000000000002</v>
      </c>
      <c r="C188" s="34">
        <v>107.32789575304969</v>
      </c>
      <c r="D188" s="34">
        <v>0.26235707850745482</v>
      </c>
      <c r="E188" s="34">
        <v>0.15500183012626126</v>
      </c>
      <c r="W188" s="34">
        <v>1</v>
      </c>
      <c r="X188" s="34">
        <v>4.8000000000000007</v>
      </c>
      <c r="Y188" s="34">
        <v>3.0393902570598777E-2</v>
      </c>
      <c r="Z188" s="34">
        <v>1</v>
      </c>
    </row>
    <row r="189" spans="2:29" x14ac:dyDescent="0.15">
      <c r="W189" s="34">
        <v>0.92903148442046768</v>
      </c>
      <c r="X189" s="34">
        <v>12.820634485002454</v>
      </c>
      <c r="Y189" s="34">
        <v>2.8237491000550445E-2</v>
      </c>
      <c r="Z189" s="34">
        <v>0.92905117843819396</v>
      </c>
    </row>
    <row r="190" spans="2:29" x14ac:dyDescent="0.15">
      <c r="D190" s="34">
        <v>3.429081916809082</v>
      </c>
      <c r="W190" s="34">
        <v>0.64293817846375534</v>
      </c>
      <c r="X190" s="34">
        <v>9.2583097698780765</v>
      </c>
      <c r="Y190" s="34">
        <v>1.9544843365937561E-2</v>
      </c>
      <c r="Z190" s="34">
        <v>0.64305145811857867</v>
      </c>
    </row>
    <row r="191" spans="2:29" x14ac:dyDescent="0.15">
      <c r="D191" s="34">
        <v>3.4172282576440359E-2</v>
      </c>
      <c r="W191" s="34">
        <v>0.23002089151760419</v>
      </c>
      <c r="X191" s="34">
        <v>2.898263233121813</v>
      </c>
      <c r="Y191" s="34">
        <v>6.9902995322309045E-3</v>
      </c>
      <c r="Z191" s="34">
        <v>0.22999019346047708</v>
      </c>
    </row>
    <row r="192" spans="2:29" x14ac:dyDescent="0.15">
      <c r="D192" s="34">
        <v>8.3159231521358103E-3</v>
      </c>
      <c r="W192" s="34">
        <v>1.1764072794875548E-3</v>
      </c>
      <c r="X192" s="34">
        <v>8.4701324123103942E-3</v>
      </c>
      <c r="Y192" s="34">
        <v>3.5750866027070181E-5</v>
      </c>
      <c r="Z192" s="34">
        <v>1.1762512544754094E-3</v>
      </c>
    </row>
    <row r="193" spans="2:26" x14ac:dyDescent="0.15">
      <c r="W193" s="34">
        <v>23.32996496297347</v>
      </c>
      <c r="Z193" s="34">
        <v>23.332389756116612</v>
      </c>
    </row>
    <row r="194" spans="2:26" x14ac:dyDescent="0.15">
      <c r="W194" s="34">
        <v>767.54127077569228</v>
      </c>
      <c r="Z194" s="34">
        <v>767.6209776220303</v>
      </c>
    </row>
    <row r="195" spans="2:26" x14ac:dyDescent="0.15">
      <c r="W195" s="34">
        <v>1.0954335445013967</v>
      </c>
      <c r="Z195" s="34">
        <v>1.0954335925452232</v>
      </c>
    </row>
    <row r="196" spans="2:26" x14ac:dyDescent="0.15">
      <c r="B196" s="34">
        <v>1.7600000000000002</v>
      </c>
      <c r="C196" s="34">
        <v>107.43439294787771</v>
      </c>
      <c r="D196" s="34">
        <v>0.26261740498370106</v>
      </c>
      <c r="E196" s="34">
        <v>0.15500804964280965</v>
      </c>
      <c r="W196" s="34">
        <v>1</v>
      </c>
      <c r="X196" s="34">
        <v>4.8000000000000007</v>
      </c>
      <c r="Y196" s="34">
        <v>3.0362429279864791E-2</v>
      </c>
      <c r="Z196" s="34">
        <v>1</v>
      </c>
    </row>
    <row r="197" spans="2:26" x14ac:dyDescent="0.15">
      <c r="W197" s="34">
        <v>0.92900558476832362</v>
      </c>
      <c r="X197" s="34">
        <v>12.820277069802867</v>
      </c>
      <c r="Y197" s="34">
        <v>2.820696714335811E-2</v>
      </c>
      <c r="Z197" s="34">
        <v>0.92900890384498647</v>
      </c>
    </row>
    <row r="198" spans="2:26" x14ac:dyDescent="0.15">
      <c r="D198" s="34">
        <v>3.4340164661407471</v>
      </c>
      <c r="W198" s="34">
        <v>0.64343017399461344</v>
      </c>
      <c r="X198" s="34">
        <v>9.2653945055224334</v>
      </c>
      <c r="Y198" s="34">
        <v>1.9536918892486807E-2</v>
      </c>
      <c r="Z198" s="34">
        <v>0.64345704068689091</v>
      </c>
    </row>
    <row r="199" spans="2:26" x14ac:dyDescent="0.15">
      <c r="D199" s="34">
        <v>3.4135415758398568E-2</v>
      </c>
      <c r="W199" s="34">
        <v>0.22942857585810875</v>
      </c>
      <c r="X199" s="34">
        <v>2.8908000558121705</v>
      </c>
      <c r="Y199" s="34">
        <v>6.9651564605911738E-3</v>
      </c>
      <c r="Z199" s="34">
        <v>0.2294005000848269</v>
      </c>
    </row>
    <row r="200" spans="2:26" x14ac:dyDescent="0.15">
      <c r="D200" s="34">
        <v>8.3072848261155924E-3</v>
      </c>
      <c r="W200" s="34">
        <v>1.1775854879777659E-3</v>
      </c>
      <c r="X200" s="34">
        <v>8.4786155134399157E-3</v>
      </c>
      <c r="Y200" s="34">
        <v>3.5749992981900264E-5</v>
      </c>
      <c r="Z200" s="34">
        <v>1.1774417867679745E-3</v>
      </c>
    </row>
    <row r="201" spans="2:26" x14ac:dyDescent="0.15">
      <c r="W201" s="34">
        <v>23.334985519131287</v>
      </c>
      <c r="Z201" s="34">
        <v>23.335406178249773</v>
      </c>
    </row>
    <row r="202" spans="2:26" x14ac:dyDescent="0.15">
      <c r="W202" s="34">
        <v>768.53516538488111</v>
      </c>
      <c r="Z202" s="34">
        <v>768.54900978133992</v>
      </c>
    </row>
    <row r="203" spans="2:26" x14ac:dyDescent="0.15">
      <c r="W203" s="34">
        <v>1.0948427750921224</v>
      </c>
      <c r="Z203" s="34">
        <v>1.0948427821900193</v>
      </c>
    </row>
    <row r="204" spans="2:26" x14ac:dyDescent="0.15">
      <c r="B204" s="34">
        <v>1.7600000000000002</v>
      </c>
      <c r="C204" s="34">
        <v>107.48040371895814</v>
      </c>
      <c r="D204" s="34">
        <v>0.26272987575745327</v>
      </c>
      <c r="E204" s="34">
        <v>0.15500010934010242</v>
      </c>
      <c r="W204" s="34">
        <v>1</v>
      </c>
      <c r="X204" s="34">
        <v>4.8000000000000007</v>
      </c>
      <c r="Y204" s="34">
        <v>3.0348031318457393E-2</v>
      </c>
      <c r="Z204" s="34">
        <v>1</v>
      </c>
    </row>
    <row r="205" spans="2:26" x14ac:dyDescent="0.15">
      <c r="W205" s="34">
        <v>0.92898322881176765</v>
      </c>
      <c r="X205" s="34">
        <v>12.819968557602394</v>
      </c>
      <c r="Y205" s="34">
        <v>2.819278821780484E-2</v>
      </c>
      <c r="Z205" s="34">
        <v>0.92898244113311712</v>
      </c>
    </row>
    <row r="206" spans="2:26" x14ac:dyDescent="0.15">
      <c r="D206" s="34">
        <v>3.4361491203308105</v>
      </c>
      <c r="W206" s="34">
        <v>0.64355467447721826</v>
      </c>
      <c r="X206" s="34">
        <v>9.2671873124719433</v>
      </c>
      <c r="Y206" s="34">
        <v>1.9530671619712711E-2</v>
      </c>
      <c r="Z206" s="34">
        <v>0.64355646054162119</v>
      </c>
    </row>
    <row r="207" spans="2:26" x14ac:dyDescent="0.15">
      <c r="D207" s="34">
        <v>3.4120634103823586E-2</v>
      </c>
      <c r="W207" s="34">
        <v>0.22909460619649141</v>
      </c>
      <c r="X207" s="34">
        <v>2.8865920380757921</v>
      </c>
      <c r="Y207" s="34">
        <v>6.9519930009572196E-3</v>
      </c>
      <c r="Z207" s="34">
        <v>0.22907558411306506</v>
      </c>
    </row>
    <row r="208" spans="2:26" x14ac:dyDescent="0.15">
      <c r="D208" s="34">
        <v>8.3032621664486661E-3</v>
      </c>
      <c r="W208" s="34">
        <v>1.1779904134525951E-3</v>
      </c>
      <c r="X208" s="34">
        <v>8.4815309768586852E-3</v>
      </c>
      <c r="Y208" s="34">
        <v>3.5746727277271595E-5</v>
      </c>
      <c r="Z208" s="34">
        <v>1.1778927898868604E-3</v>
      </c>
    </row>
    <row r="209" spans="2:26" x14ac:dyDescent="0.15">
      <c r="W209" s="34">
        <v>23.334790155479183</v>
      </c>
      <c r="Z209" s="34">
        <v>23.334693248003489</v>
      </c>
    </row>
    <row r="210" spans="2:26" x14ac:dyDescent="0.15">
      <c r="W210" s="34">
        <v>768.90184904828402</v>
      </c>
      <c r="Z210" s="34">
        <v>768.89865419162288</v>
      </c>
    </row>
    <row r="211" spans="2:26" x14ac:dyDescent="0.15">
      <c r="W211" s="34">
        <v>1.0945771007051142</v>
      </c>
      <c r="Z211" s="34">
        <v>1.094577101893895</v>
      </c>
    </row>
    <row r="212" spans="2:26" x14ac:dyDescent="0.15">
      <c r="B212" s="34">
        <v>1.7600000000000002</v>
      </c>
      <c r="C212" s="34">
        <v>107.50032980180747</v>
      </c>
      <c r="D212" s="34">
        <v>0.26277858395997383</v>
      </c>
      <c r="E212" s="34">
        <v>0.15499240632467781</v>
      </c>
      <c r="W212" s="34">
        <v>1</v>
      </c>
      <c r="X212" s="34">
        <v>4.8000000000000007</v>
      </c>
      <c r="Y212" s="34">
        <v>3.0341539766882891E-2</v>
      </c>
      <c r="Z212" s="34">
        <v>1</v>
      </c>
    </row>
    <row r="213" spans="2:26" x14ac:dyDescent="0.15">
      <c r="W213" s="34">
        <v>0.92896919500189012</v>
      </c>
      <c r="X213" s="34">
        <v>12.819774891026084</v>
      </c>
      <c r="Y213" s="34">
        <v>2.8186316039427138E-2</v>
      </c>
      <c r="Z213" s="34">
        <v>0.92896788547929487</v>
      </c>
    </row>
    <row r="214" spans="2:26" x14ac:dyDescent="0.15">
      <c r="D214" s="34">
        <v>3.4370729923248291</v>
      </c>
      <c r="W214" s="34">
        <v>0.64357001929307667</v>
      </c>
      <c r="X214" s="34">
        <v>9.2674082778203051</v>
      </c>
      <c r="Y214" s="34">
        <v>1.9526795793074668E-2</v>
      </c>
      <c r="Z214" s="34">
        <v>0.6435664090583737</v>
      </c>
    </row>
    <row r="215" spans="2:26" x14ac:dyDescent="0.15">
      <c r="D215" s="34">
        <v>3.4114688703728628E-2</v>
      </c>
      <c r="W215" s="34">
        <v>0.22891287302778265</v>
      </c>
      <c r="X215" s="34">
        <v>2.8843022001500618</v>
      </c>
      <c r="Y215" s="34">
        <v>6.9452217251927389E-3</v>
      </c>
      <c r="Z215" s="34">
        <v>0.22890142618184764</v>
      </c>
    </row>
    <row r="216" spans="2:26" x14ac:dyDescent="0.15">
      <c r="D216" s="34">
        <v>8.3014027783368787E-3</v>
      </c>
      <c r="W216" s="34">
        <v>1.1781141578161081E-3</v>
      </c>
      <c r="X216" s="34">
        <v>8.482421936275979E-3</v>
      </c>
      <c r="Y216" s="34">
        <v>3.5744012687977237E-5</v>
      </c>
      <c r="Z216" s="34">
        <v>1.1780553314895055E-3</v>
      </c>
    </row>
    <row r="217" spans="2:26" x14ac:dyDescent="0.15">
      <c r="W217" s="34">
        <v>23.333665981353661</v>
      </c>
      <c r="Z217" s="34">
        <v>23.333499459284493</v>
      </c>
    </row>
    <row r="218" spans="2:26" x14ac:dyDescent="0.15">
      <c r="W218" s="34">
        <v>769.03044438744564</v>
      </c>
      <c r="Z218" s="34">
        <v>769.02495596203698</v>
      </c>
    </row>
    <row r="219" spans="2:26" x14ac:dyDescent="0.15">
      <c r="W219" s="34">
        <v>1.094459216440081</v>
      </c>
      <c r="Z219" s="34">
        <v>1.094459216578668</v>
      </c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9D06E-C7C5-4841-B5F1-3341FC8BEBD1}">
  <sheetPr codeName="Sheet21"/>
  <dimension ref="C4:J27"/>
  <sheetViews>
    <sheetView topLeftCell="A4" workbookViewId="0">
      <selection activeCell="C12" sqref="C12:H12"/>
    </sheetView>
  </sheetViews>
  <sheetFormatPr defaultRowHeight="12" x14ac:dyDescent="0.15"/>
  <sheetData>
    <row r="4" spans="3:10" ht="13.5" x14ac:dyDescent="0.15">
      <c r="C4" s="60" t="s">
        <v>161</v>
      </c>
      <c r="D4" s="34" t="s">
        <v>51</v>
      </c>
      <c r="E4" s="60" t="s">
        <v>162</v>
      </c>
      <c r="F4" s="60" t="s">
        <v>86</v>
      </c>
      <c r="G4" s="60" t="s">
        <v>128</v>
      </c>
      <c r="H4" s="34"/>
    </row>
    <row r="5" spans="3:10" ht="13.5" x14ac:dyDescent="0.15">
      <c r="C5" s="60">
        <v>6</v>
      </c>
      <c r="D5" s="34"/>
      <c r="E5" s="34">
        <v>0.30877470970153809</v>
      </c>
      <c r="F5" s="34">
        <v>0.10292490571737289</v>
      </c>
      <c r="G5" s="34">
        <v>0.31978106498718262</v>
      </c>
      <c r="H5" s="34"/>
    </row>
    <row r="6" spans="3:10" ht="13.5" x14ac:dyDescent="0.15">
      <c r="C6" s="34" t="s">
        <v>55</v>
      </c>
      <c r="D6" s="34" t="s">
        <v>56</v>
      </c>
      <c r="E6" s="34" t="s">
        <v>57</v>
      </c>
      <c r="F6" s="34" t="s">
        <v>58</v>
      </c>
      <c r="G6" s="34" t="s">
        <v>59</v>
      </c>
      <c r="H6" s="34" t="s">
        <v>60</v>
      </c>
      <c r="J6" s="59" t="s">
        <v>202</v>
      </c>
    </row>
    <row r="7" spans="3:10" ht="13.5" x14ac:dyDescent="0.15">
      <c r="C7" s="34">
        <v>1</v>
      </c>
      <c r="D7" s="34">
        <v>5.5</v>
      </c>
      <c r="E7" s="34">
        <v>1.4</v>
      </c>
      <c r="F7" s="59">
        <v>360</v>
      </c>
      <c r="G7" s="59">
        <v>120</v>
      </c>
      <c r="H7" t="s">
        <v>189</v>
      </c>
    </row>
    <row r="8" spans="3:10" ht="13.5" x14ac:dyDescent="0.15">
      <c r="C8" s="34">
        <v>2</v>
      </c>
      <c r="D8" s="34">
        <v>3.9</v>
      </c>
      <c r="E8" s="34">
        <v>1.5</v>
      </c>
      <c r="F8" s="59">
        <v>680</v>
      </c>
      <c r="G8" s="59">
        <v>210</v>
      </c>
      <c r="H8" t="s">
        <v>189</v>
      </c>
    </row>
    <row r="9" spans="3:10" ht="13.5" x14ac:dyDescent="0.15">
      <c r="C9" s="34">
        <v>3</v>
      </c>
      <c r="D9" s="34">
        <v>4.7</v>
      </c>
      <c r="E9" s="34">
        <v>1.5</v>
      </c>
      <c r="F9" s="59">
        <v>680</v>
      </c>
      <c r="G9" s="59">
        <v>230</v>
      </c>
      <c r="H9" t="s">
        <v>189</v>
      </c>
    </row>
    <row r="10" spans="3:10" ht="13.5" x14ac:dyDescent="0.15">
      <c r="C10" s="34">
        <v>4</v>
      </c>
      <c r="D10" s="34">
        <v>3.1</v>
      </c>
      <c r="E10" s="34">
        <v>2</v>
      </c>
      <c r="F10" s="59">
        <v>1220</v>
      </c>
      <c r="G10" s="59">
        <v>470</v>
      </c>
      <c r="H10" t="s">
        <v>190</v>
      </c>
    </row>
    <row r="11" spans="3:10" ht="13.5" x14ac:dyDescent="0.15">
      <c r="C11" s="34">
        <v>5</v>
      </c>
      <c r="D11" s="34">
        <v>2.4</v>
      </c>
      <c r="E11" s="34">
        <v>1.7</v>
      </c>
      <c r="F11" s="59">
        <v>1220</v>
      </c>
      <c r="G11" s="59">
        <v>380</v>
      </c>
      <c r="H11" t="s">
        <v>189</v>
      </c>
    </row>
    <row r="12" spans="3:10" ht="13.5" x14ac:dyDescent="0.15">
      <c r="C12" s="34">
        <v>6</v>
      </c>
      <c r="D12" s="34">
        <v>5.7</v>
      </c>
      <c r="E12" s="34">
        <v>2.1</v>
      </c>
      <c r="F12" s="59">
        <v>2000</v>
      </c>
      <c r="G12" s="59">
        <v>590</v>
      </c>
      <c r="H12" t="s">
        <v>189</v>
      </c>
    </row>
    <row r="14" spans="3:10" ht="13.5" x14ac:dyDescent="0.15">
      <c r="C14" s="34" t="s">
        <v>55</v>
      </c>
      <c r="D14" s="34" t="s">
        <v>56</v>
      </c>
      <c r="E14" s="34" t="s">
        <v>57</v>
      </c>
      <c r="F14" s="34" t="s">
        <v>58</v>
      </c>
      <c r="G14" s="34" t="s">
        <v>59</v>
      </c>
      <c r="H14" s="34" t="s">
        <v>60</v>
      </c>
    </row>
    <row r="15" spans="3:10" ht="13.5" x14ac:dyDescent="0.15">
      <c r="C15" s="34">
        <v>1</v>
      </c>
      <c r="D15" s="34">
        <v>3</v>
      </c>
      <c r="E15" s="34">
        <v>0.4</v>
      </c>
      <c r="F15" s="59">
        <v>320</v>
      </c>
      <c r="G15" s="59">
        <v>180</v>
      </c>
      <c r="H15" t="s">
        <v>189</v>
      </c>
    </row>
    <row r="16" spans="3:10" ht="13.5" x14ac:dyDescent="0.15">
      <c r="C16" s="34">
        <v>2</v>
      </c>
      <c r="D16" s="34">
        <v>1.2</v>
      </c>
      <c r="E16" s="34">
        <v>2</v>
      </c>
      <c r="F16" s="59">
        <v>1500</v>
      </c>
      <c r="G16" s="59">
        <v>180</v>
      </c>
      <c r="H16" t="s">
        <v>192</v>
      </c>
    </row>
    <row r="17" spans="3:8" ht="13.5" x14ac:dyDescent="0.15">
      <c r="C17" s="34">
        <v>3</v>
      </c>
      <c r="D17" s="34">
        <v>2.2999999999999998</v>
      </c>
      <c r="E17" s="34">
        <v>1.7</v>
      </c>
      <c r="F17" s="59">
        <v>1500</v>
      </c>
      <c r="G17" s="59">
        <v>180</v>
      </c>
      <c r="H17" t="s">
        <v>189</v>
      </c>
    </row>
    <row r="18" spans="3:8" ht="13.5" x14ac:dyDescent="0.15">
      <c r="C18" s="34">
        <v>4</v>
      </c>
      <c r="D18" s="34">
        <v>6.3</v>
      </c>
      <c r="E18" s="34">
        <v>2.1</v>
      </c>
      <c r="F18" s="59">
        <v>1500</v>
      </c>
      <c r="G18" s="59">
        <v>370</v>
      </c>
      <c r="H18" t="s">
        <v>189</v>
      </c>
    </row>
    <row r="19" spans="3:8" ht="13.5" x14ac:dyDescent="0.15">
      <c r="C19" s="34">
        <v>5</v>
      </c>
      <c r="D19" s="34">
        <v>22.8</v>
      </c>
      <c r="E19" s="34">
        <v>1.85</v>
      </c>
      <c r="F19" s="59">
        <v>1780</v>
      </c>
      <c r="G19" s="59">
        <v>500</v>
      </c>
      <c r="H19" t="s">
        <v>189</v>
      </c>
    </row>
    <row r="20" spans="3:8" ht="13.5" x14ac:dyDescent="0.15">
      <c r="C20" s="34"/>
      <c r="D20" s="34"/>
      <c r="E20" s="34"/>
      <c r="F20" s="59"/>
      <c r="G20" s="59"/>
    </row>
    <row r="21" spans="3:8" ht="13.5" x14ac:dyDescent="0.15">
      <c r="C21" s="34" t="s">
        <v>55</v>
      </c>
      <c r="D21" s="34" t="s">
        <v>56</v>
      </c>
      <c r="E21" s="34" t="s">
        <v>57</v>
      </c>
      <c r="F21" s="34" t="s">
        <v>58</v>
      </c>
      <c r="G21" s="34" t="s">
        <v>59</v>
      </c>
      <c r="H21" s="34" t="s">
        <v>60</v>
      </c>
    </row>
    <row r="22" spans="3:8" ht="13.5" x14ac:dyDescent="0.15">
      <c r="C22" s="34">
        <v>1</v>
      </c>
      <c r="D22" s="34">
        <v>6</v>
      </c>
      <c r="E22" s="34">
        <v>1.8</v>
      </c>
      <c r="F22" s="59">
        <v>760</v>
      </c>
      <c r="G22" s="59">
        <v>110</v>
      </c>
      <c r="H22" t="s">
        <v>189</v>
      </c>
    </row>
    <row r="23" spans="3:8" ht="13.5" x14ac:dyDescent="0.15">
      <c r="C23" s="34">
        <v>2</v>
      </c>
      <c r="D23" s="34">
        <v>7</v>
      </c>
      <c r="E23" s="34">
        <v>1.7</v>
      </c>
      <c r="F23" s="59">
        <v>760</v>
      </c>
      <c r="G23" s="59">
        <v>110</v>
      </c>
      <c r="H23" t="s">
        <v>189</v>
      </c>
    </row>
    <row r="24" spans="3:8" ht="13.5" x14ac:dyDescent="0.15">
      <c r="C24" s="34">
        <v>3</v>
      </c>
      <c r="D24" s="34">
        <v>7</v>
      </c>
      <c r="E24" s="34">
        <v>1.6</v>
      </c>
      <c r="F24" s="59">
        <v>1500</v>
      </c>
      <c r="G24" s="59">
        <v>140</v>
      </c>
      <c r="H24" t="s">
        <v>189</v>
      </c>
    </row>
    <row r="25" spans="3:8" ht="13.5" x14ac:dyDescent="0.15">
      <c r="C25" s="34">
        <v>4</v>
      </c>
      <c r="D25" s="34">
        <v>4</v>
      </c>
      <c r="E25" s="34">
        <v>1.9</v>
      </c>
      <c r="F25" s="59">
        <v>1540</v>
      </c>
      <c r="G25" s="59">
        <v>200</v>
      </c>
      <c r="H25" t="s">
        <v>189</v>
      </c>
    </row>
    <row r="26" spans="3:8" ht="13.5" x14ac:dyDescent="0.15">
      <c r="C26" s="34">
        <v>5</v>
      </c>
      <c r="D26" s="34">
        <v>9</v>
      </c>
      <c r="E26" s="34">
        <v>1.8</v>
      </c>
      <c r="F26" s="59">
        <v>1540</v>
      </c>
      <c r="G26" s="59">
        <v>200</v>
      </c>
      <c r="H26" t="s">
        <v>189</v>
      </c>
    </row>
    <row r="27" spans="3:8" ht="13.5" x14ac:dyDescent="0.15">
      <c r="C27" s="34">
        <v>6</v>
      </c>
      <c r="D27" s="59">
        <v>5</v>
      </c>
      <c r="E27" s="59">
        <v>1.8</v>
      </c>
      <c r="F27" s="59">
        <v>1760</v>
      </c>
      <c r="G27" s="59">
        <v>500</v>
      </c>
      <c r="H27" t="s">
        <v>189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T120"/>
  <sheetViews>
    <sheetView zoomScale="90" zoomScaleNormal="90" workbookViewId="0">
      <selection activeCell="L10" sqref="L10"/>
    </sheetView>
  </sheetViews>
  <sheetFormatPr defaultRowHeight="12" x14ac:dyDescent="0.15"/>
  <cols>
    <col min="1" max="1" width="10.7109375" customWidth="1"/>
    <col min="2" max="2" width="17.85546875" customWidth="1"/>
    <col min="3" max="12" width="13.7109375" customWidth="1"/>
    <col min="13" max="20" width="12" customWidth="1"/>
    <col min="22" max="22" width="10.7109375" customWidth="1"/>
  </cols>
  <sheetData>
    <row r="1" spans="1:10" x14ac:dyDescent="0.15">
      <c r="A1" s="2" t="s">
        <v>0</v>
      </c>
      <c r="B1" s="3" t="s">
        <v>19</v>
      </c>
      <c r="C1" t="s">
        <v>20</v>
      </c>
      <c r="D1" t="s">
        <v>21</v>
      </c>
    </row>
    <row r="2" spans="1:10" x14ac:dyDescent="0.15">
      <c r="A2">
        <f>ready!D3</f>
        <v>11</v>
      </c>
      <c r="B2">
        <v>8</v>
      </c>
      <c r="C2">
        <v>80.119102853675827</v>
      </c>
      <c r="D2">
        <v>11.110444117617632</v>
      </c>
      <c r="F2" s="1"/>
      <c r="G2">
        <v>251</v>
      </c>
      <c r="H2" s="1">
        <v>11.110444117617632</v>
      </c>
    </row>
    <row r="3" spans="1:10" x14ac:dyDescent="0.15">
      <c r="B3">
        <v>7</v>
      </c>
      <c r="C3">
        <v>63.671080338341838</v>
      </c>
      <c r="D3">
        <v>17.845372786351231</v>
      </c>
      <c r="G3">
        <v>640</v>
      </c>
      <c r="H3">
        <v>17.845372786351231</v>
      </c>
    </row>
    <row r="4" spans="1:10" x14ac:dyDescent="0.15">
      <c r="B4">
        <v>6</v>
      </c>
      <c r="C4">
        <v>65.129274522900289</v>
      </c>
      <c r="D4">
        <v>23.97779044920199</v>
      </c>
      <c r="G4">
        <v>453.99999999999994</v>
      </c>
      <c r="H4">
        <v>23.97779044920199</v>
      </c>
    </row>
    <row r="5" spans="1:10" x14ac:dyDescent="0.15">
      <c r="B5">
        <v>5</v>
      </c>
      <c r="C5">
        <v>65.843075871984837</v>
      </c>
      <c r="D5">
        <v>29.697878982201836</v>
      </c>
      <c r="G5">
        <v>455</v>
      </c>
      <c r="H5">
        <v>29.697878982201836</v>
      </c>
    </row>
    <row r="6" spans="1:10" x14ac:dyDescent="0.15">
      <c r="B6">
        <v>4</v>
      </c>
      <c r="C6">
        <v>66.51608857255026</v>
      </c>
      <c r="D6">
        <v>37.070330319049027</v>
      </c>
      <c r="G6">
        <v>459.99999999999994</v>
      </c>
      <c r="H6">
        <v>37.070330319049027</v>
      </c>
    </row>
    <row r="7" spans="1:10" x14ac:dyDescent="0.15">
      <c r="B7">
        <v>3</v>
      </c>
      <c r="C7">
        <v>69.146956402033325</v>
      </c>
      <c r="D7">
        <v>44.590929581211803</v>
      </c>
      <c r="G7">
        <v>467</v>
      </c>
      <c r="H7">
        <v>44.590929581211803</v>
      </c>
    </row>
    <row r="8" spans="1:10" x14ac:dyDescent="0.15">
      <c r="B8">
        <v>2</v>
      </c>
      <c r="C8">
        <v>70.085095317973014</v>
      </c>
      <c r="D8">
        <v>44.30362270819527</v>
      </c>
      <c r="G8">
        <v>469</v>
      </c>
      <c r="H8">
        <v>44.30362270819527</v>
      </c>
    </row>
    <row r="9" spans="1:10" x14ac:dyDescent="0.15">
      <c r="B9">
        <v>1</v>
      </c>
      <c r="C9">
        <v>79.813187989782449</v>
      </c>
      <c r="D9">
        <v>27.045139828096424</v>
      </c>
      <c r="G9">
        <v>471</v>
      </c>
      <c r="H9">
        <v>46.243373094764742</v>
      </c>
    </row>
    <row r="10" spans="1:10" x14ac:dyDescent="0.15">
      <c r="G10">
        <v>475</v>
      </c>
      <c r="H10">
        <v>46.243373094764742</v>
      </c>
    </row>
    <row r="11" spans="1:10" x14ac:dyDescent="0.15">
      <c r="G11">
        <v>477</v>
      </c>
      <c r="H11">
        <v>46.243373094764742</v>
      </c>
    </row>
    <row r="12" spans="1:10" x14ac:dyDescent="0.15">
      <c r="G12">
        <v>481</v>
      </c>
      <c r="H12">
        <v>46.243373094764742</v>
      </c>
    </row>
    <row r="13" spans="1:10" x14ac:dyDescent="0.15">
      <c r="B13" t="s">
        <v>40</v>
      </c>
      <c r="C13">
        <v>15.838446617126465</v>
      </c>
      <c r="D13">
        <v>94.01885986328125</v>
      </c>
      <c r="E13">
        <v>248.28547668457031</v>
      </c>
      <c r="F13">
        <v>481.29583740234375</v>
      </c>
      <c r="G13">
        <v>764.60443115234375</v>
      </c>
      <c r="H13">
        <v>1104.74267578125</v>
      </c>
      <c r="I13">
        <v>1533.294189453125</v>
      </c>
      <c r="J13">
        <v>2155.8271484375</v>
      </c>
    </row>
    <row r="14" spans="1:10" x14ac:dyDescent="0.15">
      <c r="B14" t="s">
        <v>41</v>
      </c>
      <c r="C14">
        <v>3.9797545925755857</v>
      </c>
      <c r="D14">
        <v>9.6963322892360306</v>
      </c>
      <c r="E14">
        <v>15.757077034925301</v>
      </c>
      <c r="F14">
        <v>21.938455674963627</v>
      </c>
      <c r="G14">
        <v>27.651481536300071</v>
      </c>
      <c r="H14">
        <v>33.237669529936213</v>
      </c>
      <c r="I14">
        <v>39.157300589457456</v>
      </c>
      <c r="J14">
        <v>46.430885716702626</v>
      </c>
    </row>
    <row r="15" spans="1:10" x14ac:dyDescent="0.15">
      <c r="B15" t="s">
        <v>42</v>
      </c>
      <c r="C15">
        <v>1.5787872980212325</v>
      </c>
      <c r="D15">
        <v>0.64799615076878192</v>
      </c>
      <c r="E15">
        <v>0.39875327042404007</v>
      </c>
      <c r="F15">
        <v>0.28640056041731465</v>
      </c>
      <c r="G15">
        <v>0.22722782472800285</v>
      </c>
      <c r="H15">
        <v>0.18903810311793717</v>
      </c>
      <c r="I15">
        <v>0.16046014167002251</v>
      </c>
      <c r="J15">
        <v>0.13532341464121034</v>
      </c>
    </row>
    <row r="17" spans="2:10" x14ac:dyDescent="0.15">
      <c r="B17" t="s">
        <v>38</v>
      </c>
      <c r="C17">
        <v>0.26897688966861649</v>
      </c>
      <c r="D17">
        <v>0.24298612240839526</v>
      </c>
      <c r="E17">
        <v>0.17398376089926171</v>
      </c>
      <c r="F17">
        <v>0.12354130530655796</v>
      </c>
      <c r="G17">
        <v>8.8656199695021462E-2</v>
      </c>
      <c r="H17">
        <v>5.5328891509888241E-2</v>
      </c>
      <c r="I17">
        <v>3.2323426603992456E-2</v>
      </c>
      <c r="J17">
        <v>1.4203403908266613E-2</v>
      </c>
    </row>
    <row r="19" spans="2:10" x14ac:dyDescent="0.15">
      <c r="B19" t="s">
        <v>37</v>
      </c>
    </row>
    <row r="20" spans="2:10" x14ac:dyDescent="0.15">
      <c r="B20">
        <v>8</v>
      </c>
      <c r="C20">
        <v>5.2075758607676708</v>
      </c>
      <c r="D20">
        <v>-2.3150557442269371</v>
      </c>
      <c r="E20">
        <v>1.2699695904685508</v>
      </c>
      <c r="F20">
        <v>-0.63938097723152909</v>
      </c>
      <c r="G20">
        <v>0.2743475243791012</v>
      </c>
      <c r="H20">
        <v>-9.0280073278495576E-2</v>
      </c>
      <c r="I20">
        <v>1.6557236269420742E-2</v>
      </c>
      <c r="J20">
        <v>-1.2647316384693005E-3</v>
      </c>
    </row>
    <row r="21" spans="2:10" x14ac:dyDescent="0.15">
      <c r="B21">
        <v>7</v>
      </c>
      <c r="C21">
        <v>4.6128006599484168</v>
      </c>
      <c r="D21">
        <v>-0.74548427453433652</v>
      </c>
      <c r="E21">
        <v>-1.0038148417443629</v>
      </c>
      <c r="F21">
        <v>1.5797169262990944</v>
      </c>
      <c r="G21">
        <v>-1.2383166578141258</v>
      </c>
      <c r="H21">
        <v>0.62893317862544795</v>
      </c>
      <c r="I21">
        <v>-0.16651311065602181</v>
      </c>
      <c r="J21">
        <v>1.8396782973939922E-2</v>
      </c>
    </row>
    <row r="22" spans="2:10" x14ac:dyDescent="0.15">
      <c r="B22">
        <v>6</v>
      </c>
      <c r="C22">
        <v>3.9818247606923856</v>
      </c>
      <c r="D22">
        <v>0.48179832625953756</v>
      </c>
      <c r="E22">
        <v>-1.5302170308714798</v>
      </c>
      <c r="F22">
        <v>0.24857803637987982</v>
      </c>
      <c r="G22">
        <v>1.1981040463980503</v>
      </c>
      <c r="H22">
        <v>-1.4023205727965826</v>
      </c>
      <c r="I22">
        <v>0.63044974802041431</v>
      </c>
      <c r="J22">
        <v>-0.11086725444944491</v>
      </c>
    </row>
    <row r="23" spans="2:10" x14ac:dyDescent="0.15">
      <c r="B23">
        <v>5</v>
      </c>
      <c r="C23">
        <v>3.3409217652797745</v>
      </c>
      <c r="D23">
        <v>1.2721581067190622</v>
      </c>
      <c r="E23">
        <v>-0.89000938291721432</v>
      </c>
      <c r="F23">
        <v>-1.0670856502829424</v>
      </c>
      <c r="G23">
        <v>0.5231248867488707</v>
      </c>
      <c r="H23">
        <v>1.2939249161376893</v>
      </c>
      <c r="I23">
        <v>-1.4021015094196556</v>
      </c>
      <c r="J23">
        <v>0.44213716879961218</v>
      </c>
    </row>
    <row r="24" spans="2:10" x14ac:dyDescent="0.15">
      <c r="B24">
        <v>4</v>
      </c>
      <c r="C24">
        <v>2.7061449568319551</v>
      </c>
      <c r="D24">
        <v>1.6451072290589874</v>
      </c>
      <c r="E24">
        <v>0.11681439421531187</v>
      </c>
      <c r="F24">
        <v>-0.99067502884731984</v>
      </c>
      <c r="G24">
        <v>-0.90864942856906905</v>
      </c>
      <c r="H24">
        <v>0.30161023547218724</v>
      </c>
      <c r="I24">
        <v>1.7232262241122311</v>
      </c>
      <c r="J24">
        <v>-1.2246453557687702</v>
      </c>
    </row>
    <row r="25" spans="2:10" x14ac:dyDescent="0.15">
      <c r="B25">
        <v>3</v>
      </c>
      <c r="C25">
        <v>2.1207042672838639</v>
      </c>
      <c r="D25">
        <v>1.6663555103996606</v>
      </c>
      <c r="E25">
        <v>0.87136239108617508</v>
      </c>
      <c r="F25">
        <v>-7.3914375826475726E-2</v>
      </c>
      <c r="G25">
        <v>-0.80905808484314823</v>
      </c>
      <c r="H25">
        <v>-1.0912264071556008</v>
      </c>
      <c r="I25">
        <v>-0.51398224900250655</v>
      </c>
      <c r="J25">
        <v>2.1772880040872424</v>
      </c>
    </row>
    <row r="26" spans="2:10" x14ac:dyDescent="0.15">
      <c r="B26">
        <v>2</v>
      </c>
      <c r="C26">
        <v>1.58191681230839</v>
      </c>
      <c r="D26">
        <v>1.4410744228052521</v>
      </c>
      <c r="E26">
        <v>1.1631623853851216</v>
      </c>
      <c r="F26">
        <v>0.74339312260555057</v>
      </c>
      <c r="G26">
        <v>0.23301128500686763</v>
      </c>
      <c r="H26">
        <v>-0.37974930774329113</v>
      </c>
      <c r="I26">
        <v>-1.1517870238833936</v>
      </c>
      <c r="J26">
        <v>-2.273282989157031</v>
      </c>
    </row>
    <row r="27" spans="2:10" x14ac:dyDescent="0.15"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</row>
    <row r="28" spans="2:10" x14ac:dyDescent="0.15"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31" spans="2:10" x14ac:dyDescent="0.15">
      <c r="B31" t="s">
        <v>39</v>
      </c>
    </row>
    <row r="32" spans="2:10" x14ac:dyDescent="0.15">
      <c r="B32">
        <v>8</v>
      </c>
      <c r="C32">
        <v>1.4007175577426563</v>
      </c>
      <c r="D32">
        <v>-0.5625264184489851</v>
      </c>
      <c r="E32">
        <v>0.22095408557741367</v>
      </c>
      <c r="F32">
        <v>-7.898996051536572E-2</v>
      </c>
      <c r="G32">
        <v>2.4322608907188365E-2</v>
      </c>
      <c r="H32">
        <v>-4.9950963799306417E-3</v>
      </c>
      <c r="I32">
        <v>5.3518661131958317E-4</v>
      </c>
      <c r="J32">
        <v>-1.7963494296743301E-5</v>
      </c>
    </row>
    <row r="33" spans="2:10" x14ac:dyDescent="0.15">
      <c r="B33">
        <v>7</v>
      </c>
      <c r="C33">
        <v>1.2407367741742668</v>
      </c>
      <c r="D33">
        <v>-0.18114233318553402</v>
      </c>
      <c r="E33">
        <v>-0.17464748141318145</v>
      </c>
      <c r="F33">
        <v>0.19516029108985375</v>
      </c>
      <c r="G33">
        <v>-0.1097844489008407</v>
      </c>
      <c r="H33">
        <v>3.4798175607136571E-2</v>
      </c>
      <c r="I33">
        <v>-5.3822743108923954E-3</v>
      </c>
      <c r="J33">
        <v>2.6129693919159098E-4</v>
      </c>
    </row>
    <row r="34" spans="2:10" x14ac:dyDescent="0.15">
      <c r="B34">
        <v>6</v>
      </c>
      <c r="C34">
        <v>1.071018839336521</v>
      </c>
      <c r="D34">
        <v>0.11707030708065995</v>
      </c>
      <c r="E34">
        <v>-0.26623291402312171</v>
      </c>
      <c r="F34">
        <v>3.0709655084911407E-2</v>
      </c>
      <c r="G34">
        <v>0.10621935159287881</v>
      </c>
      <c r="H34">
        <v>-7.7588842834346458E-2</v>
      </c>
      <c r="I34">
        <v>2.0378296157643399E-2</v>
      </c>
      <c r="J34">
        <v>-1.574692395146035E-3</v>
      </c>
    </row>
    <row r="35" spans="2:10" x14ac:dyDescent="0.15">
      <c r="B35">
        <v>5</v>
      </c>
      <c r="C35">
        <v>0.89863074505113738</v>
      </c>
      <c r="D35">
        <v>0.3091167654420704</v>
      </c>
      <c r="E35">
        <v>-0.15484717967556808</v>
      </c>
      <c r="F35">
        <v>-0.13182915410985194</v>
      </c>
      <c r="G35">
        <v>4.6378264425043364E-2</v>
      </c>
      <c r="H35">
        <v>7.1591431306923456E-2</v>
      </c>
      <c r="I35">
        <v>-4.5320725231073278E-2</v>
      </c>
      <c r="J35">
        <v>6.2798527913183466E-3</v>
      </c>
    </row>
    <row r="36" spans="2:10" x14ac:dyDescent="0.15">
      <c r="B36">
        <v>4</v>
      </c>
      <c r="C36">
        <v>0.72789045348107173</v>
      </c>
      <c r="D36">
        <v>0.39973822653506308</v>
      </c>
      <c r="E36">
        <v>2.0323807632748919E-2</v>
      </c>
      <c r="F36">
        <v>-0.12238928619840986</v>
      </c>
      <c r="G36">
        <v>-8.0557405191986522E-2</v>
      </c>
      <c r="H36">
        <v>1.6687759996712494E-2</v>
      </c>
      <c r="I36">
        <v>5.5700576377166758E-2</v>
      </c>
      <c r="J36">
        <v>-1.7394132632366707E-2</v>
      </c>
    </row>
    <row r="37" spans="2:10" x14ac:dyDescent="0.15">
      <c r="B37">
        <v>3</v>
      </c>
      <c r="C37">
        <v>0.57042043772097606</v>
      </c>
      <c r="D37">
        <v>0.4049012640258759</v>
      </c>
      <c r="E37">
        <v>0.15160290590734607</v>
      </c>
      <c r="F37">
        <v>-9.1314784705223053E-3</v>
      </c>
      <c r="G37">
        <v>-7.1728015134725764E-2</v>
      </c>
      <c r="H37">
        <v>-6.037634749423737E-2</v>
      </c>
      <c r="I37">
        <v>-1.6613667501387496E-2</v>
      </c>
      <c r="J37">
        <v>3.0924900946674751E-2</v>
      </c>
    </row>
    <row r="38" spans="2:10" x14ac:dyDescent="0.15">
      <c r="B38">
        <v>2</v>
      </c>
      <c r="C38">
        <v>0.42549906388920333</v>
      </c>
      <c r="D38">
        <v>0.35016108609936453</v>
      </c>
      <c r="E38">
        <v>0.20237136634585989</v>
      </c>
      <c r="F38">
        <v>9.1839756722607802E-2</v>
      </c>
      <c r="G38">
        <v>2.0657895014762416E-2</v>
      </c>
      <c r="H38">
        <v>-2.1011108249083716E-2</v>
      </c>
      <c r="I38">
        <v>-3.7229703329925777E-2</v>
      </c>
      <c r="J38">
        <v>-3.228835649278898E-2</v>
      </c>
    </row>
    <row r="39" spans="2:10" x14ac:dyDescent="0.15">
      <c r="B39">
        <v>1</v>
      </c>
      <c r="C39">
        <v>0.26897688966861649</v>
      </c>
      <c r="D39">
        <v>0.24298612240839526</v>
      </c>
      <c r="E39">
        <v>0.17398376089926171</v>
      </c>
      <c r="F39">
        <v>0.12354130530655796</v>
      </c>
      <c r="G39">
        <v>8.8656199695021462E-2</v>
      </c>
      <c r="H39">
        <v>5.5328891509888241E-2</v>
      </c>
      <c r="I39">
        <v>3.2323426603992456E-2</v>
      </c>
      <c r="J39">
        <v>1.4203403908266613E-2</v>
      </c>
    </row>
    <row r="40" spans="2:10" x14ac:dyDescent="0.15"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3" spans="2:10" x14ac:dyDescent="0.15">
      <c r="C43">
        <v>0.11193416680224606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2:10" x14ac:dyDescent="0.15">
      <c r="C44">
        <v>0</v>
      </c>
      <c r="D44">
        <v>0.11945027827538506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2:10" x14ac:dyDescent="0.15">
      <c r="C45">
        <v>0</v>
      </c>
      <c r="D45">
        <v>0</v>
      </c>
      <c r="E45">
        <v>0.12025785843086682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 x14ac:dyDescent="0.15">
      <c r="C46">
        <v>0</v>
      </c>
      <c r="D46">
        <v>0</v>
      </c>
      <c r="E46">
        <v>0</v>
      </c>
      <c r="F46">
        <v>0.12261303669821622</v>
      </c>
      <c r="G46">
        <v>0</v>
      </c>
      <c r="H46">
        <v>0</v>
      </c>
      <c r="I46">
        <v>0</v>
      </c>
      <c r="J46">
        <v>0</v>
      </c>
    </row>
    <row r="47" spans="2:10" x14ac:dyDescent="0.15">
      <c r="C47">
        <v>0</v>
      </c>
      <c r="D47">
        <v>0</v>
      </c>
      <c r="E47">
        <v>0</v>
      </c>
      <c r="F47">
        <v>0</v>
      </c>
      <c r="G47">
        <v>0.12323808596545922</v>
      </c>
      <c r="H47">
        <v>0</v>
      </c>
      <c r="I47">
        <v>0</v>
      </c>
      <c r="J47">
        <v>0</v>
      </c>
    </row>
    <row r="48" spans="2:10" x14ac:dyDescent="0.15">
      <c r="C48">
        <v>0</v>
      </c>
      <c r="D48">
        <v>0</v>
      </c>
      <c r="E48">
        <v>0</v>
      </c>
      <c r="F48">
        <v>0</v>
      </c>
      <c r="G48">
        <v>0</v>
      </c>
      <c r="H48">
        <v>0.12391157571893943</v>
      </c>
      <c r="I48">
        <v>0</v>
      </c>
      <c r="J48">
        <v>0</v>
      </c>
    </row>
    <row r="49" spans="3:10" x14ac:dyDescent="0.15"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0.12532245404870285</v>
      </c>
      <c r="J49">
        <v>0</v>
      </c>
    </row>
    <row r="50" spans="3:10" x14ac:dyDescent="0.15"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0.11172026603960804</v>
      </c>
    </row>
    <row r="53" spans="3:10" x14ac:dyDescent="0.15">
      <c r="C53">
        <v>71348.762536291688</v>
      </c>
      <c r="D53">
        <v>-44303.622708195267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3:10" x14ac:dyDescent="0.15">
      <c r="C54">
        <v>-44303.622708195267</v>
      </c>
      <c r="D54">
        <v>88894.55228940706</v>
      </c>
      <c r="E54">
        <v>-44590.9295812118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3:10" x14ac:dyDescent="0.15">
      <c r="C55">
        <v>0</v>
      </c>
      <c r="D55">
        <v>-44590.9295812118</v>
      </c>
      <c r="E55">
        <v>81661.259900260833</v>
      </c>
      <c r="F55">
        <v>-37070.330319049026</v>
      </c>
      <c r="G55">
        <v>0</v>
      </c>
      <c r="H55">
        <v>0</v>
      </c>
      <c r="I55">
        <v>0</v>
      </c>
      <c r="J55">
        <v>0</v>
      </c>
    </row>
    <row r="56" spans="3:10" x14ac:dyDescent="0.15">
      <c r="C56">
        <v>0</v>
      </c>
      <c r="D56">
        <v>0</v>
      </c>
      <c r="E56">
        <v>-37070.330319049026</v>
      </c>
      <c r="F56">
        <v>66768.20930125087</v>
      </c>
      <c r="G56">
        <v>-29697.878982201837</v>
      </c>
      <c r="H56">
        <v>0</v>
      </c>
      <c r="I56">
        <v>0</v>
      </c>
      <c r="J56">
        <v>0</v>
      </c>
    </row>
    <row r="57" spans="3:10" x14ac:dyDescent="0.15">
      <c r="C57">
        <v>0</v>
      </c>
      <c r="D57">
        <v>0</v>
      </c>
      <c r="E57">
        <v>0</v>
      </c>
      <c r="F57">
        <v>-29697.878982201837</v>
      </c>
      <c r="G57">
        <v>53675.669431403832</v>
      </c>
      <c r="H57">
        <v>-23977.790449201992</v>
      </c>
      <c r="I57">
        <v>0</v>
      </c>
      <c r="J57">
        <v>0</v>
      </c>
    </row>
    <row r="58" spans="3:10" x14ac:dyDescent="0.15">
      <c r="C58">
        <v>0</v>
      </c>
      <c r="D58">
        <v>0</v>
      </c>
      <c r="E58">
        <v>0</v>
      </c>
      <c r="F58">
        <v>0</v>
      </c>
      <c r="G58">
        <v>-23977.790449201992</v>
      </c>
      <c r="H58">
        <v>41823.16323555322</v>
      </c>
      <c r="I58">
        <v>-17845.372786351232</v>
      </c>
      <c r="J58">
        <v>0</v>
      </c>
    </row>
    <row r="59" spans="3:10" x14ac:dyDescent="0.15">
      <c r="C59">
        <v>0</v>
      </c>
      <c r="D59">
        <v>0</v>
      </c>
      <c r="E59">
        <v>0</v>
      </c>
      <c r="F59">
        <v>0</v>
      </c>
      <c r="G59">
        <v>0</v>
      </c>
      <c r="H59">
        <v>-17845.372786351232</v>
      </c>
      <c r="I59">
        <v>28955.816903968866</v>
      </c>
      <c r="J59">
        <v>-11110.444117617631</v>
      </c>
    </row>
    <row r="60" spans="3:10" x14ac:dyDescent="0.15"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-11110.444117617631</v>
      </c>
      <c r="J60">
        <v>11110.444117617631</v>
      </c>
    </row>
    <row r="63" spans="3:10" x14ac:dyDescent="0.15">
      <c r="C63">
        <v>893.94703223013266</v>
      </c>
      <c r="D63">
        <v>-592.36457229018629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3:10" x14ac:dyDescent="0.15">
      <c r="C64">
        <v>-592.36457229018629</v>
      </c>
      <c r="D64">
        <v>1268.3802723831132</v>
      </c>
      <c r="E64">
        <v>-640.54133051871463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20" x14ac:dyDescent="0.15">
      <c r="C65">
        <v>0</v>
      </c>
      <c r="D65">
        <v>-640.54133051871474</v>
      </c>
      <c r="E65">
        <v>1180.9812629418857</v>
      </c>
      <c r="F65">
        <v>-546.60873803307925</v>
      </c>
      <c r="G65">
        <v>0</v>
      </c>
      <c r="H65">
        <v>0</v>
      </c>
      <c r="I65">
        <v>0</v>
      </c>
      <c r="J65">
        <v>0</v>
      </c>
    </row>
    <row r="66" spans="1:20" x14ac:dyDescent="0.15">
      <c r="C66">
        <v>0</v>
      </c>
      <c r="D66">
        <v>0</v>
      </c>
      <c r="E66">
        <v>-546.60873803307925</v>
      </c>
      <c r="F66">
        <v>1003.7903721356919</v>
      </c>
      <c r="G66">
        <v>-448.75265008292723</v>
      </c>
      <c r="H66">
        <v>0</v>
      </c>
      <c r="I66">
        <v>0</v>
      </c>
      <c r="J66">
        <v>0</v>
      </c>
    </row>
    <row r="67" spans="1:20" x14ac:dyDescent="0.15">
      <c r="C67">
        <v>0</v>
      </c>
      <c r="D67">
        <v>0</v>
      </c>
      <c r="E67">
        <v>0</v>
      </c>
      <c r="F67">
        <v>-448.75265008292723</v>
      </c>
      <c r="G67">
        <v>815.20598362935777</v>
      </c>
      <c r="H67">
        <v>-366.15585636259254</v>
      </c>
      <c r="I67">
        <v>0</v>
      </c>
      <c r="J67">
        <v>0</v>
      </c>
    </row>
    <row r="68" spans="1:20" x14ac:dyDescent="0.15">
      <c r="C68">
        <v>0</v>
      </c>
      <c r="D68">
        <v>0</v>
      </c>
      <c r="E68">
        <v>0</v>
      </c>
      <c r="F68">
        <v>0</v>
      </c>
      <c r="G68">
        <v>-366.1558563625926</v>
      </c>
      <c r="H68">
        <v>642.15613550013768</v>
      </c>
      <c r="I68">
        <v>-277.1190586106095</v>
      </c>
      <c r="J68">
        <v>0</v>
      </c>
    </row>
    <row r="69" spans="1:20" x14ac:dyDescent="0.15">
      <c r="C69">
        <v>0</v>
      </c>
      <c r="D69">
        <v>0</v>
      </c>
      <c r="E69">
        <v>0</v>
      </c>
      <c r="F69">
        <v>0</v>
      </c>
      <c r="G69">
        <v>0</v>
      </c>
      <c r="H69">
        <v>-277.1190586106095</v>
      </c>
      <c r="I69">
        <v>454.77187995084279</v>
      </c>
      <c r="J69">
        <v>-155.55797146389233</v>
      </c>
    </row>
    <row r="70" spans="1:20" x14ac:dyDescent="0.15"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-155.55797146389233</v>
      </c>
      <c r="J70">
        <v>138.67409546396198</v>
      </c>
    </row>
    <row r="72" spans="1:20" x14ac:dyDescent="0.15">
      <c r="C72" t="s">
        <v>31</v>
      </c>
      <c r="M72" t="s">
        <v>32</v>
      </c>
    </row>
    <row r="73" spans="1:20" x14ac:dyDescent="0.15">
      <c r="A73">
        <v>1533.2942257397124</v>
      </c>
      <c r="B73">
        <v>-2.7902744964255353E-9</v>
      </c>
      <c r="C73">
        <v>2155.8271099114409</v>
      </c>
      <c r="D73">
        <v>-1.4416326857132824E-10</v>
      </c>
      <c r="E73">
        <v>5.4665257744184392E-15</v>
      </c>
      <c r="F73">
        <v>1.4381280993279171E-24</v>
      </c>
      <c r="G73">
        <v>1.0111222813149038E-16</v>
      </c>
      <c r="H73">
        <v>1.2493772371469836E-16</v>
      </c>
      <c r="I73">
        <v>6.7483668531354099E-10</v>
      </c>
      <c r="J73">
        <v>0</v>
      </c>
      <c r="M73">
        <v>1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15">
      <c r="A74">
        <v>-2.7902007358153373E-9</v>
      </c>
      <c r="B74">
        <v>15.838446752033366</v>
      </c>
      <c r="C74">
        <v>-1.4420838940920703E-10</v>
      </c>
      <c r="D74">
        <v>1533.2942257397124</v>
      </c>
      <c r="E74">
        <v>1.8468163541938594E-13</v>
      </c>
      <c r="F74">
        <v>1.5081660101343964E-10</v>
      </c>
      <c r="G74">
        <v>3.7997332130866505E-17</v>
      </c>
      <c r="H74">
        <v>1.485184903871462E-18</v>
      </c>
      <c r="I74">
        <v>0</v>
      </c>
      <c r="J74">
        <v>-2.7902744964255353E-9</v>
      </c>
      <c r="M74">
        <v>0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1.8387847178564742E-12</v>
      </c>
    </row>
    <row r="75" spans="1:20" x14ac:dyDescent="0.15">
      <c r="C75">
        <v>-5.7575237343132783E-14</v>
      </c>
      <c r="D75">
        <v>3.710737631095738E-14</v>
      </c>
      <c r="E75">
        <v>1104.742647312127</v>
      </c>
      <c r="F75">
        <v>2.1618682601784511E-13</v>
      </c>
      <c r="G75">
        <v>1.0771844267057883E-18</v>
      </c>
      <c r="H75">
        <v>0</v>
      </c>
      <c r="I75">
        <v>4.2280790629402878E-14</v>
      </c>
      <c r="J75">
        <v>-1.8626620381393278E-10</v>
      </c>
      <c r="M75">
        <v>0</v>
      </c>
      <c r="N75">
        <v>0</v>
      </c>
      <c r="O75">
        <v>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15">
      <c r="C76">
        <v>-2.5541980674251783E-14</v>
      </c>
      <c r="D76">
        <v>1.5068597336981647E-10</v>
      </c>
      <c r="E76">
        <v>9.0301856714229474E-14</v>
      </c>
      <c r="F76">
        <v>764.6044471548314</v>
      </c>
      <c r="G76">
        <v>-4.4886725745549439E-17</v>
      </c>
      <c r="H76">
        <v>4.5718124485360451E-23</v>
      </c>
      <c r="I76">
        <v>-1.4770517812118214E-10</v>
      </c>
      <c r="J76">
        <v>-1.9955793889644683E-13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</row>
    <row r="77" spans="1:20" x14ac:dyDescent="0.15">
      <c r="A77">
        <v>-1.8387847178564742E-12</v>
      </c>
      <c r="C77">
        <v>1.1200294677974257E-14</v>
      </c>
      <c r="D77">
        <v>-8.1815491070367437E-14</v>
      </c>
      <c r="E77">
        <v>-4.9627128504077384E-14</v>
      </c>
      <c r="F77">
        <v>6.3116936713244482E-14</v>
      </c>
      <c r="G77">
        <v>481.2958243620829</v>
      </c>
      <c r="H77">
        <v>-4.4094241675789455E-13</v>
      </c>
      <c r="I77">
        <v>-3.3786792563330348E-24</v>
      </c>
      <c r="J77">
        <v>-1.0799336815161249E-22</v>
      </c>
      <c r="M77">
        <v>0</v>
      </c>
      <c r="N77">
        <v>0</v>
      </c>
      <c r="O77">
        <v>0</v>
      </c>
      <c r="P77">
        <v>0</v>
      </c>
      <c r="Q77">
        <v>1</v>
      </c>
      <c r="R77">
        <v>0</v>
      </c>
      <c r="S77">
        <v>0</v>
      </c>
      <c r="T77">
        <v>0</v>
      </c>
    </row>
    <row r="78" spans="1:20" x14ac:dyDescent="0.15">
      <c r="C78">
        <v>8.1454529281789314E-14</v>
      </c>
      <c r="D78">
        <v>-5.9281720951136487E-15</v>
      </c>
      <c r="E78">
        <v>5.8702412764614918E-14</v>
      </c>
      <c r="F78">
        <v>-9.3438838494529494E-16</v>
      </c>
      <c r="G78">
        <v>-4.6758871151471429E-13</v>
      </c>
      <c r="H78">
        <v>248.28547217485749</v>
      </c>
      <c r="I78">
        <v>1.8295612452888146E-11</v>
      </c>
      <c r="J78">
        <v>7.2299582707479698E-21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0</v>
      </c>
    </row>
    <row r="79" spans="1:20" x14ac:dyDescent="0.15">
      <c r="C79">
        <v>6.7494609148527794E-10</v>
      </c>
      <c r="D79">
        <v>8.6516331023143315E-14</v>
      </c>
      <c r="E79">
        <v>3.3922686048161648E-14</v>
      </c>
      <c r="F79">
        <v>-1.4771216916533376E-10</v>
      </c>
      <c r="G79">
        <v>3.1975343102077994E-14</v>
      </c>
      <c r="H79">
        <v>1.8256121550480749E-11</v>
      </c>
      <c r="I79">
        <v>94.018860828038683</v>
      </c>
      <c r="J79">
        <v>-1.2352973380461766E-15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0</v>
      </c>
    </row>
    <row r="80" spans="1:20" x14ac:dyDescent="0.15">
      <c r="C80">
        <v>5.2220248384180963E-14</v>
      </c>
      <c r="D80">
        <v>-2.7902007358153373E-9</v>
      </c>
      <c r="E80">
        <v>-1.8630516650913317E-10</v>
      </c>
      <c r="F80">
        <v>-1.7524399138181051E-13</v>
      </c>
      <c r="G80">
        <v>5.5604504365229415E-15</v>
      </c>
      <c r="H80">
        <v>-7.3315383529695433E-15</v>
      </c>
      <c r="I80">
        <v>-1.0737661530217426E-14</v>
      </c>
      <c r="J80">
        <v>15.838446752033366</v>
      </c>
      <c r="M80">
        <v>0</v>
      </c>
      <c r="N80">
        <v>-1.8387847178564742E-12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</row>
    <row r="82" spans="1:20" x14ac:dyDescent="0.15">
      <c r="C82" t="s">
        <v>34</v>
      </c>
      <c r="M82" t="s">
        <v>33</v>
      </c>
    </row>
    <row r="83" spans="1:20" x14ac:dyDescent="0.15">
      <c r="A83">
        <v>1</v>
      </c>
      <c r="B83">
        <v>1.8387847178564742E-12</v>
      </c>
      <c r="C83">
        <v>2155.8271099114409</v>
      </c>
      <c r="D83">
        <v>-1.4416326857132824E-10</v>
      </c>
      <c r="E83">
        <v>5.4665257744184392E-15</v>
      </c>
      <c r="F83">
        <v>1.4381280993279171E-24</v>
      </c>
      <c r="G83">
        <v>1.0111222813149038E-16</v>
      </c>
      <c r="H83">
        <v>1.2493772371469836E-16</v>
      </c>
      <c r="I83">
        <v>6.7483668531354099E-10</v>
      </c>
      <c r="J83">
        <v>-2.6508521512519691E-22</v>
      </c>
      <c r="M83">
        <v>1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15">
      <c r="A84">
        <v>-1.8387847178564742E-12</v>
      </c>
      <c r="B84">
        <v>1</v>
      </c>
      <c r="C84">
        <v>-1.4420838940920713E-10</v>
      </c>
      <c r="D84">
        <v>1533.2942257397124</v>
      </c>
      <c r="E84">
        <v>1.8468163576196104E-13</v>
      </c>
      <c r="F84">
        <v>1.5081660101343995E-10</v>
      </c>
      <c r="G84">
        <v>3.7997332120642036E-17</v>
      </c>
      <c r="H84">
        <v>1.4851849173525827E-18</v>
      </c>
      <c r="I84">
        <v>1.9744247927279165E-26</v>
      </c>
      <c r="J84">
        <v>0</v>
      </c>
      <c r="M84">
        <v>0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-1.8387847178564742E-12</v>
      </c>
    </row>
    <row r="85" spans="1:20" x14ac:dyDescent="0.15">
      <c r="C85">
        <v>-5.7575237343132783E-14</v>
      </c>
      <c r="D85">
        <v>3.710737665346083E-14</v>
      </c>
      <c r="E85">
        <v>1104.742647312127</v>
      </c>
      <c r="F85">
        <v>2.1618682601784511E-13</v>
      </c>
      <c r="G85">
        <v>1.0771844267057883E-18</v>
      </c>
      <c r="H85">
        <v>0</v>
      </c>
      <c r="I85">
        <v>4.2280790629402878E-14</v>
      </c>
      <c r="J85">
        <v>-1.862662038139327E-10</v>
      </c>
      <c r="M85">
        <v>0</v>
      </c>
      <c r="N85">
        <v>0</v>
      </c>
      <c r="O85">
        <v>1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15">
      <c r="C86">
        <v>-2.5541980674251783E-14</v>
      </c>
      <c r="D86">
        <v>1.5068597336981683E-10</v>
      </c>
      <c r="E86">
        <v>9.0301856714229474E-14</v>
      </c>
      <c r="F86">
        <v>764.6044471548314</v>
      </c>
      <c r="G86">
        <v>-4.4886725745549439E-17</v>
      </c>
      <c r="H86">
        <v>4.5718124485360451E-23</v>
      </c>
      <c r="I86">
        <v>-1.4770517812118214E-10</v>
      </c>
      <c r="J86">
        <v>-1.9955793861936776E-13</v>
      </c>
      <c r="M86">
        <v>0</v>
      </c>
      <c r="N86">
        <v>0</v>
      </c>
      <c r="O86">
        <v>0</v>
      </c>
      <c r="P86">
        <v>1</v>
      </c>
      <c r="Q86">
        <v>0</v>
      </c>
      <c r="R86">
        <v>0</v>
      </c>
      <c r="S86">
        <v>0</v>
      </c>
      <c r="T86">
        <v>0</v>
      </c>
    </row>
    <row r="87" spans="1:20" x14ac:dyDescent="0.15">
      <c r="A87">
        <v>1</v>
      </c>
      <c r="C87">
        <v>1.1200294677974257E-14</v>
      </c>
      <c r="D87">
        <v>-8.1815491070367437E-14</v>
      </c>
      <c r="E87">
        <v>-4.9627128504077384E-14</v>
      </c>
      <c r="F87">
        <v>6.3116936713244482E-14</v>
      </c>
      <c r="G87">
        <v>481.2958243620829</v>
      </c>
      <c r="H87">
        <v>-4.4094241675789455E-13</v>
      </c>
      <c r="I87">
        <v>-3.3786792563330348E-24</v>
      </c>
      <c r="J87">
        <v>-1.081438092262766E-22</v>
      </c>
      <c r="M87">
        <v>0</v>
      </c>
      <c r="N87">
        <v>0</v>
      </c>
      <c r="O87">
        <v>0</v>
      </c>
      <c r="P87">
        <v>0</v>
      </c>
      <c r="Q87">
        <v>1</v>
      </c>
      <c r="R87">
        <v>0</v>
      </c>
      <c r="S87">
        <v>0</v>
      </c>
      <c r="T87">
        <v>0</v>
      </c>
    </row>
    <row r="88" spans="1:20" x14ac:dyDescent="0.15">
      <c r="A88">
        <v>7</v>
      </c>
      <c r="C88">
        <v>8.1454529281789314E-14</v>
      </c>
      <c r="D88">
        <v>-5.9281720951136487E-15</v>
      </c>
      <c r="E88">
        <v>5.8702412764614918E-14</v>
      </c>
      <c r="F88">
        <v>-9.3438838494529494E-16</v>
      </c>
      <c r="G88">
        <v>-4.6758871151471429E-13</v>
      </c>
      <c r="H88">
        <v>248.28547217485749</v>
      </c>
      <c r="I88">
        <v>1.8295612452888146E-11</v>
      </c>
      <c r="J88">
        <v>7.2299473701157171E-21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0</v>
      </c>
    </row>
    <row r="89" spans="1:20" x14ac:dyDescent="0.15">
      <c r="C89">
        <v>6.7494609148527794E-10</v>
      </c>
      <c r="D89">
        <v>8.6516331023145587E-14</v>
      </c>
      <c r="E89">
        <v>3.3922686048161648E-14</v>
      </c>
      <c r="F89">
        <v>-1.4771216916533376E-10</v>
      </c>
      <c r="G89">
        <v>3.1975343102077994E-14</v>
      </c>
      <c r="H89">
        <v>1.8256121550480749E-11</v>
      </c>
      <c r="I89">
        <v>94.018860828038683</v>
      </c>
      <c r="J89">
        <v>-1.2352973378870917E-15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1</v>
      </c>
      <c r="T89">
        <v>0</v>
      </c>
    </row>
    <row r="90" spans="1:20" x14ac:dyDescent="0.15">
      <c r="C90">
        <v>5.2220248119012778E-14</v>
      </c>
      <c r="D90">
        <v>7.3760610198174112E-14</v>
      </c>
      <c r="E90">
        <v>-1.8630516650913284E-10</v>
      </c>
      <c r="F90">
        <v>-1.7524399110449124E-13</v>
      </c>
      <c r="G90">
        <v>5.5604504365230117E-15</v>
      </c>
      <c r="H90">
        <v>-7.3315383529695402E-15</v>
      </c>
      <c r="I90">
        <v>-1.0737661530217426E-14</v>
      </c>
      <c r="J90">
        <v>15.838446752033366</v>
      </c>
      <c r="M90">
        <v>0</v>
      </c>
      <c r="N90">
        <v>1.8387847178564742E-12</v>
      </c>
      <c r="O90">
        <v>0</v>
      </c>
      <c r="P90">
        <v>0</v>
      </c>
      <c r="Q90">
        <v>0</v>
      </c>
      <c r="R90">
        <v>0</v>
      </c>
      <c r="S90">
        <v>0</v>
      </c>
      <c r="T90">
        <v>1</v>
      </c>
    </row>
    <row r="92" spans="1:20" x14ac:dyDescent="0.15">
      <c r="C92" t="s">
        <v>16</v>
      </c>
      <c r="M92" t="s">
        <v>35</v>
      </c>
    </row>
    <row r="93" spans="1:20" x14ac:dyDescent="0.15">
      <c r="C93">
        <v>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M93">
        <v>0.30060479010280583</v>
      </c>
      <c r="N93">
        <v>0.38244074950915136</v>
      </c>
      <c r="O93">
        <v>0.42471662195645421</v>
      </c>
      <c r="P93">
        <v>0.4472657872409449</v>
      </c>
      <c r="Q93">
        <v>0.41889468817433395</v>
      </c>
      <c r="R93">
        <v>0.35704481043436603</v>
      </c>
      <c r="S93">
        <v>0.25965156300272252</v>
      </c>
      <c r="T93">
        <v>0.11212604189581009</v>
      </c>
    </row>
    <row r="94" spans="1:20" x14ac:dyDescent="0.15">
      <c r="C94">
        <v>0</v>
      </c>
      <c r="D94">
        <v>1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M94">
        <v>-0.64036104390894977</v>
      </c>
      <c r="N94">
        <v>-0.4127735373117809</v>
      </c>
      <c r="O94">
        <v>-0.15113733290075754</v>
      </c>
      <c r="P94">
        <v>9.7660319073107238E-2</v>
      </c>
      <c r="Q94">
        <v>0.2918091444536457</v>
      </c>
      <c r="R94">
        <v>0.38916930569196251</v>
      </c>
      <c r="S94">
        <v>0.3506330555713435</v>
      </c>
      <c r="T94">
        <v>0.16621324881703811</v>
      </c>
    </row>
    <row r="95" spans="1:20" x14ac:dyDescent="0.15">
      <c r="C95">
        <v>0</v>
      </c>
      <c r="D95">
        <v>0</v>
      </c>
      <c r="E95">
        <v>1</v>
      </c>
      <c r="F95">
        <v>0</v>
      </c>
      <c r="G95">
        <v>0</v>
      </c>
      <c r="H95">
        <v>0</v>
      </c>
      <c r="I95">
        <v>0</v>
      </c>
      <c r="J95">
        <v>0</v>
      </c>
      <c r="M95">
        <v>0.60920152499669034</v>
      </c>
      <c r="N95">
        <v>-0.18296224742324863</v>
      </c>
      <c r="O95">
        <v>-0.43138330215384391</v>
      </c>
      <c r="P95">
        <v>-0.33681745212456093</v>
      </c>
      <c r="Q95">
        <v>-2.8819269773403048E-2</v>
      </c>
      <c r="R95">
        <v>0.28958145224669229</v>
      </c>
      <c r="S95">
        <v>0.4027242751183383</v>
      </c>
      <c r="T95">
        <v>0.22132771846639268</v>
      </c>
    </row>
    <row r="96" spans="1:20" x14ac:dyDescent="0.15">
      <c r="C96">
        <v>0</v>
      </c>
      <c r="D96">
        <v>0</v>
      </c>
      <c r="E96">
        <v>0</v>
      </c>
      <c r="F96">
        <v>1</v>
      </c>
      <c r="G96">
        <v>0</v>
      </c>
      <c r="H96">
        <v>0</v>
      </c>
      <c r="I96">
        <v>0</v>
      </c>
      <c r="J96">
        <v>0</v>
      </c>
      <c r="M96">
        <v>-0.33607194461266116</v>
      </c>
      <c r="N96">
        <v>0.60163414775611457</v>
      </c>
      <c r="O96">
        <v>0.11694222594273816</v>
      </c>
      <c r="P96">
        <v>-0.37101208748467457</v>
      </c>
      <c r="Q96">
        <v>-0.37884546412846953</v>
      </c>
      <c r="R96">
        <v>3.807545558931788E-2</v>
      </c>
      <c r="S96">
        <v>0.38995201997541129</v>
      </c>
      <c r="T96">
        <v>0.27700242442604378</v>
      </c>
    </row>
    <row r="97" spans="3:20" x14ac:dyDescent="0.15">
      <c r="C97">
        <v>0</v>
      </c>
      <c r="D97">
        <v>0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M97">
        <v>0.12071761566882511</v>
      </c>
      <c r="N97">
        <v>-0.48703631384576573</v>
      </c>
      <c r="O97">
        <v>0.49914423588227935</v>
      </c>
      <c r="P97">
        <v>0.21251460712614156</v>
      </c>
      <c r="Q97">
        <v>-0.40599609771740597</v>
      </c>
      <c r="R97">
        <v>-0.28862572484073895</v>
      </c>
      <c r="S97">
        <v>0.30001968952845681</v>
      </c>
      <c r="T97">
        <v>0.34024403786095098</v>
      </c>
    </row>
    <row r="98" spans="3:20" x14ac:dyDescent="0.15">
      <c r="C98">
        <v>0</v>
      </c>
      <c r="D98">
        <v>0</v>
      </c>
      <c r="E98">
        <v>0</v>
      </c>
      <c r="F98">
        <v>0</v>
      </c>
      <c r="G98">
        <v>0</v>
      </c>
      <c r="H98">
        <v>1</v>
      </c>
      <c r="I98">
        <v>0</v>
      </c>
      <c r="J98">
        <v>0</v>
      </c>
      <c r="M98">
        <v>-3.0105786717036547E-2</v>
      </c>
      <c r="N98">
        <v>0.21780378732624889</v>
      </c>
      <c r="O98">
        <v>-0.53801868010297593</v>
      </c>
      <c r="P98">
        <v>0.48407316183960292</v>
      </c>
      <c r="Q98">
        <v>9.4062907230219442E-2</v>
      </c>
      <c r="R98">
        <v>-0.49354476243992917</v>
      </c>
      <c r="S98">
        <v>0.11300743545829252</v>
      </c>
      <c r="T98">
        <v>0.40331040423227943</v>
      </c>
    </row>
    <row r="99" spans="3:20" x14ac:dyDescent="0.15"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1</v>
      </c>
      <c r="J99">
        <v>0</v>
      </c>
      <c r="M99">
        <v>4.9393700272525798E-3</v>
      </c>
      <c r="N99">
        <v>-5.6878269535435552E-2</v>
      </c>
      <c r="O99">
        <v>0.2385819283312979</v>
      </c>
      <c r="P99">
        <v>-0.49468777078621473</v>
      </c>
      <c r="Q99">
        <v>0.59104140359157442</v>
      </c>
      <c r="R99">
        <v>-0.32011801700095543</v>
      </c>
      <c r="S99">
        <v>-0.17288734630972993</v>
      </c>
      <c r="T99">
        <v>0.46196062375978603</v>
      </c>
    </row>
    <row r="100" spans="3:20" x14ac:dyDescent="0.15"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</v>
      </c>
      <c r="M100">
        <v>-3.8091229363285638E-4</v>
      </c>
      <c r="N100">
        <v>6.3442854704390617E-3</v>
      </c>
      <c r="O100">
        <v>-3.8416860509588903E-2</v>
      </c>
      <c r="P100">
        <v>0.12294119613073765</v>
      </c>
      <c r="Q100">
        <v>-0.2683460914448178</v>
      </c>
      <c r="R100">
        <v>0.45430420498288848</v>
      </c>
      <c r="S100">
        <v>-0.60225872964268412</v>
      </c>
      <c r="T100">
        <v>0.58502281936738187</v>
      </c>
    </row>
    <row r="102" spans="3:20" x14ac:dyDescent="0.15">
      <c r="C102" t="s">
        <v>36</v>
      </c>
      <c r="M102" t="s">
        <v>17</v>
      </c>
    </row>
    <row r="103" spans="3:20" x14ac:dyDescent="0.15">
      <c r="C103">
        <v>0.30060479010280583</v>
      </c>
      <c r="D103">
        <v>0.38244074950915136</v>
      </c>
      <c r="E103">
        <v>0.42471662195645421</v>
      </c>
      <c r="F103">
        <v>0.4472657872409449</v>
      </c>
      <c r="G103">
        <v>0.41889468817433395</v>
      </c>
      <c r="H103">
        <v>0.35704481043436603</v>
      </c>
      <c r="I103">
        <v>0.25965156300272252</v>
      </c>
      <c r="J103">
        <v>0.11212604189581009</v>
      </c>
      <c r="M103">
        <v>1.0640415021345724E-3</v>
      </c>
      <c r="N103">
        <v>1.3537137230781302E-3</v>
      </c>
      <c r="O103">
        <v>1.5033563246065144E-3</v>
      </c>
      <c r="P103">
        <v>1.5831729093421887E-3</v>
      </c>
      <c r="Q103">
        <v>1.4827486051994594E-3</v>
      </c>
      <c r="R103">
        <v>1.2638205009774075E-3</v>
      </c>
      <c r="S103">
        <v>9.1908062753930033E-4</v>
      </c>
      <c r="T103">
        <v>3.96889091509218E-4</v>
      </c>
    </row>
    <row r="104" spans="3:20" x14ac:dyDescent="0.15">
      <c r="C104">
        <v>-0.64036104390894977</v>
      </c>
      <c r="D104">
        <v>-0.4127735373117809</v>
      </c>
      <c r="E104">
        <v>-0.15113733290075754</v>
      </c>
      <c r="F104">
        <v>9.7660319073107238E-2</v>
      </c>
      <c r="G104">
        <v>0.2918091444536457</v>
      </c>
      <c r="H104">
        <v>0.38916930569196251</v>
      </c>
      <c r="I104">
        <v>0.3506330555713435</v>
      </c>
      <c r="J104">
        <v>0.16621324881703811</v>
      </c>
      <c r="M104">
        <v>-2.4188674465596182E-3</v>
      </c>
      <c r="N104">
        <v>-1.5591899002942681E-3</v>
      </c>
      <c r="O104">
        <v>-5.7089852356082232E-4</v>
      </c>
      <c r="P104">
        <v>3.6889715399388451E-4</v>
      </c>
      <c r="Q104">
        <v>1.1022651156582508E-3</v>
      </c>
      <c r="R104">
        <v>1.4700284686155007E-3</v>
      </c>
      <c r="S104">
        <v>1.3244635848426861E-3</v>
      </c>
      <c r="T104">
        <v>6.2784552648023498E-4</v>
      </c>
    </row>
    <row r="105" spans="3:20" x14ac:dyDescent="0.15">
      <c r="C105">
        <v>0.60920152499669034</v>
      </c>
      <c r="D105">
        <v>-0.18296224742324863</v>
      </c>
      <c r="E105">
        <v>-0.43138330215384391</v>
      </c>
      <c r="F105">
        <v>-0.33681745212456093</v>
      </c>
      <c r="G105">
        <v>-2.8819269773403048E-2</v>
      </c>
      <c r="H105">
        <v>0.28958145224669229</v>
      </c>
      <c r="I105">
        <v>0.4027242751183383</v>
      </c>
      <c r="J105">
        <v>0.22132771846639268</v>
      </c>
      <c r="M105">
        <v>2.3167247984485742E-3</v>
      </c>
      <c r="N105">
        <v>-6.9578482389325372E-4</v>
      </c>
      <c r="O105">
        <v>-1.6405021207750159E-3</v>
      </c>
      <c r="P105">
        <v>-1.2808788420079463E-3</v>
      </c>
      <c r="Q105">
        <v>-1.0959643766089552E-4</v>
      </c>
      <c r="R105">
        <v>1.1012456536354015E-3</v>
      </c>
      <c r="S105">
        <v>1.531515068201691E-3</v>
      </c>
      <c r="T105">
        <v>8.416843900020145E-4</v>
      </c>
    </row>
    <row r="106" spans="3:20" x14ac:dyDescent="0.15">
      <c r="C106">
        <v>-0.33607194461266116</v>
      </c>
      <c r="D106">
        <v>0.60163414775611457</v>
      </c>
      <c r="E106">
        <v>0.11694222594273816</v>
      </c>
      <c r="F106">
        <v>-0.37101208748467457</v>
      </c>
      <c r="G106">
        <v>-0.37884546412846953</v>
      </c>
      <c r="H106">
        <v>3.807545558931788E-2</v>
      </c>
      <c r="I106">
        <v>0.38995201997541129</v>
      </c>
      <c r="J106">
        <v>0.27700242442604378</v>
      </c>
      <c r="M106">
        <v>-1.30307348393433E-3</v>
      </c>
      <c r="N106">
        <v>2.3327549875488368E-3</v>
      </c>
      <c r="O106">
        <v>4.5342765506317271E-4</v>
      </c>
      <c r="P106">
        <v>-1.4385491593998103E-3</v>
      </c>
      <c r="Q106">
        <v>-1.4689220172292977E-3</v>
      </c>
      <c r="R106">
        <v>1.4763242621856782E-4</v>
      </c>
      <c r="S106">
        <v>1.5119861844529736E-3</v>
      </c>
      <c r="T106">
        <v>1.0740394134092866E-3</v>
      </c>
    </row>
    <row r="107" spans="3:20" x14ac:dyDescent="0.15">
      <c r="C107">
        <v>0.12071761566882511</v>
      </c>
      <c r="D107">
        <v>-0.48703631384576573</v>
      </c>
      <c r="E107">
        <v>0.49914423588227935</v>
      </c>
      <c r="F107">
        <v>0.21251460712614156</v>
      </c>
      <c r="G107">
        <v>-0.40599609771740597</v>
      </c>
      <c r="H107">
        <v>-0.28862572484073895</v>
      </c>
      <c r="I107">
        <v>0.30001968952845681</v>
      </c>
      <c r="J107">
        <v>0.34024403786095098</v>
      </c>
      <c r="M107">
        <v>4.7045229723906632E-4</v>
      </c>
      <c r="N107">
        <v>-1.898044054449948E-3</v>
      </c>
      <c r="O107">
        <v>1.9452302062415491E-3</v>
      </c>
      <c r="P107">
        <v>8.2819714890351259E-4</v>
      </c>
      <c r="Q107">
        <v>-1.5822197595853911E-3</v>
      </c>
      <c r="R107">
        <v>-1.124812104193027E-3</v>
      </c>
      <c r="S107">
        <v>1.1692158710525638E-3</v>
      </c>
      <c r="T107">
        <v>1.3259754042252625E-3</v>
      </c>
    </row>
    <row r="108" spans="3:20" x14ac:dyDescent="0.15">
      <c r="C108">
        <v>-3.0105786717036547E-2</v>
      </c>
      <c r="D108">
        <v>0.21780378732624889</v>
      </c>
      <c r="E108">
        <v>-0.53801868010297593</v>
      </c>
      <c r="F108">
        <v>0.48407316183960292</v>
      </c>
      <c r="G108">
        <v>9.4062907230219442E-2</v>
      </c>
      <c r="H108">
        <v>-0.49354476243992917</v>
      </c>
      <c r="I108">
        <v>0.11300743545829252</v>
      </c>
      <c r="J108">
        <v>0.40331040423227943</v>
      </c>
      <c r="M108">
        <v>-1.1796735996192321E-4</v>
      </c>
      <c r="N108">
        <v>8.5344847560638417E-4</v>
      </c>
      <c r="O108">
        <v>-2.1081875022395725E-3</v>
      </c>
      <c r="P108">
        <v>1.8968058688306499E-3</v>
      </c>
      <c r="Q108">
        <v>3.685787367254873E-4</v>
      </c>
      <c r="R108">
        <v>-1.9339196545601544E-3</v>
      </c>
      <c r="S108">
        <v>4.4281150804600033E-4</v>
      </c>
      <c r="T108">
        <v>1.5803428118201103E-3</v>
      </c>
    </row>
    <row r="109" spans="3:20" x14ac:dyDescent="0.15">
      <c r="C109">
        <v>4.9393700272525798E-3</v>
      </c>
      <c r="D109">
        <v>-5.6878269535435552E-2</v>
      </c>
      <c r="E109">
        <v>0.2385819283312979</v>
      </c>
      <c r="F109">
        <v>-0.49468777078621473</v>
      </c>
      <c r="G109">
        <v>0.59104140359157442</v>
      </c>
      <c r="H109">
        <v>-0.32011801700095543</v>
      </c>
      <c r="I109">
        <v>-0.17288734630972993</v>
      </c>
      <c r="J109">
        <v>0.46196062375978603</v>
      </c>
      <c r="M109">
        <v>1.9574940590034759E-5</v>
      </c>
      <c r="N109">
        <v>-2.2541108296748397E-4</v>
      </c>
      <c r="O109">
        <v>9.4551067184144575E-4</v>
      </c>
      <c r="P109">
        <v>-1.9604693858384851E-3</v>
      </c>
      <c r="Q109">
        <v>2.3423230690799595E-3</v>
      </c>
      <c r="R109">
        <v>-1.2686417761819176E-3</v>
      </c>
      <c r="S109">
        <v>-6.8516015485969807E-4</v>
      </c>
      <c r="T109">
        <v>1.8307702632400485E-3</v>
      </c>
    </row>
    <row r="110" spans="3:20" x14ac:dyDescent="0.15">
      <c r="C110">
        <v>-3.8091229363285638E-4</v>
      </c>
      <c r="D110">
        <v>6.3442854704390617E-3</v>
      </c>
      <c r="E110">
        <v>-3.8416860509588903E-2</v>
      </c>
      <c r="F110">
        <v>0.12294119613073765</v>
      </c>
      <c r="G110">
        <v>-0.2683460914448178</v>
      </c>
      <c r="H110">
        <v>0.45430420498288848</v>
      </c>
      <c r="I110">
        <v>-0.60225872964268412</v>
      </c>
      <c r="J110">
        <v>0.58502281936738187</v>
      </c>
      <c r="M110">
        <v>-1.3457269523939934E-6</v>
      </c>
      <c r="N110">
        <v>2.2413757954161803E-5</v>
      </c>
      <c r="O110">
        <v>-1.357231191491659E-4</v>
      </c>
      <c r="P110">
        <v>4.3433956834208873E-4</v>
      </c>
      <c r="Q110">
        <v>-9.4804125218111708E-4</v>
      </c>
      <c r="R110">
        <v>1.6050136040520369E-3</v>
      </c>
      <c r="S110">
        <v>-2.1277228861925554E-3</v>
      </c>
      <c r="T110">
        <v>2.0668300523454149E-3</v>
      </c>
    </row>
    <row r="112" spans="3:20" x14ac:dyDescent="0.15">
      <c r="M112" t="s">
        <v>18</v>
      </c>
    </row>
    <row r="113" spans="13:20" x14ac:dyDescent="0.15"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</row>
    <row r="114" spans="13:20" x14ac:dyDescent="0.15">
      <c r="M114">
        <v>-2.273282989157031</v>
      </c>
      <c r="N114">
        <v>-1.1517870238833936</v>
      </c>
      <c r="O114">
        <v>-0.37974930774329113</v>
      </c>
      <c r="P114">
        <v>0.23301128500686763</v>
      </c>
      <c r="Q114">
        <v>0.74339312260555057</v>
      </c>
      <c r="R114">
        <v>1.1631623853851216</v>
      </c>
      <c r="S114">
        <v>1.4410744228052521</v>
      </c>
      <c r="T114">
        <v>1.58191681230839</v>
      </c>
    </row>
    <row r="115" spans="13:20" x14ac:dyDescent="0.15">
      <c r="M115">
        <v>2.1772880040872424</v>
      </c>
      <c r="N115">
        <v>-0.51398224900250655</v>
      </c>
      <c r="O115">
        <v>-1.0912264071556008</v>
      </c>
      <c r="P115">
        <v>-0.80905808484314823</v>
      </c>
      <c r="Q115">
        <v>-7.3914375826475726E-2</v>
      </c>
      <c r="R115">
        <v>0.87136239108617508</v>
      </c>
      <c r="S115">
        <v>1.6663555103996606</v>
      </c>
      <c r="T115">
        <v>2.1207042672838639</v>
      </c>
    </row>
    <row r="116" spans="13:20" x14ac:dyDescent="0.15">
      <c r="M116">
        <v>-1.2246453557687702</v>
      </c>
      <c r="N116">
        <v>1.7232262241122311</v>
      </c>
      <c r="O116">
        <v>0.30161023547218724</v>
      </c>
      <c r="P116">
        <v>-0.90864942856906905</v>
      </c>
      <c r="Q116">
        <v>-0.99067502884731984</v>
      </c>
      <c r="R116">
        <v>0.11681439421531187</v>
      </c>
      <c r="S116">
        <v>1.6451072290589874</v>
      </c>
      <c r="T116">
        <v>2.7061449568319551</v>
      </c>
    </row>
    <row r="117" spans="13:20" x14ac:dyDescent="0.15">
      <c r="M117">
        <v>0.44213716879961218</v>
      </c>
      <c r="N117">
        <v>-1.4021015094196556</v>
      </c>
      <c r="O117">
        <v>1.2939249161376893</v>
      </c>
      <c r="P117">
        <v>0.5231248867488707</v>
      </c>
      <c r="Q117">
        <v>-1.0670856502829424</v>
      </c>
      <c r="R117">
        <v>-0.89000938291721432</v>
      </c>
      <c r="S117">
        <v>1.2721581067190622</v>
      </c>
      <c r="T117">
        <v>3.3409217652797745</v>
      </c>
    </row>
    <row r="118" spans="13:20" x14ac:dyDescent="0.15">
      <c r="M118">
        <v>-0.11086725444944491</v>
      </c>
      <c r="N118">
        <v>0.63044974802041431</v>
      </c>
      <c r="O118">
        <v>-1.4023205727965826</v>
      </c>
      <c r="P118">
        <v>1.1981040463980503</v>
      </c>
      <c r="Q118">
        <v>0.24857803637987982</v>
      </c>
      <c r="R118">
        <v>-1.5302170308714798</v>
      </c>
      <c r="S118">
        <v>0.48179832625953756</v>
      </c>
      <c r="T118">
        <v>3.9818247606923856</v>
      </c>
    </row>
    <row r="119" spans="13:20" x14ac:dyDescent="0.15">
      <c r="M119">
        <v>1.8396782973939922E-2</v>
      </c>
      <c r="N119">
        <v>-0.16651311065602181</v>
      </c>
      <c r="O119">
        <v>0.62893317862544795</v>
      </c>
      <c r="P119">
        <v>-1.2383166578141258</v>
      </c>
      <c r="Q119">
        <v>1.5797169262990944</v>
      </c>
      <c r="R119">
        <v>-1.0038148417443629</v>
      </c>
      <c r="S119">
        <v>-0.74548427453433652</v>
      </c>
      <c r="T119">
        <v>4.6128006599484168</v>
      </c>
    </row>
    <row r="120" spans="13:20" x14ac:dyDescent="0.15">
      <c r="M120">
        <v>-1.2647316384693005E-3</v>
      </c>
      <c r="N120">
        <v>1.6557236269420742E-2</v>
      </c>
      <c r="O120">
        <v>-9.0280073278495576E-2</v>
      </c>
      <c r="P120">
        <v>0.2743475243791012</v>
      </c>
      <c r="Q120">
        <v>-0.63938097723152909</v>
      </c>
      <c r="R120">
        <v>1.2699695904685508</v>
      </c>
      <c r="S120">
        <v>-2.3150557442269371</v>
      </c>
      <c r="T120">
        <v>5.2075758607676708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let">
                <anchor moveWithCells="1" sizeWithCells="1">
                  <from>
                    <xdr:col>0</xdr:col>
                    <xdr:colOff>123825</xdr:colOff>
                    <xdr:row>16</xdr:row>
                    <xdr:rowOff>66675</xdr:rowOff>
                  </from>
                  <to>
                    <xdr:col>0</xdr:col>
                    <xdr:colOff>600075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trix1">
                <anchor moveWithCells="1" sizeWithCells="1">
                  <from>
                    <xdr:col>0</xdr:col>
                    <xdr:colOff>152400</xdr:colOff>
                    <xdr:row>6</xdr:row>
                    <xdr:rowOff>9525</xdr:rowOff>
                  </from>
                  <to>
                    <xdr:col>0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j_ready">
                <anchor moveWithCells="1" sizeWithCells="1">
                  <from>
                    <xdr:col>0</xdr:col>
                    <xdr:colOff>133350</xdr:colOff>
                    <xdr:row>3</xdr:row>
                    <xdr:rowOff>38100</xdr:rowOff>
                  </from>
                  <to>
                    <xdr:col>0</xdr:col>
                    <xdr:colOff>609600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jacobi1">
                <anchor moveWithCells="1" sizeWithCells="1">
                  <from>
                    <xdr:col>0</xdr:col>
                    <xdr:colOff>152400</xdr:colOff>
                    <xdr:row>9</xdr:row>
                    <xdr:rowOff>0</xdr:rowOff>
                  </from>
                  <to>
                    <xdr:col>0</xdr:col>
                    <xdr:colOff>628650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ready (2)</vt:lpstr>
      <vt:lpstr>earthquake</vt:lpstr>
      <vt:lpstr>ready</vt:lpstr>
      <vt:lpstr>損傷限界固有周期</vt:lpstr>
      <vt:lpstr>pqGs72D</vt:lpstr>
      <vt:lpstr>必要損傷限界耐力</vt:lpstr>
      <vt:lpstr>安全限界固有周期</vt:lpstr>
      <vt:lpstr>pqGs72S</vt:lpstr>
      <vt:lpstr>必要安全限界耐力</vt:lpstr>
      <vt:lpstr>地盤の固有周期</vt:lpstr>
      <vt:lpstr>GS</vt:lpstr>
      <vt:lpstr>stodora</vt:lpstr>
      <vt:lpstr>jacobi2</vt:lpstr>
      <vt:lpstr>ji_zofuku</vt:lpstr>
      <vt:lpstr>安全限界GS</vt:lpstr>
      <vt:lpstr>teigen</vt:lpstr>
      <vt:lpstr>gensui</vt:lpstr>
      <vt:lpstr>地盤データ</vt:lpstr>
      <vt:lpstr>jacobi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Makoto Matsushita</dc:creator>
  <cp:keywords/>
  <dc:description/>
  <cp:lastModifiedBy>Makoto Matsushita</cp:lastModifiedBy>
  <cp:revision/>
  <cp:lastPrinted>2021-05-28T08:25:11Z</cp:lastPrinted>
  <dcterms:created xsi:type="dcterms:W3CDTF">2009-09-11T02:32:46Z</dcterms:created>
  <dcterms:modified xsi:type="dcterms:W3CDTF">2022-03-07T23:24:13Z</dcterms:modified>
  <cp:category/>
  <cp:contentStatus/>
</cp:coreProperties>
</file>