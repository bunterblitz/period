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mc:AlternateContent xmlns:mc="http://schemas.openxmlformats.org/markup-compatibility/2006">
    <mc:Choice Requires="x15">
      <x15ac:absPath xmlns:x15ac="http://schemas.microsoft.com/office/spreadsheetml/2010/11/ac" url="C:\github\period\"/>
    </mc:Choice>
  </mc:AlternateContent>
  <xr:revisionPtr revIDLastSave="0" documentId="8_{C33E597C-520E-41E4-BA10-2576B9DF48B6}" xr6:coauthVersionLast="36" xr6:coauthVersionMax="36" xr10:uidLastSave="{00000000-0000-0000-0000-000000000000}"/>
  <bookViews>
    <workbookView xWindow="-120" yWindow="-120" windowWidth="20730" windowHeight="11160" activeTab="2" xr2:uid="{00000000-000D-0000-FFFF-FFFF00000000}"/>
  </bookViews>
  <sheets>
    <sheet name="ready" sheetId="7" r:id="rId1"/>
    <sheet name="gravity" sheetId="12" r:id="rId2"/>
    <sheet name="jacobi2" sheetId="14" r:id="rId3"/>
    <sheet name="jacobi" sheetId="10" r:id="rId4"/>
    <sheet name="限界耐力１" sheetId="13" r:id="rId5"/>
    <sheet name="限界耐力　原本 (2)" sheetId="5" r:id="rId6"/>
    <sheet name="転倒" sheetId="3" r:id="rId7"/>
    <sheet name="Sheet2" sheetId="2" r:id="rId8"/>
    <sheet name="重力式 (2)" sheetId="11" r:id="rId9"/>
    <sheet name="重力式" sheetId="1" r:id="rId10"/>
  </sheets>
  <functionGroups builtInGroupCount="19"/>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N17" i="14" l="1"/>
  <c r="O17" i="14"/>
  <c r="P17" i="14"/>
  <c r="Q17" i="14"/>
  <c r="R17" i="14"/>
  <c r="S17" i="14"/>
  <c r="T17" i="14"/>
  <c r="N18" i="14"/>
  <c r="O18" i="14"/>
  <c r="P18" i="14"/>
  <c r="Q18" i="14"/>
  <c r="R18" i="14"/>
  <c r="S18" i="14"/>
  <c r="T18" i="14"/>
  <c r="N19" i="14"/>
  <c r="O19" i="14"/>
  <c r="P19" i="14"/>
  <c r="Q19" i="14"/>
  <c r="R19" i="14"/>
  <c r="S19" i="14"/>
  <c r="T19" i="14"/>
  <c r="N20" i="14"/>
  <c r="O20" i="14"/>
  <c r="P20" i="14"/>
  <c r="Q20" i="14"/>
  <c r="R20" i="14"/>
  <c r="S20" i="14"/>
  <c r="T20" i="14"/>
  <c r="N21" i="14"/>
  <c r="O21" i="14"/>
  <c r="P21" i="14"/>
  <c r="Q21" i="14"/>
  <c r="R21" i="14"/>
  <c r="S21" i="14"/>
  <c r="T21" i="14"/>
  <c r="N22" i="14"/>
  <c r="O22" i="14"/>
  <c r="P22" i="14"/>
  <c r="Q22" i="14"/>
  <c r="R22" i="14"/>
  <c r="S22" i="14"/>
  <c r="T22" i="14"/>
  <c r="N23" i="14"/>
  <c r="O23" i="14"/>
  <c r="P23" i="14"/>
  <c r="Q23" i="14"/>
  <c r="R23" i="14"/>
  <c r="S23" i="14"/>
  <c r="T23" i="14"/>
  <c r="N24" i="14"/>
  <c r="O24" i="14"/>
  <c r="P24" i="14"/>
  <c r="Q24" i="14"/>
  <c r="R24" i="14"/>
  <c r="S24" i="14"/>
  <c r="T24" i="14"/>
  <c r="N25" i="14"/>
  <c r="O25" i="14"/>
  <c r="P25" i="14"/>
  <c r="Q25" i="14"/>
  <c r="R25" i="14"/>
  <c r="S25" i="14"/>
  <c r="T25" i="14"/>
  <c r="N26" i="14"/>
  <c r="O26" i="14"/>
  <c r="P26" i="14"/>
  <c r="Q26" i="14"/>
  <c r="R26" i="14"/>
  <c r="S26" i="14"/>
  <c r="T26" i="14"/>
  <c r="N27" i="14"/>
  <c r="O27" i="14"/>
  <c r="P27" i="14"/>
  <c r="Q27" i="14"/>
  <c r="R27" i="14"/>
  <c r="S27" i="14"/>
  <c r="T27" i="14"/>
  <c r="M18" i="14"/>
  <c r="M19" i="14"/>
  <c r="M20" i="14"/>
  <c r="M21" i="14"/>
  <c r="M22" i="14"/>
  <c r="M23" i="14"/>
  <c r="M24" i="14"/>
  <c r="M25" i="14"/>
  <c r="M26" i="14"/>
  <c r="M27" i="14"/>
  <c r="V33" i="14"/>
  <c r="W33" i="14"/>
  <c r="X33" i="14"/>
  <c r="Y33" i="14"/>
  <c r="Z33" i="14"/>
  <c r="AA33" i="14"/>
  <c r="AB33" i="14"/>
  <c r="AC33" i="14"/>
  <c r="V34" i="14"/>
  <c r="W34" i="14"/>
  <c r="X34" i="14"/>
  <c r="Y34" i="14"/>
  <c r="Z34" i="14"/>
  <c r="AA34" i="14"/>
  <c r="AB34" i="14"/>
  <c r="AC34" i="14"/>
  <c r="V35" i="14"/>
  <c r="W35" i="14"/>
  <c r="X35" i="14"/>
  <c r="Y35" i="14"/>
  <c r="Z35" i="14"/>
  <c r="AA35" i="14"/>
  <c r="AB35" i="14"/>
  <c r="AC35" i="14"/>
  <c r="V36" i="14"/>
  <c r="W36" i="14"/>
  <c r="X36" i="14"/>
  <c r="Y36" i="14"/>
  <c r="Z36" i="14"/>
  <c r="AA36" i="14"/>
  <c r="AB36" i="14"/>
  <c r="AC36" i="14"/>
  <c r="V37" i="14"/>
  <c r="W37" i="14"/>
  <c r="X37" i="14"/>
  <c r="Y37" i="14"/>
  <c r="Z37" i="14"/>
  <c r="AA37" i="14"/>
  <c r="AB37" i="14"/>
  <c r="AC37" i="14"/>
  <c r="V38" i="14"/>
  <c r="W38" i="14"/>
  <c r="X38" i="14"/>
  <c r="Y38" i="14"/>
  <c r="Z38" i="14"/>
  <c r="AA38" i="14"/>
  <c r="AB38" i="14"/>
  <c r="AC38" i="14"/>
  <c r="V39" i="14"/>
  <c r="W39" i="14"/>
  <c r="X39" i="14"/>
  <c r="Y39" i="14"/>
  <c r="Z39" i="14"/>
  <c r="AA39" i="14"/>
  <c r="AB39" i="14"/>
  <c r="AC39" i="14"/>
  <c r="W32" i="14"/>
  <c r="X32" i="14"/>
  <c r="Y32" i="14"/>
  <c r="Z32" i="14"/>
  <c r="AA32" i="14"/>
  <c r="AB32" i="14"/>
  <c r="AC32" i="14"/>
  <c r="V32" i="14"/>
  <c r="V14" i="14"/>
  <c r="W14" i="14"/>
  <c r="X14" i="14"/>
  <c r="Y14" i="14"/>
  <c r="Z14" i="14"/>
  <c r="AA14" i="14"/>
  <c r="AB14" i="14"/>
  <c r="AC14" i="14"/>
  <c r="V15" i="14"/>
  <c r="W15" i="14"/>
  <c r="X15" i="14"/>
  <c r="Y15" i="14"/>
  <c r="Z15" i="14"/>
  <c r="AA15" i="14"/>
  <c r="AB15" i="14"/>
  <c r="AC15" i="14"/>
  <c r="V16" i="14"/>
  <c r="W16" i="14"/>
  <c r="X16" i="14"/>
  <c r="Y16" i="14"/>
  <c r="Z16" i="14"/>
  <c r="AA16" i="14"/>
  <c r="AB16" i="14"/>
  <c r="AC16" i="14"/>
  <c r="V17" i="14"/>
  <c r="W17" i="14"/>
  <c r="X17" i="14"/>
  <c r="Y17" i="14"/>
  <c r="Z17" i="14"/>
  <c r="AA17" i="14"/>
  <c r="AB17" i="14"/>
  <c r="AC17" i="14"/>
  <c r="W13" i="14"/>
  <c r="X13" i="14"/>
  <c r="Y13" i="14"/>
  <c r="Z13" i="14"/>
  <c r="AA13" i="14"/>
  <c r="AB13" i="14"/>
  <c r="AC13" i="14"/>
  <c r="V13" i="14"/>
  <c r="AD13" i="14"/>
  <c r="M14" i="14"/>
  <c r="N14" i="14"/>
  <c r="O14" i="14"/>
  <c r="P14" i="14"/>
  <c r="Q14" i="14"/>
  <c r="R14" i="14"/>
  <c r="S14" i="14"/>
  <c r="T14" i="14"/>
  <c r="M15" i="14"/>
  <c r="N15" i="14"/>
  <c r="O15" i="14"/>
  <c r="P15" i="14"/>
  <c r="Q15" i="14"/>
  <c r="R15" i="14"/>
  <c r="S15" i="14"/>
  <c r="T15" i="14"/>
  <c r="M16" i="14"/>
  <c r="N16" i="14"/>
  <c r="O16" i="14"/>
  <c r="P16" i="14"/>
  <c r="Q16" i="14"/>
  <c r="R16" i="14"/>
  <c r="S16" i="14"/>
  <c r="T16" i="14"/>
  <c r="M17" i="14"/>
  <c r="N13" i="14"/>
  <c r="O13" i="14"/>
  <c r="P13" i="14"/>
  <c r="Q13" i="14"/>
  <c r="R13" i="14"/>
  <c r="S13" i="14"/>
  <c r="T13" i="14"/>
  <c r="M13" i="14"/>
  <c r="M33" i="14"/>
  <c r="N33" i="14"/>
  <c r="O33" i="14"/>
  <c r="P33" i="14"/>
  <c r="Q33" i="14"/>
  <c r="R33" i="14"/>
  <c r="S33" i="14"/>
  <c r="T33" i="14"/>
  <c r="M34" i="14"/>
  <c r="N34" i="14"/>
  <c r="O34" i="14"/>
  <c r="P34" i="14"/>
  <c r="Q34" i="14"/>
  <c r="R34" i="14"/>
  <c r="S34" i="14"/>
  <c r="T34" i="14"/>
  <c r="M35" i="14"/>
  <c r="N35" i="14"/>
  <c r="O35" i="14"/>
  <c r="P35" i="14"/>
  <c r="Q35" i="14"/>
  <c r="R35" i="14"/>
  <c r="S35" i="14"/>
  <c r="T35" i="14"/>
  <c r="M36" i="14"/>
  <c r="N36" i="14"/>
  <c r="O36" i="14"/>
  <c r="P36" i="14"/>
  <c r="Q36" i="14"/>
  <c r="R36" i="14"/>
  <c r="S36" i="14"/>
  <c r="T36" i="14"/>
  <c r="M37" i="14"/>
  <c r="N37" i="14"/>
  <c r="O37" i="14"/>
  <c r="P37" i="14"/>
  <c r="Q37" i="14"/>
  <c r="R37" i="14"/>
  <c r="S37" i="14"/>
  <c r="T37" i="14"/>
  <c r="M38" i="14"/>
  <c r="N38" i="14"/>
  <c r="O38" i="14"/>
  <c r="P38" i="14"/>
  <c r="Q38" i="14"/>
  <c r="R38" i="14"/>
  <c r="S38" i="14"/>
  <c r="T38" i="14"/>
  <c r="M39" i="14"/>
  <c r="N39" i="14"/>
  <c r="O39" i="14"/>
  <c r="P39" i="14"/>
  <c r="Q39" i="14"/>
  <c r="R39" i="14"/>
  <c r="S39" i="14"/>
  <c r="T39" i="14"/>
  <c r="N32" i="14"/>
  <c r="O32" i="14"/>
  <c r="P32" i="14"/>
  <c r="Q32" i="14"/>
  <c r="R32" i="14"/>
  <c r="S32" i="14"/>
  <c r="T32" i="14"/>
  <c r="M32" i="14"/>
  <c r="E12" i="12" l="1"/>
  <c r="E13" i="12"/>
  <c r="E14" i="12"/>
  <c r="E11" i="12"/>
  <c r="L15" i="12"/>
  <c r="L14" i="12"/>
  <c r="S54" i="11" l="1"/>
  <c r="D54" i="11"/>
  <c r="B54" i="11"/>
  <c r="AE54" i="11" s="1"/>
  <c r="S53" i="11"/>
  <c r="D53" i="11"/>
  <c r="B53" i="11"/>
  <c r="AE53" i="11" s="1"/>
  <c r="S52" i="11"/>
  <c r="D52" i="11"/>
  <c r="B52" i="11"/>
  <c r="AB52" i="11" s="1"/>
  <c r="S51" i="11"/>
  <c r="D51" i="11"/>
  <c r="B51" i="11"/>
  <c r="AE51" i="11" s="1"/>
  <c r="S50" i="11"/>
  <c r="D50" i="11"/>
  <c r="B50" i="11"/>
  <c r="AE50" i="11" s="1"/>
  <c r="S49" i="11"/>
  <c r="D49" i="11"/>
  <c r="S48" i="11"/>
  <c r="D48" i="11"/>
  <c r="S47" i="11"/>
  <c r="D47" i="11"/>
  <c r="V46" i="11"/>
  <c r="Y46" i="11" s="1"/>
  <c r="P46" i="11"/>
  <c r="G46" i="11"/>
  <c r="J46" i="11" s="1"/>
  <c r="M46" i="11" s="1"/>
  <c r="D46" i="11"/>
  <c r="V45" i="11"/>
  <c r="Y45" i="11" s="1"/>
  <c r="P45" i="11"/>
  <c r="G45" i="11"/>
  <c r="J45" i="11" s="1"/>
  <c r="M45" i="11" s="1"/>
  <c r="D45" i="11"/>
  <c r="V44" i="11"/>
  <c r="Y44" i="11" s="1"/>
  <c r="P44" i="11"/>
  <c r="G44" i="11"/>
  <c r="J44" i="11" s="1"/>
  <c r="M44" i="11" s="1"/>
  <c r="D44" i="11"/>
  <c r="V43" i="11"/>
  <c r="Y43" i="11" s="1"/>
  <c r="P43" i="11"/>
  <c r="G43" i="11"/>
  <c r="J43" i="11" s="1"/>
  <c r="M43" i="11" s="1"/>
  <c r="D43" i="11"/>
  <c r="V42" i="11"/>
  <c r="Y42" i="11" s="1"/>
  <c r="P42" i="11"/>
  <c r="G42" i="11"/>
  <c r="J42" i="11" s="1"/>
  <c r="M42" i="11" s="1"/>
  <c r="D42" i="11"/>
  <c r="V41" i="11"/>
  <c r="Y41" i="11" s="1"/>
  <c r="P41" i="11"/>
  <c r="G41" i="11"/>
  <c r="J41" i="11" s="1"/>
  <c r="M41" i="11" s="1"/>
  <c r="D41" i="11"/>
  <c r="V40" i="11"/>
  <c r="Y40" i="11" s="1"/>
  <c r="P40" i="11"/>
  <c r="G40" i="11"/>
  <c r="J40" i="11" s="1"/>
  <c r="M40" i="11" s="1"/>
  <c r="D40" i="11"/>
  <c r="L35" i="11"/>
  <c r="I35" i="11"/>
  <c r="P54" i="11" s="1"/>
  <c r="D35" i="11"/>
  <c r="G54" i="11" s="1"/>
  <c r="B35" i="11"/>
  <c r="U35" i="11" s="1"/>
  <c r="L34" i="11"/>
  <c r="I34" i="11"/>
  <c r="P53" i="11" s="1"/>
  <c r="D34" i="11"/>
  <c r="G53" i="11" s="1"/>
  <c r="B34" i="11"/>
  <c r="X34" i="11" s="1"/>
  <c r="L33" i="11"/>
  <c r="I33" i="11"/>
  <c r="P52" i="11" s="1"/>
  <c r="D33" i="11"/>
  <c r="G52" i="11" s="1"/>
  <c r="B33" i="11"/>
  <c r="U33" i="11" s="1"/>
  <c r="L32" i="11"/>
  <c r="I32" i="11"/>
  <c r="P51" i="11" s="1"/>
  <c r="D32" i="11"/>
  <c r="G51" i="11" s="1"/>
  <c r="B32" i="11"/>
  <c r="U32" i="11" s="1"/>
  <c r="L31" i="11"/>
  <c r="I31" i="11"/>
  <c r="P50" i="11" s="1"/>
  <c r="D31" i="11"/>
  <c r="G50" i="11" s="1"/>
  <c r="B31" i="11"/>
  <c r="U31" i="11" s="1"/>
  <c r="L30" i="11"/>
  <c r="I30" i="11"/>
  <c r="P49" i="11" s="1"/>
  <c r="D30" i="11"/>
  <c r="G49" i="11" s="1"/>
  <c r="B30" i="11"/>
  <c r="X30" i="11" s="1"/>
  <c r="L29" i="11"/>
  <c r="I29" i="11"/>
  <c r="P48" i="11" s="1"/>
  <c r="D29" i="11"/>
  <c r="G48" i="11" s="1"/>
  <c r="B29" i="11"/>
  <c r="U29" i="11" s="1"/>
  <c r="L28" i="11"/>
  <c r="I28" i="11"/>
  <c r="P47" i="11" s="1"/>
  <c r="D28" i="11"/>
  <c r="G47" i="11" s="1"/>
  <c r="B28" i="11"/>
  <c r="O27" i="11"/>
  <c r="R27" i="11" s="1"/>
  <c r="E27" i="11"/>
  <c r="F27" i="11" s="1"/>
  <c r="B27" i="11"/>
  <c r="B46" i="11" s="1"/>
  <c r="O26" i="11"/>
  <c r="R26" i="11" s="1"/>
  <c r="E26" i="11"/>
  <c r="F26" i="11" s="1"/>
  <c r="B26" i="11"/>
  <c r="B45" i="11" s="1"/>
  <c r="O25" i="11"/>
  <c r="R25" i="11" s="1"/>
  <c r="E25" i="11"/>
  <c r="F25" i="11" s="1"/>
  <c r="B25" i="11"/>
  <c r="X25" i="11" s="1"/>
  <c r="O24" i="11"/>
  <c r="R24" i="11" s="1"/>
  <c r="E24" i="11"/>
  <c r="F24" i="11" s="1"/>
  <c r="B24" i="11"/>
  <c r="X24" i="11" s="1"/>
  <c r="O23" i="11"/>
  <c r="R23" i="11" s="1"/>
  <c r="E23" i="11"/>
  <c r="F23" i="11" s="1"/>
  <c r="B23" i="11"/>
  <c r="B42" i="11" s="1"/>
  <c r="O22" i="11"/>
  <c r="R22" i="11" s="1"/>
  <c r="E22" i="11"/>
  <c r="F22" i="11" s="1"/>
  <c r="B22" i="11"/>
  <c r="B41" i="11" s="1"/>
  <c r="O21" i="11"/>
  <c r="R21" i="11" s="1"/>
  <c r="E21" i="11"/>
  <c r="F21" i="11" s="1"/>
  <c r="B21" i="11"/>
  <c r="X21" i="11" s="1"/>
  <c r="AD17" i="11"/>
  <c r="AD16" i="11"/>
  <c r="I14" i="11"/>
  <c r="Y13" i="11" s="1"/>
  <c r="AD13" i="11" s="1"/>
  <c r="A2" i="10"/>
  <c r="V48" i="11" l="1"/>
  <c r="V49" i="11"/>
  <c r="V53" i="11"/>
  <c r="AE52" i="11"/>
  <c r="AB50" i="11"/>
  <c r="O33" i="11"/>
  <c r="O35" i="11"/>
  <c r="U22" i="11"/>
  <c r="X22" i="11"/>
  <c r="J48" i="11"/>
  <c r="M48" i="11" s="1"/>
  <c r="X27" i="11"/>
  <c r="O29" i="11"/>
  <c r="U25" i="11"/>
  <c r="X31" i="11"/>
  <c r="X33" i="11"/>
  <c r="E31" i="11"/>
  <c r="F31" i="11" s="1"/>
  <c r="O32" i="11"/>
  <c r="B44" i="11"/>
  <c r="AB44" i="11" s="1"/>
  <c r="U26" i="11"/>
  <c r="E33" i="11"/>
  <c r="F33" i="11" s="1"/>
  <c r="X29" i="11"/>
  <c r="X35" i="11"/>
  <c r="AB51" i="11"/>
  <c r="J50" i="11"/>
  <c r="M50" i="11" s="1"/>
  <c r="X26" i="11"/>
  <c r="O34" i="11"/>
  <c r="AG17" i="11"/>
  <c r="X23" i="11"/>
  <c r="O31" i="11"/>
  <c r="V52" i="11"/>
  <c r="J47" i="11"/>
  <c r="M47" i="11" s="1"/>
  <c r="O30" i="11"/>
  <c r="E35" i="11"/>
  <c r="F35" i="11" s="1"/>
  <c r="V54" i="11"/>
  <c r="J51" i="11"/>
  <c r="M51" i="11" s="1"/>
  <c r="J53" i="11"/>
  <c r="M53" i="11" s="1"/>
  <c r="V51" i="11"/>
  <c r="AE42" i="11"/>
  <c r="AB42" i="11"/>
  <c r="AE41" i="11"/>
  <c r="AB41" i="11"/>
  <c r="J52" i="11"/>
  <c r="M52" i="11" s="1"/>
  <c r="AE46" i="11"/>
  <c r="AB46" i="11"/>
  <c r="J49" i="11"/>
  <c r="M49" i="11" s="1"/>
  <c r="J54" i="11"/>
  <c r="M54" i="11" s="1"/>
  <c r="V50" i="11"/>
  <c r="AG16" i="11"/>
  <c r="AE45" i="11"/>
  <c r="AB45" i="11"/>
  <c r="V47" i="11"/>
  <c r="B40" i="11"/>
  <c r="U27" i="11"/>
  <c r="O28" i="11"/>
  <c r="E30" i="11"/>
  <c r="F30" i="11" s="1"/>
  <c r="E34" i="11"/>
  <c r="F34" i="11" s="1"/>
  <c r="B43" i="11"/>
  <c r="B47" i="11"/>
  <c r="X32" i="11"/>
  <c r="B48" i="11"/>
  <c r="AB53" i="11"/>
  <c r="U24" i="11"/>
  <c r="U23" i="11"/>
  <c r="E28" i="11"/>
  <c r="F28" i="11" s="1"/>
  <c r="E32" i="11"/>
  <c r="F32" i="11" s="1"/>
  <c r="U21" i="11"/>
  <c r="E29" i="11"/>
  <c r="F29" i="11" s="1"/>
  <c r="U30" i="11"/>
  <c r="U34" i="11"/>
  <c r="B49" i="11"/>
  <c r="AB54" i="11"/>
  <c r="M12" i="3"/>
  <c r="S48" i="1"/>
  <c r="S49" i="1"/>
  <c r="S50" i="1"/>
  <c r="S51" i="1"/>
  <c r="S52" i="1"/>
  <c r="S53" i="1"/>
  <c r="S54" i="1"/>
  <c r="S47" i="1"/>
  <c r="V47" i="1" s="1"/>
  <c r="S29" i="1"/>
  <c r="C8" i="5" s="1"/>
  <c r="S30" i="1"/>
  <c r="C9" i="5" s="1"/>
  <c r="F9" i="5" s="1"/>
  <c r="S31" i="1"/>
  <c r="C10" i="5" s="1"/>
  <c r="S32" i="1"/>
  <c r="C11" i="5" s="1"/>
  <c r="S33" i="1"/>
  <c r="S34" i="1"/>
  <c r="S35" i="1"/>
  <c r="S28" i="1"/>
  <c r="C7" i="5" s="1"/>
  <c r="P29" i="1"/>
  <c r="P30" i="1"/>
  <c r="P31" i="1"/>
  <c r="P32" i="1"/>
  <c r="P51" i="1" s="1"/>
  <c r="V51" i="1" s="1"/>
  <c r="P33" i="1"/>
  <c r="V33" i="1" s="1"/>
  <c r="P34" i="1"/>
  <c r="P35" i="1"/>
  <c r="P28" i="1"/>
  <c r="G28" i="1"/>
  <c r="G29" i="1"/>
  <c r="G30" i="1"/>
  <c r="G31" i="1"/>
  <c r="G32" i="1"/>
  <c r="G33" i="1"/>
  <c r="G34" i="1"/>
  <c r="G35" i="1"/>
  <c r="G14" i="5" s="1"/>
  <c r="E8" i="5"/>
  <c r="E9" i="5"/>
  <c r="E10" i="5"/>
  <c r="E11" i="5"/>
  <c r="E39" i="5" s="1"/>
  <c r="F39" i="5" s="1"/>
  <c r="E12" i="5"/>
  <c r="E13" i="5"/>
  <c r="E14" i="5"/>
  <c r="E7" i="5"/>
  <c r="C36" i="5"/>
  <c r="C37" i="5"/>
  <c r="C38" i="5"/>
  <c r="C39" i="5"/>
  <c r="C40" i="5"/>
  <c r="C41" i="5"/>
  <c r="C42" i="5"/>
  <c r="C12" i="5"/>
  <c r="C13" i="5"/>
  <c r="C14" i="5"/>
  <c r="D14" i="5" s="1"/>
  <c r="G8" i="5"/>
  <c r="G10" i="5"/>
  <c r="H10" i="5" s="1"/>
  <c r="G12" i="5"/>
  <c r="H12" i="5" s="1"/>
  <c r="G7" i="5"/>
  <c r="H7" i="5" s="1"/>
  <c r="V28" i="1"/>
  <c r="Y28" i="1" s="1"/>
  <c r="J28" i="1"/>
  <c r="M28" i="1" s="1"/>
  <c r="B1" i="3"/>
  <c r="C1" i="3"/>
  <c r="D1" i="3" s="1"/>
  <c r="E1" i="3" s="1"/>
  <c r="F1" i="3" s="1"/>
  <c r="G1" i="3" s="1"/>
  <c r="H1" i="3" s="1"/>
  <c r="I1" i="3" s="1"/>
  <c r="J1" i="3" s="1"/>
  <c r="K1" i="3" s="1"/>
  <c r="L1" i="3" s="1"/>
  <c r="I50" i="3"/>
  <c r="I37" i="3"/>
  <c r="I36" i="3"/>
  <c r="D33" i="3"/>
  <c r="E33" i="3" s="1"/>
  <c r="G33" i="3" s="1"/>
  <c r="F8" i="3"/>
  <c r="I6" i="3"/>
  <c r="E37" i="5"/>
  <c r="F37" i="5"/>
  <c r="E41" i="5"/>
  <c r="F41" i="5"/>
  <c r="E35" i="5"/>
  <c r="G40" i="5"/>
  <c r="H40" i="5" s="1"/>
  <c r="G35" i="5"/>
  <c r="H35" i="5" s="1"/>
  <c r="D42" i="5"/>
  <c r="B36" i="5"/>
  <c r="B37" i="5" s="1"/>
  <c r="B38" i="5" s="1"/>
  <c r="B39" i="5" s="1"/>
  <c r="B40" i="5" s="1"/>
  <c r="B41" i="5" s="1"/>
  <c r="B42" i="5" s="1"/>
  <c r="D13" i="5"/>
  <c r="F13" i="5"/>
  <c r="F7" i="5"/>
  <c r="B8" i="5"/>
  <c r="B9" i="5"/>
  <c r="B10" i="5" s="1"/>
  <c r="B11" i="5"/>
  <c r="B12" i="5" s="1"/>
  <c r="B13" i="5" s="1"/>
  <c r="B14" i="5" s="1"/>
  <c r="I14" i="1"/>
  <c r="V40" i="1"/>
  <c r="Y40" i="1"/>
  <c r="V41" i="1"/>
  <c r="Y41" i="1" s="1"/>
  <c r="V42" i="1"/>
  <c r="Y42" i="1" s="1"/>
  <c r="V43" i="1"/>
  <c r="Y43" i="1" s="1"/>
  <c r="V44" i="1"/>
  <c r="Y44" i="1"/>
  <c r="V45" i="1"/>
  <c r="Y45" i="1"/>
  <c r="V46" i="1"/>
  <c r="Y46" i="1"/>
  <c r="V30" i="1"/>
  <c r="V31" i="1"/>
  <c r="V34" i="1"/>
  <c r="V35" i="1"/>
  <c r="P48" i="1"/>
  <c r="V48" i="1"/>
  <c r="P47" i="1"/>
  <c r="V21" i="1"/>
  <c r="Y21" i="1" s="1"/>
  <c r="V22" i="1"/>
  <c r="Y22" i="1"/>
  <c r="V23" i="1"/>
  <c r="Y23" i="1"/>
  <c r="V24" i="1"/>
  <c r="Y24" i="1"/>
  <c r="V25" i="1"/>
  <c r="Y25" i="1"/>
  <c r="V26" i="1"/>
  <c r="Y26" i="1" s="1"/>
  <c r="V27" i="1"/>
  <c r="Y27" i="1" s="1"/>
  <c r="B26" i="1"/>
  <c r="B45" i="1"/>
  <c r="B27" i="1"/>
  <c r="AE27" i="1"/>
  <c r="B28" i="1"/>
  <c r="B47" i="1"/>
  <c r="G12" i="2"/>
  <c r="H12" i="2"/>
  <c r="G14" i="2"/>
  <c r="H14" i="2" s="1"/>
  <c r="E12" i="2"/>
  <c r="E13" i="2"/>
  <c r="E14" i="2"/>
  <c r="E15" i="2"/>
  <c r="E16" i="2"/>
  <c r="E11" i="2"/>
  <c r="F11" i="2" s="1"/>
  <c r="C12" i="2"/>
  <c r="C13" i="2"/>
  <c r="C14" i="2"/>
  <c r="F14" i="2" s="1"/>
  <c r="C15" i="2"/>
  <c r="C16" i="2"/>
  <c r="F16" i="2" s="1"/>
  <c r="C11" i="2"/>
  <c r="B12" i="2"/>
  <c r="B13" i="2" s="1"/>
  <c r="B14" i="2" s="1"/>
  <c r="B15" i="2" s="1"/>
  <c r="B16" i="2" s="1"/>
  <c r="AD16" i="1"/>
  <c r="J27" i="1"/>
  <c r="M27" i="1" s="1"/>
  <c r="J26" i="1"/>
  <c r="M26" i="1" s="1"/>
  <c r="J25" i="1"/>
  <c r="M25" i="1" s="1"/>
  <c r="J24" i="1"/>
  <c r="M24" i="1" s="1"/>
  <c r="J23" i="1"/>
  <c r="M23" i="1" s="1"/>
  <c r="B23" i="1"/>
  <c r="AE23" i="1" s="1"/>
  <c r="B24" i="1"/>
  <c r="B25" i="1"/>
  <c r="P45" i="1"/>
  <c r="P44" i="1"/>
  <c r="B32" i="1"/>
  <c r="J32" i="1"/>
  <c r="M32" i="1" s="1"/>
  <c r="B31" i="1"/>
  <c r="AB31" i="1" s="1"/>
  <c r="J31" i="1"/>
  <c r="M31" i="1" s="1"/>
  <c r="B30" i="1"/>
  <c r="J30" i="1"/>
  <c r="M30" i="1" s="1"/>
  <c r="B29" i="1"/>
  <c r="AE29" i="1" s="1"/>
  <c r="J29" i="1"/>
  <c r="M29" i="1" s="1"/>
  <c r="B21" i="1"/>
  <c r="AB21" i="1"/>
  <c r="B22" i="1"/>
  <c r="AB22" i="1" s="1"/>
  <c r="B33" i="1"/>
  <c r="AB33" i="1" s="1"/>
  <c r="B34" i="1"/>
  <c r="AB34" i="1" s="1"/>
  <c r="B35" i="1"/>
  <c r="AE35" i="1"/>
  <c r="G44" i="1"/>
  <c r="J48" i="1" s="1"/>
  <c r="J44" i="1"/>
  <c r="M44" i="1" s="1"/>
  <c r="G40" i="1"/>
  <c r="G41" i="1"/>
  <c r="G42" i="1"/>
  <c r="J42" i="1" s="1"/>
  <c r="G43" i="1"/>
  <c r="J43" i="1"/>
  <c r="M43" i="1" s="1"/>
  <c r="G45" i="1"/>
  <c r="J45" i="1" s="1"/>
  <c r="G46" i="1"/>
  <c r="P46" i="1"/>
  <c r="G47" i="1"/>
  <c r="G48" i="1"/>
  <c r="P49" i="1"/>
  <c r="V49" i="1" s="1"/>
  <c r="G50" i="1"/>
  <c r="P50" i="1"/>
  <c r="V50" i="1"/>
  <c r="B50" i="1"/>
  <c r="AB50" i="1" s="1"/>
  <c r="B51" i="1"/>
  <c r="G52" i="1"/>
  <c r="B52" i="1"/>
  <c r="AB52" i="1" s="1"/>
  <c r="AE52" i="1"/>
  <c r="P53" i="1"/>
  <c r="V53" i="1" s="1"/>
  <c r="B53" i="1"/>
  <c r="AB53" i="1" s="1"/>
  <c r="P54" i="1"/>
  <c r="V54" i="1" s="1"/>
  <c r="B54" i="1"/>
  <c r="AB54" i="1" s="1"/>
  <c r="D44" i="1"/>
  <c r="P43" i="1"/>
  <c r="AD17" i="1"/>
  <c r="P42" i="1"/>
  <c r="P41" i="1"/>
  <c r="P40" i="1"/>
  <c r="D40" i="1"/>
  <c r="D41" i="1"/>
  <c r="D42" i="1"/>
  <c r="D43" i="1"/>
  <c r="D45" i="1"/>
  <c r="D46" i="1"/>
  <c r="D47" i="1"/>
  <c r="D48" i="1"/>
  <c r="D49" i="1"/>
  <c r="D50" i="1"/>
  <c r="D51" i="1"/>
  <c r="D52" i="1"/>
  <c r="D53" i="1"/>
  <c r="D54" i="1"/>
  <c r="J21" i="1"/>
  <c r="M21" i="1" s="1"/>
  <c r="J22" i="1"/>
  <c r="M22" i="1" s="1"/>
  <c r="J46" i="1"/>
  <c r="M46" i="1" s="1"/>
  <c r="M45" i="1"/>
  <c r="M42" i="1"/>
  <c r="AE34" i="1"/>
  <c r="AB35" i="1"/>
  <c r="AE50" i="1"/>
  <c r="AE30" i="1"/>
  <c r="AE26" i="1"/>
  <c r="AB26" i="1"/>
  <c r="AE22" i="1"/>
  <c r="D41" i="5"/>
  <c r="F12" i="2"/>
  <c r="F15" i="2"/>
  <c r="AE45" i="1"/>
  <c r="AB45" i="1"/>
  <c r="AE31" i="1"/>
  <c r="AE53" i="1"/>
  <c r="J41" i="1"/>
  <c r="M41" i="1" s="1"/>
  <c r="B41" i="1"/>
  <c r="AE41" i="1" s="1"/>
  <c r="B40" i="1"/>
  <c r="AB40" i="1" s="1"/>
  <c r="AB27" i="1"/>
  <c r="Y31" i="1"/>
  <c r="AE33" i="1"/>
  <c r="AE25" i="1"/>
  <c r="Y30" i="1"/>
  <c r="AE21" i="1"/>
  <c r="B43" i="1"/>
  <c r="AE43" i="1" s="1"/>
  <c r="B46" i="1"/>
  <c r="AB46" i="1" s="1"/>
  <c r="AB43" i="1"/>
  <c r="AE40" i="1"/>
  <c r="AB41" i="1"/>
  <c r="AE46" i="1"/>
  <c r="H14" i="5" l="1"/>
  <c r="I14" i="5" s="1"/>
  <c r="J14" i="5" s="1"/>
  <c r="G42" i="5"/>
  <c r="H42" i="5" s="1"/>
  <c r="M48" i="1"/>
  <c r="Y48" i="1"/>
  <c r="V29" i="1"/>
  <c r="Y29" i="1" s="1"/>
  <c r="C35" i="5"/>
  <c r="G54" i="1"/>
  <c r="G16" i="2"/>
  <c r="H16" i="2" s="1"/>
  <c r="I42" i="5"/>
  <c r="J42" i="5" s="1"/>
  <c r="D40" i="5"/>
  <c r="D39" i="5" s="1"/>
  <c r="P52" i="1"/>
  <c r="V52" i="1" s="1"/>
  <c r="B42" i="1"/>
  <c r="C15" i="5"/>
  <c r="Y13" i="1"/>
  <c r="AD13" i="1" s="1"/>
  <c r="B48" i="1"/>
  <c r="AE54" i="1"/>
  <c r="V32" i="1"/>
  <c r="Y32" i="1" s="1"/>
  <c r="F11" i="5"/>
  <c r="F13" i="2"/>
  <c r="AB23" i="1"/>
  <c r="I47" i="3"/>
  <c r="G47" i="3"/>
  <c r="AB51" i="1"/>
  <c r="AE51" i="1"/>
  <c r="AB30" i="1"/>
  <c r="B49" i="1"/>
  <c r="AB32" i="1"/>
  <c r="AE32" i="1"/>
  <c r="AB24" i="1"/>
  <c r="AE24" i="1"/>
  <c r="R28" i="11"/>
  <c r="AB29" i="1"/>
  <c r="D16" i="2"/>
  <c r="D12" i="5"/>
  <c r="J40" i="1"/>
  <c r="M40" i="1" s="1"/>
  <c r="J47" i="1"/>
  <c r="Y47" i="1" s="1"/>
  <c r="B44" i="1"/>
  <c r="AB25" i="1"/>
  <c r="G38" i="5"/>
  <c r="H38" i="5" s="1"/>
  <c r="G48" i="3"/>
  <c r="I48" i="3"/>
  <c r="G36" i="5"/>
  <c r="H36" i="5" s="1"/>
  <c r="H8" i="5"/>
  <c r="E42" i="5"/>
  <c r="F42" i="5" s="1"/>
  <c r="F14" i="5"/>
  <c r="E40" i="5"/>
  <c r="F40" i="5" s="1"/>
  <c r="F12" i="5"/>
  <c r="E38" i="5"/>
  <c r="F38" i="5" s="1"/>
  <c r="F10" i="5"/>
  <c r="E36" i="5"/>
  <c r="F36" i="5" s="1"/>
  <c r="F8" i="5"/>
  <c r="G13" i="5"/>
  <c r="G15" i="2"/>
  <c r="H15" i="2" s="1"/>
  <c r="J34" i="1"/>
  <c r="G53" i="1"/>
  <c r="G11" i="5"/>
  <c r="G13" i="2"/>
  <c r="H13" i="2" s="1"/>
  <c r="G51" i="1"/>
  <c r="G9" i="5"/>
  <c r="G11" i="2"/>
  <c r="H11" i="2" s="1"/>
  <c r="J33" i="1"/>
  <c r="J35" i="1"/>
  <c r="G49" i="1"/>
  <c r="Y50" i="11"/>
  <c r="AE44" i="11"/>
  <c r="Y48" i="11"/>
  <c r="R31" i="11"/>
  <c r="Y51" i="11"/>
  <c r="Y54" i="11"/>
  <c r="Y47" i="11"/>
  <c r="R34" i="11"/>
  <c r="Y52" i="11"/>
  <c r="R33" i="11"/>
  <c r="Y53" i="11"/>
  <c r="R35" i="11"/>
  <c r="AB40" i="11"/>
  <c r="AE40" i="11"/>
  <c r="R32" i="11"/>
  <c r="R29" i="11"/>
  <c r="AE48" i="11"/>
  <c r="AB48" i="11"/>
  <c r="AE43" i="11"/>
  <c r="AB43" i="11"/>
  <c r="Y49" i="11"/>
  <c r="AB49" i="11"/>
  <c r="AE49" i="11"/>
  <c r="R30" i="11"/>
  <c r="AG16" i="1" l="1"/>
  <c r="AG17" i="1"/>
  <c r="AB48" i="1"/>
  <c r="AE48" i="1"/>
  <c r="F35" i="5"/>
  <c r="H17" i="2"/>
  <c r="I40" i="5"/>
  <c r="J40" i="5" s="1"/>
  <c r="J51" i="1"/>
  <c r="M51" i="1" s="1"/>
  <c r="AE42" i="1"/>
  <c r="AB42" i="1"/>
  <c r="M35" i="1"/>
  <c r="Y35" i="1"/>
  <c r="G39" i="5"/>
  <c r="H39" i="5" s="1"/>
  <c r="H11" i="5"/>
  <c r="M34" i="1"/>
  <c r="Y34" i="1"/>
  <c r="H13" i="5"/>
  <c r="I13" i="5" s="1"/>
  <c r="J13" i="5" s="1"/>
  <c r="G41" i="5"/>
  <c r="H41" i="5" s="1"/>
  <c r="I41" i="5" s="1"/>
  <c r="J41" i="5" s="1"/>
  <c r="AE44" i="1"/>
  <c r="AB44" i="1"/>
  <c r="D15" i="2"/>
  <c r="I16" i="2"/>
  <c r="J16" i="2" s="1"/>
  <c r="AB49" i="1"/>
  <c r="AE49" i="1"/>
  <c r="I49" i="3"/>
  <c r="I51" i="3" s="1"/>
  <c r="I53" i="3" s="1"/>
  <c r="J49" i="1"/>
  <c r="J54" i="1"/>
  <c r="J52" i="1"/>
  <c r="J50" i="1"/>
  <c r="Y33" i="1"/>
  <c r="M33" i="1"/>
  <c r="G37" i="5"/>
  <c r="H37" i="5" s="1"/>
  <c r="H43" i="5" s="1"/>
  <c r="H9" i="5"/>
  <c r="H15" i="5" s="1"/>
  <c r="J53" i="1"/>
  <c r="M47" i="1"/>
  <c r="D11" i="5"/>
  <c r="I12" i="5"/>
  <c r="J12" i="5" s="1"/>
  <c r="G49" i="3"/>
  <c r="G51" i="3" s="1"/>
  <c r="G53" i="3" s="1"/>
  <c r="D38" i="5"/>
  <c r="I39" i="5"/>
  <c r="J39" i="5" s="1"/>
  <c r="AB47" i="11"/>
  <c r="AE47" i="11" s="1"/>
  <c r="Y15" i="11" s="1"/>
  <c r="AD15" i="11" s="1"/>
  <c r="AG15" i="11" s="1"/>
  <c r="U28" i="11"/>
  <c r="X28" i="11" s="1"/>
  <c r="Y14" i="11" s="1"/>
  <c r="AD14" i="11" s="1"/>
  <c r="AG14" i="11" s="1"/>
  <c r="AB28" i="1" l="1"/>
  <c r="AE28" i="1" s="1"/>
  <c r="Y14" i="1" s="1"/>
  <c r="AD14" i="1" s="1"/>
  <c r="AG14" i="1" s="1"/>
  <c r="Y51" i="1"/>
  <c r="D37" i="5"/>
  <c r="J38" i="5"/>
  <c r="I38" i="5"/>
  <c r="M50" i="1"/>
  <c r="Y50" i="1"/>
  <c r="M54" i="1"/>
  <c r="Y54" i="1"/>
  <c r="D14" i="2"/>
  <c r="I15" i="2"/>
  <c r="J15" i="2" s="1"/>
  <c r="D10" i="5"/>
  <c r="J11" i="5"/>
  <c r="I11" i="5"/>
  <c r="M53" i="1"/>
  <c r="Y53" i="1"/>
  <c r="M52" i="1"/>
  <c r="Y52" i="1"/>
  <c r="M49" i="1"/>
  <c r="Y49" i="1"/>
  <c r="AB47" i="1" s="1"/>
  <c r="AE47" i="1" s="1"/>
  <c r="Y15" i="1" s="1"/>
  <c r="AD15" i="1" s="1"/>
  <c r="AG15" i="1" s="1"/>
  <c r="I14" i="2" l="1"/>
  <c r="D13" i="2"/>
  <c r="J14" i="2"/>
  <c r="I10" i="5"/>
  <c r="D9" i="5"/>
  <c r="J10" i="5"/>
  <c r="I37" i="5"/>
  <c r="J37" i="5" s="1"/>
  <c r="D36" i="5"/>
  <c r="D35" i="5" s="1"/>
  <c r="I36" i="5" l="1"/>
  <c r="J36" i="5" s="1"/>
  <c r="D8" i="5"/>
  <c r="D7" i="5" s="1"/>
  <c r="I9" i="5"/>
  <c r="J9" i="5" s="1"/>
  <c r="I13" i="2"/>
  <c r="J13" i="2" s="1"/>
  <c r="D12" i="2"/>
  <c r="I12" i="2" l="1"/>
  <c r="D11" i="2"/>
  <c r="J12" i="2"/>
  <c r="I8" i="5"/>
  <c r="J8" i="5"/>
  <c r="I35" i="5"/>
  <c r="I43" i="5" s="1"/>
  <c r="I7" i="5" l="1"/>
  <c r="I15" i="5" s="1"/>
  <c r="J7" i="5"/>
  <c r="J15" i="5" s="1"/>
  <c r="G20" i="5" s="1"/>
  <c r="G52" i="5"/>
  <c r="G47" i="5"/>
  <c r="J35" i="5"/>
  <c r="J43" i="5" s="1"/>
  <c r="I11" i="2"/>
  <c r="I17" i="2" s="1"/>
  <c r="G24" i="5" l="1"/>
  <c r="G19" i="5"/>
  <c r="G21" i="2"/>
  <c r="G27" i="2"/>
  <c r="G23" i="5"/>
  <c r="J11" i="2"/>
  <c r="J17" i="2" s="1"/>
  <c r="G48" i="5"/>
  <c r="I47" i="5" s="1"/>
  <c r="G51" i="5"/>
  <c r="I51" i="5" s="1"/>
  <c r="E54" i="5" s="1"/>
  <c r="H54" i="5" l="1"/>
  <c r="I56" i="5" s="1"/>
  <c r="I19" i="5"/>
  <c r="I23" i="5"/>
  <c r="E26" i="5" s="1"/>
  <c r="H26" i="5" s="1"/>
  <c r="I28" i="5" s="1"/>
  <c r="G22" i="2"/>
  <c r="G26" i="2"/>
  <c r="I26" i="2" s="1"/>
  <c r="K26" i="2" s="1"/>
  <c r="E29" i="2" s="1"/>
  <c r="I21" i="2"/>
  <c r="H29" i="2" l="1"/>
  <c r="I33" i="2" s="1"/>
</calcChain>
</file>

<file path=xl/sharedStrings.xml><?xml version="1.0" encoding="utf-8"?>
<sst xmlns="http://schemas.openxmlformats.org/spreadsheetml/2006/main" count="486" uniqueCount="212">
  <si>
    <t>重力式による固有周期</t>
    <rPh sb="0" eb="2">
      <t>ジュウリョク</t>
    </rPh>
    <rPh sb="2" eb="3">
      <t>シキ</t>
    </rPh>
    <rPh sb="6" eb="8">
      <t>コユウ</t>
    </rPh>
    <rPh sb="8" eb="10">
      <t>シュウキ</t>
    </rPh>
    <phoneticPr fontId="2"/>
  </si>
  <si>
    <t>固有周期Tは「2007年版　建築物の構造関係技術基準解説書」P.266に示す重力式によって算定する。</t>
    <rPh sb="0" eb="2">
      <t>コユウ</t>
    </rPh>
    <rPh sb="2" eb="4">
      <t>シュウキ</t>
    </rPh>
    <rPh sb="11" eb="13">
      <t>ネンバン</t>
    </rPh>
    <rPh sb="14" eb="17">
      <t>ケンチクブツ</t>
    </rPh>
    <rPh sb="18" eb="20">
      <t>コウゾウ</t>
    </rPh>
    <rPh sb="20" eb="22">
      <t>カンケイ</t>
    </rPh>
    <rPh sb="22" eb="24">
      <t>ギジュツ</t>
    </rPh>
    <rPh sb="24" eb="26">
      <t>キジュン</t>
    </rPh>
    <rPh sb="26" eb="29">
      <t>カイセツショ</t>
    </rPh>
    <rPh sb="36" eb="37">
      <t>シメ</t>
    </rPh>
    <rPh sb="38" eb="40">
      <t>ジュウリョク</t>
    </rPh>
    <rPh sb="40" eb="41">
      <t>シキ</t>
    </rPh>
    <rPh sb="45" eb="47">
      <t>サンテイ</t>
    </rPh>
    <phoneticPr fontId="2"/>
  </si>
  <si>
    <t>Ｔ＝√δ/Ｃ　　平屋：Ｃ＝5.0，２階建て：Ｃ＝5.4，３階建て以上：Ｃ＝5.7</t>
    <rPh sb="8" eb="10">
      <t>ヒラヤ</t>
    </rPh>
    <rPh sb="18" eb="19">
      <t>カイ</t>
    </rPh>
    <rPh sb="19" eb="20">
      <t>タ</t>
    </rPh>
    <rPh sb="29" eb="30">
      <t>カイ</t>
    </rPh>
    <rPh sb="30" eb="31">
      <t>タ</t>
    </rPh>
    <rPh sb="32" eb="34">
      <t>イジョウ</t>
    </rPh>
    <phoneticPr fontId="2"/>
  </si>
  <si>
    <t>n</t>
    <phoneticPr fontId="2"/>
  </si>
  <si>
    <t>∑</t>
    <phoneticPr fontId="2"/>
  </si>
  <si>
    <t>ｗj</t>
    <phoneticPr fontId="2"/>
  </si>
  <si>
    <t>δ＝</t>
    <phoneticPr fontId="2"/>
  </si>
  <si>
    <t>j=i</t>
    <phoneticPr fontId="2"/>
  </si>
  <si>
    <t>Ｋi</t>
    <phoneticPr fontId="2"/>
  </si>
  <si>
    <t>i=1</t>
    <phoneticPr fontId="2"/>
  </si>
  <si>
    <t>Rt/Rto</t>
    <phoneticPr fontId="2"/>
  </si>
  <si>
    <t>階数</t>
    <rPh sb="0" eb="2">
      <t>カイスウ</t>
    </rPh>
    <phoneticPr fontId="2"/>
  </si>
  <si>
    <t>Tc(秒)＝</t>
    <rPh sb="3" eb="4">
      <t>ビョウ</t>
    </rPh>
    <phoneticPr fontId="2"/>
  </si>
  <si>
    <t>略算式</t>
    <rPh sb="0" eb="3">
      <t>リャクサンシキ</t>
    </rPh>
    <phoneticPr fontId="2"/>
  </si>
  <si>
    <t>T(秒)＝</t>
    <rPh sb="2" eb="3">
      <t>ビョウ</t>
    </rPh>
    <phoneticPr fontId="2"/>
  </si>
  <si>
    <t>Rto＝</t>
    <phoneticPr fontId="2"/>
  </si>
  <si>
    <t>建物高さH(m)＝</t>
    <rPh sb="0" eb="2">
      <t>タテモノ</t>
    </rPh>
    <rPh sb="2" eb="3">
      <t>タカ</t>
    </rPh>
    <phoneticPr fontId="2"/>
  </si>
  <si>
    <t>α＝</t>
    <phoneticPr fontId="2"/>
  </si>
  <si>
    <t>重力式</t>
    <rPh sb="0" eb="2">
      <t>ジュウリョク</t>
    </rPh>
    <rPh sb="2" eb="3">
      <t>シキ</t>
    </rPh>
    <phoneticPr fontId="2"/>
  </si>
  <si>
    <t>Ｘ方向</t>
    <rPh sb="1" eb="3">
      <t>ホウコウ</t>
    </rPh>
    <phoneticPr fontId="2"/>
  </si>
  <si>
    <t>Rtx＝</t>
    <phoneticPr fontId="2"/>
  </si>
  <si>
    <t>Ｙ方向</t>
    <rPh sb="1" eb="3">
      <t>ホウコウ</t>
    </rPh>
    <phoneticPr fontId="2"/>
  </si>
  <si>
    <t>Rty＝</t>
    <phoneticPr fontId="2"/>
  </si>
  <si>
    <t>設計用</t>
    <rPh sb="0" eb="3">
      <t>セッケイヨウ</t>
    </rPh>
    <phoneticPr fontId="2"/>
  </si>
  <si>
    <t>階</t>
    <rPh sb="0" eb="1">
      <t>カイ</t>
    </rPh>
    <phoneticPr fontId="2"/>
  </si>
  <si>
    <t>階高</t>
    <rPh sb="0" eb="1">
      <t>カイ</t>
    </rPh>
    <rPh sb="1" eb="2">
      <t>タカ</t>
    </rPh>
    <phoneticPr fontId="2"/>
  </si>
  <si>
    <t>各階重量</t>
    <rPh sb="0" eb="2">
      <t>カクカイ</t>
    </rPh>
    <rPh sb="2" eb="4">
      <t>ジュウリョウ</t>
    </rPh>
    <phoneticPr fontId="2"/>
  </si>
  <si>
    <t>重量</t>
    <rPh sb="0" eb="2">
      <t>ジュウリョウ</t>
    </rPh>
    <phoneticPr fontId="2"/>
  </si>
  <si>
    <t>層せん断力</t>
    <rPh sb="0" eb="1">
      <t>ソウ</t>
    </rPh>
    <rPh sb="3" eb="4">
      <t>ダン</t>
    </rPh>
    <rPh sb="4" eb="5">
      <t>リョク</t>
    </rPh>
    <phoneticPr fontId="2"/>
  </si>
  <si>
    <t>層間変位</t>
    <rPh sb="0" eb="1">
      <t>ソウ</t>
    </rPh>
    <rPh sb="1" eb="2">
      <t>カン</t>
    </rPh>
    <rPh sb="2" eb="4">
      <t>ヘンイ</t>
    </rPh>
    <phoneticPr fontId="2"/>
  </si>
  <si>
    <t>バネ定数</t>
    <rPh sb="2" eb="4">
      <t>テイスウ</t>
    </rPh>
    <phoneticPr fontId="2"/>
  </si>
  <si>
    <t>変位</t>
    <rPh sb="0" eb="2">
      <t>ヘンイ</t>
    </rPh>
    <phoneticPr fontId="2"/>
  </si>
  <si>
    <t>頂部変位</t>
    <rPh sb="0" eb="1">
      <t>チョウ</t>
    </rPh>
    <rPh sb="1" eb="2">
      <t>ブ</t>
    </rPh>
    <rPh sb="2" eb="4">
      <t>ヘンイ</t>
    </rPh>
    <phoneticPr fontId="2"/>
  </si>
  <si>
    <t>固有周期</t>
    <rPh sb="0" eb="2">
      <t>コユウ</t>
    </rPh>
    <rPh sb="2" eb="4">
      <t>シュウキ</t>
    </rPh>
    <phoneticPr fontId="2"/>
  </si>
  <si>
    <t>(m)</t>
    <phoneticPr fontId="2"/>
  </si>
  <si>
    <t>wi(kN)</t>
    <phoneticPr fontId="2"/>
  </si>
  <si>
    <t>∑wi(kN)</t>
    <phoneticPr fontId="2"/>
  </si>
  <si>
    <t>∑wi(t)</t>
    <phoneticPr fontId="2"/>
  </si>
  <si>
    <t>Wi(kN)</t>
    <phoneticPr fontId="2"/>
  </si>
  <si>
    <t>⊿δ(mm)</t>
    <phoneticPr fontId="2"/>
  </si>
  <si>
    <t>Ki(kN/mm)</t>
    <phoneticPr fontId="2"/>
  </si>
  <si>
    <t>δi(mm)</t>
    <phoneticPr fontId="2"/>
  </si>
  <si>
    <t>δ(cm)</t>
    <phoneticPr fontId="2"/>
  </si>
  <si>
    <t>T(秒)</t>
    <rPh sb="2" eb="3">
      <t>ビョウ</t>
    </rPh>
    <phoneticPr fontId="2"/>
  </si>
  <si>
    <t>δi</t>
    <phoneticPr fontId="2"/>
  </si>
  <si>
    <t>δdi</t>
    <phoneticPr fontId="2"/>
  </si>
  <si>
    <t>hi</t>
    <phoneticPr fontId="2"/>
  </si>
  <si>
    <t>δi/hi</t>
    <phoneticPr fontId="2"/>
  </si>
  <si>
    <t>wi</t>
    <phoneticPr fontId="2"/>
  </si>
  <si>
    <t>mi</t>
    <phoneticPr fontId="2"/>
  </si>
  <si>
    <t>mi･δdi</t>
    <phoneticPr fontId="2"/>
  </si>
  <si>
    <t>mi･δdi^2</t>
    <phoneticPr fontId="2"/>
  </si>
  <si>
    <t>(mm)</t>
    <phoneticPr fontId="2"/>
  </si>
  <si>
    <t>(rad)</t>
    <phoneticPr fontId="2"/>
  </si>
  <si>
    <t>(kN)</t>
    <phoneticPr fontId="2"/>
  </si>
  <si>
    <t>(t)</t>
    <phoneticPr fontId="2"/>
  </si>
  <si>
    <t>Qd=</t>
    <phoneticPr fontId="2"/>
  </si>
  <si>
    <t>有効質量</t>
    <rPh sb="0" eb="2">
      <t>ユウコウ</t>
    </rPh>
    <rPh sb="2" eb="4">
      <t>シツリョウ</t>
    </rPh>
    <phoneticPr fontId="2"/>
  </si>
  <si>
    <t>Mud＝</t>
    <phoneticPr fontId="2"/>
  </si>
  <si>
    <t>(Σmi・δdi)^2</t>
    <phoneticPr fontId="2"/>
  </si>
  <si>
    <t>=</t>
    <phoneticPr fontId="2"/>
  </si>
  <si>
    <t>Σmi・δdi^2</t>
    <phoneticPr fontId="2"/>
  </si>
  <si>
    <t>代表変位</t>
    <rPh sb="0" eb="2">
      <t>ダイヒョウ</t>
    </rPh>
    <rPh sb="2" eb="4">
      <t>ヘンイ</t>
    </rPh>
    <phoneticPr fontId="2"/>
  </si>
  <si>
    <t>Δd=</t>
    <phoneticPr fontId="2"/>
  </si>
  <si>
    <t>Σmi・δdi</t>
    <phoneticPr fontId="2"/>
  </si>
  <si>
    <t>k=Δd/Qd=</t>
    <phoneticPr fontId="2"/>
  </si>
  <si>
    <t>(Mud・k)^0.5=</t>
    <phoneticPr fontId="2"/>
  </si>
  <si>
    <t>Td=2π(Mud・Δd/Qd)^0.5=</t>
    <phoneticPr fontId="2"/>
  </si>
  <si>
    <t>・塔状建物による転倒モーメントおよび圧壊に対する検討</t>
    <rPh sb="1" eb="2">
      <t>トウ</t>
    </rPh>
    <rPh sb="2" eb="3">
      <t>ジョウ</t>
    </rPh>
    <rPh sb="3" eb="5">
      <t>タテモノ</t>
    </rPh>
    <rPh sb="8" eb="10">
      <t>テントウ</t>
    </rPh>
    <rPh sb="18" eb="20">
      <t>アッカイ</t>
    </rPh>
    <rPh sb="21" eb="22">
      <t>タイ</t>
    </rPh>
    <rPh sb="24" eb="26">
      <t>ケントウ</t>
    </rPh>
    <phoneticPr fontId="6"/>
  </si>
  <si>
    <t>Z</t>
    <phoneticPr fontId="6"/>
  </si>
  <si>
    <t>塔状比が4を超えるため、別途検討としC0=0.3としたときの転倒に対する基礎の検討および基礎の圧壊の検討により安全性を確かめる。</t>
    <rPh sb="0" eb="1">
      <t>トウ</t>
    </rPh>
    <rPh sb="1" eb="2">
      <t>ジョウ</t>
    </rPh>
    <rPh sb="2" eb="3">
      <t>ヒ</t>
    </rPh>
    <rPh sb="6" eb="7">
      <t>コ</t>
    </rPh>
    <rPh sb="12" eb="14">
      <t>ベット</t>
    </rPh>
    <rPh sb="14" eb="16">
      <t>ケントウ</t>
    </rPh>
    <rPh sb="30" eb="32">
      <t>テントウ</t>
    </rPh>
    <rPh sb="33" eb="34">
      <t>タイ</t>
    </rPh>
    <rPh sb="36" eb="38">
      <t>キソ</t>
    </rPh>
    <rPh sb="39" eb="41">
      <t>ケントウ</t>
    </rPh>
    <rPh sb="44" eb="46">
      <t>キソ</t>
    </rPh>
    <rPh sb="47" eb="49">
      <t>アッカイ</t>
    </rPh>
    <rPh sb="50" eb="52">
      <t>ケントウ</t>
    </rPh>
    <rPh sb="55" eb="58">
      <t>アンゼンセイ</t>
    </rPh>
    <rPh sb="59" eb="60">
      <t>タシ</t>
    </rPh>
    <phoneticPr fontId="6"/>
  </si>
  <si>
    <t>Z=</t>
    <phoneticPr fontId="2"/>
  </si>
  <si>
    <t>T=</t>
    <phoneticPr fontId="6"/>
  </si>
  <si>
    <t>Z・Rt・C0=</t>
    <phoneticPr fontId="6"/>
  </si>
  <si>
    <t>Rt=</t>
    <phoneticPr fontId="6"/>
  </si>
  <si>
    <t>Tc=</t>
    <phoneticPr fontId="6"/>
  </si>
  <si>
    <t>C0=</t>
    <phoneticPr fontId="6"/>
  </si>
  <si>
    <t>2T/(1+3T)=</t>
    <phoneticPr fontId="6"/>
  </si>
  <si>
    <t>wi</t>
    <phoneticPr fontId="6"/>
  </si>
  <si>
    <t>Σwi</t>
    <phoneticPr fontId="6"/>
  </si>
  <si>
    <t>αi</t>
    <phoneticPr fontId="6"/>
  </si>
  <si>
    <t>Ai</t>
    <phoneticPr fontId="6"/>
  </si>
  <si>
    <t>Ci</t>
    <phoneticPr fontId="6"/>
  </si>
  <si>
    <t>Qi</t>
    <phoneticPr fontId="6"/>
  </si>
  <si>
    <t>1.5Qi</t>
    <phoneticPr fontId="2"/>
  </si>
  <si>
    <t>h</t>
    <phoneticPr fontId="6"/>
  </si>
  <si>
    <t>M</t>
    <phoneticPr fontId="6"/>
  </si>
  <si>
    <t>(C0=0.3)</t>
    <phoneticPr fontId="2"/>
  </si>
  <si>
    <t>(kNm)</t>
    <phoneticPr fontId="2"/>
  </si>
  <si>
    <t>Df</t>
    <phoneticPr fontId="2"/>
  </si>
  <si>
    <t>X方向 B</t>
    <rPh sb="1" eb="3">
      <t>ホウコウ</t>
    </rPh>
    <phoneticPr fontId="6"/>
  </si>
  <si>
    <t>基礎重心</t>
    <rPh sb="0" eb="2">
      <t>キソ</t>
    </rPh>
    <rPh sb="2" eb="4">
      <t>ジュウシン</t>
    </rPh>
    <phoneticPr fontId="6"/>
  </si>
  <si>
    <t>基礎重心間</t>
    <rPh sb="0" eb="2">
      <t>キソ</t>
    </rPh>
    <rPh sb="2" eb="4">
      <t>ジュウシン</t>
    </rPh>
    <rPh sb="4" eb="5">
      <t>アイダ</t>
    </rPh>
    <phoneticPr fontId="6"/>
  </si>
  <si>
    <t>建物形状</t>
    <rPh sb="0" eb="2">
      <t>タテモノ</t>
    </rPh>
    <rPh sb="2" eb="4">
      <t>ケイジョウ</t>
    </rPh>
    <phoneticPr fontId="6"/>
  </si>
  <si>
    <t>B(m)</t>
    <phoneticPr fontId="6"/>
  </si>
  <si>
    <t>a(m)</t>
    <phoneticPr fontId="6"/>
  </si>
  <si>
    <t>B'</t>
    <phoneticPr fontId="6"/>
  </si>
  <si>
    <t>ΣM/B'</t>
    <phoneticPr fontId="6"/>
  </si>
  <si>
    <t>A</t>
    <phoneticPr fontId="6"/>
  </si>
  <si>
    <t>B</t>
    <phoneticPr fontId="6"/>
  </si>
  <si>
    <t>C</t>
    <phoneticPr fontId="6"/>
  </si>
  <si>
    <t>Σ</t>
    <phoneticPr fontId="6"/>
  </si>
  <si>
    <t>引抜き側軸力</t>
    <rPh sb="0" eb="2">
      <t>ヒキヌ</t>
    </rPh>
    <rPh sb="3" eb="4">
      <t>ガワ</t>
    </rPh>
    <rPh sb="4" eb="6">
      <t>ジクリョク</t>
    </rPh>
    <phoneticPr fontId="6"/>
  </si>
  <si>
    <t>１通り</t>
    <rPh sb="1" eb="2">
      <t>トオ</t>
    </rPh>
    <phoneticPr fontId="6"/>
  </si>
  <si>
    <t>NL</t>
    <phoneticPr fontId="6"/>
  </si>
  <si>
    <t>圧縮側軸力</t>
    <rPh sb="0" eb="2">
      <t>アッシュク</t>
    </rPh>
    <rPh sb="2" eb="3">
      <t>ガワ</t>
    </rPh>
    <rPh sb="3" eb="5">
      <t>ジクリョク</t>
    </rPh>
    <phoneticPr fontId="6"/>
  </si>
  <si>
    <t>２通り</t>
    <rPh sb="1" eb="2">
      <t>トオ</t>
    </rPh>
    <phoneticPr fontId="6"/>
  </si>
  <si>
    <t>引張側</t>
    <rPh sb="0" eb="2">
      <t>インチョウ</t>
    </rPh>
    <rPh sb="2" eb="3">
      <t>ガワ</t>
    </rPh>
    <phoneticPr fontId="6"/>
  </si>
  <si>
    <t>圧縮側</t>
    <rPh sb="0" eb="2">
      <t>アッシュク</t>
    </rPh>
    <rPh sb="2" eb="3">
      <t>ガワ</t>
    </rPh>
    <phoneticPr fontId="6"/>
  </si>
  <si>
    <t>転倒軸力</t>
    <rPh sb="0" eb="2">
      <t>テントウ</t>
    </rPh>
    <rPh sb="2" eb="4">
      <t>ジクリョク</t>
    </rPh>
    <phoneticPr fontId="6"/>
  </si>
  <si>
    <t>Nm</t>
    <phoneticPr fontId="6"/>
  </si>
  <si>
    <t>軸力</t>
    <rPh sb="0" eb="2">
      <t>ジクリョク</t>
    </rPh>
    <phoneticPr fontId="6"/>
  </si>
  <si>
    <t>杭負担軸力</t>
    <rPh sb="0" eb="1">
      <t>クイ</t>
    </rPh>
    <rPh sb="1" eb="3">
      <t>フタン</t>
    </rPh>
    <rPh sb="3" eb="5">
      <t>ジクリョク</t>
    </rPh>
    <phoneticPr fontId="6"/>
  </si>
  <si>
    <t>N+Nm</t>
    <phoneticPr fontId="6"/>
  </si>
  <si>
    <t>杭本数</t>
    <rPh sb="0" eb="1">
      <t>クイ</t>
    </rPh>
    <rPh sb="1" eb="3">
      <t>ホンスウ</t>
    </rPh>
    <phoneticPr fontId="6"/>
  </si>
  <si>
    <t>ｎ</t>
    <phoneticPr fontId="6"/>
  </si>
  <si>
    <t>杭軸力</t>
    <rPh sb="0" eb="1">
      <t>クイ</t>
    </rPh>
    <rPh sb="1" eb="3">
      <t>ジクリョク</t>
    </rPh>
    <phoneticPr fontId="6"/>
  </si>
  <si>
    <t>(N+NL)/n</t>
    <phoneticPr fontId="6"/>
  </si>
  <si>
    <t>杭支持力</t>
    <rPh sb="0" eb="1">
      <t>クイ</t>
    </rPh>
    <rPh sb="1" eb="4">
      <t>シジリョク</t>
    </rPh>
    <phoneticPr fontId="6"/>
  </si>
  <si>
    <t>判定</t>
    <rPh sb="0" eb="2">
      <t>ハンテイ</t>
    </rPh>
    <phoneticPr fontId="6"/>
  </si>
  <si>
    <t>地域係数 Z =</t>
  </si>
  <si>
    <t>用途係数 I =</t>
  </si>
  <si>
    <t>階</t>
  </si>
  <si>
    <t>hi</t>
  </si>
  <si>
    <t>wi</t>
  </si>
  <si>
    <r>
      <t>mi･δdi</t>
    </r>
    <r>
      <rPr>
        <vertAlign val="superscript"/>
        <sz val="10"/>
        <rFont val="ＭＳ ゴシック"/>
        <family val="3"/>
        <charset val="128"/>
      </rPr>
      <t>2</t>
    </r>
    <phoneticPr fontId="2"/>
  </si>
  <si>
    <t>(m)   =</t>
    <phoneticPr fontId="2"/>
  </si>
  <si>
    <t>qi</t>
    <phoneticPr fontId="2"/>
  </si>
  <si>
    <t>基準せん断力係数　Co =</t>
    <rPh sb="0" eb="2">
      <t>キジュン</t>
    </rPh>
    <rPh sb="4" eb="6">
      <t>ダンリョク</t>
    </rPh>
    <rPh sb="6" eb="8">
      <t>ケイスウ</t>
    </rPh>
    <phoneticPr fontId="2"/>
  </si>
  <si>
    <t>地盤種別係数 Tc =</t>
    <phoneticPr fontId="2"/>
  </si>
  <si>
    <t>一次固有周期 T =</t>
    <rPh sb="0" eb="2">
      <t>イチジ</t>
    </rPh>
    <rPh sb="2" eb="4">
      <t>コユウ</t>
    </rPh>
    <rPh sb="4" eb="6">
      <t>シュウキ</t>
    </rPh>
    <phoneticPr fontId="2"/>
  </si>
  <si>
    <t>振動特性係数 Rt =</t>
    <rPh sb="0" eb="2">
      <t>シンドウ</t>
    </rPh>
    <rPh sb="2" eb="4">
      <t>トクセイ</t>
    </rPh>
    <rPh sb="4" eb="6">
      <t>ケイスウ</t>
    </rPh>
    <phoneticPr fontId="2"/>
  </si>
  <si>
    <t>③</t>
  </si>
  <si>
    <t>⑦　固有ベクトル * m^-0.5</t>
  </si>
  <si>
    <t>⑧ 固有ベクトル</t>
  </si>
  <si>
    <t>F</t>
    <phoneticPr fontId="2"/>
  </si>
  <si>
    <t>Wi</t>
    <phoneticPr fontId="2"/>
  </si>
  <si>
    <t>Ki</t>
    <phoneticPr fontId="2"/>
  </si>
  <si>
    <t>δx</t>
    <phoneticPr fontId="2"/>
  </si>
  <si>
    <t>δy</t>
    <phoneticPr fontId="2"/>
  </si>
  <si>
    <t>X方向</t>
    <rPh sb="1" eb="3">
      <t>ホウコウ</t>
    </rPh>
    <phoneticPr fontId="2"/>
  </si>
  <si>
    <t>Y方向</t>
    <rPh sb="1" eb="3">
      <t>ホウコウ</t>
    </rPh>
    <phoneticPr fontId="2"/>
  </si>
  <si>
    <t>T=</t>
    <phoneticPr fontId="2"/>
  </si>
  <si>
    <t>Qi(kN)</t>
    <phoneticPr fontId="2"/>
  </si>
  <si>
    <t>wi/g</t>
    <phoneticPr fontId="2"/>
  </si>
  <si>
    <t>F</t>
  </si>
  <si>
    <t>ΣWi</t>
  </si>
  <si>
    <t>αi</t>
  </si>
  <si>
    <t>Ai</t>
  </si>
  <si>
    <t>Ci</t>
  </si>
  <si>
    <t>qi</t>
  </si>
  <si>
    <t>ki=qi/δx</t>
    <phoneticPr fontId="2"/>
  </si>
  <si>
    <t>ki=qi/δy</t>
    <phoneticPr fontId="2"/>
  </si>
  <si>
    <t>階</t>
    <rPh sb="0" eb="1">
      <t>カイ</t>
    </rPh>
    <phoneticPr fontId="2"/>
  </si>
  <si>
    <t>地域係数 Z =</t>
    <phoneticPr fontId="2"/>
  </si>
  <si>
    <t>階数 S =</t>
    <rPh sb="0" eb="1">
      <t>カイ</t>
    </rPh>
    <rPh sb="1" eb="2">
      <t>スウ</t>
    </rPh>
    <phoneticPr fontId="2"/>
  </si>
  <si>
    <t>建物の高さ h =</t>
    <rPh sb="0" eb="2">
      <t>タテモノ</t>
    </rPh>
    <rPh sb="3" eb="4">
      <t>タカ</t>
    </rPh>
    <phoneticPr fontId="2"/>
  </si>
  <si>
    <t>Rt=</t>
    <phoneticPr fontId="2"/>
  </si>
  <si>
    <t>固有ベクトル</t>
    <phoneticPr fontId="2"/>
  </si>
  <si>
    <t>刺激係数</t>
    <phoneticPr fontId="2"/>
  </si>
  <si>
    <t>刺激係数*固有ベクトル</t>
    <phoneticPr fontId="2"/>
  </si>
  <si>
    <t>ω^2</t>
    <phoneticPr fontId="2"/>
  </si>
  <si>
    <t>ω:固有円振動数</t>
    <phoneticPr fontId="2"/>
  </si>
  <si>
    <t>Ts:固有周期</t>
    <phoneticPr fontId="2"/>
  </si>
  <si>
    <t>有効質量　Mud=(Σmi*δdi)^2/(Σ(mi*δdi^2)=0t</t>
  </si>
  <si>
    <t>1/ 188</t>
  </si>
  <si>
    <t>1/ 191</t>
  </si>
  <si>
    <t>1/ 202</t>
  </si>
  <si>
    <t>1/ 212</t>
  </si>
  <si>
    <t>1/ 235</t>
  </si>
  <si>
    <t>1/ 259</t>
  </si>
  <si>
    <t>1/ 242</t>
  </si>
  <si>
    <t>1/ 214</t>
  </si>
  <si>
    <t>Σ</t>
  </si>
  <si>
    <t>有効質量　Mud=(Σmi*δdi)^2/(Σ(mi*δdi^2)=1926.5/4.28=450.3t</t>
  </si>
  <si>
    <t>代表変位　Δd=(Σmi*δdi^2)/(Σmi*δdi)=4.28/43.9=0.097m</t>
  </si>
  <si>
    <t>地震力　Qdx=</t>
    <rPh sb="0" eb="2">
      <t>ジシン</t>
    </rPh>
    <rPh sb="2" eb="3">
      <t>リョク</t>
    </rPh>
    <phoneticPr fontId="2"/>
  </si>
  <si>
    <t>kN</t>
    <phoneticPr fontId="2"/>
  </si>
  <si>
    <t>地震力　Qdy=</t>
    <rPh sb="0" eb="2">
      <t>ジシン</t>
    </rPh>
    <rPh sb="2" eb="3">
      <t>リョク</t>
    </rPh>
    <phoneticPr fontId="2"/>
  </si>
  <si>
    <t>階数=</t>
    <rPh sb="0" eb="2">
      <t>カイスウ</t>
    </rPh>
    <phoneticPr fontId="2"/>
  </si>
  <si>
    <t>一次固有周期 T(略算） =</t>
    <rPh sb="0" eb="2">
      <t>イチジ</t>
    </rPh>
    <rPh sb="2" eb="4">
      <t>コユウ</t>
    </rPh>
    <rPh sb="4" eb="6">
      <t>シュウキ</t>
    </rPh>
    <rPh sb="9" eb="11">
      <t>リャクサン</t>
    </rPh>
    <phoneticPr fontId="2"/>
  </si>
  <si>
    <t>振動特性係数 Rt（略算） =</t>
    <rPh sb="0" eb="2">
      <t>シンドウ</t>
    </rPh>
    <rPh sb="2" eb="4">
      <t>トクセイ</t>
    </rPh>
    <rPh sb="4" eb="6">
      <t>ケイスウ</t>
    </rPh>
    <rPh sb="10" eb="12">
      <t>リャクサン</t>
    </rPh>
    <phoneticPr fontId="2"/>
  </si>
  <si>
    <t>階数=</t>
    <phoneticPr fontId="2"/>
  </si>
  <si>
    <t>地域係数 Z =</t>
    <phoneticPr fontId="2"/>
  </si>
  <si>
    <t>基準せん断力係数　Co =</t>
    <phoneticPr fontId="2"/>
  </si>
  <si>
    <t>地盤種別係数 Tc =</t>
    <phoneticPr fontId="2"/>
  </si>
  <si>
    <t>一次固有周期 T(略算） =</t>
    <phoneticPr fontId="2"/>
  </si>
  <si>
    <t>振動特性係数 Rt（略算） =</t>
    <phoneticPr fontId="2"/>
  </si>
  <si>
    <t>1/ 241</t>
  </si>
  <si>
    <t>1/ 236</t>
  </si>
  <si>
    <t>1/ 255</t>
  </si>
  <si>
    <t>1/ 262</t>
  </si>
  <si>
    <t>1/ 277</t>
  </si>
  <si>
    <t>1/ 296</t>
  </si>
  <si>
    <t>1/ 286</t>
  </si>
  <si>
    <t>1/ 244</t>
  </si>
  <si>
    <t>有効質量　Mud=(Σmi*δdi)^2/(Σ(mi*δdi^2)=1379.2/3.02=456.1t</t>
  </si>
  <si>
    <t>代表変位　Δd=(Σmi*δdi^2)/(Σmi*δdi)=3.02/37.1=0.081m</t>
  </si>
  <si>
    <t>Td=2π(Mud*Δd/Qd)^0.5=1.441sec</t>
  </si>
  <si>
    <t>Td=2π(Mud*Δd/Qd)^0.5=1.325sec</t>
  </si>
  <si>
    <t>①</t>
    <phoneticPr fontId="2"/>
  </si>
  <si>
    <t>④</t>
    <phoneticPr fontId="2"/>
  </si>
  <si>
    <t>⑤</t>
    <phoneticPr fontId="2"/>
  </si>
  <si>
    <t>②</t>
    <phoneticPr fontId="2"/>
  </si>
  <si>
    <t>⑥</t>
    <phoneticPr fontId="2"/>
  </si>
  <si>
    <t>befor ⑥</t>
    <phoneticPr fontId="2"/>
  </si>
  <si>
    <t>固有ベクトル</t>
    <phoneticPr fontId="2"/>
  </si>
  <si>
    <t>刺激係数</t>
    <phoneticPr fontId="2"/>
  </si>
  <si>
    <t>刺激係数*固有ベクトル</t>
    <phoneticPr fontId="2"/>
  </si>
  <si>
    <t>ω^2</t>
    <phoneticPr fontId="2"/>
  </si>
  <si>
    <t>ω:固有円振動数</t>
    <phoneticPr fontId="2"/>
  </si>
  <si>
    <t>Ts:固有周期</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</si>
</sst>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76" formatCode="0.000_ "/>
    <numFmt numFmtId="177" formatCode="0.0_ "/>
    <numFmt numFmtId="178" formatCode="0.0000_ "/>
    <numFmt numFmtId="179" formatCode="0.00_ "/>
    <numFmt numFmtId="180" formatCode="&quot;(&quot;0#.###&quot;)&quot;"/>
    <numFmt numFmtId="181" formatCode="0_ "/>
    <numFmt numFmtId="182" formatCode="0.000"/>
    <numFmt numFmtId="183" formatCode="0.0"/>
    <numFmt numFmtId="184" formatCode="&quot;1/&quot;#"/>
    <numFmt numFmtId="185" formatCode="0.0000"/>
    <numFmt numFmtId="186" formatCode="&quot;=  &quot;#"/>
    <numFmt numFmtId="187" formatCode="0.0_);[Red]\(0.0\)"/>
    <numFmt numFmtId="188" formatCode="#,##0.000_);[Red]\(#,##0.000\)"/>
    <numFmt numFmtId="189" formatCode="0.000_);[Red]\(0.000\)"/>
    <numFmt numFmtId="190" formatCode="0.0000000"/>
  </numFmts>
  <fonts count="13" x14ac:knownFonts="1">
    <font>
      <sz val="10"/>
      <name val="ＭＳ ゴシック"/>
      <family val="3"/>
      <charset val="128"/>
    </font>
    <font>
      <sz val="10"/>
      <name val="ＭＳ ゴシック"/>
      <family val="3"/>
      <charset val="128"/>
    </font>
    <font>
      <sz val="6"/>
      <name val="ＭＳ ゴシック"/>
      <family val="3"/>
      <charset val="128"/>
    </font>
    <font>
      <sz val="8"/>
      <name val="ＭＳ ゴシック"/>
      <family val="3"/>
      <charset val="128"/>
    </font>
    <font>
      <sz val="10"/>
      <color indexed="12"/>
      <name val="ＭＳ ゴシック"/>
      <family val="3"/>
      <charset val="128"/>
    </font>
    <font>
      <vertAlign val="superscript"/>
      <sz val="10"/>
      <name val="ＭＳ ゴシック"/>
      <family val="3"/>
      <charset val="128"/>
    </font>
    <font>
      <sz val="6"/>
      <name val="ＭＳ Ｐゴシック"/>
      <family val="3"/>
      <charset val="128"/>
    </font>
    <font>
      <sz val="10"/>
      <name val="ＭＳ Ｐ明朝"/>
      <family val="1"/>
      <charset val="128"/>
    </font>
    <font>
      <sz val="10"/>
      <color theme="8"/>
      <name val="ＭＳ ゴシック"/>
      <family val="3"/>
      <charset val="128"/>
    </font>
    <font>
      <sz val="10"/>
      <color theme="1"/>
      <name val="ＭＳ Ｐ明朝"/>
      <family val="1"/>
      <charset val="128"/>
    </font>
    <font>
      <sz val="10"/>
      <color theme="8"/>
      <name val="ＭＳ Ｐ明朝"/>
      <family val="1"/>
      <charset val="128"/>
    </font>
    <font>
      <sz val="10"/>
      <color rgb="FF000000"/>
      <name val="ＭＳ ゴシック"/>
      <family val="3"/>
      <charset val="128"/>
    </font>
    <font>
      <sz val="10"/>
      <color rgb="FF0070C0"/>
      <name val="ＭＳ ゴシック"/>
      <family val="3"/>
      <charset val="128"/>
    </font>
  </fonts>
  <fills count="2">
    <fill>
      <patternFill patternType="none"/>
    </fill>
    <fill>
      <patternFill patternType="gray125"/>
    </fill>
  </fills>
  <borders count="13">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s>
  <cellStyleXfs count="3">
    <xf numFmtId="0" fontId="0" fillId="0" borderId="0">
      <alignment vertical="center"/>
    </xf>
    <xf numFmtId="38" fontId="1" fillId="0" borderId="0" applyFont="0" applyFill="0" applyBorder="0" applyAlignment="0" applyProtection="0">
      <alignment vertical="center"/>
    </xf>
    <xf numFmtId="0" fontId="1" fillId="0" borderId="0">
      <alignment vertical="center"/>
    </xf>
  </cellStyleXfs>
  <cellXfs count="198">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lignment vertical="center"/>
    </xf>
    <xf numFmtId="0" fontId="0" fillId="0" borderId="1" xfId="0" applyBorder="1">
      <alignment vertical="center"/>
    </xf>
    <xf numFmtId="177" fontId="0" fillId="0" borderId="0" xfId="0" applyNumberFormat="1" applyAlignment="1">
      <alignment vertical="center" shrinkToFit="1"/>
    </xf>
    <xf numFmtId="178" fontId="0" fillId="0" borderId="0" xfId="0" applyNumberFormat="1" applyAlignment="1">
      <alignment vertical="center" shrinkToFit="1"/>
    </xf>
    <xf numFmtId="0" fontId="4" fillId="0" borderId="0" xfId="0" applyFont="1">
      <alignment vertical="center"/>
    </xf>
    <xf numFmtId="2" fontId="0" fillId="0" borderId="0" xfId="0" applyNumberFormat="1">
      <alignment vertical="center"/>
    </xf>
    <xf numFmtId="182" fontId="0" fillId="0" borderId="0" xfId="0" applyNumberFormat="1">
      <alignment vertical="center"/>
    </xf>
    <xf numFmtId="176" fontId="0" fillId="0" borderId="0" xfId="0" applyNumberFormat="1" applyAlignment="1">
      <alignment horizontal="right" vertical="center"/>
    </xf>
    <xf numFmtId="183" fontId="0" fillId="0" borderId="0" xfId="0" applyNumberFormat="1">
      <alignment vertical="center"/>
    </xf>
    <xf numFmtId="184" fontId="0" fillId="0" borderId="0" xfId="0" applyNumberFormat="1">
      <alignment vertical="center"/>
    </xf>
    <xf numFmtId="2" fontId="0" fillId="0" borderId="0" xfId="0" applyNumberFormat="1" applyAlignment="1">
      <alignment horizontal="center" vertical="center"/>
    </xf>
    <xf numFmtId="0" fontId="0" fillId="0" borderId="0" xfId="0" applyAlignment="1">
      <alignment horizontal="right" vertical="center"/>
    </xf>
    <xf numFmtId="2" fontId="0" fillId="0" borderId="1" xfId="0" applyNumberFormat="1" applyBorder="1" applyAlignment="1">
      <alignment horizontal="center" vertical="center"/>
    </xf>
    <xf numFmtId="183" fontId="0" fillId="0" borderId="1" xfId="0" applyNumberFormat="1" applyBorder="1" applyAlignment="1">
      <alignment horizontal="center" vertical="center"/>
    </xf>
    <xf numFmtId="176" fontId="0" fillId="0" borderId="0" xfId="0" applyNumberFormat="1" applyAlignment="1">
      <alignment horizontal="center" vertical="center"/>
    </xf>
    <xf numFmtId="184" fontId="0" fillId="0" borderId="0" xfId="0" applyNumberFormat="1" applyAlignment="1">
      <alignment horizontal="center" vertical="center"/>
    </xf>
    <xf numFmtId="182" fontId="0" fillId="0" borderId="0" xfId="0" applyNumberFormat="1" applyAlignment="1">
      <alignment horizontal="left" vertical="center"/>
    </xf>
    <xf numFmtId="185" fontId="8" fillId="0" borderId="0" xfId="0" applyNumberFormat="1" applyFont="1">
      <alignment vertical="center"/>
    </xf>
    <xf numFmtId="182" fontId="8" fillId="0" borderId="0" xfId="0" applyNumberFormat="1" applyFont="1">
      <alignment vertical="center"/>
    </xf>
    <xf numFmtId="183" fontId="8" fillId="0" borderId="0" xfId="0" applyNumberFormat="1" applyFont="1">
      <alignment vertical="center"/>
    </xf>
    <xf numFmtId="0" fontId="9" fillId="0" borderId="0" xfId="0" applyFont="1">
      <alignment vertical="center"/>
    </xf>
    <xf numFmtId="0" fontId="9" fillId="0" borderId="0" xfId="0" applyFont="1" applyAlignment="1">
      <alignment horizontal="right" vertical="center"/>
    </xf>
    <xf numFmtId="0" fontId="9" fillId="0" borderId="0" xfId="0" applyFont="1" applyAlignment="1">
      <alignment horizontal="left" vertical="center"/>
    </xf>
    <xf numFmtId="182" fontId="9" fillId="0" borderId="0" xfId="0" applyNumberFormat="1" applyFont="1" applyAlignment="1">
      <alignment horizontal="left" vertical="center"/>
    </xf>
    <xf numFmtId="2" fontId="9" fillId="0" borderId="0" xfId="0" applyNumberFormat="1" applyFont="1" applyAlignment="1">
      <alignment horizontal="left" vertical="center"/>
    </xf>
    <xf numFmtId="183" fontId="9" fillId="0" borderId="0" xfId="0" applyNumberFormat="1" applyFont="1">
      <alignment vertical="center"/>
    </xf>
    <xf numFmtId="182" fontId="9" fillId="0" borderId="0" xfId="0" applyNumberFormat="1" applyFont="1">
      <alignment vertical="center"/>
    </xf>
    <xf numFmtId="0" fontId="9" fillId="0" borderId="0" xfId="0" applyFont="1" applyAlignment="1">
      <alignment horizontal="center" vertical="center"/>
    </xf>
    <xf numFmtId="0" fontId="9" fillId="0" borderId="0" xfId="0" applyFont="1" applyAlignment="1">
      <alignment horizontal="center" vertical="center" shrinkToFit="1"/>
    </xf>
    <xf numFmtId="2" fontId="9" fillId="0" borderId="0" xfId="0" applyNumberFormat="1" applyFont="1" applyAlignment="1">
      <alignment horizontal="center" vertical="center"/>
    </xf>
    <xf numFmtId="183" fontId="9" fillId="0" borderId="0" xfId="0" applyNumberFormat="1" applyFont="1" applyAlignment="1">
      <alignment horizontal="center" vertical="center"/>
    </xf>
    <xf numFmtId="1" fontId="9" fillId="0" borderId="0" xfId="0" applyNumberFormat="1" applyFont="1" applyAlignment="1">
      <alignment horizontal="center" vertical="center"/>
    </xf>
    <xf numFmtId="1" fontId="9" fillId="0" borderId="0" xfId="0" applyNumberFormat="1" applyFont="1">
      <alignment vertical="center"/>
    </xf>
    <xf numFmtId="0" fontId="9" fillId="0" borderId="2" xfId="0" applyFont="1" applyBorder="1">
      <alignment vertical="center"/>
    </xf>
    <xf numFmtId="0" fontId="9" fillId="0" borderId="3" xfId="0" applyFont="1" applyBorder="1">
      <alignment vertical="center"/>
    </xf>
    <xf numFmtId="0" fontId="9" fillId="0" borderId="4" xfId="0" applyFont="1" applyBorder="1">
      <alignment vertical="center"/>
    </xf>
    <xf numFmtId="0" fontId="9" fillId="0" borderId="3" xfId="0" applyFont="1" applyBorder="1" applyAlignment="1">
      <alignment horizontal="right" vertical="center"/>
    </xf>
    <xf numFmtId="183" fontId="9" fillId="0" borderId="4" xfId="0" applyNumberFormat="1" applyFont="1" applyBorder="1">
      <alignment vertical="center"/>
    </xf>
    <xf numFmtId="1" fontId="9" fillId="0" borderId="4" xfId="0" applyNumberFormat="1" applyFont="1" applyBorder="1">
      <alignment vertical="center"/>
    </xf>
    <xf numFmtId="183" fontId="9" fillId="0" borderId="2" xfId="0" applyNumberFormat="1" applyFont="1" applyBorder="1">
      <alignment vertical="center"/>
    </xf>
    <xf numFmtId="0" fontId="9" fillId="0" borderId="4" xfId="0" applyFont="1" applyBorder="1" applyAlignment="1">
      <alignment horizontal="left" vertical="center"/>
    </xf>
    <xf numFmtId="0" fontId="10" fillId="0" borderId="0" xfId="0" applyFont="1" applyAlignment="1">
      <alignment horizontal="left" vertical="center"/>
    </xf>
    <xf numFmtId="183" fontId="10" fillId="0" borderId="0" xfId="0" applyNumberFormat="1" applyFont="1">
      <alignment vertical="center"/>
    </xf>
    <xf numFmtId="2" fontId="10" fillId="0" borderId="0" xfId="0" applyNumberFormat="1" applyFont="1">
      <alignment vertical="center"/>
    </xf>
    <xf numFmtId="182" fontId="9" fillId="0" borderId="0" xfId="0" applyNumberFormat="1"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right" vertical="center"/>
    </xf>
    <xf numFmtId="182" fontId="7" fillId="0" borderId="0" xfId="0" applyNumberFormat="1" applyFont="1" applyAlignment="1">
      <alignment horizontal="center" vertical="center"/>
    </xf>
    <xf numFmtId="183" fontId="7" fillId="0" borderId="0" xfId="0" applyNumberFormat="1" applyFont="1" applyAlignment="1">
      <alignment horizontal="right" vertical="center"/>
    </xf>
    <xf numFmtId="0" fontId="10" fillId="0" borderId="0" xfId="0" applyFont="1" applyAlignment="1">
      <alignment horizontal="center" vertical="center"/>
    </xf>
    <xf numFmtId="183" fontId="7" fillId="0" borderId="0" xfId="0" applyNumberFormat="1" applyFont="1">
      <alignment vertical="center"/>
    </xf>
    <xf numFmtId="183" fontId="9" fillId="0" borderId="0" xfId="0" applyNumberFormat="1" applyFont="1" applyAlignment="1">
      <alignment horizontal="right" vertical="center"/>
    </xf>
    <xf numFmtId="177" fontId="0" fillId="0" borderId="0" xfId="0" applyNumberFormat="1">
      <alignment vertical="center"/>
    </xf>
    <xf numFmtId="0" fontId="1" fillId="0" borderId="0" xfId="2">
      <alignment vertical="center"/>
    </xf>
    <xf numFmtId="178" fontId="1" fillId="0" borderId="0" xfId="2" applyNumberFormat="1">
      <alignment vertical="center"/>
    </xf>
    <xf numFmtId="0" fontId="0" fillId="0" borderId="0" xfId="0" applyAlignment="1">
      <alignment vertical="center" shrinkToFit="1"/>
    </xf>
    <xf numFmtId="0" fontId="0" fillId="0" borderId="0" xfId="0" applyAlignment="1">
      <alignment horizontal="center" vertical="center" shrinkToFit="1"/>
    </xf>
    <xf numFmtId="176" fontId="0" fillId="0" borderId="0" xfId="0" applyNumberFormat="1" applyAlignment="1">
      <alignment vertical="center" shrinkToFit="1"/>
    </xf>
    <xf numFmtId="0" fontId="0" fillId="0" borderId="0" xfId="0" applyAlignment="1">
      <alignment horizontal="right" vertical="center" shrinkToFit="1"/>
    </xf>
    <xf numFmtId="179" fontId="0" fillId="0" borderId="0" xfId="0" applyNumberFormat="1" applyAlignment="1">
      <alignment vertical="center" shrinkToFit="1"/>
    </xf>
    <xf numFmtId="0" fontId="0" fillId="0" borderId="0" xfId="0" applyAlignment="1">
      <alignment horizontal="center" vertical="center"/>
    </xf>
    <xf numFmtId="0" fontId="0" fillId="0" borderId="1" xfId="0" applyBorder="1" applyAlignment="1">
      <alignment horizontal="center" vertical="center"/>
    </xf>
    <xf numFmtId="182" fontId="0" fillId="0" borderId="0" xfId="0" applyNumberFormat="1" applyAlignment="1">
      <alignment horizontal="center" vertical="center"/>
    </xf>
    <xf numFmtId="0" fontId="9" fillId="0" borderId="0" xfId="0" applyFont="1" applyAlignment="1">
      <alignment horizontal="left" vertical="center" wrapText="1"/>
    </xf>
    <xf numFmtId="0" fontId="9" fillId="0" borderId="2" xfId="0" applyFont="1" applyBorder="1" applyAlignment="1">
      <alignment horizontal="center" vertical="center"/>
    </xf>
    <xf numFmtId="0" fontId="9" fillId="0" borderId="4" xfId="0" applyFont="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NumberFormat="1">
      <alignment vertical="center"/>
    </xf>
    <xf numFmtId="0" fontId="0" fillId="0" borderId="0" xfId="0" applyNumberFormat="1" applyAlignment="1">
      <alignment horizontal="left" vertical="center"/>
    </xf>
    <xf numFmtId="0" fontId="0" fillId="0" borderId="0" xfId="0" applyAlignment="1">
      <alignment vertical="center" shrinkToFit="1"/>
    </xf>
    <xf numFmtId="0" fontId="0" fillId="0" borderId="0" xfId="0" applyAlignment="1">
      <alignment horizontal="center" vertical="center" shrinkToFit="1"/>
    </xf>
    <xf numFmtId="176" fontId="0" fillId="0" borderId="0" xfId="0" applyNumberFormat="1" applyAlignment="1">
      <alignment vertical="center" shrinkToFit="1"/>
    </xf>
    <xf numFmtId="0" fontId="0" fillId="0" borderId="0" xfId="0" applyAlignment="1">
      <alignment horizontal="right" vertical="center" shrinkToFit="1"/>
    </xf>
    <xf numFmtId="179" fontId="0" fillId="0" borderId="0" xfId="0" applyNumberFormat="1" applyAlignment="1">
      <alignment vertical="center" shrinkToFit="1"/>
    </xf>
    <xf numFmtId="0" fontId="0" fillId="0" borderId="0" xfId="0"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176" fontId="4" fillId="0" borderId="2" xfId="0" applyNumberFormat="1" applyFont="1" applyBorder="1" applyAlignment="1">
      <alignment vertical="center"/>
    </xf>
    <xf numFmtId="177" fontId="0" fillId="0" borderId="5" xfId="0" applyNumberFormat="1" applyBorder="1" applyAlignment="1">
      <alignment vertical="center"/>
    </xf>
    <xf numFmtId="177" fontId="4" fillId="0" borderId="2" xfId="0" applyNumberFormat="1" applyFont="1" applyBorder="1" applyAlignment="1">
      <alignment vertical="center"/>
    </xf>
    <xf numFmtId="176" fontId="0" fillId="0" borderId="0" xfId="0" applyNumberFormat="1">
      <alignment vertical="center"/>
    </xf>
    <xf numFmtId="176" fontId="0" fillId="0" borderId="6" xfId="0" applyNumberFormat="1" applyBorder="1" applyAlignment="1">
      <alignment horizontal="center" vertical="center"/>
    </xf>
    <xf numFmtId="177" fontId="0" fillId="0" borderId="6" xfId="0" applyNumberFormat="1" applyBorder="1" applyAlignment="1">
      <alignment horizontal="center" vertical="center"/>
    </xf>
    <xf numFmtId="187" fontId="0" fillId="0" borderId="0" xfId="0" applyNumberFormat="1">
      <alignment vertical="center"/>
    </xf>
    <xf numFmtId="0" fontId="0" fillId="0" borderId="0" xfId="0" applyAlignment="1">
      <alignment horizontal="center" vertical="center" shrinkToFit="1"/>
    </xf>
    <xf numFmtId="0" fontId="0" fillId="0" borderId="0" xfId="0" applyAlignment="1">
      <alignment horizontal="center" vertical="center"/>
    </xf>
    <xf numFmtId="0" fontId="0" fillId="0" borderId="6" xfId="0" applyBorder="1" applyAlignment="1">
      <alignment horizontal="center" vertical="center" shrinkToFit="1"/>
    </xf>
    <xf numFmtId="0" fontId="0" fillId="0" borderId="6" xfId="0" applyBorder="1" applyAlignment="1">
      <alignment horizontal="center" vertical="center"/>
    </xf>
    <xf numFmtId="176" fontId="0" fillId="0" borderId="9" xfId="0" applyNumberFormat="1" applyBorder="1" applyAlignment="1">
      <alignment horizontal="center" vertical="center"/>
    </xf>
    <xf numFmtId="177" fontId="0" fillId="0" borderId="9" xfId="0" applyNumberFormat="1" applyBorder="1" applyAlignment="1">
      <alignment horizontal="center" vertical="center"/>
    </xf>
    <xf numFmtId="177" fontId="0" fillId="0" borderId="9" xfId="0" applyNumberFormat="1" applyBorder="1" applyAlignment="1">
      <alignment horizontal="center" vertical="center" shrinkToFit="1"/>
    </xf>
    <xf numFmtId="0" fontId="0" fillId="0" borderId="9" xfId="0" applyBorder="1" applyAlignment="1">
      <alignment horizontal="center" vertical="center" shrinkToFit="1"/>
    </xf>
    <xf numFmtId="0" fontId="0" fillId="0" borderId="0" xfId="0" applyBorder="1">
      <alignment vertical="center"/>
    </xf>
    <xf numFmtId="176" fontId="0" fillId="0" borderId="0" xfId="0" applyNumberFormat="1" applyBorder="1">
      <alignment vertical="center"/>
    </xf>
    <xf numFmtId="177" fontId="0" fillId="0" borderId="0" xfId="0" applyNumberFormat="1" applyBorder="1">
      <alignment vertical="center"/>
    </xf>
    <xf numFmtId="187" fontId="0" fillId="0" borderId="0" xfId="0" applyNumberFormat="1" applyBorder="1">
      <alignment vertical="center"/>
    </xf>
    <xf numFmtId="177" fontId="0" fillId="0" borderId="0" xfId="0" applyNumberFormat="1" applyBorder="1" applyAlignment="1">
      <alignment horizontal="right" vertical="center"/>
    </xf>
    <xf numFmtId="0" fontId="0" fillId="0" borderId="0" xfId="0" applyNumberFormat="1" applyBorder="1">
      <alignment vertical="center"/>
    </xf>
    <xf numFmtId="177" fontId="0" fillId="0" borderId="0" xfId="0" applyNumberFormat="1" applyBorder="1" applyAlignment="1">
      <alignment vertical="center" shrinkToFit="1"/>
    </xf>
    <xf numFmtId="0" fontId="0" fillId="0" borderId="0" xfId="0" applyBorder="1" applyAlignment="1">
      <alignment vertical="center" shrinkToFit="1"/>
    </xf>
    <xf numFmtId="0" fontId="0" fillId="0" borderId="9" xfId="0" applyBorder="1" applyAlignment="1">
      <alignment horizontal="center" vertical="center"/>
    </xf>
    <xf numFmtId="0" fontId="0" fillId="0" borderId="0" xfId="0" applyBorder="1" applyAlignment="1">
      <alignment horizontal="center" vertical="center"/>
    </xf>
    <xf numFmtId="176" fontId="0" fillId="0" borderId="0" xfId="0" applyNumberFormat="1" applyBorder="1" applyAlignment="1">
      <alignment horizontal="center" vertical="center"/>
    </xf>
    <xf numFmtId="177" fontId="0" fillId="0" borderId="0" xfId="0" applyNumberFormat="1" applyBorder="1" applyAlignment="1">
      <alignment horizontal="center" vertical="center"/>
    </xf>
    <xf numFmtId="177" fontId="0" fillId="0" borderId="0" xfId="0" applyNumberFormat="1" applyBorder="1" applyAlignment="1">
      <alignment horizontal="center" vertical="center" shrinkToFit="1"/>
    </xf>
    <xf numFmtId="0" fontId="0" fillId="0" borderId="0" xfId="0" applyBorder="1" applyAlignment="1">
      <alignment horizontal="center" vertical="center" shrinkToFit="1"/>
    </xf>
    <xf numFmtId="0" fontId="0" fillId="0" borderId="10" xfId="0" applyBorder="1">
      <alignment vertical="center"/>
    </xf>
    <xf numFmtId="0" fontId="0" fillId="0" borderId="11" xfId="0" applyBorder="1">
      <alignment vertical="center"/>
    </xf>
    <xf numFmtId="176" fontId="0" fillId="0" borderId="11" xfId="0" applyNumberFormat="1" applyBorder="1">
      <alignment vertical="center"/>
    </xf>
    <xf numFmtId="177" fontId="0" fillId="0" borderId="11" xfId="0" applyNumberFormat="1" applyBorder="1">
      <alignment vertical="center"/>
    </xf>
    <xf numFmtId="187" fontId="0" fillId="0" borderId="11" xfId="0" applyNumberFormat="1" applyBorder="1">
      <alignment vertical="center"/>
    </xf>
    <xf numFmtId="0" fontId="0" fillId="0" borderId="12" xfId="0" applyBorder="1">
      <alignment vertical="center"/>
    </xf>
    <xf numFmtId="176" fontId="0" fillId="0" borderId="12" xfId="0" applyNumberFormat="1" applyBorder="1">
      <alignment vertical="center"/>
    </xf>
    <xf numFmtId="177" fontId="0" fillId="0" borderId="12" xfId="0" applyNumberFormat="1" applyBorder="1">
      <alignment vertical="center"/>
    </xf>
    <xf numFmtId="187" fontId="0" fillId="0" borderId="12" xfId="0" applyNumberFormat="1" applyBorder="1">
      <alignment vertical="center"/>
    </xf>
    <xf numFmtId="177" fontId="0" fillId="0" borderId="6" xfId="0" applyNumberFormat="1" applyBorder="1" applyAlignment="1">
      <alignment horizontal="center" vertical="center" shrinkToFit="1"/>
    </xf>
    <xf numFmtId="176" fontId="0" fillId="0" borderId="10" xfId="0" applyNumberFormat="1" applyBorder="1">
      <alignment vertical="center"/>
    </xf>
    <xf numFmtId="177" fontId="0" fillId="0" borderId="10" xfId="0" applyNumberFormat="1" applyBorder="1">
      <alignment vertical="center"/>
    </xf>
    <xf numFmtId="187" fontId="0" fillId="0" borderId="10" xfId="0" applyNumberFormat="1" applyBorder="1">
      <alignment vertical="center"/>
    </xf>
    <xf numFmtId="187" fontId="0" fillId="0" borderId="6" xfId="0" applyNumberFormat="1" applyBorder="1" applyAlignment="1">
      <alignment horizontal="center" vertical="center" shrinkToFit="1"/>
    </xf>
    <xf numFmtId="187" fontId="0" fillId="0" borderId="9" xfId="0" applyNumberFormat="1" applyBorder="1" applyAlignment="1">
      <alignment horizontal="center" vertical="center" shrinkToFit="1"/>
    </xf>
    <xf numFmtId="187" fontId="0" fillId="0" borderId="0" xfId="0" applyNumberFormat="1" applyBorder="1" applyAlignment="1">
      <alignment vertical="center" shrinkToFit="1"/>
    </xf>
    <xf numFmtId="188" fontId="0" fillId="0" borderId="0" xfId="0" applyNumberFormat="1" applyBorder="1" applyAlignment="1">
      <alignment horizontal="center" vertical="center"/>
    </xf>
    <xf numFmtId="188" fontId="0" fillId="0" borderId="0" xfId="0" applyNumberFormat="1" applyBorder="1">
      <alignment vertical="center"/>
    </xf>
    <xf numFmtId="188" fontId="0" fillId="0" borderId="6" xfId="0" applyNumberFormat="1" applyBorder="1" applyAlignment="1">
      <alignment horizontal="center" vertical="center" shrinkToFit="1"/>
    </xf>
    <xf numFmtId="188" fontId="0" fillId="0" borderId="9" xfId="0" applyNumberFormat="1" applyBorder="1" applyAlignment="1">
      <alignment horizontal="center" vertical="center" shrinkToFit="1"/>
    </xf>
    <xf numFmtId="188" fontId="0" fillId="0" borderId="10" xfId="0" applyNumberFormat="1" applyBorder="1">
      <alignment vertical="center"/>
    </xf>
    <xf numFmtId="188" fontId="0" fillId="0" borderId="11" xfId="0" applyNumberFormat="1" applyBorder="1">
      <alignment vertical="center"/>
    </xf>
    <xf numFmtId="188" fontId="0" fillId="0" borderId="12" xfId="0" applyNumberFormat="1" applyBorder="1">
      <alignment vertical="center"/>
    </xf>
    <xf numFmtId="188" fontId="0" fillId="0" borderId="0" xfId="0" applyNumberFormat="1" applyBorder="1" applyAlignment="1">
      <alignment vertical="center" shrinkToFit="1"/>
    </xf>
    <xf numFmtId="188" fontId="0" fillId="0" borderId="0" xfId="0" applyNumberFormat="1">
      <alignment vertical="center"/>
    </xf>
    <xf numFmtId="187" fontId="0" fillId="0" borderId="0" xfId="0" applyNumberFormat="1" applyBorder="1" applyAlignment="1">
      <alignment horizontal="right" vertical="center"/>
    </xf>
    <xf numFmtId="188" fontId="0" fillId="0" borderId="0" xfId="0" applyNumberFormat="1" applyBorder="1" applyAlignment="1">
      <alignment horizontal="left" vertical="center"/>
    </xf>
    <xf numFmtId="182" fontId="0" fillId="0" borderId="0" xfId="0" applyNumberFormat="1" applyBorder="1">
      <alignment vertical="center"/>
    </xf>
    <xf numFmtId="0" fontId="0" fillId="0" borderId="0" xfId="0" applyBorder="1" applyAlignment="1">
      <alignment horizontal="right" vertical="center" shrinkToFit="1"/>
    </xf>
    <xf numFmtId="189" fontId="0" fillId="0" borderId="0" xfId="0" applyNumberFormat="1" applyBorder="1" applyAlignment="1">
      <alignment horizontal="left" vertical="center"/>
    </xf>
    <xf numFmtId="0" fontId="0" fillId="0" borderId="0" xfId="0" applyNumberFormat="1" applyBorder="1" applyAlignment="1">
      <alignment horizontal="left" vertical="center"/>
    </xf>
    <xf numFmtId="182" fontId="0" fillId="0" borderId="0" xfId="0" applyNumberFormat="1" applyBorder="1" applyAlignment="1">
      <alignment horizontal="left" vertical="center"/>
    </xf>
    <xf numFmtId="179" fontId="0" fillId="0" borderId="0" xfId="0" applyNumberFormat="1" applyBorder="1" applyAlignment="1">
      <alignment horizontal="left" vertical="center"/>
    </xf>
    <xf numFmtId="0" fontId="0" fillId="0" borderId="6" xfId="0" applyBorder="1" applyAlignment="1">
      <alignment horizontal="center" vertical="center" shrinkToFit="1"/>
    </xf>
    <xf numFmtId="0" fontId="0" fillId="0" borderId="0" xfId="0" applyAlignment="1">
      <alignment horizontal="left" vertical="center"/>
    </xf>
    <xf numFmtId="0" fontId="0" fillId="0" borderId="0" xfId="0" applyAlignment="1">
      <alignment horizontal="center" vertical="center"/>
    </xf>
    <xf numFmtId="182" fontId="0" fillId="0" borderId="0" xfId="0" applyNumberFormat="1" applyAlignment="1">
      <alignment horizontal="center" vertical="center"/>
    </xf>
    <xf numFmtId="0" fontId="0" fillId="0" borderId="1" xfId="0" applyBorder="1" applyAlignment="1">
      <alignment vertical="center"/>
    </xf>
    <xf numFmtId="0" fontId="12" fillId="0" borderId="0" xfId="0" applyFont="1" applyFill="1" applyAlignment="1">
      <alignment horizontal="center" vertical="center"/>
    </xf>
    <xf numFmtId="0" fontId="12" fillId="0" borderId="0" xfId="0" applyFont="1" applyFill="1" applyAlignment="1">
      <alignment horizontal="right" vertical="center"/>
    </xf>
    <xf numFmtId="0" fontId="12" fillId="0" borderId="0" xfId="0" applyFont="1">
      <alignment vertical="center"/>
    </xf>
    <xf numFmtId="0" fontId="12" fillId="0" borderId="0" xfId="0" applyFont="1" applyAlignment="1">
      <alignment horizontal="center" vertical="center"/>
    </xf>
    <xf numFmtId="185" fontId="0" fillId="0" borderId="0" xfId="0" applyNumberFormat="1">
      <alignment vertical="center"/>
    </xf>
    <xf numFmtId="181" fontId="0" fillId="0" borderId="0" xfId="1" applyNumberFormat="1" applyFont="1" applyAlignment="1">
      <alignment vertical="center"/>
    </xf>
    <xf numFmtId="0" fontId="0" fillId="0" borderId="0" xfId="0" applyAlignment="1">
      <alignment vertical="center"/>
    </xf>
    <xf numFmtId="186" fontId="0" fillId="0" borderId="0" xfId="1" applyNumberFormat="1" applyFont="1" applyAlignment="1">
      <alignment vertical="center"/>
    </xf>
    <xf numFmtId="183" fontId="0" fillId="0" borderId="0" xfId="0" applyNumberFormat="1" applyAlignment="1">
      <alignment horizontal="left" vertical="center"/>
    </xf>
    <xf numFmtId="0" fontId="0" fillId="0" borderId="0" xfId="0" applyFont="1" applyAlignment="1">
      <alignment horizontal="right" vertical="center"/>
    </xf>
    <xf numFmtId="0" fontId="0" fillId="0" borderId="0" xfId="0" applyAlignment="1">
      <alignment horizontal="center" vertical="center"/>
    </xf>
    <xf numFmtId="0" fontId="0" fillId="0" borderId="1" xfId="0" applyBorder="1" applyAlignment="1">
      <alignment horizontal="center" vertical="center"/>
    </xf>
    <xf numFmtId="186" fontId="0" fillId="0" borderId="0" xfId="1" applyNumberFormat="1" applyFont="1" applyAlignment="1">
      <alignment horizontal="center" vertical="center"/>
    </xf>
    <xf numFmtId="181" fontId="0" fillId="0" borderId="0" xfId="1" applyNumberFormat="1" applyFont="1" applyAlignment="1">
      <alignment horizontal="center" vertical="center"/>
    </xf>
    <xf numFmtId="0" fontId="0" fillId="0" borderId="0" xfId="0" applyAlignment="1">
      <alignment horizontal="left" vertical="center"/>
    </xf>
    <xf numFmtId="183" fontId="0" fillId="0" borderId="0" xfId="0" applyNumberFormat="1" applyAlignment="1">
      <alignment horizontal="center" vertical="center"/>
    </xf>
    <xf numFmtId="182" fontId="0" fillId="0" borderId="0" xfId="0" applyNumberFormat="1" applyAlignment="1">
      <alignment horizontal="center" vertical="center"/>
    </xf>
    <xf numFmtId="0" fontId="9" fillId="0" borderId="0" xfId="0" applyFont="1" applyAlignment="1">
      <alignment horizontal="left" vertical="center" wrapText="1"/>
    </xf>
    <xf numFmtId="0" fontId="9" fillId="0" borderId="2" xfId="0" applyFont="1" applyBorder="1" applyAlignment="1">
      <alignment horizontal="center" vertical="center"/>
    </xf>
    <xf numFmtId="0" fontId="9" fillId="0" borderId="4" xfId="0" applyFont="1" applyBorder="1" applyAlignment="1">
      <alignment horizontal="center" vertical="center"/>
    </xf>
    <xf numFmtId="183" fontId="9" fillId="0" borderId="2" xfId="0" applyNumberFormat="1" applyFont="1" applyBorder="1" applyAlignment="1">
      <alignment horizontal="center" vertical="center"/>
    </xf>
    <xf numFmtId="183" fontId="9" fillId="0" borderId="4" xfId="0" applyNumberFormat="1" applyFont="1" applyBorder="1" applyAlignment="1">
      <alignment horizontal="center" vertical="center"/>
    </xf>
    <xf numFmtId="0" fontId="0" fillId="0" borderId="0" xfId="0" applyAlignment="1">
      <alignment horizontal="right" vertical="center" shrinkToFit="1"/>
    </xf>
    <xf numFmtId="0" fontId="0" fillId="0" borderId="0" xfId="0" applyAlignment="1">
      <alignment vertical="center" shrinkToFit="1"/>
    </xf>
    <xf numFmtId="0" fontId="0" fillId="0" borderId="0" xfId="0" applyAlignment="1">
      <alignment horizontal="center" vertical="center" shrinkToFit="1"/>
    </xf>
    <xf numFmtId="0" fontId="0" fillId="0" borderId="8" xfId="0" applyBorder="1" applyAlignment="1">
      <alignment horizontal="center" vertical="center" shrinkToFit="1"/>
    </xf>
    <xf numFmtId="176" fontId="0" fillId="0" borderId="0" xfId="0" applyNumberFormat="1" applyAlignment="1">
      <alignment vertical="center" shrinkToFit="1"/>
    </xf>
    <xf numFmtId="176" fontId="4" fillId="0" borderId="0" xfId="0" applyNumberFormat="1" applyFont="1" applyAlignment="1">
      <alignment vertical="center" shrinkToFit="1"/>
    </xf>
    <xf numFmtId="0" fontId="4" fillId="0" borderId="0" xfId="0" applyFont="1" applyAlignment="1">
      <alignment vertical="center" shrinkToFit="1"/>
    </xf>
    <xf numFmtId="179" fontId="0" fillId="0" borderId="0" xfId="0" applyNumberFormat="1" applyAlignment="1">
      <alignment vertical="center" shrinkToFit="1"/>
    </xf>
    <xf numFmtId="179" fontId="0" fillId="0" borderId="0" xfId="0" applyNumberFormat="1" applyAlignment="1">
      <alignment horizontal="right" vertical="center" shrinkToFit="1"/>
    </xf>
    <xf numFmtId="180" fontId="0" fillId="0" borderId="0" xfId="0" applyNumberFormat="1" applyAlignment="1">
      <alignment vertical="center" shrinkToFit="1"/>
    </xf>
    <xf numFmtId="0" fontId="0" fillId="0" borderId="7" xfId="0" applyBorder="1" applyAlignment="1">
      <alignment horizontal="center" vertical="center" shrinkToFit="1"/>
    </xf>
    <xf numFmtId="0" fontId="0" fillId="0" borderId="6" xfId="0" applyBorder="1" applyAlignment="1">
      <alignment horizontal="center" vertical="center" shrinkToFit="1"/>
    </xf>
    <xf numFmtId="178" fontId="0" fillId="0" borderId="5" xfId="0" applyNumberFormat="1" applyBorder="1" applyAlignment="1">
      <alignment vertical="center" shrinkToFit="1"/>
    </xf>
    <xf numFmtId="181" fontId="0" fillId="0" borderId="5" xfId="0" applyNumberFormat="1" applyBorder="1" applyAlignment="1">
      <alignment vertical="center" shrinkToFit="1"/>
    </xf>
    <xf numFmtId="177" fontId="0" fillId="0" borderId="5" xfId="0" applyNumberFormat="1" applyBorder="1" applyAlignment="1">
      <alignment vertical="center" shrinkToFit="1"/>
    </xf>
    <xf numFmtId="176" fontId="0" fillId="0" borderId="5" xfId="0" applyNumberFormat="1" applyBorder="1" applyAlignment="1">
      <alignment vertical="center" shrinkToFit="1"/>
    </xf>
    <xf numFmtId="178" fontId="4" fillId="0" borderId="5" xfId="0" applyNumberFormat="1" applyFont="1" applyBorder="1" applyAlignment="1">
      <alignment vertical="center" shrinkToFit="1"/>
    </xf>
    <xf numFmtId="177" fontId="4" fillId="0" borderId="5" xfId="0" applyNumberFormat="1" applyFont="1" applyBorder="1" applyAlignment="1">
      <alignment vertical="center" shrinkToFit="1"/>
    </xf>
    <xf numFmtId="177" fontId="4" fillId="0" borderId="2" xfId="0" applyNumberFormat="1" applyFont="1" applyBorder="1" applyAlignment="1">
      <alignment vertical="center" shrinkToFit="1"/>
    </xf>
    <xf numFmtId="177" fontId="4" fillId="0" borderId="3" xfId="0" applyNumberFormat="1" applyFont="1" applyBorder="1" applyAlignment="1">
      <alignment vertical="center" shrinkToFit="1"/>
    </xf>
    <xf numFmtId="177" fontId="4" fillId="0" borderId="4" xfId="0" applyNumberFormat="1" applyFont="1" applyBorder="1" applyAlignment="1">
      <alignment vertical="center" shrinkToFit="1"/>
    </xf>
    <xf numFmtId="0" fontId="0" fillId="0" borderId="5" xfId="0" applyBorder="1" applyAlignment="1">
      <alignment horizontal="center" vertical="center" shrinkToFit="1"/>
    </xf>
    <xf numFmtId="176" fontId="4" fillId="0" borderId="2" xfId="0" applyNumberFormat="1" applyFont="1" applyBorder="1" applyAlignment="1">
      <alignment vertical="center" shrinkToFit="1"/>
    </xf>
    <xf numFmtId="176" fontId="4" fillId="0" borderId="3" xfId="0" applyNumberFormat="1" applyFont="1" applyBorder="1" applyAlignment="1">
      <alignment vertical="center" shrinkToFit="1"/>
    </xf>
    <xf numFmtId="176" fontId="4" fillId="0" borderId="4" xfId="0" applyNumberFormat="1" applyFont="1" applyBorder="1" applyAlignment="1">
      <alignment vertical="center" shrinkToFit="1"/>
    </xf>
    <xf numFmtId="190" fontId="0" fillId="0" borderId="0" xfId="0" applyNumberFormat="1">
      <alignment vertical="center"/>
    </xf>
  </cellXfs>
  <cellStyles count="3">
    <cellStyle name="桁区切り" xfId="1" builtinId="6"/>
    <cellStyle name="標準" xfId="0" builtinId="0"/>
    <cellStyle name="標準 2" xfId="2" xr:uid="{50D55138-5732-443B-AEA4-896256C8F0C4}"/>
  </cellStyles>
  <dxfs count="2">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438150</xdr:colOff>
          <xdr:row>2</xdr:row>
          <xdr:rowOff>87630</xdr:rowOff>
        </xdr:from>
        <xdr:to>
          <xdr:col>8</xdr:col>
          <xdr:colOff>400050</xdr:colOff>
          <xdr:row>4</xdr:row>
          <xdr:rowOff>144780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601980</xdr:colOff>
          <xdr:row>2</xdr:row>
          <xdr:rowOff>68580</xdr:rowOff>
        </xdr:from>
        <xdr:to>
          <xdr:col>9</xdr:col>
          <xdr:colOff>563880</xdr:colOff>
          <xdr:row>4</xdr:row>
          <xdr:rowOff>125730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eq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335280</xdr:colOff>
          <xdr:row>2</xdr:row>
          <xdr:rowOff>38100</xdr:rowOff>
        </xdr:from>
        <xdr:to>
          <xdr:col>11</xdr:col>
          <xdr:colOff>297180</xdr:colOff>
          <xdr:row>4</xdr:row>
          <xdr:rowOff>95250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ready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57150</xdr:colOff>
      <xdr:row>5</xdr:row>
      <xdr:rowOff>104775</xdr:rowOff>
    </xdr:from>
    <xdr:ext cx="760914" cy="523875"/>
    <mc:AlternateContent xmlns:mc="http://schemas.openxmlformats.org/markup-compatibility/2006" xmlns:a14="http://schemas.microsoft.com/office/drawing/2010/main">
      <mc:Choice Requires="a14">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895350" y="866775"/>
              <a:ext cx="760914"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kumimoji="1" lang="ja-JP" altLang="en-US" sz="1100" i="1">
                        <a:latin typeface="Cambria Math" panose="02040503050406030204" pitchFamily="18" charset="0"/>
                      </a:rPr>
                      <m:t>𝛿</m:t>
                    </m:r>
                    <m:r>
                      <a:rPr kumimoji="1" lang="en-US" altLang="ja-JP" sz="1100" b="0" i="1">
                        <a:latin typeface="Cambria Math" panose="02040503050406030204" pitchFamily="18" charset="0"/>
                      </a:rPr>
                      <m:t>=</m:t>
                    </m:r>
                    <m:nary>
                      <m:naryPr>
                        <m:chr m:val="∑"/>
                        <m:ctrlPr>
                          <a:rPr kumimoji="1" lang="en-US" altLang="ja-JP" sz="1100" b="0" i="1">
                            <a:latin typeface="Cambria Math" panose="02040503050406030204" pitchFamily="18" charset="0"/>
                          </a:rPr>
                        </m:ctrlPr>
                      </m:naryPr>
                      <m:sub>
                        <m:r>
                          <m:rPr>
                            <m:brk m:alnAt="23"/>
                          </m:rPr>
                          <a:rPr kumimoji="1" lang="en-US" altLang="ja-JP" sz="1100" b="0" i="1">
                            <a:latin typeface="Cambria Math" panose="02040503050406030204" pitchFamily="18" charset="0"/>
                          </a:rPr>
                          <m:t>𝑖</m:t>
                        </m:r>
                        <m:r>
                          <a:rPr kumimoji="1" lang="en-US" altLang="ja-JP" sz="1100" b="0" i="1">
                            <a:latin typeface="Cambria Math" panose="02040503050406030204" pitchFamily="18" charset="0"/>
                          </a:rPr>
                          <m:t>=1</m:t>
                        </m:r>
                      </m:sub>
                      <m:sup>
                        <m:r>
                          <a:rPr kumimoji="1" lang="en-US" altLang="ja-JP" sz="1100" b="0" i="1">
                            <a:latin typeface="Cambria Math" panose="02040503050406030204" pitchFamily="18" charset="0"/>
                          </a:rPr>
                          <m:t>𝑛</m:t>
                        </m:r>
                      </m:sup>
                      <m:e>
                        <m:f>
                          <m:fPr>
                            <m:ctrlPr>
                              <a:rPr kumimoji="1" lang="en-US" altLang="ja-JP" sz="1100" b="0" i="1">
                                <a:solidFill>
                                  <a:schemeClr val="tx1"/>
                                </a:solidFill>
                                <a:effectLst/>
                                <a:latin typeface="Cambria Math" panose="02040503050406030204" pitchFamily="18" charset="0"/>
                                <a:ea typeface="+mn-ea"/>
                                <a:cs typeface="+mn-cs"/>
                              </a:rPr>
                            </m:ctrlPr>
                          </m:fPr>
                          <m:num>
                            <m:r>
                              <a:rPr kumimoji="1" lang="ja-JP" altLang="en-US" sz="1100" b="0" i="1">
                                <a:solidFill>
                                  <a:schemeClr val="tx1"/>
                                </a:solidFill>
                                <a:effectLst/>
                                <a:latin typeface="Cambria Math" panose="02040503050406030204" pitchFamily="18" charset="0"/>
                                <a:ea typeface="+mn-ea"/>
                                <a:cs typeface="+mn-cs"/>
                              </a:rPr>
                              <m:t>∑</m:t>
                            </m:r>
                            <m:r>
                              <a:rPr kumimoji="1" lang="en-US" altLang="ja-JP" sz="1100" b="0" i="1">
                                <a:solidFill>
                                  <a:schemeClr val="tx1"/>
                                </a:solidFill>
                                <a:effectLst/>
                                <a:latin typeface="Cambria Math" panose="02040503050406030204" pitchFamily="18" charset="0"/>
                                <a:ea typeface="+mn-ea"/>
                                <a:cs typeface="+mn-cs"/>
                              </a:rPr>
                              <m:t>𝑤𝑖</m:t>
                            </m:r>
                          </m:num>
                          <m:den>
                            <m:r>
                              <a:rPr kumimoji="1" lang="en-US" altLang="ja-JP" sz="1100" b="0" i="1">
                                <a:solidFill>
                                  <a:schemeClr val="tx1"/>
                                </a:solidFill>
                                <a:effectLst/>
                                <a:latin typeface="Cambria Math" panose="02040503050406030204" pitchFamily="18" charset="0"/>
                                <a:ea typeface="+mn-ea"/>
                                <a:cs typeface="+mn-cs"/>
                              </a:rPr>
                              <m:t>𝐾𝑖</m:t>
                            </m:r>
                          </m:den>
                        </m:f>
                      </m:e>
                    </m:nary>
                  </m:oMath>
                </m:oMathPara>
              </a14:m>
              <a:endParaRPr kumimoji="1" lang="ja-JP" altLang="en-US" sz="1100"/>
            </a:p>
          </xdr:txBody>
        </xdr:sp>
      </mc:Choice>
      <mc:Fallback xmlns="">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895350" y="866775"/>
              <a:ext cx="760914"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kumimoji="1" lang="ja-JP" altLang="en-US" sz="1100" i="0">
                  <a:latin typeface="Cambria Math" panose="02040503050406030204" pitchFamily="18" charset="0"/>
                </a:rPr>
                <a:t>𝛿</a:t>
              </a:r>
              <a:r>
                <a:rPr kumimoji="1" lang="en-US" altLang="ja-JP" sz="1100" b="0" i="0">
                  <a:latin typeface="Cambria Math" panose="02040503050406030204" pitchFamily="18" charset="0"/>
                </a:rPr>
                <a:t>=∑_(𝑖=1)^𝑛</a:t>
              </a:r>
              <a:r>
                <a:rPr kumimoji="1" lang="en-US" altLang="ja-JP" sz="1100" b="0" i="0">
                  <a:solidFill>
                    <a:schemeClr val="tx1"/>
                  </a:solidFill>
                  <a:effectLst/>
                  <a:latin typeface="Cambria Math" panose="02040503050406030204" pitchFamily="18" charset="0"/>
                  <a:ea typeface="+mn-ea"/>
                  <a:cs typeface="+mn-cs"/>
                </a:rPr>
                <a:t>▒(</a:t>
              </a:r>
              <a:r>
                <a:rPr kumimoji="1" lang="ja-JP" altLang="en-US" sz="1100" b="0" i="0">
                  <a:solidFill>
                    <a:schemeClr val="tx1"/>
                  </a:solidFill>
                  <a:effectLst/>
                  <a:latin typeface="Cambria Math" panose="02040503050406030204" pitchFamily="18" charset="0"/>
                  <a:ea typeface="+mn-ea"/>
                  <a:cs typeface="+mn-cs"/>
                </a:rPr>
                <a:t>∑</a:t>
              </a:r>
              <a:r>
                <a:rPr kumimoji="1" lang="en-US" altLang="ja-JP" sz="1100" b="0" i="0">
                  <a:solidFill>
                    <a:schemeClr val="tx1"/>
                  </a:solidFill>
                  <a:effectLst/>
                  <a:latin typeface="Cambria Math" panose="02040503050406030204" pitchFamily="18" charset="0"/>
                  <a:ea typeface="+mn-ea"/>
                  <a:cs typeface="+mn-cs"/>
                </a:rPr>
                <a:t>𝑤𝑖)/𝐾𝑖</a:t>
              </a:r>
              <a:endParaRPr kumimoji="1" lang="ja-JP" altLang="en-US" sz="1100"/>
            </a:p>
          </xdr:txBody>
        </xdr:sp>
      </mc:Fallback>
    </mc:AlternateContent>
    <xdr:clientData/>
  </xdr:oneCellAnchor>
  <mc:AlternateContent xmlns:mc="http://schemas.openxmlformats.org/markup-compatibility/2006">
    <mc:Choice xmlns:a14="http://schemas.microsoft.com/office/drawing/2010/main" Requires="a14">
      <xdr:twoCellAnchor>
        <xdr:from>
          <xdr:col>9</xdr:col>
          <xdr:colOff>114300</xdr:colOff>
          <xdr:row>5</xdr:row>
          <xdr:rowOff>38100</xdr:rowOff>
        </xdr:from>
        <xdr:to>
          <xdr:col>9</xdr:col>
          <xdr:colOff>552450</xdr:colOff>
          <xdr:row>6</xdr:row>
          <xdr:rowOff>125730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gr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68580</xdr:colOff>
          <xdr:row>5</xdr:row>
          <xdr:rowOff>30480</xdr:rowOff>
        </xdr:from>
        <xdr:to>
          <xdr:col>10</xdr:col>
          <xdr:colOff>506730</xdr:colOff>
          <xdr:row>6</xdr:row>
          <xdr:rowOff>114300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5</xdr:row>
          <xdr:rowOff>30480</xdr:rowOff>
        </xdr:from>
        <xdr:to>
          <xdr:col>11</xdr:col>
          <xdr:colOff>514350</xdr:colOff>
          <xdr:row>6</xdr:row>
          <xdr:rowOff>114300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c</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125730</xdr:colOff>
          <xdr:row>16</xdr:row>
          <xdr:rowOff>68580</xdr:rowOff>
        </xdr:from>
        <xdr:to>
          <xdr:col>0</xdr:col>
          <xdr:colOff>601980</xdr:colOff>
          <xdr:row>18</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6</xdr:row>
          <xdr:rowOff>11430</xdr:rowOff>
        </xdr:from>
        <xdr:to>
          <xdr:col>0</xdr:col>
          <xdr:colOff>628650</xdr:colOff>
          <xdr:row>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3</xdr:row>
          <xdr:rowOff>38100</xdr:rowOff>
        </xdr:from>
        <xdr:to>
          <xdr:col>0</xdr:col>
          <xdr:colOff>609600</xdr:colOff>
          <xdr:row>5</xdr:row>
          <xdr:rowOff>30480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ready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9</xdr:row>
          <xdr:rowOff>0</xdr:rowOff>
        </xdr:from>
        <xdr:to>
          <xdr:col>0</xdr:col>
          <xdr:colOff>628650</xdr:colOff>
          <xdr:row>10</xdr:row>
          <xdr:rowOff>144780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jocobi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68580</xdr:colOff>
          <xdr:row>2</xdr:row>
          <xdr:rowOff>68580</xdr:rowOff>
        </xdr:from>
        <xdr:to>
          <xdr:col>10</xdr:col>
          <xdr:colOff>697230</xdr:colOff>
          <xdr:row>3</xdr:row>
          <xdr:rowOff>144780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gki redyボタン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68580</xdr:colOff>
          <xdr:row>4</xdr:row>
          <xdr:rowOff>57150</xdr:rowOff>
        </xdr:from>
        <xdr:to>
          <xdr:col>10</xdr:col>
          <xdr:colOff>697230</xdr:colOff>
          <xdr:row>5</xdr:row>
          <xdr:rowOff>133350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300-0000031C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genkai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xdr:colOff>
          <xdr:row>6</xdr:row>
          <xdr:rowOff>68580</xdr:rowOff>
        </xdr:from>
        <xdr:to>
          <xdr:col>10</xdr:col>
          <xdr:colOff>678180</xdr:colOff>
          <xdr:row>7</xdr:row>
          <xdr:rowOff>144780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300-0000041C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clear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33</xdr:col>
      <xdr:colOff>161925</xdr:colOff>
      <xdr:row>22</xdr:row>
      <xdr:rowOff>100011</xdr:rowOff>
    </xdr:from>
    <xdr:ext cx="760914" cy="652463"/>
    <mc:AlternateContent xmlns:mc="http://schemas.openxmlformats.org/markup-compatibility/2006" xmlns:a14="http://schemas.microsoft.com/office/drawing/2010/main">
      <mc:Choice Requires="a14">
        <xdr:sp macro="" textlink="">
          <xdr:nvSpPr>
            <xdr:cNvPr id="3" name="テキスト ボックス 2">
              <a:extLst>
                <a:ext uri="{FF2B5EF4-FFF2-40B4-BE49-F238E27FC236}">
                  <a16:creationId xmlns:a16="http://schemas.microsoft.com/office/drawing/2014/main" id="{00000000-0008-0000-0700-000003000000}"/>
                </a:ext>
              </a:extLst>
            </xdr:cNvPr>
            <xdr:cNvSpPr txBox="1"/>
          </xdr:nvSpPr>
          <xdr:spPr>
            <a:xfrm>
              <a:off x="8763000" y="3795711"/>
              <a:ext cx="760914" cy="6524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kumimoji="1" lang="ja-JP" altLang="en-US" sz="1100" i="1">
                        <a:latin typeface="Cambria Math" panose="02040503050406030204" pitchFamily="18" charset="0"/>
                      </a:rPr>
                      <m:t>𝛿</m:t>
                    </m:r>
                    <m:r>
                      <a:rPr kumimoji="1" lang="en-US" altLang="ja-JP" sz="1100" b="0" i="1">
                        <a:latin typeface="Cambria Math" panose="02040503050406030204" pitchFamily="18" charset="0"/>
                      </a:rPr>
                      <m:t>=</m:t>
                    </m:r>
                    <m:nary>
                      <m:naryPr>
                        <m:chr m:val="∑"/>
                        <m:ctrlPr>
                          <a:rPr kumimoji="1" lang="en-US" altLang="ja-JP" sz="1100" b="0" i="1">
                            <a:latin typeface="Cambria Math" panose="02040503050406030204" pitchFamily="18" charset="0"/>
                          </a:rPr>
                        </m:ctrlPr>
                      </m:naryPr>
                      <m:sub>
                        <m:r>
                          <m:rPr>
                            <m:brk m:alnAt="23"/>
                          </m:rPr>
                          <a:rPr kumimoji="1" lang="en-US" altLang="ja-JP" sz="1100" b="0" i="1">
                            <a:latin typeface="Cambria Math" panose="02040503050406030204" pitchFamily="18" charset="0"/>
                          </a:rPr>
                          <m:t>𝑖</m:t>
                        </m:r>
                        <m:r>
                          <a:rPr kumimoji="1" lang="en-US" altLang="ja-JP" sz="1100" b="0" i="1">
                            <a:latin typeface="Cambria Math" panose="02040503050406030204" pitchFamily="18" charset="0"/>
                          </a:rPr>
                          <m:t>=1</m:t>
                        </m:r>
                      </m:sub>
                      <m:sup>
                        <m:r>
                          <a:rPr kumimoji="1" lang="en-US" altLang="ja-JP" sz="1100" b="0" i="1">
                            <a:latin typeface="Cambria Math" panose="02040503050406030204" pitchFamily="18" charset="0"/>
                          </a:rPr>
                          <m:t>𝑛</m:t>
                        </m:r>
                      </m:sup>
                      <m:e>
                        <m:f>
                          <m:fPr>
                            <m:ctrlPr>
                              <a:rPr kumimoji="1" lang="en-US" altLang="ja-JP" sz="1100" b="0" i="1">
                                <a:solidFill>
                                  <a:schemeClr val="tx1"/>
                                </a:solidFill>
                                <a:effectLst/>
                                <a:latin typeface="Cambria Math" panose="02040503050406030204" pitchFamily="18" charset="0"/>
                                <a:ea typeface="+mn-ea"/>
                                <a:cs typeface="+mn-cs"/>
                              </a:rPr>
                            </m:ctrlPr>
                          </m:fPr>
                          <m:num>
                            <m:r>
                              <a:rPr kumimoji="1" lang="ja-JP" altLang="en-US" sz="1100" b="0" i="1">
                                <a:solidFill>
                                  <a:schemeClr val="tx1"/>
                                </a:solidFill>
                                <a:effectLst/>
                                <a:latin typeface="Cambria Math" panose="02040503050406030204" pitchFamily="18" charset="0"/>
                                <a:ea typeface="+mn-ea"/>
                                <a:cs typeface="+mn-cs"/>
                              </a:rPr>
                              <m:t>∑</m:t>
                            </m:r>
                            <m:r>
                              <a:rPr kumimoji="1" lang="en-US" altLang="ja-JP" sz="1100" b="0" i="1">
                                <a:solidFill>
                                  <a:schemeClr val="tx1"/>
                                </a:solidFill>
                                <a:effectLst/>
                                <a:latin typeface="Cambria Math" panose="02040503050406030204" pitchFamily="18" charset="0"/>
                                <a:ea typeface="+mn-ea"/>
                                <a:cs typeface="+mn-cs"/>
                              </a:rPr>
                              <m:t>𝑤𝑖</m:t>
                            </m:r>
                          </m:num>
                          <m:den>
                            <m:r>
                              <a:rPr kumimoji="1" lang="en-US" altLang="ja-JP" sz="1100" b="0" i="1">
                                <a:solidFill>
                                  <a:schemeClr val="tx1"/>
                                </a:solidFill>
                                <a:effectLst/>
                                <a:latin typeface="Cambria Math" panose="02040503050406030204" pitchFamily="18" charset="0"/>
                                <a:ea typeface="+mn-ea"/>
                                <a:cs typeface="+mn-cs"/>
                              </a:rPr>
                              <m:t>𝐾𝑖</m:t>
                            </m:r>
                          </m:den>
                        </m:f>
                      </m:e>
                    </m:nary>
                  </m:oMath>
                </m:oMathPara>
              </a14:m>
              <a:endParaRPr kumimoji="1" lang="ja-JP" altLang="en-US" sz="1100"/>
            </a:p>
          </xdr:txBody>
        </xdr:sp>
      </mc:Choice>
      <mc:Fallback xmlns="">
        <xdr:sp macro="" textlink="">
          <xdr:nvSpPr>
            <xdr:cNvPr id="3" name="テキスト ボックス 2">
              <a:extLst>
                <a:ext uri="{FF2B5EF4-FFF2-40B4-BE49-F238E27FC236}">
                  <a16:creationId xmlns:a16="http://schemas.microsoft.com/office/drawing/2014/main" id="{83C37325-A831-4266-B006-591FC4855023}"/>
                </a:ext>
              </a:extLst>
            </xdr:cNvPr>
            <xdr:cNvSpPr txBox="1"/>
          </xdr:nvSpPr>
          <xdr:spPr>
            <a:xfrm>
              <a:off x="8763000" y="3795711"/>
              <a:ext cx="760914" cy="6524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kumimoji="1" lang="ja-JP" altLang="en-US" sz="1100" i="0">
                  <a:latin typeface="Cambria Math" panose="02040503050406030204" pitchFamily="18" charset="0"/>
                </a:rPr>
                <a:t>𝛿</a:t>
              </a:r>
              <a:r>
                <a:rPr kumimoji="1" lang="en-US" altLang="ja-JP" sz="1100" b="0" i="0">
                  <a:latin typeface="Cambria Math" panose="02040503050406030204" pitchFamily="18" charset="0"/>
                </a:rPr>
                <a:t>=∑24_(𝑖=1)^𝑛▒</a:t>
              </a:r>
              <a:r>
                <a:rPr kumimoji="1" lang="en-US" altLang="ja-JP" sz="1100" b="0" i="0">
                  <a:solidFill>
                    <a:schemeClr val="tx1"/>
                  </a:solidFill>
                  <a:effectLst/>
                  <a:latin typeface="+mn-lt"/>
                  <a:ea typeface="+mn-ea"/>
                  <a:cs typeface="+mn-cs"/>
                </a:rPr>
                <a:t>(</a:t>
              </a:r>
              <a:r>
                <a:rPr kumimoji="1" lang="ja-JP" altLang="en-US" sz="1100" b="0" i="0">
                  <a:solidFill>
                    <a:schemeClr val="tx1"/>
                  </a:solidFill>
                  <a:effectLst/>
                  <a:latin typeface="+mn-lt"/>
                  <a:ea typeface="+mn-ea"/>
                  <a:cs typeface="+mn-cs"/>
                </a:rPr>
                <a:t>∑</a:t>
              </a:r>
              <a:r>
                <a:rPr kumimoji="1" lang="en-US" altLang="ja-JP" sz="1100" b="0" i="0">
                  <a:solidFill>
                    <a:schemeClr val="tx1"/>
                  </a:solidFill>
                  <a:effectLst/>
                  <a:latin typeface="+mn-lt"/>
                  <a:ea typeface="+mn-ea"/>
                  <a:cs typeface="+mn-cs"/>
                </a:rPr>
                <a:t>𝑤𝑖)/𝐾𝑖</a:t>
              </a:r>
              <a:endParaRPr kumimoji="1" lang="ja-JP" altLang="en-US" sz="1100"/>
            </a:p>
          </xdr:txBody>
        </xdr:sp>
      </mc:Fallback>
    </mc:AlternateContent>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2:T29"/>
  <sheetViews>
    <sheetView workbookViewId="0">
      <selection activeCell="I11" sqref="I11"/>
    </sheetView>
  </sheetViews>
  <sheetFormatPr defaultRowHeight="11.7" x14ac:dyDescent="0.3"/>
  <sheetData>
    <row r="2" spans="1:20" x14ac:dyDescent="0.3">
      <c r="C2" s="14" t="s">
        <v>179</v>
      </c>
      <c r="D2">
        <v>8</v>
      </c>
    </row>
    <row r="3" spans="1:20" x14ac:dyDescent="0.3">
      <c r="C3" s="14" t="s">
        <v>120</v>
      </c>
      <c r="D3">
        <v>0.8</v>
      </c>
      <c r="F3" s="14" t="s">
        <v>121</v>
      </c>
    </row>
    <row r="4" spans="1:20" x14ac:dyDescent="0.3">
      <c r="C4" s="14" t="s">
        <v>128</v>
      </c>
      <c r="D4">
        <v>0.2</v>
      </c>
    </row>
    <row r="5" spans="1:20" x14ac:dyDescent="0.3">
      <c r="C5" s="14" t="s">
        <v>129</v>
      </c>
      <c r="D5">
        <v>0.6</v>
      </c>
    </row>
    <row r="6" spans="1:20" x14ac:dyDescent="0.3">
      <c r="C6" s="14" t="s">
        <v>180</v>
      </c>
      <c r="D6">
        <v>0.90149999999999997</v>
      </c>
    </row>
    <row r="7" spans="1:20" x14ac:dyDescent="0.3">
      <c r="C7" s="14" t="s">
        <v>181</v>
      </c>
      <c r="D7">
        <v>0.94949877262115479</v>
      </c>
    </row>
    <row r="9" spans="1:20" x14ac:dyDescent="0.3">
      <c r="A9">
        <v>1</v>
      </c>
      <c r="B9">
        <v>2</v>
      </c>
      <c r="C9">
        <v>3</v>
      </c>
      <c r="D9">
        <v>4</v>
      </c>
      <c r="E9">
        <v>5</v>
      </c>
      <c r="F9">
        <v>6</v>
      </c>
      <c r="G9">
        <v>7</v>
      </c>
      <c r="H9">
        <v>8</v>
      </c>
      <c r="I9">
        <v>9</v>
      </c>
      <c r="J9">
        <v>10</v>
      </c>
      <c r="K9">
        <v>11</v>
      </c>
      <c r="L9">
        <v>12</v>
      </c>
      <c r="M9">
        <v>13</v>
      </c>
      <c r="N9">
        <v>14</v>
      </c>
      <c r="O9">
        <v>15</v>
      </c>
      <c r="P9">
        <v>16</v>
      </c>
      <c r="Q9">
        <v>17</v>
      </c>
      <c r="R9">
        <v>18</v>
      </c>
      <c r="S9">
        <v>19</v>
      </c>
      <c r="T9">
        <v>20</v>
      </c>
    </row>
    <row r="10" spans="1:20" x14ac:dyDescent="0.3">
      <c r="C10" s="63" t="s">
        <v>122</v>
      </c>
      <c r="D10" s="63" t="s">
        <v>123</v>
      </c>
      <c r="E10" s="63" t="s">
        <v>124</v>
      </c>
      <c r="F10" s="71" t="s">
        <v>144</v>
      </c>
      <c r="H10" s="69" t="s">
        <v>127</v>
      </c>
      <c r="I10" s="69" t="s">
        <v>138</v>
      </c>
      <c r="J10" s="90" t="s">
        <v>151</v>
      </c>
      <c r="L10" s="91" t="s">
        <v>139</v>
      </c>
      <c r="M10" s="90" t="s">
        <v>152</v>
      </c>
      <c r="O10" s="71" t="s">
        <v>123</v>
      </c>
      <c r="P10" s="71" t="s">
        <v>124</v>
      </c>
      <c r="Q10" s="71" t="s">
        <v>127</v>
      </c>
      <c r="S10" s="71" t="s">
        <v>138</v>
      </c>
      <c r="T10" s="79" t="s">
        <v>139</v>
      </c>
    </row>
    <row r="11" spans="1:20" x14ac:dyDescent="0.3">
      <c r="C11" s="63">
        <v>8</v>
      </c>
      <c r="D11" s="9">
        <v>3.75</v>
      </c>
      <c r="E11" s="11">
        <v>785.7</v>
      </c>
      <c r="F11">
        <v>80.119102853675827</v>
      </c>
      <c r="G11">
        <v>222.1</v>
      </c>
      <c r="I11">
        <v>19.990200000000002</v>
      </c>
      <c r="J11">
        <v>11.110444117617632</v>
      </c>
      <c r="L11">
        <v>15.5783</v>
      </c>
      <c r="M11">
        <v>14.257011355539435</v>
      </c>
      <c r="O11" s="9">
        <v>3.75</v>
      </c>
      <c r="P11" s="56">
        <v>785.7</v>
      </c>
      <c r="Q11" s="56">
        <v>222.1</v>
      </c>
      <c r="S11" s="56">
        <v>19.990200000000002</v>
      </c>
      <c r="T11" s="56">
        <v>15.5783</v>
      </c>
    </row>
    <row r="12" spans="1:20" x14ac:dyDescent="0.3">
      <c r="C12" s="63">
        <v>7</v>
      </c>
      <c r="D12" s="9">
        <v>3.5</v>
      </c>
      <c r="E12" s="11">
        <v>624.4</v>
      </c>
      <c r="F12">
        <v>63.671080338341838</v>
      </c>
      <c r="G12">
        <v>327.60000000000002</v>
      </c>
      <c r="I12">
        <v>18.357700000000001</v>
      </c>
      <c r="J12">
        <v>17.845372786351231</v>
      </c>
      <c r="L12">
        <v>14.861499999999999</v>
      </c>
      <c r="M12">
        <v>22.043535309356393</v>
      </c>
      <c r="O12" s="9">
        <v>3.5</v>
      </c>
      <c r="P12" s="56">
        <v>624.4</v>
      </c>
      <c r="Q12" s="56">
        <v>327.60000000000002</v>
      </c>
      <c r="S12" s="56">
        <v>18.357700000000001</v>
      </c>
      <c r="T12" s="56">
        <v>14.861499999999999</v>
      </c>
    </row>
    <row r="13" spans="1:20" x14ac:dyDescent="0.3">
      <c r="C13" s="63">
        <v>6</v>
      </c>
      <c r="D13" s="9">
        <v>3.5</v>
      </c>
      <c r="E13" s="11">
        <v>638.70000000000005</v>
      </c>
      <c r="F13">
        <v>65.129274522900289</v>
      </c>
      <c r="G13">
        <v>416.3</v>
      </c>
      <c r="I13">
        <v>17.361899999999999</v>
      </c>
      <c r="J13">
        <v>23.97779044920199</v>
      </c>
      <c r="L13">
        <v>13.728</v>
      </c>
      <c r="M13">
        <v>30.324883449883451</v>
      </c>
      <c r="O13" s="9">
        <v>3.5</v>
      </c>
      <c r="P13" s="56">
        <v>638.70000000000005</v>
      </c>
      <c r="Q13" s="56">
        <v>416.3</v>
      </c>
      <c r="S13" s="56">
        <v>17.361899999999999</v>
      </c>
      <c r="T13" s="56">
        <v>13.728</v>
      </c>
    </row>
    <row r="14" spans="1:20" x14ac:dyDescent="0.3">
      <c r="C14" s="63">
        <v>5</v>
      </c>
      <c r="D14" s="9">
        <v>3.5</v>
      </c>
      <c r="E14" s="11">
        <v>645.70000000000005</v>
      </c>
      <c r="F14">
        <v>65.843075871984837</v>
      </c>
      <c r="G14">
        <v>490.9</v>
      </c>
      <c r="I14">
        <v>16.529800000000002</v>
      </c>
      <c r="J14">
        <v>29.697878982201836</v>
      </c>
      <c r="L14">
        <v>13.347799999999999</v>
      </c>
      <c r="M14">
        <v>36.777596308005812</v>
      </c>
      <c r="O14" s="9">
        <v>3.5</v>
      </c>
      <c r="P14" s="56">
        <v>645.70000000000005</v>
      </c>
      <c r="Q14" s="56">
        <v>490.9</v>
      </c>
      <c r="S14" s="56">
        <v>16.529800000000002</v>
      </c>
      <c r="T14" s="56">
        <v>13.347799999999999</v>
      </c>
    </row>
    <row r="15" spans="1:20" x14ac:dyDescent="0.3">
      <c r="C15" s="63">
        <v>4</v>
      </c>
      <c r="D15" s="9">
        <v>3.5</v>
      </c>
      <c r="E15" s="11">
        <v>652.29999999999995</v>
      </c>
      <c r="F15">
        <v>66.51608857255026</v>
      </c>
      <c r="G15">
        <v>552.6</v>
      </c>
      <c r="I15">
        <v>14.9068</v>
      </c>
      <c r="J15">
        <v>37.070330319049027</v>
      </c>
      <c r="L15">
        <v>12.6417</v>
      </c>
      <c r="M15">
        <v>43.712475379102493</v>
      </c>
      <c r="O15" s="9">
        <v>3.5</v>
      </c>
      <c r="P15" s="56">
        <v>652.29999999999995</v>
      </c>
      <c r="Q15" s="56">
        <v>552.6</v>
      </c>
      <c r="S15" s="56">
        <v>14.9068</v>
      </c>
      <c r="T15" s="56">
        <v>12.6417</v>
      </c>
    </row>
    <row r="16" spans="1:20" x14ac:dyDescent="0.3">
      <c r="C16" s="63">
        <v>3</v>
      </c>
      <c r="D16" s="9">
        <v>3.5</v>
      </c>
      <c r="E16" s="11">
        <v>678.1</v>
      </c>
      <c r="F16">
        <v>69.146956402033325</v>
      </c>
      <c r="G16">
        <v>603.4</v>
      </c>
      <c r="I16">
        <v>13.5319</v>
      </c>
      <c r="J16">
        <v>44.590929581211803</v>
      </c>
      <c r="L16">
        <v>11.837999999999999</v>
      </c>
      <c r="M16">
        <v>50.971447879709409</v>
      </c>
      <c r="O16" s="9">
        <v>3.5</v>
      </c>
      <c r="P16" s="56">
        <v>678.1</v>
      </c>
      <c r="Q16" s="56">
        <v>603.4</v>
      </c>
      <c r="S16" s="56">
        <v>13.5319</v>
      </c>
      <c r="T16" s="56">
        <v>11.837999999999999</v>
      </c>
    </row>
    <row r="17" spans="3:20" x14ac:dyDescent="0.3">
      <c r="C17" s="63">
        <v>2</v>
      </c>
      <c r="D17" s="9">
        <v>3.5</v>
      </c>
      <c r="E17" s="11">
        <v>687.3</v>
      </c>
      <c r="F17">
        <v>70.085095317973014</v>
      </c>
      <c r="G17">
        <v>641.79999999999995</v>
      </c>
      <c r="I17">
        <v>14.4864</v>
      </c>
      <c r="J17">
        <v>44.30362270819527</v>
      </c>
      <c r="L17">
        <v>12.218299999999999</v>
      </c>
      <c r="M17">
        <v>52.527765728456494</v>
      </c>
      <c r="O17" s="9">
        <v>3.5</v>
      </c>
      <c r="P17" s="56">
        <v>687.3</v>
      </c>
      <c r="Q17" s="56">
        <v>641.79999999999995</v>
      </c>
      <c r="S17" s="56">
        <v>14.4864</v>
      </c>
      <c r="T17" s="56">
        <v>12.218299999999999</v>
      </c>
    </row>
    <row r="18" spans="3:20" x14ac:dyDescent="0.3">
      <c r="C18" s="63">
        <v>1</v>
      </c>
      <c r="D18" s="9">
        <v>5.3</v>
      </c>
      <c r="E18" s="11">
        <v>782.7</v>
      </c>
      <c r="F18">
        <v>79.813187989782449</v>
      </c>
      <c r="G18">
        <v>669.9</v>
      </c>
      <c r="I18">
        <v>24.7697</v>
      </c>
      <c r="J18">
        <v>27.045139828096424</v>
      </c>
      <c r="L18">
        <v>21.7258</v>
      </c>
      <c r="M18">
        <v>30.834307597418736</v>
      </c>
      <c r="O18" s="9">
        <v>5.3</v>
      </c>
      <c r="P18" s="56">
        <v>782.7</v>
      </c>
      <c r="Q18" s="56">
        <v>669.9</v>
      </c>
      <c r="S18" s="56">
        <v>24.7697</v>
      </c>
      <c r="T18" s="56">
        <v>21.7258</v>
      </c>
    </row>
    <row r="19" spans="3:20" x14ac:dyDescent="0.3">
      <c r="C19" s="63"/>
      <c r="D19" s="9">
        <v>30.05</v>
      </c>
    </row>
    <row r="21" spans="3:20" x14ac:dyDescent="0.3">
      <c r="C21" s="70" t="s">
        <v>145</v>
      </c>
      <c r="D21" s="70"/>
      <c r="E21" s="70" t="s">
        <v>124</v>
      </c>
      <c r="F21" s="70" t="s">
        <v>146</v>
      </c>
      <c r="G21" s="70" t="s">
        <v>147</v>
      </c>
      <c r="H21" s="70" t="s">
        <v>148</v>
      </c>
      <c r="I21" s="73" t="s">
        <v>149</v>
      </c>
      <c r="J21" s="70" t="s">
        <v>150</v>
      </c>
    </row>
    <row r="22" spans="3:20" x14ac:dyDescent="0.3">
      <c r="C22">
        <v>8</v>
      </c>
      <c r="E22">
        <v>785.70001220703125</v>
      </c>
      <c r="F22">
        <v>785.70001220703125</v>
      </c>
      <c r="G22">
        <v>0.14298713207244873</v>
      </c>
      <c r="H22">
        <v>2.2175232806035314</v>
      </c>
      <c r="I22" s="72">
        <v>0.33688570131070239</v>
      </c>
      <c r="J22">
        <v>264.69109963219313</v>
      </c>
    </row>
    <row r="23" spans="3:20" x14ac:dyDescent="0.3">
      <c r="C23">
        <v>7</v>
      </c>
      <c r="E23">
        <v>624.4000244140625</v>
      </c>
      <c r="F23">
        <v>1410.10009765625</v>
      </c>
      <c r="G23">
        <v>0.25661981105804443</v>
      </c>
      <c r="H23">
        <v>1.8358753099960932</v>
      </c>
      <c r="I23" s="72">
        <v>0.27890581656428365</v>
      </c>
      <c r="J23">
        <v>393.28511917419252</v>
      </c>
    </row>
    <row r="24" spans="3:20" x14ac:dyDescent="0.3">
      <c r="C24">
        <v>6</v>
      </c>
      <c r="E24">
        <v>638.70001220703125</v>
      </c>
      <c r="F24">
        <v>2048.800048828125</v>
      </c>
      <c r="G24">
        <v>0.37285485863685608</v>
      </c>
      <c r="H24">
        <v>1.6155991032582921</v>
      </c>
      <c r="I24" s="72">
        <v>0.24544149849465391</v>
      </c>
      <c r="J24">
        <v>502.86055410029508</v>
      </c>
    </row>
    <row r="25" spans="3:20" x14ac:dyDescent="0.3">
      <c r="C25">
        <v>5</v>
      </c>
      <c r="E25">
        <v>645.70001220703125</v>
      </c>
      <c r="F25">
        <v>2694.5</v>
      </c>
      <c r="G25">
        <v>0.49036380648612976</v>
      </c>
      <c r="H25">
        <v>1.456372706025161</v>
      </c>
      <c r="I25" s="72">
        <v>0.22125185549597448</v>
      </c>
      <c r="J25">
        <v>596.16312463390329</v>
      </c>
    </row>
    <row r="26" spans="3:20" x14ac:dyDescent="0.3">
      <c r="C26">
        <v>4</v>
      </c>
      <c r="E26">
        <v>652.29998779296875</v>
      </c>
      <c r="F26">
        <v>3346.800048828125</v>
      </c>
      <c r="G26">
        <v>0.60907387733459473</v>
      </c>
      <c r="H26">
        <v>1.3271964280023325</v>
      </c>
      <c r="I26" s="72">
        <v>0.20162742070646331</v>
      </c>
      <c r="J26">
        <v>674.80666146548026</v>
      </c>
    </row>
    <row r="27" spans="3:20" x14ac:dyDescent="0.3">
      <c r="C27">
        <v>3</v>
      </c>
      <c r="E27">
        <v>678.0999755859375</v>
      </c>
      <c r="F27">
        <v>4024.89990234375</v>
      </c>
      <c r="G27">
        <v>0.73247921466827393</v>
      </c>
      <c r="H27">
        <v>1.2121791224780467</v>
      </c>
      <c r="I27" s="72">
        <v>0.18415401423838304</v>
      </c>
      <c r="J27">
        <v>741.20147392427748</v>
      </c>
    </row>
    <row r="28" spans="3:20" x14ac:dyDescent="0.3">
      <c r="C28">
        <v>2</v>
      </c>
      <c r="E28">
        <v>687.29998779296875</v>
      </c>
      <c r="F28">
        <v>4712.19970703125</v>
      </c>
      <c r="G28">
        <v>0.85755878686904907</v>
      </c>
      <c r="H28">
        <v>1.1081959116262485</v>
      </c>
      <c r="I28" s="72">
        <v>0.16835690526606478</v>
      </c>
      <c r="J28">
        <v>793.33135967143835</v>
      </c>
    </row>
    <row r="29" spans="3:20" x14ac:dyDescent="0.3">
      <c r="C29">
        <v>1</v>
      </c>
      <c r="E29">
        <v>782.70001220703125</v>
      </c>
      <c r="F29">
        <v>5494.89990234375</v>
      </c>
      <c r="G29">
        <v>1</v>
      </c>
      <c r="H29">
        <v>1</v>
      </c>
      <c r="I29">
        <v>0.15191980361938479</v>
      </c>
      <c r="J29">
        <v>834.78411407223916</v>
      </c>
    </row>
  </sheetData>
  <phoneticPr fontId="2"/>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del_1">
                <anchor moveWithCells="1" sizeWithCells="1">
                  <from>
                    <xdr:col>7</xdr:col>
                    <xdr:colOff>438150</xdr:colOff>
                    <xdr:row>2</xdr:row>
                    <xdr:rowOff>87630</xdr:rowOff>
                  </from>
                  <to>
                    <xdr:col>8</xdr:col>
                    <xdr:colOff>400050</xdr:colOff>
                    <xdr:row>4</xdr:row>
                    <xdr:rowOff>144780</xdr:rowOff>
                  </to>
                </anchor>
              </controlPr>
            </control>
          </mc:Choice>
        </mc:AlternateContent>
        <mc:AlternateContent xmlns:mc="http://schemas.openxmlformats.org/markup-compatibility/2006">
          <mc:Choice Requires="x14">
            <control shapeId="1027" r:id="rId5" name="Button 3">
              <controlPr defaultSize="0" print="0" autoFill="0" autoPict="0" macro="[0]!eq">
                <anchor moveWithCells="1" sizeWithCells="1">
                  <from>
                    <xdr:col>8</xdr:col>
                    <xdr:colOff>601980</xdr:colOff>
                    <xdr:row>2</xdr:row>
                    <xdr:rowOff>68580</xdr:rowOff>
                  </from>
                  <to>
                    <xdr:col>9</xdr:col>
                    <xdr:colOff>563880</xdr:colOff>
                    <xdr:row>4</xdr:row>
                    <xdr:rowOff>125730</xdr:rowOff>
                  </to>
                </anchor>
              </controlPr>
            </control>
          </mc:Choice>
        </mc:AlternateContent>
        <mc:AlternateContent xmlns:mc="http://schemas.openxmlformats.org/markup-compatibility/2006">
          <mc:Choice Requires="x14">
            <control shapeId="1029" r:id="rId6" name="Button 5">
              <controlPr defaultSize="0" print="0" autoFill="0" autoPict="0" macro="[0]!eq_ready">
                <anchor moveWithCells="1" sizeWithCells="1">
                  <from>
                    <xdr:col>10</xdr:col>
                    <xdr:colOff>335280</xdr:colOff>
                    <xdr:row>2</xdr:row>
                    <xdr:rowOff>38100</xdr:rowOff>
                  </from>
                  <to>
                    <xdr:col>11</xdr:col>
                    <xdr:colOff>297180</xdr:colOff>
                    <xdr:row>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4BEEF-53DD-460E-8BA3-B08128B99FF5}">
  <sheetPr codeName="Sheet10"/>
  <dimension ref="B1:V103"/>
  <sheetViews>
    <sheetView topLeftCell="A16" workbookViewId="0">
      <selection activeCell="R35" sqref="R35"/>
    </sheetView>
  </sheetViews>
  <sheetFormatPr defaultRowHeight="11.7" x14ac:dyDescent="0.3"/>
  <cols>
    <col min="1" max="1" width="3.41015625" customWidth="1"/>
    <col min="3" max="3" width="9.1171875" style="86"/>
    <col min="4" max="7" width="9.1171875" style="55"/>
    <col min="9" max="9" width="9.1171875" style="89"/>
    <col min="11" max="11" width="9.1171875" style="89"/>
    <col min="12" max="12" width="9.1171875" style="136"/>
    <col min="13" max="13" width="2.703125" customWidth="1"/>
  </cols>
  <sheetData>
    <row r="1" spans="2:22" x14ac:dyDescent="0.3">
      <c r="L1" s="128"/>
      <c r="M1" s="108"/>
      <c r="N1" s="109"/>
      <c r="O1" s="109"/>
      <c r="P1" s="104"/>
      <c r="Q1" s="104"/>
      <c r="R1" s="105"/>
      <c r="S1" s="105"/>
      <c r="T1" s="105"/>
      <c r="U1" s="105"/>
      <c r="V1" s="105"/>
    </row>
    <row r="2" spans="2:22" x14ac:dyDescent="0.3">
      <c r="B2" t="s">
        <v>0</v>
      </c>
      <c r="L2" s="128"/>
      <c r="M2" s="108"/>
      <c r="N2" s="109"/>
      <c r="O2" s="109"/>
      <c r="P2" s="110"/>
      <c r="Q2" s="110"/>
      <c r="R2" s="111"/>
      <c r="S2" s="111"/>
      <c r="T2" s="111"/>
      <c r="U2" s="111"/>
      <c r="V2" s="111"/>
    </row>
    <row r="3" spans="2:22" x14ac:dyDescent="0.3">
      <c r="L3" s="129"/>
      <c r="M3" s="98"/>
      <c r="N3" s="98"/>
      <c r="O3" s="98"/>
      <c r="P3" s="98"/>
      <c r="Q3" s="98"/>
      <c r="R3" s="98"/>
      <c r="S3" s="98"/>
      <c r="T3" s="98"/>
      <c r="U3" s="98"/>
      <c r="V3" s="98"/>
    </row>
    <row r="4" spans="2:22" x14ac:dyDescent="0.3">
      <c r="B4" t="s">
        <v>1</v>
      </c>
      <c r="L4" s="129"/>
      <c r="M4" s="98"/>
      <c r="N4" s="98"/>
      <c r="O4" s="98"/>
      <c r="P4" s="98"/>
      <c r="Q4" s="98"/>
      <c r="R4" s="98"/>
      <c r="S4" s="98"/>
      <c r="T4" s="98"/>
      <c r="U4" s="98"/>
      <c r="V4" s="98"/>
    </row>
    <row r="5" spans="2:22" x14ac:dyDescent="0.3">
      <c r="B5" t="s">
        <v>2</v>
      </c>
      <c r="L5" s="129"/>
      <c r="M5" s="98"/>
      <c r="N5" s="98"/>
      <c r="O5" s="98"/>
      <c r="P5" s="98"/>
      <c r="Q5" s="98"/>
      <c r="R5" s="98"/>
      <c r="S5" s="98"/>
      <c r="T5" s="98"/>
      <c r="U5" s="98"/>
      <c r="V5" s="98"/>
    </row>
    <row r="6" spans="2:22" x14ac:dyDescent="0.3">
      <c r="J6" s="89"/>
      <c r="L6" s="98"/>
    </row>
    <row r="9" spans="2:22" x14ac:dyDescent="0.3">
      <c r="B9" s="98"/>
      <c r="C9" s="99"/>
      <c r="D9" s="100"/>
      <c r="E9" s="100"/>
      <c r="F9" s="100"/>
      <c r="G9" s="100"/>
      <c r="H9" s="98"/>
      <c r="I9" s="101"/>
      <c r="J9" s="98"/>
      <c r="K9" s="101"/>
      <c r="L9" s="129"/>
    </row>
    <row r="10" spans="2:22" x14ac:dyDescent="0.3">
      <c r="B10" s="98"/>
      <c r="C10" s="99"/>
      <c r="D10" s="102" t="s">
        <v>156</v>
      </c>
      <c r="E10" s="144">
        <v>30.05</v>
      </c>
      <c r="F10" s="100"/>
      <c r="G10" s="104" t="s">
        <v>13</v>
      </c>
      <c r="H10" s="105"/>
      <c r="I10" s="102" t="s">
        <v>130</v>
      </c>
      <c r="J10" s="98">
        <v>0.90149999999999997</v>
      </c>
      <c r="K10" s="101"/>
      <c r="L10" s="129"/>
    </row>
    <row r="11" spans="2:22" x14ac:dyDescent="0.3">
      <c r="B11" s="98"/>
      <c r="C11" s="99"/>
      <c r="D11" s="102" t="s">
        <v>155</v>
      </c>
      <c r="E11" s="142">
        <f>+ready!D2</f>
        <v>8</v>
      </c>
      <c r="F11" s="103"/>
      <c r="J11" s="102" t="s">
        <v>131</v>
      </c>
      <c r="K11" s="141">
        <v>0.94949877262115479</v>
      </c>
      <c r="L11" s="129"/>
    </row>
    <row r="12" spans="2:22" x14ac:dyDescent="0.3">
      <c r="B12" s="98"/>
      <c r="C12" s="99"/>
      <c r="D12" s="102" t="s">
        <v>154</v>
      </c>
      <c r="E12" s="142">
        <f>+ready!D3</f>
        <v>0.8</v>
      </c>
      <c r="F12" s="103"/>
      <c r="G12" s="104" t="s">
        <v>18</v>
      </c>
      <c r="H12" s="140" t="s">
        <v>140</v>
      </c>
      <c r="I12" s="137" t="s">
        <v>142</v>
      </c>
      <c r="J12" s="138">
        <v>1.5847776261679376</v>
      </c>
      <c r="K12" s="137" t="s">
        <v>157</v>
      </c>
      <c r="L12" s="129">
        <v>0.60576322138098482</v>
      </c>
    </row>
    <row r="13" spans="2:22" x14ac:dyDescent="0.3">
      <c r="B13" s="98"/>
      <c r="C13" s="99"/>
      <c r="D13" s="102" t="s">
        <v>128</v>
      </c>
      <c r="E13" s="142">
        <f>+ready!D4</f>
        <v>0.2</v>
      </c>
      <c r="F13" s="103"/>
      <c r="G13" s="104"/>
      <c r="H13" s="140" t="s">
        <v>141</v>
      </c>
      <c r="I13" s="137" t="s">
        <v>142</v>
      </c>
      <c r="J13" s="138">
        <v>1.450261693929594</v>
      </c>
      <c r="K13" s="137" t="s">
        <v>157</v>
      </c>
      <c r="L13" s="129">
        <v>0.66194949781705059</v>
      </c>
    </row>
    <row r="14" spans="2:22" x14ac:dyDescent="0.3">
      <c r="B14" s="98"/>
      <c r="C14" s="99"/>
      <c r="D14" s="102" t="s">
        <v>129</v>
      </c>
      <c r="E14" s="142">
        <f>+ready!D5</f>
        <v>0.6</v>
      </c>
      <c r="F14" s="103"/>
      <c r="G14" s="104" t="s">
        <v>23</v>
      </c>
      <c r="H14" s="140" t="s">
        <v>140</v>
      </c>
      <c r="I14" s="137" t="s">
        <v>142</v>
      </c>
      <c r="J14" s="143">
        <v>1.25</v>
      </c>
      <c r="K14" s="137" t="s">
        <v>157</v>
      </c>
      <c r="L14" s="129">
        <f>rt(E14,J14)</f>
        <v>0.76800000000000002</v>
      </c>
    </row>
    <row r="15" spans="2:22" x14ac:dyDescent="0.3">
      <c r="B15" s="98"/>
      <c r="C15" s="99"/>
      <c r="E15" s="139"/>
      <c r="F15" s="103"/>
      <c r="G15" s="100"/>
      <c r="H15" s="140" t="s">
        <v>141</v>
      </c>
      <c r="I15" s="137" t="s">
        <v>142</v>
      </c>
      <c r="J15" s="143">
        <v>1.25</v>
      </c>
      <c r="K15" s="137" t="s">
        <v>157</v>
      </c>
      <c r="L15" s="129">
        <f>rt(E14,J15)</f>
        <v>0.76800000000000002</v>
      </c>
    </row>
    <row r="16" spans="2:22" x14ac:dyDescent="0.3">
      <c r="B16" s="98"/>
      <c r="C16"/>
      <c r="D16" s="98"/>
      <c r="E16"/>
      <c r="F16" s="98"/>
      <c r="G16"/>
      <c r="H16" s="98"/>
      <c r="I16"/>
      <c r="J16" s="98"/>
      <c r="K16"/>
      <c r="L16" s="98"/>
    </row>
    <row r="17" spans="2:12" x14ac:dyDescent="0.3">
      <c r="B17" s="4"/>
      <c r="C17" s="99"/>
      <c r="D17" s="100"/>
      <c r="E17" s="100"/>
      <c r="F17" s="100"/>
      <c r="G17" s="100"/>
      <c r="H17" s="98"/>
      <c r="I17" s="101"/>
      <c r="J17" s="98"/>
      <c r="K17" s="101"/>
      <c r="L17" s="129"/>
    </row>
    <row r="18" spans="2:12" x14ac:dyDescent="0.3">
      <c r="B18" s="93"/>
      <c r="C18" s="87" t="s">
        <v>25</v>
      </c>
      <c r="D18" s="88" t="s">
        <v>26</v>
      </c>
      <c r="E18" s="88" t="s">
        <v>27</v>
      </c>
      <c r="F18" s="121" t="s">
        <v>27</v>
      </c>
      <c r="G18" s="121" t="s">
        <v>28</v>
      </c>
      <c r="H18" s="92" t="s">
        <v>29</v>
      </c>
      <c r="I18" s="125" t="s">
        <v>30</v>
      </c>
      <c r="J18" s="92" t="s">
        <v>31</v>
      </c>
      <c r="K18" s="125" t="s">
        <v>32</v>
      </c>
      <c r="L18" s="130" t="s">
        <v>33</v>
      </c>
    </row>
    <row r="19" spans="2:12" x14ac:dyDescent="0.3">
      <c r="B19" s="106" t="s">
        <v>153</v>
      </c>
      <c r="C19" s="94" t="s">
        <v>34</v>
      </c>
      <c r="D19" s="95" t="s">
        <v>35</v>
      </c>
      <c r="E19" s="95" t="s">
        <v>36</v>
      </c>
      <c r="F19" s="96" t="s">
        <v>37</v>
      </c>
      <c r="G19" s="96" t="s">
        <v>143</v>
      </c>
      <c r="H19" s="97" t="s">
        <v>39</v>
      </c>
      <c r="I19" s="126" t="s">
        <v>40</v>
      </c>
      <c r="J19" s="97" t="s">
        <v>41</v>
      </c>
      <c r="K19" s="126" t="s">
        <v>42</v>
      </c>
      <c r="L19" s="131" t="s">
        <v>43</v>
      </c>
    </row>
    <row r="20" spans="2:12" x14ac:dyDescent="0.3">
      <c r="B20" s="112"/>
      <c r="C20" s="112"/>
      <c r="D20" s="112"/>
      <c r="E20" s="112"/>
      <c r="F20" s="112"/>
      <c r="G20" s="112"/>
      <c r="H20" s="112"/>
      <c r="I20" s="112"/>
      <c r="J20" s="112"/>
      <c r="K20" s="112"/>
      <c r="L20" s="112"/>
    </row>
    <row r="21" spans="2:12" x14ac:dyDescent="0.3">
      <c r="B21" s="113">
        <v>8</v>
      </c>
      <c r="C21" s="114">
        <v>3.75</v>
      </c>
      <c r="D21" s="115">
        <v>785.7</v>
      </c>
      <c r="E21" s="115">
        <v>785.7</v>
      </c>
      <c r="F21" s="115">
        <v>80.119102853675827</v>
      </c>
      <c r="G21" s="115">
        <v>222.1</v>
      </c>
      <c r="H21" s="113">
        <v>19.990200000000002</v>
      </c>
      <c r="I21" s="116">
        <v>11.110444117617632</v>
      </c>
      <c r="J21" s="116">
        <v>70.717245114813153</v>
      </c>
      <c r="K21" s="116">
        <v>81.599288841836696</v>
      </c>
      <c r="L21" s="133">
        <v>1.5847776261679376</v>
      </c>
    </row>
    <row r="22" spans="2:12" x14ac:dyDescent="0.3">
      <c r="B22" s="113">
        <v>7</v>
      </c>
      <c r="C22" s="114">
        <v>3.5</v>
      </c>
      <c r="D22" s="115">
        <v>624.4</v>
      </c>
      <c r="E22" s="115">
        <v>1410.1</v>
      </c>
      <c r="F22" s="115">
        <v>143.79018319201765</v>
      </c>
      <c r="G22" s="115">
        <v>327.60000000000002</v>
      </c>
      <c r="H22" s="113">
        <v>18.357700000000001</v>
      </c>
      <c r="I22" s="116">
        <v>17.845372786351231</v>
      </c>
      <c r="J22" s="116">
        <v>79.01768244810745</v>
      </c>
      <c r="K22" s="116"/>
      <c r="L22" s="133"/>
    </row>
    <row r="23" spans="2:12" x14ac:dyDescent="0.3">
      <c r="B23" s="113">
        <v>6</v>
      </c>
      <c r="C23" s="114">
        <v>3.5</v>
      </c>
      <c r="D23" s="115">
        <v>638.70000000000005</v>
      </c>
      <c r="E23" s="115">
        <v>2048.8000000000002</v>
      </c>
      <c r="F23" s="115">
        <v>208.91945771491797</v>
      </c>
      <c r="G23" s="115">
        <v>416.3</v>
      </c>
      <c r="H23" s="113">
        <v>17.361899999999999</v>
      </c>
      <c r="I23" s="116">
        <v>23.97779044920199</v>
      </c>
      <c r="J23" s="116">
        <v>85.445737977420137</v>
      </c>
      <c r="K23" s="116"/>
      <c r="L23" s="133"/>
    </row>
    <row r="24" spans="2:12" x14ac:dyDescent="0.3">
      <c r="B24" s="113">
        <v>5</v>
      </c>
      <c r="C24" s="114">
        <v>3.5</v>
      </c>
      <c r="D24" s="115">
        <v>645.70000000000005</v>
      </c>
      <c r="E24" s="115">
        <v>2694.5</v>
      </c>
      <c r="F24" s="115">
        <v>274.7625335869028</v>
      </c>
      <c r="G24" s="115">
        <v>490.9</v>
      </c>
      <c r="H24" s="113">
        <v>16.529800000000002</v>
      </c>
      <c r="I24" s="116">
        <v>29.697878982201836</v>
      </c>
      <c r="J24" s="116">
        <v>90.730385210837255</v>
      </c>
      <c r="K24" s="116"/>
      <c r="L24" s="133"/>
    </row>
    <row r="25" spans="2:12" x14ac:dyDescent="0.3">
      <c r="B25" s="113">
        <v>4</v>
      </c>
      <c r="C25" s="114">
        <v>3.5</v>
      </c>
      <c r="D25" s="115">
        <v>652.29999999999995</v>
      </c>
      <c r="E25" s="115">
        <v>3346.8</v>
      </c>
      <c r="F25" s="115">
        <v>341.27862215945305</v>
      </c>
      <c r="G25" s="115">
        <v>552.6</v>
      </c>
      <c r="H25" s="113">
        <v>14.9068</v>
      </c>
      <c r="I25" s="116">
        <v>37.070330319049027</v>
      </c>
      <c r="J25" s="116">
        <v>90.282443431053196</v>
      </c>
      <c r="K25" s="116"/>
      <c r="L25" s="133"/>
    </row>
    <row r="26" spans="2:12" x14ac:dyDescent="0.3">
      <c r="B26" s="113">
        <v>3</v>
      </c>
      <c r="C26" s="114">
        <v>3.5</v>
      </c>
      <c r="D26" s="115">
        <v>678.1</v>
      </c>
      <c r="E26" s="115">
        <v>4024.9</v>
      </c>
      <c r="F26" s="115">
        <v>410.42557856148636</v>
      </c>
      <c r="G26" s="115">
        <v>603.4</v>
      </c>
      <c r="H26" s="113">
        <v>13.5319</v>
      </c>
      <c r="I26" s="116">
        <v>44.590929581211803</v>
      </c>
      <c r="J26" s="116">
        <v>90.262751590984422</v>
      </c>
      <c r="K26" s="116"/>
      <c r="L26" s="133"/>
    </row>
    <row r="27" spans="2:12" x14ac:dyDescent="0.3">
      <c r="B27" s="113">
        <v>2</v>
      </c>
      <c r="C27" s="114">
        <v>3.5</v>
      </c>
      <c r="D27" s="115">
        <v>687.3</v>
      </c>
      <c r="E27" s="115">
        <v>4712.2</v>
      </c>
      <c r="F27" s="115">
        <v>480.51067387945938</v>
      </c>
      <c r="G27" s="115">
        <v>641.79999999999995</v>
      </c>
      <c r="H27" s="113">
        <v>14.4864</v>
      </c>
      <c r="I27" s="116">
        <v>44.30362270819527</v>
      </c>
      <c r="J27" s="116">
        <v>106.36150526643814</v>
      </c>
      <c r="K27" s="116"/>
      <c r="L27" s="133"/>
    </row>
    <row r="28" spans="2:12" x14ac:dyDescent="0.3">
      <c r="B28" s="117">
        <v>1</v>
      </c>
      <c r="C28" s="118">
        <v>5.3</v>
      </c>
      <c r="D28" s="119">
        <v>782.7</v>
      </c>
      <c r="E28" s="119">
        <v>5494.9</v>
      </c>
      <c r="F28" s="119">
        <v>560.3238618692418</v>
      </c>
      <c r="G28" s="119">
        <v>669.9</v>
      </c>
      <c r="H28" s="117">
        <v>24.7697</v>
      </c>
      <c r="I28" s="120">
        <v>27.045139828096424</v>
      </c>
      <c r="J28" s="120">
        <v>203.17513737871323</v>
      </c>
      <c r="K28" s="120"/>
      <c r="L28" s="134"/>
    </row>
    <row r="29" spans="2:12" x14ac:dyDescent="0.3">
      <c r="B29" s="98"/>
      <c r="C29" s="99"/>
      <c r="D29" s="100"/>
      <c r="E29" s="100"/>
      <c r="F29" s="100"/>
      <c r="G29" s="100"/>
      <c r="H29" s="98"/>
      <c r="I29" s="101"/>
      <c r="J29" s="101"/>
      <c r="K29" s="101"/>
      <c r="L29" s="129"/>
    </row>
    <row r="30" spans="2:12" x14ac:dyDescent="0.3">
      <c r="B30" s="107"/>
      <c r="C30" s="108"/>
      <c r="D30" s="109"/>
      <c r="E30" s="109"/>
      <c r="F30" s="104"/>
      <c r="G30" s="104"/>
      <c r="H30" s="105"/>
      <c r="I30" s="127"/>
      <c r="J30" s="105"/>
      <c r="K30" s="127"/>
      <c r="L30" s="135"/>
    </row>
    <row r="31" spans="2:12" x14ac:dyDescent="0.3">
      <c r="B31" s="93"/>
      <c r="C31" s="87" t="s">
        <v>25</v>
      </c>
      <c r="D31" s="88" t="s">
        <v>26</v>
      </c>
      <c r="E31" s="88" t="s">
        <v>27</v>
      </c>
      <c r="F31" s="121" t="s">
        <v>27</v>
      </c>
      <c r="G31" s="121" t="s">
        <v>28</v>
      </c>
      <c r="H31" s="145" t="s">
        <v>29</v>
      </c>
      <c r="I31" s="125" t="s">
        <v>30</v>
      </c>
      <c r="J31" s="145" t="s">
        <v>31</v>
      </c>
      <c r="K31" s="125" t="s">
        <v>32</v>
      </c>
      <c r="L31" s="130" t="s">
        <v>33</v>
      </c>
    </row>
    <row r="32" spans="2:12" x14ac:dyDescent="0.3">
      <c r="B32" s="106" t="s">
        <v>24</v>
      </c>
      <c r="C32" s="94" t="s">
        <v>34</v>
      </c>
      <c r="D32" s="95" t="s">
        <v>35</v>
      </c>
      <c r="E32" s="95" t="s">
        <v>36</v>
      </c>
      <c r="F32" s="96" t="s">
        <v>37</v>
      </c>
      <c r="G32" s="96" t="s">
        <v>143</v>
      </c>
      <c r="H32" s="97" t="s">
        <v>39</v>
      </c>
      <c r="I32" s="126" t="s">
        <v>40</v>
      </c>
      <c r="J32" s="97" t="s">
        <v>41</v>
      </c>
      <c r="K32" s="126" t="s">
        <v>42</v>
      </c>
      <c r="L32" s="131" t="s">
        <v>43</v>
      </c>
    </row>
    <row r="33" spans="2:12" x14ac:dyDescent="0.3">
      <c r="B33" s="112"/>
      <c r="C33" s="122"/>
      <c r="D33" s="123"/>
      <c r="E33" s="123"/>
      <c r="F33" s="123"/>
      <c r="G33" s="123"/>
      <c r="H33" s="112"/>
      <c r="I33" s="124"/>
      <c r="J33" s="124"/>
      <c r="K33" s="124"/>
      <c r="L33" s="132"/>
    </row>
    <row r="34" spans="2:12" x14ac:dyDescent="0.3">
      <c r="B34" s="113">
        <v>8</v>
      </c>
      <c r="C34" s="114">
        <v>3.75</v>
      </c>
      <c r="D34" s="115">
        <v>785.7</v>
      </c>
      <c r="E34" s="115">
        <v>785.7</v>
      </c>
      <c r="F34" s="115">
        <v>80.119102853675827</v>
      </c>
      <c r="G34" s="115">
        <v>222.1</v>
      </c>
      <c r="H34" s="113">
        <v>15.5783</v>
      </c>
      <c r="I34" s="116">
        <v>14.257011355539435</v>
      </c>
      <c r="J34" s="116">
        <v>55.109726744709597</v>
      </c>
      <c r="K34" s="116">
        <v>68.334884288776124</v>
      </c>
      <c r="L34" s="133">
        <v>1.450261693929594</v>
      </c>
    </row>
    <row r="35" spans="2:12" x14ac:dyDescent="0.3">
      <c r="B35" s="113">
        <v>7</v>
      </c>
      <c r="C35" s="114">
        <v>3.5</v>
      </c>
      <c r="D35" s="115">
        <v>624.4</v>
      </c>
      <c r="E35" s="115">
        <v>1410.1</v>
      </c>
      <c r="F35" s="115">
        <v>143.79018319201765</v>
      </c>
      <c r="G35" s="115">
        <v>327.60000000000002</v>
      </c>
      <c r="H35" s="113">
        <v>14.861499999999999</v>
      </c>
      <c r="I35" s="116">
        <v>22.043535309356393</v>
      </c>
      <c r="J35" s="116">
        <v>63.968867979242965</v>
      </c>
      <c r="K35" s="116"/>
      <c r="L35" s="133"/>
    </row>
    <row r="36" spans="2:12" x14ac:dyDescent="0.3">
      <c r="B36" s="113">
        <v>6</v>
      </c>
      <c r="C36" s="114">
        <v>3.5</v>
      </c>
      <c r="D36" s="115">
        <v>638.70000000000005</v>
      </c>
      <c r="E36" s="115">
        <v>2048.8000000000002</v>
      </c>
      <c r="F36" s="115">
        <v>208.91945771491797</v>
      </c>
      <c r="G36" s="115">
        <v>416.3</v>
      </c>
      <c r="H36" s="113">
        <v>13.728</v>
      </c>
      <c r="I36" s="116">
        <v>30.324883449883451</v>
      </c>
      <c r="J36" s="116">
        <v>67.56167763631997</v>
      </c>
      <c r="K36" s="116"/>
      <c r="L36" s="133"/>
    </row>
    <row r="37" spans="2:12" x14ac:dyDescent="0.3">
      <c r="B37" s="113">
        <v>5</v>
      </c>
      <c r="C37" s="114">
        <v>3.5</v>
      </c>
      <c r="D37" s="115">
        <v>645.70000000000005</v>
      </c>
      <c r="E37" s="115">
        <v>2694.5</v>
      </c>
      <c r="F37" s="115">
        <v>274.7625335869028</v>
      </c>
      <c r="G37" s="115">
        <v>490.9</v>
      </c>
      <c r="H37" s="113">
        <v>13.347799999999999</v>
      </c>
      <c r="I37" s="116">
        <v>36.777596308005812</v>
      </c>
      <c r="J37" s="116">
        <v>73.264711957628847</v>
      </c>
      <c r="K37" s="116"/>
      <c r="L37" s="133"/>
    </row>
    <row r="38" spans="2:12" x14ac:dyDescent="0.3">
      <c r="B38" s="113">
        <v>4</v>
      </c>
      <c r="C38" s="114">
        <v>3.5</v>
      </c>
      <c r="D38" s="115">
        <v>652.29999999999995</v>
      </c>
      <c r="E38" s="115">
        <v>3346.8</v>
      </c>
      <c r="F38" s="115">
        <v>341.27862215945305</v>
      </c>
      <c r="G38" s="115">
        <v>552.6</v>
      </c>
      <c r="H38" s="113">
        <v>12.6417</v>
      </c>
      <c r="I38" s="116">
        <v>43.712475379102493</v>
      </c>
      <c r="J38" s="116">
        <v>76.563955048859938</v>
      </c>
      <c r="K38" s="116"/>
      <c r="L38" s="133"/>
    </row>
    <row r="39" spans="2:12" x14ac:dyDescent="0.3">
      <c r="B39" s="113">
        <v>3</v>
      </c>
      <c r="C39" s="114">
        <v>3.5</v>
      </c>
      <c r="D39" s="115">
        <v>678.1</v>
      </c>
      <c r="E39" s="115">
        <v>4024.9</v>
      </c>
      <c r="F39" s="115">
        <v>410.42557856148636</v>
      </c>
      <c r="G39" s="115">
        <v>603.4</v>
      </c>
      <c r="H39" s="113">
        <v>11.837999999999999</v>
      </c>
      <c r="I39" s="116">
        <v>50.971447879709409</v>
      </c>
      <c r="J39" s="116">
        <v>78.963815379516078</v>
      </c>
      <c r="K39" s="116"/>
      <c r="L39" s="133"/>
    </row>
    <row r="40" spans="2:12" x14ac:dyDescent="0.3">
      <c r="B40" s="113">
        <v>2</v>
      </c>
      <c r="C40" s="114">
        <v>3.5</v>
      </c>
      <c r="D40" s="115">
        <v>687.3</v>
      </c>
      <c r="E40" s="115">
        <v>4712.2</v>
      </c>
      <c r="F40" s="115">
        <v>480.51067387945938</v>
      </c>
      <c r="G40" s="115">
        <v>641.79999999999995</v>
      </c>
      <c r="H40" s="113">
        <v>12.218299999999999</v>
      </c>
      <c r="I40" s="116">
        <v>52.527765728456494</v>
      </c>
      <c r="J40" s="116">
        <v>89.70874612028669</v>
      </c>
      <c r="K40" s="116"/>
      <c r="L40" s="133"/>
    </row>
    <row r="41" spans="2:12" x14ac:dyDescent="0.3">
      <c r="B41" s="117">
        <v>1</v>
      </c>
      <c r="C41" s="118">
        <v>5.3</v>
      </c>
      <c r="D41" s="119">
        <v>782.7</v>
      </c>
      <c r="E41" s="119">
        <v>5494.9</v>
      </c>
      <c r="F41" s="119">
        <v>560.3238618692418</v>
      </c>
      <c r="G41" s="119">
        <v>669.9</v>
      </c>
      <c r="H41" s="117">
        <v>21.7258</v>
      </c>
      <c r="I41" s="120">
        <v>30.834307597418736</v>
      </c>
      <c r="J41" s="120">
        <v>178.20734202119718</v>
      </c>
      <c r="K41" s="120"/>
      <c r="L41" s="134"/>
    </row>
    <row r="42" spans="2:12" x14ac:dyDescent="0.3">
      <c r="B42" s="98"/>
      <c r="C42" s="99"/>
      <c r="D42" s="100"/>
      <c r="E42" s="100"/>
      <c r="F42" s="100"/>
      <c r="G42" s="100"/>
      <c r="H42" s="98"/>
      <c r="I42" s="101"/>
      <c r="J42" s="98"/>
      <c r="K42" s="101"/>
      <c r="L42" s="129"/>
    </row>
    <row r="43" spans="2:12" x14ac:dyDescent="0.3">
      <c r="B43" s="98"/>
      <c r="C43" s="99"/>
      <c r="D43" s="100"/>
      <c r="E43" s="100"/>
      <c r="F43" s="100"/>
      <c r="G43" s="100"/>
      <c r="H43" s="98"/>
      <c r="I43" s="101"/>
      <c r="J43" s="98"/>
      <c r="K43" s="101"/>
      <c r="L43" s="129"/>
    </row>
    <row r="44" spans="2:12" x14ac:dyDescent="0.3">
      <c r="B44" s="98"/>
      <c r="C44" s="99"/>
      <c r="D44" s="100"/>
      <c r="E44" s="100"/>
      <c r="F44" s="100"/>
      <c r="G44" s="100"/>
      <c r="H44" s="98"/>
      <c r="I44" s="101"/>
      <c r="J44" s="98"/>
      <c r="K44" s="101"/>
      <c r="L44" s="129"/>
    </row>
    <row r="45" spans="2:12" x14ac:dyDescent="0.3">
      <c r="B45" s="98"/>
      <c r="C45" s="99"/>
      <c r="D45" s="100"/>
      <c r="E45" s="100"/>
      <c r="F45" s="100"/>
      <c r="G45" s="100"/>
      <c r="H45" s="98"/>
      <c r="I45" s="101"/>
      <c r="J45" s="98"/>
      <c r="K45" s="101"/>
      <c r="L45" s="129"/>
    </row>
    <row r="46" spans="2:12" x14ac:dyDescent="0.3">
      <c r="B46" s="98"/>
      <c r="C46" s="99"/>
      <c r="D46" s="100"/>
      <c r="E46" s="100"/>
      <c r="F46" s="100"/>
      <c r="G46" s="100"/>
      <c r="H46" s="98"/>
      <c r="I46" s="101"/>
      <c r="J46" s="98"/>
      <c r="K46" s="101"/>
      <c r="L46" s="129"/>
    </row>
    <row r="47" spans="2:12" x14ac:dyDescent="0.3">
      <c r="B47" s="98"/>
      <c r="C47" s="99"/>
      <c r="D47" s="100"/>
      <c r="E47" s="100"/>
      <c r="F47" s="100"/>
      <c r="G47" s="100"/>
      <c r="H47" s="98"/>
      <c r="I47" s="101"/>
      <c r="J47" s="98"/>
      <c r="K47" s="101"/>
      <c r="L47" s="129"/>
    </row>
    <row r="48" spans="2:12" x14ac:dyDescent="0.3">
      <c r="B48" s="98"/>
      <c r="C48" s="99"/>
      <c r="D48" s="100"/>
      <c r="E48" s="100"/>
      <c r="F48" s="100"/>
      <c r="G48" s="100"/>
      <c r="H48" s="98"/>
      <c r="I48" s="101"/>
      <c r="J48" s="98"/>
      <c r="K48" s="101"/>
      <c r="L48" s="129"/>
    </row>
    <row r="49" spans="2:12" x14ac:dyDescent="0.3">
      <c r="B49" s="98"/>
      <c r="C49" s="99"/>
      <c r="D49" s="100"/>
      <c r="E49" s="100"/>
      <c r="F49" s="100"/>
      <c r="G49" s="100"/>
      <c r="H49" s="98"/>
      <c r="I49" s="101"/>
      <c r="J49" s="98"/>
      <c r="K49" s="101"/>
      <c r="L49" s="129"/>
    </row>
    <row r="50" spans="2:12" x14ac:dyDescent="0.3">
      <c r="B50" s="98"/>
      <c r="C50" s="99"/>
      <c r="D50" s="100"/>
      <c r="E50" s="100"/>
      <c r="F50" s="100"/>
      <c r="G50" s="100"/>
      <c r="H50" s="98"/>
      <c r="I50" s="101"/>
      <c r="J50" s="98"/>
      <c r="K50" s="101"/>
      <c r="L50" s="129"/>
    </row>
    <row r="51" spans="2:12" x14ac:dyDescent="0.3">
      <c r="B51" s="98"/>
      <c r="C51" s="99"/>
      <c r="D51" s="100"/>
      <c r="E51" s="100"/>
      <c r="F51" s="100"/>
      <c r="G51" s="100"/>
      <c r="H51" s="98"/>
      <c r="I51" s="101"/>
      <c r="J51" s="98"/>
      <c r="K51" s="101"/>
      <c r="L51" s="129"/>
    </row>
    <row r="52" spans="2:12" x14ac:dyDescent="0.3">
      <c r="B52" s="98"/>
      <c r="C52" s="99"/>
      <c r="D52" s="100"/>
      <c r="E52" s="100"/>
      <c r="F52" s="100"/>
      <c r="G52" s="100"/>
      <c r="H52" s="98"/>
      <c r="I52" s="101"/>
      <c r="J52" s="98"/>
      <c r="K52" s="101"/>
      <c r="L52" s="129"/>
    </row>
    <row r="53" spans="2:12" x14ac:dyDescent="0.3">
      <c r="B53" s="98"/>
      <c r="C53" s="99"/>
      <c r="D53" s="100"/>
      <c r="E53" s="100"/>
      <c r="F53" s="100"/>
      <c r="G53" s="100"/>
      <c r="H53" s="98"/>
      <c r="I53" s="101"/>
      <c r="J53" s="98"/>
      <c r="K53" s="101"/>
      <c r="L53" s="129"/>
    </row>
    <row r="54" spans="2:12" x14ac:dyDescent="0.3">
      <c r="B54" s="98"/>
      <c r="C54" s="99"/>
      <c r="D54" s="100"/>
      <c r="E54" s="100"/>
      <c r="F54" s="100"/>
      <c r="G54" s="100"/>
      <c r="H54" s="98"/>
      <c r="I54" s="101"/>
      <c r="J54" s="98"/>
      <c r="K54" s="101"/>
      <c r="L54" s="129"/>
    </row>
    <row r="55" spans="2:12" x14ac:dyDescent="0.3">
      <c r="B55" s="98"/>
      <c r="C55" s="99"/>
      <c r="D55" s="100"/>
      <c r="E55" s="100"/>
      <c r="F55" s="100"/>
      <c r="G55" s="100"/>
      <c r="H55" s="98"/>
      <c r="I55" s="101"/>
      <c r="J55" s="98"/>
      <c r="K55" s="101"/>
      <c r="L55" s="129"/>
    </row>
    <row r="56" spans="2:12" x14ac:dyDescent="0.3">
      <c r="B56" s="98"/>
      <c r="C56" s="99"/>
      <c r="D56" s="100"/>
      <c r="E56" s="100"/>
      <c r="F56" s="100"/>
      <c r="G56" s="100"/>
      <c r="H56" s="98"/>
      <c r="I56" s="101"/>
      <c r="J56" s="98"/>
      <c r="K56" s="101"/>
      <c r="L56" s="129"/>
    </row>
    <row r="57" spans="2:12" x14ac:dyDescent="0.3">
      <c r="B57" s="98"/>
      <c r="C57" s="99"/>
      <c r="D57" s="100"/>
      <c r="E57" s="100"/>
      <c r="F57" s="100"/>
      <c r="G57" s="100"/>
      <c r="H57" s="98"/>
      <c r="I57" s="101"/>
      <c r="J57" s="98"/>
      <c r="K57" s="101"/>
      <c r="L57" s="129"/>
    </row>
    <row r="58" spans="2:12" x14ac:dyDescent="0.3">
      <c r="B58" s="98"/>
      <c r="C58" s="99"/>
      <c r="D58" s="100"/>
      <c r="E58" s="100"/>
      <c r="F58" s="100"/>
      <c r="G58" s="100"/>
      <c r="H58" s="98"/>
      <c r="I58" s="101"/>
      <c r="J58" s="98"/>
      <c r="K58" s="101"/>
      <c r="L58" s="129"/>
    </row>
    <row r="59" spans="2:12" x14ac:dyDescent="0.3">
      <c r="B59" s="98"/>
      <c r="C59" s="99"/>
      <c r="D59" s="100"/>
      <c r="E59" s="100"/>
      <c r="F59" s="100"/>
      <c r="G59" s="100"/>
      <c r="H59" s="98"/>
      <c r="I59" s="101"/>
      <c r="J59" s="98"/>
      <c r="K59" s="101"/>
      <c r="L59" s="129"/>
    </row>
    <row r="60" spans="2:12" x14ac:dyDescent="0.3">
      <c r="B60" s="98"/>
      <c r="C60" s="99"/>
      <c r="D60" s="100"/>
      <c r="E60" s="100"/>
      <c r="F60" s="100"/>
      <c r="G60" s="100"/>
      <c r="H60" s="98"/>
      <c r="I60" s="101"/>
      <c r="J60" s="98"/>
      <c r="K60" s="101"/>
      <c r="L60" s="129"/>
    </row>
    <row r="61" spans="2:12" x14ac:dyDescent="0.3">
      <c r="B61" s="98"/>
      <c r="C61" s="99"/>
      <c r="D61" s="100"/>
      <c r="E61" s="100"/>
      <c r="F61" s="100"/>
      <c r="G61" s="100"/>
      <c r="H61" s="98"/>
      <c r="I61" s="101"/>
      <c r="J61" s="98"/>
      <c r="K61" s="101"/>
      <c r="L61" s="129"/>
    </row>
    <row r="62" spans="2:12" x14ac:dyDescent="0.3">
      <c r="B62" s="98"/>
      <c r="C62" s="99"/>
      <c r="D62" s="100"/>
      <c r="E62" s="100"/>
      <c r="F62" s="100"/>
      <c r="G62" s="100"/>
      <c r="H62" s="98"/>
      <c r="I62" s="101"/>
      <c r="J62" s="98"/>
      <c r="K62" s="101"/>
      <c r="L62" s="129"/>
    </row>
    <row r="63" spans="2:12" x14ac:dyDescent="0.3">
      <c r="B63" s="98"/>
      <c r="C63" s="99"/>
      <c r="D63" s="100"/>
      <c r="E63" s="100"/>
      <c r="F63" s="100"/>
      <c r="G63" s="100"/>
      <c r="H63" s="98"/>
      <c r="I63" s="101"/>
      <c r="J63" s="98"/>
      <c r="K63" s="101"/>
      <c r="L63" s="129"/>
    </row>
    <row r="64" spans="2:12" x14ac:dyDescent="0.3">
      <c r="B64" s="98"/>
      <c r="C64" s="99"/>
      <c r="D64" s="100"/>
      <c r="E64" s="100"/>
      <c r="F64" s="100"/>
      <c r="G64" s="100"/>
      <c r="H64" s="98"/>
      <c r="I64" s="101"/>
      <c r="J64" s="98"/>
      <c r="K64" s="101"/>
      <c r="L64" s="129"/>
    </row>
    <row r="65" spans="2:12" x14ac:dyDescent="0.3">
      <c r="B65" s="98"/>
      <c r="C65" s="99"/>
      <c r="D65" s="100"/>
      <c r="E65" s="100"/>
      <c r="F65" s="100"/>
      <c r="G65" s="100"/>
      <c r="H65" s="98"/>
      <c r="I65" s="101"/>
      <c r="J65" s="98"/>
      <c r="K65" s="101"/>
      <c r="L65" s="129"/>
    </row>
    <row r="66" spans="2:12" x14ac:dyDescent="0.3">
      <c r="B66" s="98"/>
      <c r="C66" s="99"/>
      <c r="D66" s="100"/>
      <c r="E66" s="100"/>
      <c r="F66" s="100"/>
      <c r="G66" s="100"/>
      <c r="H66" s="98"/>
      <c r="I66" s="101"/>
      <c r="J66" s="98"/>
      <c r="K66" s="101"/>
      <c r="L66" s="129"/>
    </row>
    <row r="67" spans="2:12" x14ac:dyDescent="0.3">
      <c r="B67" s="98"/>
      <c r="C67" s="99"/>
      <c r="D67" s="100"/>
      <c r="E67" s="100"/>
      <c r="F67" s="100"/>
      <c r="G67" s="100"/>
      <c r="H67" s="98"/>
      <c r="I67" s="101"/>
      <c r="J67" s="98"/>
      <c r="K67" s="101"/>
      <c r="L67" s="129"/>
    </row>
    <row r="68" spans="2:12" x14ac:dyDescent="0.3">
      <c r="B68" s="98"/>
      <c r="C68" s="99"/>
      <c r="D68" s="100"/>
      <c r="E68" s="100"/>
      <c r="F68" s="100"/>
      <c r="G68" s="100"/>
      <c r="H68" s="98"/>
      <c r="I68" s="101"/>
      <c r="J68" s="98"/>
      <c r="K68" s="101"/>
      <c r="L68" s="129"/>
    </row>
    <row r="69" spans="2:12" x14ac:dyDescent="0.3">
      <c r="B69" s="98"/>
      <c r="C69" s="99"/>
      <c r="D69" s="100"/>
      <c r="E69" s="100"/>
      <c r="F69" s="100"/>
      <c r="G69" s="100"/>
      <c r="H69" s="98"/>
      <c r="I69" s="101"/>
      <c r="J69" s="98"/>
      <c r="K69" s="101"/>
      <c r="L69" s="129"/>
    </row>
    <row r="70" spans="2:12" x14ac:dyDescent="0.3">
      <c r="B70" s="98"/>
      <c r="C70" s="99"/>
      <c r="D70" s="100"/>
      <c r="E70" s="100"/>
      <c r="F70" s="100"/>
      <c r="G70" s="100"/>
      <c r="H70" s="98"/>
      <c r="I70" s="101"/>
      <c r="J70" s="98"/>
      <c r="K70" s="101"/>
      <c r="L70" s="129"/>
    </row>
    <row r="71" spans="2:12" x14ac:dyDescent="0.3">
      <c r="B71" s="98"/>
      <c r="C71" s="99"/>
      <c r="D71" s="100"/>
      <c r="E71" s="100"/>
      <c r="F71" s="100"/>
      <c r="G71" s="100"/>
      <c r="H71" s="98"/>
      <c r="I71" s="101"/>
      <c r="J71" s="98"/>
      <c r="K71" s="101"/>
      <c r="L71" s="129"/>
    </row>
    <row r="72" spans="2:12" x14ac:dyDescent="0.3">
      <c r="B72" s="98"/>
      <c r="C72" s="99"/>
      <c r="D72" s="100"/>
      <c r="E72" s="100"/>
      <c r="F72" s="100"/>
      <c r="G72" s="100"/>
      <c r="H72" s="98"/>
      <c r="I72" s="101"/>
      <c r="J72" s="98"/>
      <c r="K72" s="101"/>
      <c r="L72" s="129"/>
    </row>
    <row r="73" spans="2:12" x14ac:dyDescent="0.3">
      <c r="B73" s="98"/>
      <c r="C73" s="99"/>
      <c r="D73" s="100"/>
      <c r="E73" s="100"/>
      <c r="F73" s="100"/>
      <c r="G73" s="100"/>
      <c r="H73" s="98"/>
      <c r="I73" s="101"/>
      <c r="J73" s="98"/>
      <c r="K73" s="101"/>
      <c r="L73" s="129"/>
    </row>
    <row r="74" spans="2:12" x14ac:dyDescent="0.3">
      <c r="B74" s="98"/>
      <c r="C74" s="99"/>
      <c r="D74" s="100"/>
      <c r="E74" s="100"/>
      <c r="F74" s="100"/>
      <c r="G74" s="100"/>
      <c r="H74" s="98"/>
      <c r="I74" s="101"/>
      <c r="J74" s="98"/>
      <c r="K74" s="101"/>
      <c r="L74" s="129"/>
    </row>
    <row r="75" spans="2:12" x14ac:dyDescent="0.3">
      <c r="B75" s="98"/>
      <c r="C75" s="99"/>
      <c r="D75" s="100"/>
      <c r="E75" s="100"/>
      <c r="F75" s="100"/>
      <c r="G75" s="100"/>
      <c r="H75" s="98"/>
      <c r="I75" s="101"/>
      <c r="J75" s="98"/>
      <c r="K75" s="101"/>
      <c r="L75" s="129"/>
    </row>
    <row r="76" spans="2:12" x14ac:dyDescent="0.3">
      <c r="B76" s="98"/>
      <c r="C76" s="99"/>
      <c r="D76" s="100"/>
      <c r="E76" s="100"/>
      <c r="F76" s="100"/>
      <c r="G76" s="100"/>
      <c r="H76" s="98"/>
      <c r="I76" s="101"/>
      <c r="J76" s="98"/>
      <c r="K76" s="101"/>
      <c r="L76" s="129"/>
    </row>
    <row r="77" spans="2:12" x14ac:dyDescent="0.3">
      <c r="B77" s="98"/>
      <c r="C77" s="99"/>
      <c r="D77" s="100"/>
      <c r="E77" s="100"/>
      <c r="F77" s="100"/>
      <c r="G77" s="100"/>
      <c r="H77" s="98"/>
      <c r="I77" s="101"/>
      <c r="J77" s="98"/>
      <c r="K77" s="101"/>
      <c r="L77" s="129"/>
    </row>
    <row r="78" spans="2:12" x14ac:dyDescent="0.3">
      <c r="B78" s="98"/>
      <c r="C78" s="99"/>
      <c r="D78" s="100"/>
      <c r="E78" s="100"/>
      <c r="F78" s="100"/>
      <c r="G78" s="100"/>
      <c r="H78" s="98"/>
      <c r="I78" s="101"/>
      <c r="J78" s="98"/>
      <c r="K78" s="101"/>
      <c r="L78" s="129"/>
    </row>
    <row r="79" spans="2:12" x14ac:dyDescent="0.3">
      <c r="B79" s="98"/>
      <c r="C79" s="99"/>
      <c r="D79" s="100"/>
      <c r="E79" s="100"/>
      <c r="F79" s="100"/>
      <c r="G79" s="100"/>
      <c r="H79" s="98"/>
      <c r="I79" s="101"/>
      <c r="J79" s="98"/>
      <c r="K79" s="101"/>
      <c r="L79" s="129"/>
    </row>
    <row r="80" spans="2:12" x14ac:dyDescent="0.3">
      <c r="B80" s="98"/>
      <c r="C80" s="99"/>
      <c r="D80" s="100"/>
      <c r="E80" s="100"/>
      <c r="F80" s="100"/>
      <c r="G80" s="100"/>
      <c r="H80" s="98"/>
      <c r="I80" s="101"/>
      <c r="J80" s="98"/>
      <c r="K80" s="101"/>
      <c r="L80" s="129"/>
    </row>
    <row r="81" spans="2:12" x14ac:dyDescent="0.3">
      <c r="B81" s="98"/>
      <c r="C81" s="99"/>
      <c r="D81" s="100"/>
      <c r="E81" s="100"/>
      <c r="F81" s="100"/>
      <c r="G81" s="100"/>
      <c r="H81" s="98"/>
      <c r="I81" s="101"/>
      <c r="J81" s="98"/>
      <c r="K81" s="101"/>
      <c r="L81" s="129"/>
    </row>
    <row r="82" spans="2:12" x14ac:dyDescent="0.3">
      <c r="B82" s="98"/>
      <c r="C82" s="99"/>
      <c r="D82" s="100"/>
      <c r="E82" s="100"/>
      <c r="F82" s="100"/>
      <c r="G82" s="100"/>
      <c r="H82" s="98"/>
      <c r="I82" s="101"/>
      <c r="J82" s="98"/>
      <c r="K82" s="101"/>
      <c r="L82" s="129"/>
    </row>
    <row r="83" spans="2:12" x14ac:dyDescent="0.3">
      <c r="B83" s="98"/>
      <c r="C83" s="99"/>
      <c r="D83" s="100"/>
      <c r="E83" s="100"/>
      <c r="F83" s="100"/>
      <c r="G83" s="100"/>
      <c r="H83" s="98"/>
      <c r="I83" s="101"/>
      <c r="J83" s="98"/>
      <c r="K83" s="101"/>
      <c r="L83" s="129"/>
    </row>
    <row r="84" spans="2:12" x14ac:dyDescent="0.3">
      <c r="B84" s="98"/>
      <c r="C84" s="99"/>
      <c r="D84" s="100"/>
      <c r="E84" s="100"/>
      <c r="F84" s="100"/>
      <c r="G84" s="100"/>
      <c r="H84" s="98"/>
      <c r="I84" s="101"/>
      <c r="J84" s="98"/>
      <c r="K84" s="101"/>
      <c r="L84" s="129"/>
    </row>
    <row r="85" spans="2:12" x14ac:dyDescent="0.3">
      <c r="B85" s="98"/>
      <c r="C85" s="99"/>
      <c r="D85" s="100"/>
      <c r="E85" s="100"/>
      <c r="F85" s="100"/>
      <c r="G85" s="100"/>
      <c r="H85" s="98"/>
      <c r="I85" s="101"/>
      <c r="J85" s="98"/>
      <c r="K85" s="101"/>
      <c r="L85" s="129"/>
    </row>
    <row r="86" spans="2:12" x14ac:dyDescent="0.3">
      <c r="B86" s="98"/>
      <c r="C86" s="99"/>
      <c r="D86" s="100"/>
      <c r="E86" s="100"/>
      <c r="F86" s="100"/>
      <c r="G86" s="100"/>
      <c r="H86" s="98"/>
      <c r="I86" s="101"/>
      <c r="J86" s="98"/>
      <c r="K86" s="101"/>
      <c r="L86" s="129"/>
    </row>
    <row r="87" spans="2:12" x14ac:dyDescent="0.3">
      <c r="B87" s="98"/>
      <c r="C87" s="99"/>
      <c r="D87" s="100"/>
      <c r="E87" s="100"/>
      <c r="F87" s="100"/>
      <c r="G87" s="100"/>
      <c r="H87" s="98"/>
      <c r="I87" s="101"/>
      <c r="J87" s="98"/>
      <c r="K87" s="101"/>
      <c r="L87" s="129"/>
    </row>
    <row r="88" spans="2:12" x14ac:dyDescent="0.3">
      <c r="B88" s="98"/>
      <c r="C88" s="99"/>
      <c r="D88" s="100"/>
      <c r="E88" s="100"/>
      <c r="F88" s="100"/>
      <c r="G88" s="100"/>
      <c r="H88" s="98"/>
      <c r="I88" s="101"/>
      <c r="J88" s="98"/>
      <c r="K88" s="101"/>
      <c r="L88" s="129"/>
    </row>
    <row r="89" spans="2:12" x14ac:dyDescent="0.3">
      <c r="B89" s="98"/>
      <c r="C89" s="99"/>
      <c r="D89" s="100"/>
      <c r="E89" s="100"/>
      <c r="F89" s="100"/>
      <c r="G89" s="100"/>
      <c r="H89" s="98"/>
      <c r="I89" s="101"/>
      <c r="J89" s="98"/>
      <c r="K89" s="101"/>
      <c r="L89" s="129"/>
    </row>
    <row r="90" spans="2:12" x14ac:dyDescent="0.3">
      <c r="B90" s="98"/>
      <c r="C90" s="99"/>
      <c r="D90" s="100"/>
      <c r="E90" s="100"/>
      <c r="F90" s="100"/>
      <c r="G90" s="100"/>
      <c r="H90" s="98"/>
      <c r="I90" s="101"/>
      <c r="J90" s="98"/>
      <c r="K90" s="101"/>
      <c r="L90" s="129"/>
    </row>
    <row r="91" spans="2:12" x14ac:dyDescent="0.3">
      <c r="B91" s="98"/>
      <c r="C91" s="99"/>
      <c r="D91" s="100"/>
      <c r="E91" s="100"/>
      <c r="F91" s="100"/>
      <c r="G91" s="100"/>
      <c r="H91" s="98"/>
      <c r="I91" s="101"/>
      <c r="J91" s="98"/>
      <c r="K91" s="101"/>
      <c r="L91" s="129"/>
    </row>
    <row r="92" spans="2:12" x14ac:dyDescent="0.3">
      <c r="B92" s="98"/>
      <c r="C92" s="99"/>
      <c r="D92" s="100"/>
      <c r="E92" s="100"/>
      <c r="F92" s="100"/>
      <c r="G92" s="100"/>
      <c r="H92" s="98"/>
      <c r="I92" s="101"/>
      <c r="J92" s="98"/>
      <c r="K92" s="101"/>
      <c r="L92" s="129"/>
    </row>
    <row r="93" spans="2:12" x14ac:dyDescent="0.3">
      <c r="B93" s="98"/>
      <c r="C93" s="99"/>
      <c r="D93" s="100"/>
      <c r="E93" s="100"/>
      <c r="F93" s="100"/>
      <c r="G93" s="100"/>
      <c r="H93" s="98"/>
      <c r="I93" s="101"/>
      <c r="J93" s="98"/>
      <c r="K93" s="101"/>
      <c r="L93" s="129"/>
    </row>
    <row r="94" spans="2:12" x14ac:dyDescent="0.3">
      <c r="B94" s="98"/>
      <c r="C94" s="99"/>
      <c r="D94" s="100"/>
      <c r="E94" s="100"/>
      <c r="F94" s="100"/>
      <c r="G94" s="100"/>
      <c r="H94" s="98"/>
      <c r="I94" s="101"/>
      <c r="J94" s="98"/>
      <c r="K94" s="101"/>
      <c r="L94" s="129"/>
    </row>
    <row r="95" spans="2:12" x14ac:dyDescent="0.3">
      <c r="B95" s="98"/>
      <c r="C95" s="99"/>
      <c r="D95" s="100"/>
      <c r="E95" s="100"/>
      <c r="F95" s="100"/>
      <c r="G95" s="100"/>
      <c r="H95" s="98"/>
      <c r="I95" s="101"/>
      <c r="J95" s="98"/>
      <c r="K95" s="101"/>
      <c r="L95" s="129"/>
    </row>
    <row r="96" spans="2:12" x14ac:dyDescent="0.3">
      <c r="B96" s="98"/>
      <c r="C96" s="99"/>
      <c r="D96" s="100"/>
      <c r="E96" s="100"/>
      <c r="F96" s="100"/>
      <c r="G96" s="100"/>
      <c r="H96" s="98"/>
      <c r="I96" s="101"/>
      <c r="J96" s="98"/>
      <c r="K96" s="101"/>
      <c r="L96" s="129"/>
    </row>
    <row r="97" spans="2:12" x14ac:dyDescent="0.3">
      <c r="B97" s="98"/>
      <c r="C97" s="99"/>
      <c r="D97" s="100"/>
      <c r="E97" s="100"/>
      <c r="F97" s="100"/>
      <c r="G97" s="100"/>
      <c r="H97" s="98"/>
      <c r="I97" s="101"/>
      <c r="J97" s="98"/>
      <c r="K97" s="101"/>
      <c r="L97" s="129"/>
    </row>
    <row r="98" spans="2:12" x14ac:dyDescent="0.3">
      <c r="B98" s="98"/>
      <c r="C98" s="99"/>
      <c r="D98" s="100"/>
      <c r="E98" s="100"/>
      <c r="F98" s="100"/>
      <c r="G98" s="100"/>
      <c r="H98" s="98"/>
      <c r="I98" s="101"/>
      <c r="J98" s="98"/>
      <c r="K98" s="101"/>
      <c r="L98" s="129"/>
    </row>
    <row r="99" spans="2:12" x14ac:dyDescent="0.3">
      <c r="B99" s="98"/>
      <c r="C99" s="99"/>
      <c r="D99" s="100"/>
      <c r="E99" s="100"/>
      <c r="F99" s="100"/>
      <c r="G99" s="100"/>
      <c r="H99" s="98"/>
      <c r="I99" s="101"/>
      <c r="J99" s="98"/>
      <c r="K99" s="101"/>
      <c r="L99" s="129"/>
    </row>
    <row r="100" spans="2:12" x14ac:dyDescent="0.3">
      <c r="B100" s="98"/>
      <c r="C100" s="99"/>
      <c r="D100" s="100"/>
      <c r="E100" s="100"/>
      <c r="F100" s="100"/>
      <c r="G100" s="100"/>
      <c r="H100" s="98"/>
      <c r="I100" s="101"/>
      <c r="J100" s="98"/>
      <c r="K100" s="101"/>
      <c r="L100" s="129"/>
    </row>
    <row r="101" spans="2:12" x14ac:dyDescent="0.3">
      <c r="B101" s="98"/>
    </row>
    <row r="102" spans="2:12" x14ac:dyDescent="0.3">
      <c r="B102" s="98"/>
    </row>
    <row r="103" spans="2:12" x14ac:dyDescent="0.3">
      <c r="B103" s="98"/>
    </row>
  </sheetData>
  <phoneticPr fontId="2"/>
  <pageMargins left="0.43307086614173229" right="0.23622047244094491"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gravity_ready">
                <anchor moveWithCells="1" sizeWithCells="1">
                  <from>
                    <xdr:col>9</xdr:col>
                    <xdr:colOff>114300</xdr:colOff>
                    <xdr:row>5</xdr:row>
                    <xdr:rowOff>38100</xdr:rowOff>
                  </from>
                  <to>
                    <xdr:col>9</xdr:col>
                    <xdr:colOff>552450</xdr:colOff>
                    <xdr:row>6</xdr:row>
                    <xdr:rowOff>125730</xdr:rowOff>
                  </to>
                </anchor>
              </controlPr>
            </control>
          </mc:Choice>
        </mc:AlternateContent>
        <mc:AlternateContent xmlns:mc="http://schemas.openxmlformats.org/markup-compatibility/2006">
          <mc:Choice Requires="x14">
            <control shapeId="4101" r:id="rId5" name="Button 5">
              <controlPr defaultSize="0" print="0" autoFill="0" autoPict="0" macro="[0]!gravity">
                <anchor moveWithCells="1" sizeWithCells="1">
                  <from>
                    <xdr:col>10</xdr:col>
                    <xdr:colOff>68580</xdr:colOff>
                    <xdr:row>5</xdr:row>
                    <xdr:rowOff>30480</xdr:rowOff>
                  </from>
                  <to>
                    <xdr:col>10</xdr:col>
                    <xdr:colOff>506730</xdr:colOff>
                    <xdr:row>6</xdr:row>
                    <xdr:rowOff>114300</xdr:rowOff>
                  </to>
                </anchor>
              </controlPr>
            </control>
          </mc:Choice>
        </mc:AlternateContent>
        <mc:AlternateContent xmlns:mc="http://schemas.openxmlformats.org/markup-compatibility/2006">
          <mc:Choice Requires="x14">
            <control shapeId="4102" r:id="rId6" name="Button 6">
              <controlPr defaultSize="0" print="0" autoFill="0" autoPict="0" macro="[0]!gclear">
                <anchor moveWithCells="1" sizeWithCells="1">
                  <from>
                    <xdr:col>11</xdr:col>
                    <xdr:colOff>76200</xdr:colOff>
                    <xdr:row>5</xdr:row>
                    <xdr:rowOff>30480</xdr:rowOff>
                  </from>
                  <to>
                    <xdr:col>11</xdr:col>
                    <xdr:colOff>514350</xdr:colOff>
                    <xdr:row>6</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800F5-3C2B-4DF0-96CF-36B12A58550F}">
  <sheetPr codeName="Sheet7"/>
  <dimension ref="A2:AD39"/>
  <sheetViews>
    <sheetView tabSelected="1" topLeftCell="A13" workbookViewId="0">
      <selection activeCell="S31" sqref="S31"/>
    </sheetView>
  </sheetViews>
  <sheetFormatPr defaultRowHeight="11.7" x14ac:dyDescent="0.3"/>
  <cols>
    <col min="2" max="2" width="23.64453125" customWidth="1"/>
    <col min="3" max="3" width="9.87890625" customWidth="1"/>
    <col min="21" max="21" width="13.29296875" bestFit="1" customWidth="1"/>
    <col min="22" max="29" width="14.41015625" customWidth="1"/>
  </cols>
  <sheetData>
    <row r="2" spans="1:30" x14ac:dyDescent="0.3">
      <c r="A2">
        <v>8</v>
      </c>
      <c r="B2">
        <v>8</v>
      </c>
      <c r="C2">
        <v>80.119102478027344</v>
      </c>
      <c r="D2">
        <v>11.110444068908691</v>
      </c>
    </row>
    <row r="3" spans="1:30" x14ac:dyDescent="0.3">
      <c r="B3">
        <v>7</v>
      </c>
      <c r="C3">
        <v>63.67108154296875</v>
      </c>
      <c r="D3">
        <v>17.845373153686523</v>
      </c>
    </row>
    <row r="4" spans="1:30" x14ac:dyDescent="0.3">
      <c r="B4">
        <v>6</v>
      </c>
      <c r="C4">
        <v>65.1292724609375</v>
      </c>
      <c r="D4">
        <v>23.977790832519531</v>
      </c>
    </row>
    <row r="5" spans="1:30" x14ac:dyDescent="0.3">
      <c r="B5">
        <v>5</v>
      </c>
      <c r="C5">
        <v>65.84307861328125</v>
      </c>
      <c r="D5">
        <v>29.697879791259766</v>
      </c>
    </row>
    <row r="6" spans="1:30" x14ac:dyDescent="0.3">
      <c r="B6">
        <v>4</v>
      </c>
      <c r="C6">
        <v>66.516090393066406</v>
      </c>
      <c r="D6">
        <v>37.070331573486328</v>
      </c>
    </row>
    <row r="7" spans="1:30" x14ac:dyDescent="0.3">
      <c r="B7">
        <v>3</v>
      </c>
      <c r="C7">
        <v>69.146957397460938</v>
      </c>
      <c r="D7">
        <v>44.590930938720703</v>
      </c>
    </row>
    <row r="8" spans="1:30" x14ac:dyDescent="0.3">
      <c r="B8">
        <v>2</v>
      </c>
      <c r="C8">
        <v>70.085098266601563</v>
      </c>
      <c r="D8">
        <v>44.303623199462891</v>
      </c>
    </row>
    <row r="9" spans="1:30" x14ac:dyDescent="0.3">
      <c r="B9">
        <v>1</v>
      </c>
      <c r="C9">
        <v>79.813186645507813</v>
      </c>
      <c r="D9">
        <v>27.045139312744141</v>
      </c>
    </row>
    <row r="13" spans="1:30" x14ac:dyDescent="0.3">
      <c r="B13" t="s">
        <v>161</v>
      </c>
      <c r="C13">
        <v>15.838446033156046</v>
      </c>
      <c r="D13">
        <v>94.0189075126343</v>
      </c>
      <c r="E13">
        <v>248.28950260902957</v>
      </c>
      <c r="F13">
        <v>481.28843844302327</v>
      </c>
      <c r="G13">
        <v>764.659942001942</v>
      </c>
      <c r="H13">
        <v>1104.7787021394302</v>
      </c>
      <c r="I13">
        <v>1533.1897071403275</v>
      </c>
      <c r="J13">
        <v>2155.2764011852369</v>
      </c>
      <c r="M13">
        <f>jacobi!C13</f>
        <v>15.838446617126465</v>
      </c>
      <c r="N13">
        <f>jacobi!D13</f>
        <v>94.01885986328125</v>
      </c>
      <c r="O13">
        <f>jacobi!E13</f>
        <v>248.28547668457031</v>
      </c>
      <c r="P13">
        <f>jacobi!F13</f>
        <v>481.29583740234375</v>
      </c>
      <c r="Q13">
        <f>jacobi!G13</f>
        <v>764.60443115234375</v>
      </c>
      <c r="R13">
        <f>jacobi!H13</f>
        <v>1104.74267578125</v>
      </c>
      <c r="S13">
        <f>jacobi!I13</f>
        <v>1533.294189453125</v>
      </c>
      <c r="T13">
        <f>jacobi!J13</f>
        <v>2155.8271484375</v>
      </c>
      <c r="V13">
        <f>C13-M13</f>
        <v>-5.8397041868829547E-7</v>
      </c>
      <c r="W13">
        <f t="shared" ref="W13:AC13" si="0">D13-N13</f>
        <v>4.7649353049905585E-5</v>
      </c>
      <c r="X13">
        <f t="shared" si="0"/>
        <v>4.0259244592562027E-3</v>
      </c>
      <c r="Y13">
        <f t="shared" si="0"/>
        <v>-7.3989593204828452E-3</v>
      </c>
      <c r="Z13">
        <f t="shared" si="0"/>
        <v>5.5510849598249479E-2</v>
      </c>
      <c r="AA13">
        <f t="shared" si="0"/>
        <v>3.6026358180151874E-2</v>
      </c>
      <c r="AB13">
        <f t="shared" si="0"/>
        <v>-0.10448231279747233</v>
      </c>
      <c r="AC13">
        <f t="shared" si="0"/>
        <v>-0.55074725226313603</v>
      </c>
      <c r="AD13">
        <f>L13-U13</f>
        <v>0</v>
      </c>
    </row>
    <row r="14" spans="1:30" x14ac:dyDescent="0.3">
      <c r="B14" t="s">
        <v>162</v>
      </c>
      <c r="C14">
        <v>3.9797545192079431</v>
      </c>
      <c r="D14">
        <v>9.696334746316996</v>
      </c>
      <c r="E14">
        <v>15.757204784130641</v>
      </c>
      <c r="F14">
        <v>21.938287044412178</v>
      </c>
      <c r="G14">
        <v>27.652485277130914</v>
      </c>
      <c r="H14">
        <v>33.238211476242675</v>
      </c>
      <c r="I14">
        <v>39.155966430932686</v>
      </c>
      <c r="J14">
        <v>46.424954509242511</v>
      </c>
      <c r="M14">
        <f>jacobi!C14</f>
        <v>3.9797545925755857</v>
      </c>
      <c r="N14">
        <f>jacobi!D14</f>
        <v>9.6963322892360306</v>
      </c>
      <c r="O14">
        <f>jacobi!E14</f>
        <v>15.757077034925301</v>
      </c>
      <c r="P14">
        <f>jacobi!F14</f>
        <v>21.938455674963627</v>
      </c>
      <c r="Q14">
        <f>jacobi!G14</f>
        <v>27.651481536300071</v>
      </c>
      <c r="R14">
        <f>jacobi!H14</f>
        <v>33.237669529936213</v>
      </c>
      <c r="S14">
        <f>jacobi!I14</f>
        <v>39.157300589457456</v>
      </c>
      <c r="T14">
        <f>jacobi!J14</f>
        <v>46.430885716702626</v>
      </c>
      <c r="V14">
        <f t="shared" ref="V14:V17" si="1">C14-M14</f>
        <v>-7.3367642627886198E-8</v>
      </c>
      <c r="W14">
        <f t="shared" ref="W14:W17" si="2">D14-N14</f>
        <v>2.4570809653567949E-6</v>
      </c>
      <c r="X14">
        <f t="shared" ref="X14:X17" si="3">E14-O14</f>
        <v>1.2774920534042167E-4</v>
      </c>
      <c r="Y14">
        <f t="shared" ref="Y14:Y17" si="4">F14-P14</f>
        <v>-1.6863055144966665E-4</v>
      </c>
      <c r="Z14">
        <f t="shared" ref="Z14:Z17" si="5">G14-Q14</f>
        <v>1.0037408308427587E-3</v>
      </c>
      <c r="AA14">
        <f t="shared" ref="AA14:AA17" si="6">H14-R14</f>
        <v>5.4194630646264841E-4</v>
      </c>
      <c r="AB14">
        <f t="shared" ref="AB14:AB17" si="7">I14-S14</f>
        <v>-1.334158524770146E-3</v>
      </c>
      <c r="AC14">
        <f t="shared" ref="AC14:AC17" si="8">J14-T14</f>
        <v>-5.9312074601152176E-3</v>
      </c>
    </row>
    <row r="15" spans="1:30" x14ac:dyDescent="0.3">
      <c r="B15" t="s">
        <v>163</v>
      </c>
      <c r="C15">
        <v>1.5787873271265207</v>
      </c>
      <c r="D15">
        <v>0.6479959865645698</v>
      </c>
      <c r="E15">
        <v>0.3987500375909252</v>
      </c>
      <c r="F15">
        <v>0.28640276186013197</v>
      </c>
      <c r="G15">
        <v>0.22721957672268625</v>
      </c>
      <c r="H15">
        <v>0.18903502086720178</v>
      </c>
      <c r="I15">
        <v>0.16046560901728549</v>
      </c>
      <c r="J15">
        <v>0.13534070343028795</v>
      </c>
      <c r="M15">
        <f>jacobi!C15</f>
        <v>1.5787872980212325</v>
      </c>
      <c r="N15">
        <f>jacobi!D15</f>
        <v>0.64799615076878192</v>
      </c>
      <c r="O15">
        <f>jacobi!E15</f>
        <v>0.39875327042404007</v>
      </c>
      <c r="P15">
        <f>jacobi!F15</f>
        <v>0.28640056041731465</v>
      </c>
      <c r="Q15">
        <f>jacobi!G15</f>
        <v>0.22722782472800285</v>
      </c>
      <c r="R15">
        <f>jacobi!H15</f>
        <v>0.18903810311793717</v>
      </c>
      <c r="S15">
        <f>jacobi!I15</f>
        <v>0.16046014167002251</v>
      </c>
      <c r="T15">
        <f>jacobi!J15</f>
        <v>0.13532341464121034</v>
      </c>
      <c r="V15">
        <f t="shared" si="1"/>
        <v>2.9105288179565036E-8</v>
      </c>
      <c r="W15">
        <f t="shared" si="2"/>
        <v>-1.6420421211638114E-7</v>
      </c>
      <c r="X15">
        <f t="shared" si="3"/>
        <v>-3.2328331148745448E-6</v>
      </c>
      <c r="Y15">
        <f t="shared" si="4"/>
        <v>2.2014428173178224E-6</v>
      </c>
      <c r="Z15">
        <f t="shared" si="5"/>
        <v>-8.2480053165967515E-6</v>
      </c>
      <c r="AA15">
        <f t="shared" si="6"/>
        <v>-3.0822507353922557E-6</v>
      </c>
      <c r="AB15">
        <f t="shared" si="7"/>
        <v>5.4673472629773734E-6</v>
      </c>
      <c r="AC15">
        <f t="shared" si="8"/>
        <v>1.7288789077612998E-5</v>
      </c>
    </row>
    <row r="16" spans="1:30" x14ac:dyDescent="0.3">
      <c r="M16">
        <f>jacobi!C16</f>
        <v>0</v>
      </c>
      <c r="N16">
        <f>jacobi!D16</f>
        <v>0</v>
      </c>
      <c r="O16">
        <f>jacobi!E16</f>
        <v>0</v>
      </c>
      <c r="P16">
        <f>jacobi!F16</f>
        <v>0</v>
      </c>
      <c r="Q16">
        <f>jacobi!G16</f>
        <v>0</v>
      </c>
      <c r="R16">
        <f>jacobi!H16</f>
        <v>0</v>
      </c>
      <c r="S16">
        <f>jacobi!I16</f>
        <v>0</v>
      </c>
      <c r="T16">
        <f>jacobi!J16</f>
        <v>0</v>
      </c>
      <c r="V16">
        <f t="shared" si="1"/>
        <v>0</v>
      </c>
      <c r="W16">
        <f t="shared" si="2"/>
        <v>0</v>
      </c>
      <c r="X16">
        <f t="shared" si="3"/>
        <v>0</v>
      </c>
      <c r="Y16">
        <f t="shared" si="4"/>
        <v>0</v>
      </c>
      <c r="Z16">
        <f t="shared" si="5"/>
        <v>0</v>
      </c>
      <c r="AA16">
        <f t="shared" si="6"/>
        <v>0</v>
      </c>
      <c r="AB16">
        <f t="shared" si="7"/>
        <v>0</v>
      </c>
      <c r="AC16">
        <f t="shared" si="8"/>
        <v>0</v>
      </c>
    </row>
    <row r="17" spans="2:29" x14ac:dyDescent="0.3">
      <c r="B17" t="s">
        <v>159</v>
      </c>
      <c r="C17">
        <v>1.405181584182023</v>
      </c>
      <c r="D17">
        <v>0.59680129016985772</v>
      </c>
      <c r="E17">
        <v>0.21927942672779413</v>
      </c>
      <c r="F17">
        <v>0.19205757033663062</v>
      </c>
      <c r="G17">
        <v>8.345018973551073E-2</v>
      </c>
      <c r="H17">
        <v>6.6199806022107857E-2</v>
      </c>
      <c r="I17">
        <v>-4.0371704825533108E-2</v>
      </c>
      <c r="J17">
        <v>-1.8691586570482407E-2</v>
      </c>
      <c r="M17">
        <f>jacobi!C17</f>
        <v>0.26897688966861649</v>
      </c>
      <c r="N17">
        <f>jacobi!D17</f>
        <v>0.24298612240839526</v>
      </c>
      <c r="O17">
        <f>jacobi!E17</f>
        <v>0.17398376089926171</v>
      </c>
      <c r="P17">
        <f>jacobi!F17</f>
        <v>0.12354130530655796</v>
      </c>
      <c r="Q17">
        <f>jacobi!G17</f>
        <v>8.8656199695021462E-2</v>
      </c>
      <c r="R17">
        <f>jacobi!H17</f>
        <v>5.5328891509888241E-2</v>
      </c>
      <c r="S17">
        <f>jacobi!I17</f>
        <v>3.2323426603992456E-2</v>
      </c>
      <c r="T17">
        <f>jacobi!J17</f>
        <v>1.4203403908266613E-2</v>
      </c>
      <c r="V17">
        <f t="shared" si="1"/>
        <v>1.1362046945134066</v>
      </c>
      <c r="W17">
        <f t="shared" si="2"/>
        <v>0.35381516776146249</v>
      </c>
      <c r="X17">
        <f t="shared" si="3"/>
        <v>4.5295665828532422E-2</v>
      </c>
      <c r="Y17">
        <f t="shared" si="4"/>
        <v>6.8516265030072659E-2</v>
      </c>
      <c r="Z17">
        <f t="shared" si="5"/>
        <v>-5.2060099595107323E-3</v>
      </c>
      <c r="AA17">
        <f t="shared" si="6"/>
        <v>1.0870914512219616E-2</v>
      </c>
      <c r="AB17">
        <f t="shared" si="7"/>
        <v>-7.2695131429525564E-2</v>
      </c>
      <c r="AC17">
        <f t="shared" si="8"/>
        <v>-3.2894990478749019E-2</v>
      </c>
    </row>
    <row r="18" spans="2:29" x14ac:dyDescent="0.3">
      <c r="M18">
        <f>jacobi!C18</f>
        <v>0</v>
      </c>
      <c r="N18">
        <f>jacobi!D18</f>
        <v>0</v>
      </c>
      <c r="O18">
        <f>jacobi!E18</f>
        <v>0</v>
      </c>
      <c r="P18">
        <f>jacobi!F18</f>
        <v>0</v>
      </c>
      <c r="Q18">
        <f>jacobi!G18</f>
        <v>0</v>
      </c>
      <c r="R18">
        <f>jacobi!H18</f>
        <v>0</v>
      </c>
      <c r="S18">
        <f>jacobi!I18</f>
        <v>0</v>
      </c>
      <c r="T18">
        <f>jacobi!J18</f>
        <v>0</v>
      </c>
    </row>
    <row r="19" spans="2:29" x14ac:dyDescent="0.3">
      <c r="B19" t="s">
        <v>158</v>
      </c>
      <c r="M19">
        <f>jacobi!C19</f>
        <v>0</v>
      </c>
      <c r="N19">
        <f>jacobi!D19</f>
        <v>0</v>
      </c>
      <c r="O19">
        <f>jacobi!E19</f>
        <v>0</v>
      </c>
      <c r="P19">
        <f>jacobi!F19</f>
        <v>0</v>
      </c>
      <c r="Q19">
        <f>jacobi!G19</f>
        <v>0</v>
      </c>
      <c r="R19">
        <f>jacobi!H19</f>
        <v>0</v>
      </c>
      <c r="S19">
        <f>jacobi!I19</f>
        <v>0</v>
      </c>
      <c r="T19">
        <f>jacobi!J19</f>
        <v>0</v>
      </c>
    </row>
    <row r="20" spans="2:29" x14ac:dyDescent="0.3">
      <c r="B20">
        <v>8</v>
      </c>
      <c r="C20">
        <v>1</v>
      </c>
      <c r="D20">
        <v>-1</v>
      </c>
      <c r="E20">
        <v>0.82895388263556746</v>
      </c>
      <c r="F20">
        <v>-0.40698385454970765</v>
      </c>
      <c r="G20">
        <v>0.22228929762317273</v>
      </c>
      <c r="H20">
        <v>-6.4069293458171306E-2</v>
      </c>
      <c r="I20">
        <v>-5.5179673385283212E-3</v>
      </c>
      <c r="J20">
        <v>-1.4749623229260299E-3</v>
      </c>
      <c r="M20">
        <f>jacobi!C20</f>
        <v>5.2075758607676708</v>
      </c>
      <c r="N20">
        <f>jacobi!D20</f>
        <v>-2.3150557442269371</v>
      </c>
      <c r="O20">
        <f>jacobi!E20</f>
        <v>1.2699695904685508</v>
      </c>
      <c r="P20">
        <f>jacobi!F20</f>
        <v>-0.63938097723152909</v>
      </c>
      <c r="Q20">
        <f>jacobi!G20</f>
        <v>0.2743475243791012</v>
      </c>
      <c r="R20">
        <f>jacobi!H20</f>
        <v>-9.0280073278495576E-2</v>
      </c>
      <c r="S20">
        <f>jacobi!I20</f>
        <v>1.6557236269420742E-2</v>
      </c>
      <c r="T20">
        <f>jacobi!J20</f>
        <v>-1.2647316384693005E-3</v>
      </c>
    </row>
    <row r="21" spans="2:29" x14ac:dyDescent="0.3">
      <c r="B21">
        <v>7</v>
      </c>
      <c r="C21">
        <v>0.88569180110989532</v>
      </c>
      <c r="D21">
        <v>-0.32238827992426744</v>
      </c>
      <c r="E21">
        <v>-0.65154092565572064</v>
      </c>
      <c r="F21">
        <v>1</v>
      </c>
      <c r="G21">
        <v>-1</v>
      </c>
      <c r="H21">
        <v>0.4484719670537442</v>
      </c>
      <c r="I21">
        <v>8.6253087284722266E-2</v>
      </c>
      <c r="J21">
        <v>-8.1717620625414086E-3</v>
      </c>
      <c r="M21">
        <f>jacobi!C21</f>
        <v>4.6128006599484168</v>
      </c>
      <c r="N21">
        <f>jacobi!D21</f>
        <v>-0.74548427453433652</v>
      </c>
      <c r="O21">
        <f>jacobi!E21</f>
        <v>-1.0038148417443629</v>
      </c>
      <c r="P21">
        <f>jacobi!F21</f>
        <v>1.5797169262990944</v>
      </c>
      <c r="Q21">
        <f>jacobi!G21</f>
        <v>-1.2383166578141258</v>
      </c>
      <c r="R21">
        <f>jacobi!H21</f>
        <v>0.62893317862544795</v>
      </c>
      <c r="S21">
        <f>jacobi!I21</f>
        <v>-0.16651311065602181</v>
      </c>
      <c r="T21">
        <f>jacobi!J21</f>
        <v>1.8396782973939922E-2</v>
      </c>
    </row>
    <row r="22" spans="2:29" x14ac:dyDescent="0.3">
      <c r="B22">
        <v>6</v>
      </c>
      <c r="C22">
        <v>0.76464095128527654</v>
      </c>
      <c r="D22">
        <v>0.20793003365676604</v>
      </c>
      <c r="E22">
        <v>-1</v>
      </c>
      <c r="F22">
        <v>0.1612089877582869</v>
      </c>
      <c r="G22">
        <v>0.96869128119174297</v>
      </c>
      <c r="H22">
        <v>-1</v>
      </c>
      <c r="I22">
        <v>-0.36025312704623869</v>
      </c>
      <c r="J22">
        <v>5.9980566423552165E-2</v>
      </c>
      <c r="M22">
        <f>jacobi!C22</f>
        <v>3.9818247606923856</v>
      </c>
      <c r="N22">
        <f>jacobi!D22</f>
        <v>0.48179832625953756</v>
      </c>
      <c r="O22">
        <f>jacobi!E22</f>
        <v>-1.5302170308714798</v>
      </c>
      <c r="P22">
        <f>jacobi!F22</f>
        <v>0.24857803637987982</v>
      </c>
      <c r="Q22">
        <f>jacobi!G22</f>
        <v>1.1981040463980503</v>
      </c>
      <c r="R22">
        <f>jacobi!H22</f>
        <v>-1.4023205727965826</v>
      </c>
      <c r="S22">
        <f>jacobi!I22</f>
        <v>0.63044974802041431</v>
      </c>
      <c r="T22">
        <f>jacobi!J22</f>
        <v>-0.11086725444944491</v>
      </c>
    </row>
    <row r="23" spans="2:29" x14ac:dyDescent="0.3">
      <c r="B23">
        <v>5</v>
      </c>
      <c r="C23">
        <v>0.64149241766680254</v>
      </c>
      <c r="D23">
        <v>0.55029985980784968</v>
      </c>
      <c r="E23">
        <v>-0.58907640275687689</v>
      </c>
      <c r="F23">
        <v>-0.67154887581505596</v>
      </c>
      <c r="G23">
        <v>0.40974420373398884</v>
      </c>
      <c r="H23">
        <v>0.92052343312028662</v>
      </c>
      <c r="I23">
        <v>0.81674462030572259</v>
      </c>
      <c r="J23">
        <v>-0.21713970877650007</v>
      </c>
      <c r="M23">
        <f>jacobi!C23</f>
        <v>3.3409217652797745</v>
      </c>
      <c r="N23">
        <f>jacobi!D23</f>
        <v>1.2721581067190622</v>
      </c>
      <c r="O23">
        <f>jacobi!E23</f>
        <v>-0.89000938291721432</v>
      </c>
      <c r="P23">
        <f>jacobi!F23</f>
        <v>-1.0670856502829424</v>
      </c>
      <c r="Q23">
        <f>jacobi!G23</f>
        <v>0.5231248867488707</v>
      </c>
      <c r="R23">
        <f>jacobi!H23</f>
        <v>1.2939249161376893</v>
      </c>
      <c r="S23">
        <f>jacobi!I23</f>
        <v>-1.4021015094196556</v>
      </c>
      <c r="T23">
        <f>jacobi!J23</f>
        <v>0.44213716879961218</v>
      </c>
    </row>
    <row r="24" spans="2:29" x14ac:dyDescent="0.3">
      <c r="B24">
        <v>4</v>
      </c>
      <c r="C24">
        <v>0.51984509181828986</v>
      </c>
      <c r="D24">
        <v>0.71031821380555238</v>
      </c>
      <c r="E24">
        <v>7.8008704719894989E-2</v>
      </c>
      <c r="F24">
        <v>-0.62755975792450769</v>
      </c>
      <c r="G24">
        <v>-0.71465159043952031</v>
      </c>
      <c r="H24">
        <v>0.22126169173609497</v>
      </c>
      <c r="I24">
        <v>-1</v>
      </c>
      <c r="J24">
        <v>0.56240566304495421</v>
      </c>
      <c r="M24">
        <f>jacobi!C24</f>
        <v>2.7061449568319551</v>
      </c>
      <c r="N24">
        <f>jacobi!D24</f>
        <v>1.6451072290589874</v>
      </c>
      <c r="O24">
        <f>jacobi!E24</f>
        <v>0.11681439421531187</v>
      </c>
      <c r="P24">
        <f>jacobi!F24</f>
        <v>-0.99067502884731984</v>
      </c>
      <c r="Q24">
        <f>jacobi!G24</f>
        <v>-0.90864942856906905</v>
      </c>
      <c r="R24">
        <f>jacobi!H24</f>
        <v>0.30161023547218724</v>
      </c>
      <c r="S24">
        <f>jacobi!I24</f>
        <v>1.7232262241122311</v>
      </c>
      <c r="T24">
        <f>jacobi!J24</f>
        <v>-1.2246453557687702</v>
      </c>
    </row>
    <row r="25" spans="2:29" x14ac:dyDescent="0.3">
      <c r="B25">
        <v>3</v>
      </c>
      <c r="C25">
        <v>0.40711282946721872</v>
      </c>
      <c r="D25">
        <v>0.72034970255397479</v>
      </c>
      <c r="E25">
        <v>0.56771892278802816</v>
      </c>
      <c r="F25">
        <v>-4.8927643153543039E-2</v>
      </c>
      <c r="G25">
        <v>-0.66043543182509479</v>
      </c>
      <c r="H25">
        <v>-0.78810600280763521</v>
      </c>
      <c r="I25">
        <v>0.27707224276043552</v>
      </c>
      <c r="J25">
        <v>-0.96488585254636849</v>
      </c>
      <c r="M25">
        <f>jacobi!C25</f>
        <v>2.1207042672838639</v>
      </c>
      <c r="N25">
        <f>jacobi!D25</f>
        <v>1.6663555103996606</v>
      </c>
      <c r="O25">
        <f>jacobi!E25</f>
        <v>0.87136239108617508</v>
      </c>
      <c r="P25">
        <f>jacobi!F25</f>
        <v>-7.3914375826475726E-2</v>
      </c>
      <c r="Q25">
        <f>jacobi!G25</f>
        <v>-0.80905808484314823</v>
      </c>
      <c r="R25">
        <f>jacobi!H25</f>
        <v>-1.0912264071556008</v>
      </c>
      <c r="S25">
        <f>jacobi!I25</f>
        <v>-0.51398224900250655</v>
      </c>
      <c r="T25">
        <f>jacobi!J25</f>
        <v>2.1772880040872424</v>
      </c>
    </row>
    <row r="26" spans="2:29" x14ac:dyDescent="0.3">
      <c r="B26">
        <v>2</v>
      </c>
      <c r="C26">
        <v>0.30372273199355332</v>
      </c>
      <c r="D26">
        <v>0.62187365199690481</v>
      </c>
      <c r="E26">
        <v>0.76358683092456014</v>
      </c>
      <c r="F26">
        <v>0.46814761315455417</v>
      </c>
      <c r="G26">
        <v>0.18479985873546476</v>
      </c>
      <c r="H26">
        <v>-0.26236573906699834</v>
      </c>
      <c r="I26">
        <v>0.69084022188099503</v>
      </c>
      <c r="J26">
        <v>1</v>
      </c>
      <c r="M26">
        <f>jacobi!C26</f>
        <v>1.58191681230839</v>
      </c>
      <c r="N26">
        <f>jacobi!D26</f>
        <v>1.4410744228052521</v>
      </c>
      <c r="O26">
        <f>jacobi!E26</f>
        <v>1.1631623853851216</v>
      </c>
      <c r="P26">
        <f>jacobi!F26</f>
        <v>0.74339312260555057</v>
      </c>
      <c r="Q26">
        <f>jacobi!G26</f>
        <v>0.23301128500686763</v>
      </c>
      <c r="R26">
        <f>jacobi!H26</f>
        <v>-0.37974930774329113</v>
      </c>
      <c r="S26">
        <f>jacobi!I26</f>
        <v>-1.1517870238833936</v>
      </c>
      <c r="T26">
        <f>jacobi!J26</f>
        <v>-2.273282989157031</v>
      </c>
    </row>
    <row r="27" spans="2:29" x14ac:dyDescent="0.3">
      <c r="B27">
        <v>1</v>
      </c>
      <c r="C27">
        <v>0.19200245052413856</v>
      </c>
      <c r="D27">
        <v>0.43224397862767111</v>
      </c>
      <c r="E27">
        <v>0.65751798974666165</v>
      </c>
      <c r="F27">
        <v>0.63054419593598809</v>
      </c>
      <c r="G27">
        <v>0.80946508977016352</v>
      </c>
      <c r="H27">
        <v>0.71009960266038874</v>
      </c>
      <c r="I27">
        <v>-0.58116274119825051</v>
      </c>
      <c r="J27">
        <v>-0.44424489828164559</v>
      </c>
      <c r="M27">
        <f>jacobi!C27</f>
        <v>1</v>
      </c>
      <c r="N27">
        <f>jacobi!D27</f>
        <v>1</v>
      </c>
      <c r="O27">
        <f>jacobi!E27</f>
        <v>1</v>
      </c>
      <c r="P27">
        <f>jacobi!F27</f>
        <v>1</v>
      </c>
      <c r="Q27">
        <f>jacobi!G27</f>
        <v>1</v>
      </c>
      <c r="R27">
        <f>jacobi!H27</f>
        <v>1</v>
      </c>
      <c r="S27">
        <f>jacobi!I27</f>
        <v>1</v>
      </c>
      <c r="T27">
        <f>jacobi!J27</f>
        <v>1</v>
      </c>
    </row>
    <row r="31" spans="2:29" x14ac:dyDescent="0.3">
      <c r="B31" t="s">
        <v>160</v>
      </c>
    </row>
    <row r="32" spans="2:29" x14ac:dyDescent="0.3">
      <c r="B32">
        <v>8</v>
      </c>
      <c r="C32">
        <v>1.405181584182023</v>
      </c>
      <c r="D32">
        <v>-0.59680129016985772</v>
      </c>
      <c r="E32">
        <v>0.18177253216810638</v>
      </c>
      <c r="F32">
        <v>-7.8164330271053517E-2</v>
      </c>
      <c r="G32">
        <v>1.8550084062827179E-2</v>
      </c>
      <c r="H32">
        <v>-4.2413747989044443E-3</v>
      </c>
      <c r="I32">
        <v>-2.2276974862799791E-4</v>
      </c>
      <c r="J32">
        <v>-2.7569385947171716E-5</v>
      </c>
      <c r="M32">
        <f>jacobi!C32</f>
        <v>1.4007175577426563</v>
      </c>
      <c r="N32">
        <f>jacobi!D32</f>
        <v>-0.5625264184489851</v>
      </c>
      <c r="O32">
        <f>jacobi!E32</f>
        <v>0.22095408557741367</v>
      </c>
      <c r="P32">
        <f>jacobi!F32</f>
        <v>-7.898996051536572E-2</v>
      </c>
      <c r="Q32">
        <f>jacobi!G32</f>
        <v>2.4322608907188365E-2</v>
      </c>
      <c r="R32">
        <f>jacobi!H32</f>
        <v>-4.9950963799306417E-3</v>
      </c>
      <c r="S32">
        <f>jacobi!I32</f>
        <v>5.3518661131958317E-4</v>
      </c>
      <c r="T32">
        <f>jacobi!J32</f>
        <v>-1.7963494296743301E-5</v>
      </c>
      <c r="V32" s="197">
        <f>ABS(C32)-ABS(M32)</f>
        <v>4.4640264393667195E-3</v>
      </c>
      <c r="W32" s="197">
        <f t="shared" ref="W32:AC32" si="9">ABS(D32)-ABS(N32)</f>
        <v>3.4274871720872624E-2</v>
      </c>
      <c r="X32" s="197">
        <f t="shared" si="9"/>
        <v>-3.918155340930729E-2</v>
      </c>
      <c r="Y32" s="197">
        <f t="shared" si="9"/>
        <v>-8.2563024431220322E-4</v>
      </c>
      <c r="Z32" s="197">
        <f t="shared" si="9"/>
        <v>-5.7725248443611862E-3</v>
      </c>
      <c r="AA32" s="197">
        <f t="shared" si="9"/>
        <v>-7.5372158102619737E-4</v>
      </c>
      <c r="AB32" s="197">
        <f t="shared" si="9"/>
        <v>-3.1241686269158525E-4</v>
      </c>
      <c r="AC32" s="197">
        <f t="shared" si="9"/>
        <v>9.6058916504284155E-6</v>
      </c>
    </row>
    <row r="33" spans="2:29" x14ac:dyDescent="0.3">
      <c r="B33">
        <v>7</v>
      </c>
      <c r="C33">
        <v>1.2445578081806319</v>
      </c>
      <c r="D33">
        <v>-0.19240174139444405</v>
      </c>
      <c r="E33">
        <v>-0.14286952066748276</v>
      </c>
      <c r="F33">
        <v>0.19205757033663062</v>
      </c>
      <c r="G33">
        <v>-8.345018973551073E-2</v>
      </c>
      <c r="H33">
        <v>2.9688757225311013E-2</v>
      </c>
      <c r="I33">
        <v>3.4821841801497503E-3</v>
      </c>
      <c r="J33">
        <v>-1.5274319802537661E-4</v>
      </c>
      <c r="M33">
        <f>jacobi!C33</f>
        <v>1.2407367741742668</v>
      </c>
      <c r="N33">
        <f>jacobi!D33</f>
        <v>-0.18114233318553402</v>
      </c>
      <c r="O33">
        <f>jacobi!E33</f>
        <v>-0.17464748141318145</v>
      </c>
      <c r="P33">
        <f>jacobi!F33</f>
        <v>0.19516029108985375</v>
      </c>
      <c r="Q33">
        <f>jacobi!G33</f>
        <v>-0.1097844489008407</v>
      </c>
      <c r="R33">
        <f>jacobi!H33</f>
        <v>3.4798175607136571E-2</v>
      </c>
      <c r="S33">
        <f>jacobi!I33</f>
        <v>-5.3822743108923954E-3</v>
      </c>
      <c r="T33">
        <f>jacobi!J33</f>
        <v>2.6129693919159098E-4</v>
      </c>
      <c r="V33" s="197">
        <f t="shared" ref="V33:V39" si="10">ABS(C33)-ABS(M33)</f>
        <v>3.8210340063651316E-3</v>
      </c>
      <c r="W33" s="197">
        <f t="shared" ref="W33:W39" si="11">ABS(D33)-ABS(N33)</f>
        <v>1.1259408208910027E-2</v>
      </c>
      <c r="X33" s="197">
        <f t="shared" ref="X33:X39" si="12">ABS(E33)-ABS(O33)</f>
        <v>-3.1777960745698691E-2</v>
      </c>
      <c r="Y33" s="197">
        <f t="shared" ref="Y33:Y39" si="13">ABS(F33)-ABS(P33)</f>
        <v>-3.102720753223126E-3</v>
      </c>
      <c r="Z33" s="197">
        <f t="shared" ref="Z33:Z39" si="14">ABS(G33)-ABS(Q33)</f>
        <v>-2.6334259165329971E-2</v>
      </c>
      <c r="AA33" s="197">
        <f t="shared" ref="AA33:AA39" si="15">ABS(H33)-ABS(R33)</f>
        <v>-5.1094183818255583E-3</v>
      </c>
      <c r="AB33" s="197">
        <f t="shared" ref="AB33:AB39" si="16">ABS(I33)-ABS(S33)</f>
        <v>-1.9000901307426451E-3</v>
      </c>
      <c r="AC33" s="197">
        <f t="shared" ref="AC33:AC39" si="17">ABS(J33)-ABS(T33)</f>
        <v>-1.0855374116621437E-4</v>
      </c>
    </row>
    <row r="34" spans="2:29" x14ac:dyDescent="0.3">
      <c r="B34">
        <v>6</v>
      </c>
      <c r="C34">
        <v>1.074459383257494</v>
      </c>
      <c r="D34">
        <v>0.12409291235141992</v>
      </c>
      <c r="E34">
        <v>-0.21927942672779413</v>
      </c>
      <c r="F34">
        <v>3.0961406505284211E-2</v>
      </c>
      <c r="G34">
        <v>8.0837471210585932E-2</v>
      </c>
      <c r="H34">
        <v>-6.6199806022107857E-2</v>
      </c>
      <c r="I34">
        <v>-1.4544032907586026E-2</v>
      </c>
      <c r="J34">
        <v>1.1211319498523956E-3</v>
      </c>
      <c r="M34">
        <f>jacobi!C34</f>
        <v>1.071018839336521</v>
      </c>
      <c r="N34">
        <f>jacobi!D34</f>
        <v>0.11707030708065995</v>
      </c>
      <c r="O34">
        <f>jacobi!E34</f>
        <v>-0.26623291402312171</v>
      </c>
      <c r="P34">
        <f>jacobi!F34</f>
        <v>3.0709655084911407E-2</v>
      </c>
      <c r="Q34">
        <f>jacobi!G34</f>
        <v>0.10621935159287881</v>
      </c>
      <c r="R34">
        <f>jacobi!H34</f>
        <v>-7.7588842834346458E-2</v>
      </c>
      <c r="S34">
        <f>jacobi!I34</f>
        <v>2.0378296157643399E-2</v>
      </c>
      <c r="T34">
        <f>jacobi!J34</f>
        <v>-1.574692395146035E-3</v>
      </c>
      <c r="V34" s="197">
        <f t="shared" si="10"/>
        <v>3.4405439209730382E-3</v>
      </c>
      <c r="W34" s="197">
        <f t="shared" si="11"/>
        <v>7.0226052707599712E-3</v>
      </c>
      <c r="X34" s="197">
        <f t="shared" si="12"/>
        <v>-4.6953487295327584E-2</v>
      </c>
      <c r="Y34" s="197">
        <f t="shared" si="13"/>
        <v>2.5175142037280399E-4</v>
      </c>
      <c r="Z34" s="197">
        <f t="shared" si="14"/>
        <v>-2.5381880382292873E-2</v>
      </c>
      <c r="AA34" s="197">
        <f t="shared" si="15"/>
        <v>-1.1389036812238601E-2</v>
      </c>
      <c r="AB34" s="197">
        <f t="shared" si="16"/>
        <v>-5.8342632500573734E-3</v>
      </c>
      <c r="AC34" s="197">
        <f t="shared" si="17"/>
        <v>-4.5356044529363941E-4</v>
      </c>
    </row>
    <row r="35" spans="2:29" x14ac:dyDescent="0.3">
      <c r="B35">
        <v>5</v>
      </c>
      <c r="C35">
        <v>0.90141333169779359</v>
      </c>
      <c r="D35">
        <v>0.32841966631361652</v>
      </c>
      <c r="E35">
        <v>-0.12917233589539914</v>
      </c>
      <c r="F35">
        <v>-0.12897604545133534</v>
      </c>
      <c r="G35">
        <v>3.4193231544627133E-2</v>
      </c>
      <c r="H35">
        <v>6.093847271136775E-2</v>
      </c>
      <c r="I35">
        <v>3.2973372728824744E-2</v>
      </c>
      <c r="J35">
        <v>-4.05868566448529E-3</v>
      </c>
      <c r="M35">
        <f>jacobi!C35</f>
        <v>0.89863074505113738</v>
      </c>
      <c r="N35">
        <f>jacobi!D35</f>
        <v>0.3091167654420704</v>
      </c>
      <c r="O35">
        <f>jacobi!E35</f>
        <v>-0.15484717967556808</v>
      </c>
      <c r="P35">
        <f>jacobi!F35</f>
        <v>-0.13182915410985194</v>
      </c>
      <c r="Q35">
        <f>jacobi!G35</f>
        <v>4.6378264425043364E-2</v>
      </c>
      <c r="R35">
        <f>jacobi!H35</f>
        <v>7.1591431306923456E-2</v>
      </c>
      <c r="S35">
        <f>jacobi!I35</f>
        <v>-4.5320725231073278E-2</v>
      </c>
      <c r="T35">
        <f>jacobi!J35</f>
        <v>6.2798527913183466E-3</v>
      </c>
      <c r="V35" s="197">
        <f t="shared" si="10"/>
        <v>2.7825866466562044E-3</v>
      </c>
      <c r="W35" s="197">
        <f t="shared" si="11"/>
        <v>1.9302900871546125E-2</v>
      </c>
      <c r="X35" s="197">
        <f t="shared" si="12"/>
        <v>-2.5674843780168932E-2</v>
      </c>
      <c r="Y35" s="197">
        <f t="shared" si="13"/>
        <v>-2.8531086585165955E-3</v>
      </c>
      <c r="Z35" s="197">
        <f t="shared" si="14"/>
        <v>-1.2185032880416231E-2</v>
      </c>
      <c r="AA35" s="197">
        <f t="shared" si="15"/>
        <v>-1.0652958595555706E-2</v>
      </c>
      <c r="AB35" s="197">
        <f t="shared" si="16"/>
        <v>-1.2347352502248533E-2</v>
      </c>
      <c r="AC35" s="197">
        <f t="shared" si="17"/>
        <v>-2.2211671268330567E-3</v>
      </c>
    </row>
    <row r="36" spans="2:29" x14ac:dyDescent="0.3">
      <c r="B36">
        <v>4</v>
      </c>
      <c r="C36">
        <v>0.73047674965047371</v>
      </c>
      <c r="D36">
        <v>0.42391882643030249</v>
      </c>
      <c r="E36">
        <v>1.7105704050756343E-2</v>
      </c>
      <c r="F36">
        <v>-0.12052760234802502</v>
      </c>
      <c r="G36">
        <v>-5.9637810816962476E-2</v>
      </c>
      <c r="H36">
        <v>1.4647481073052913E-2</v>
      </c>
      <c r="I36">
        <v>-4.0371704825533108E-2</v>
      </c>
      <c r="J36">
        <v>1.051225413853432E-2</v>
      </c>
      <c r="M36">
        <f>jacobi!C36</f>
        <v>0.72789045348107173</v>
      </c>
      <c r="N36">
        <f>jacobi!D36</f>
        <v>0.39973822653506308</v>
      </c>
      <c r="O36">
        <f>jacobi!E36</f>
        <v>2.0323807632748919E-2</v>
      </c>
      <c r="P36">
        <f>jacobi!F36</f>
        <v>-0.12238928619840986</v>
      </c>
      <c r="Q36">
        <f>jacobi!G36</f>
        <v>-8.0557405191986522E-2</v>
      </c>
      <c r="R36">
        <f>jacobi!H36</f>
        <v>1.6687759996712494E-2</v>
      </c>
      <c r="S36">
        <f>jacobi!I36</f>
        <v>5.5700576377166758E-2</v>
      </c>
      <c r="T36">
        <f>jacobi!J36</f>
        <v>-1.7394132632366707E-2</v>
      </c>
      <c r="V36" s="197">
        <f t="shared" si="10"/>
        <v>2.5862961694019804E-3</v>
      </c>
      <c r="W36" s="197">
        <f t="shared" si="11"/>
        <v>2.4180599895239407E-2</v>
      </c>
      <c r="X36" s="197">
        <f t="shared" si="12"/>
        <v>-3.2181035819925756E-3</v>
      </c>
      <c r="Y36" s="197">
        <f t="shared" si="13"/>
        <v>-1.8616838503848349E-3</v>
      </c>
      <c r="Z36" s="197">
        <f t="shared" si="14"/>
        <v>-2.0919594375024046E-2</v>
      </c>
      <c r="AA36" s="197">
        <f t="shared" si="15"/>
        <v>-2.0402789236595806E-3</v>
      </c>
      <c r="AB36" s="197">
        <f t="shared" si="16"/>
        <v>-1.5328871551633649E-2</v>
      </c>
      <c r="AC36" s="197">
        <f t="shared" si="17"/>
        <v>-6.8818784938323874E-3</v>
      </c>
    </row>
    <row r="37" spans="2:29" x14ac:dyDescent="0.3">
      <c r="B37">
        <v>3</v>
      </c>
      <c r="C37">
        <v>0.57206745065157216</v>
      </c>
      <c r="D37">
        <v>0.42990563185768543</v>
      </c>
      <c r="E37">
        <v>0.12448907993147963</v>
      </c>
      <c r="F37">
        <v>-9.3969242663671567E-3</v>
      </c>
      <c r="G37">
        <v>-5.5113462093858125E-2</v>
      </c>
      <c r="H37">
        <v>-5.2172464510724242E-2</v>
      </c>
      <c r="I37">
        <v>1.1185878800072756E-2</v>
      </c>
      <c r="J37">
        <v>-1.8035247443504168E-2</v>
      </c>
      <c r="M37">
        <f>jacobi!C37</f>
        <v>0.57042043772097606</v>
      </c>
      <c r="N37">
        <f>jacobi!D37</f>
        <v>0.4049012640258759</v>
      </c>
      <c r="O37">
        <f>jacobi!E37</f>
        <v>0.15160290590734607</v>
      </c>
      <c r="P37">
        <f>jacobi!F37</f>
        <v>-9.1314784705223053E-3</v>
      </c>
      <c r="Q37">
        <f>jacobi!G37</f>
        <v>-7.1728015134725764E-2</v>
      </c>
      <c r="R37">
        <f>jacobi!H37</f>
        <v>-6.037634749423737E-2</v>
      </c>
      <c r="S37">
        <f>jacobi!I37</f>
        <v>-1.6613667501387496E-2</v>
      </c>
      <c r="T37">
        <f>jacobi!J37</f>
        <v>3.0924900946674751E-2</v>
      </c>
      <c r="V37" s="197">
        <f t="shared" si="10"/>
        <v>1.6470129305961034E-3</v>
      </c>
      <c r="W37" s="197">
        <f t="shared" si="11"/>
        <v>2.5004367831809537E-2</v>
      </c>
      <c r="X37" s="197">
        <f t="shared" si="12"/>
        <v>-2.7113825975866437E-2</v>
      </c>
      <c r="Y37" s="197">
        <f t="shared" si="13"/>
        <v>2.654457958448514E-4</v>
      </c>
      <c r="Z37" s="197">
        <f t="shared" si="14"/>
        <v>-1.661455304086764E-2</v>
      </c>
      <c r="AA37" s="197">
        <f t="shared" si="15"/>
        <v>-8.2038829835131277E-3</v>
      </c>
      <c r="AB37" s="197">
        <f t="shared" si="16"/>
        <v>-5.42778870131474E-3</v>
      </c>
      <c r="AC37" s="197">
        <f t="shared" si="17"/>
        <v>-1.2889653503170583E-2</v>
      </c>
    </row>
    <row r="38" spans="2:29" x14ac:dyDescent="0.3">
      <c r="B38">
        <v>2</v>
      </c>
      <c r="C38">
        <v>0.42678558969479324</v>
      </c>
      <c r="D38">
        <v>0.37113499783439391</v>
      </c>
      <c r="E38">
        <v>0.1674388825420306</v>
      </c>
      <c r="F38">
        <v>8.9911293141356527E-2</v>
      </c>
      <c r="G38">
        <v>1.5421583274570114E-2</v>
      </c>
      <c r="H38">
        <v>-1.7368561033082257E-2</v>
      </c>
      <c r="I38">
        <v>2.7890397519385331E-2</v>
      </c>
      <c r="J38">
        <v>1.8691586570482407E-2</v>
      </c>
      <c r="M38">
        <f>jacobi!C38</f>
        <v>0.42549906388920333</v>
      </c>
      <c r="N38">
        <f>jacobi!D38</f>
        <v>0.35016108609936453</v>
      </c>
      <c r="O38">
        <f>jacobi!E38</f>
        <v>0.20237136634585989</v>
      </c>
      <c r="P38">
        <f>jacobi!F38</f>
        <v>9.1839756722607802E-2</v>
      </c>
      <c r="Q38">
        <f>jacobi!G38</f>
        <v>2.0657895014762416E-2</v>
      </c>
      <c r="R38">
        <f>jacobi!H38</f>
        <v>-2.1011108249083716E-2</v>
      </c>
      <c r="S38">
        <f>jacobi!I38</f>
        <v>-3.7229703329925777E-2</v>
      </c>
      <c r="T38">
        <f>jacobi!J38</f>
        <v>-3.228835649278898E-2</v>
      </c>
      <c r="V38" s="197">
        <f t="shared" si="10"/>
        <v>1.2865258055899109E-3</v>
      </c>
      <c r="W38" s="197">
        <f t="shared" si="11"/>
        <v>2.0973911735029382E-2</v>
      </c>
      <c r="X38" s="197">
        <f t="shared" si="12"/>
        <v>-3.4932483803829295E-2</v>
      </c>
      <c r="Y38" s="197">
        <f t="shared" si="13"/>
        <v>-1.9284635812512746E-3</v>
      </c>
      <c r="Z38" s="197">
        <f t="shared" si="14"/>
        <v>-5.236311740192302E-3</v>
      </c>
      <c r="AA38" s="197">
        <f t="shared" si="15"/>
        <v>-3.6425472160014592E-3</v>
      </c>
      <c r="AB38" s="197">
        <f t="shared" si="16"/>
        <v>-9.3393058105404464E-3</v>
      </c>
      <c r="AC38" s="197">
        <f t="shared" si="17"/>
        <v>-1.3596769922306573E-2</v>
      </c>
    </row>
    <row r="39" spans="2:29" x14ac:dyDescent="0.3">
      <c r="B39">
        <v>1</v>
      </c>
      <c r="C39">
        <v>0.26979830759433948</v>
      </c>
      <c r="D39">
        <v>0.25796376411314653</v>
      </c>
      <c r="E39">
        <v>0.1441801678548596</v>
      </c>
      <c r="F39">
        <v>0.12110078626133024</v>
      </c>
      <c r="G39">
        <v>6.7550015325592377E-2</v>
      </c>
      <c r="H39">
        <v>4.7008455952493602E-2</v>
      </c>
      <c r="I39">
        <v>-2.346253064325346E-2</v>
      </c>
      <c r="J39">
        <v>-8.3036419747265292E-3</v>
      </c>
      <c r="M39">
        <f>jacobi!C39</f>
        <v>0.26897688966861649</v>
      </c>
      <c r="N39">
        <f>jacobi!D39</f>
        <v>0.24298612240839526</v>
      </c>
      <c r="O39">
        <f>jacobi!E39</f>
        <v>0.17398376089926171</v>
      </c>
      <c r="P39">
        <f>jacobi!F39</f>
        <v>0.12354130530655796</v>
      </c>
      <c r="Q39">
        <f>jacobi!G39</f>
        <v>8.8656199695021462E-2</v>
      </c>
      <c r="R39">
        <f>jacobi!H39</f>
        <v>5.5328891509888241E-2</v>
      </c>
      <c r="S39">
        <f>jacobi!I39</f>
        <v>3.2323426603992456E-2</v>
      </c>
      <c r="T39">
        <f>jacobi!J39</f>
        <v>1.4203403908266613E-2</v>
      </c>
      <c r="V39" s="197">
        <f t="shared" si="10"/>
        <v>8.2141792572298922E-4</v>
      </c>
      <c r="W39" s="197">
        <f t="shared" si="11"/>
        <v>1.4977641704751271E-2</v>
      </c>
      <c r="X39" s="197">
        <f t="shared" si="12"/>
        <v>-2.980359304440211E-2</v>
      </c>
      <c r="Y39" s="197">
        <f t="shared" si="13"/>
        <v>-2.4405190452277264E-3</v>
      </c>
      <c r="Z39" s="197">
        <f t="shared" si="14"/>
        <v>-2.1106184369429085E-2</v>
      </c>
      <c r="AA39" s="197">
        <f t="shared" si="15"/>
        <v>-8.3204355573946384E-3</v>
      </c>
      <c r="AB39" s="197">
        <f t="shared" si="16"/>
        <v>-8.8608959607389959E-3</v>
      </c>
      <c r="AC39" s="197">
        <f t="shared" si="17"/>
        <v>-5.8997619335400837E-3</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T120"/>
  <sheetViews>
    <sheetView zoomScale="90" zoomScaleNormal="90" workbookViewId="0">
      <selection activeCell="F25" sqref="F25"/>
    </sheetView>
  </sheetViews>
  <sheetFormatPr defaultRowHeight="11.7" x14ac:dyDescent="0.3"/>
  <cols>
    <col min="1" max="1" width="10.703125" customWidth="1"/>
    <col min="2" max="2" width="17.87890625" customWidth="1"/>
    <col min="3" max="12" width="13.703125" customWidth="1"/>
    <col min="13" max="20" width="12" customWidth="1"/>
    <col min="22" max="22" width="10.703125" customWidth="1"/>
  </cols>
  <sheetData>
    <row r="1" spans="1:10" x14ac:dyDescent="0.3">
      <c r="A1" s="63" t="s">
        <v>11</v>
      </c>
      <c r="B1" s="79" t="s">
        <v>135</v>
      </c>
      <c r="C1" t="s">
        <v>136</v>
      </c>
      <c r="D1" t="s">
        <v>137</v>
      </c>
    </row>
    <row r="2" spans="1:10" x14ac:dyDescent="0.3">
      <c r="A2">
        <f>ready!D2</f>
        <v>8</v>
      </c>
      <c r="B2">
        <v>8</v>
      </c>
      <c r="C2">
        <v>80.119102853675827</v>
      </c>
      <c r="D2">
        <v>11.110444117617632</v>
      </c>
      <c r="F2" s="56"/>
      <c r="G2">
        <v>80.119102853675827</v>
      </c>
      <c r="H2" s="56">
        <v>11.110444117617632</v>
      </c>
    </row>
    <row r="3" spans="1:10" x14ac:dyDescent="0.3">
      <c r="B3">
        <v>7</v>
      </c>
      <c r="C3">
        <v>63.671080338341838</v>
      </c>
      <c r="D3">
        <v>17.845372786351231</v>
      </c>
    </row>
    <row r="4" spans="1:10" x14ac:dyDescent="0.3">
      <c r="B4">
        <v>6</v>
      </c>
      <c r="C4">
        <v>65.129274522900289</v>
      </c>
      <c r="D4">
        <v>23.97779044920199</v>
      </c>
    </row>
    <row r="5" spans="1:10" x14ac:dyDescent="0.3">
      <c r="B5">
        <v>5</v>
      </c>
      <c r="C5">
        <v>65.843075871984837</v>
      </c>
      <c r="D5">
        <v>29.697878982201836</v>
      </c>
    </row>
    <row r="6" spans="1:10" x14ac:dyDescent="0.3">
      <c r="B6">
        <v>4</v>
      </c>
      <c r="C6">
        <v>66.51608857255026</v>
      </c>
      <c r="D6">
        <v>37.070330319049027</v>
      </c>
    </row>
    <row r="7" spans="1:10" x14ac:dyDescent="0.3">
      <c r="B7">
        <v>3</v>
      </c>
      <c r="C7">
        <v>69.146956402033325</v>
      </c>
      <c r="D7">
        <v>44.590929581211803</v>
      </c>
    </row>
    <row r="8" spans="1:10" x14ac:dyDescent="0.3">
      <c r="B8">
        <v>2</v>
      </c>
      <c r="C8">
        <v>70.085095317973014</v>
      </c>
      <c r="D8">
        <v>44.30362270819527</v>
      </c>
    </row>
    <row r="9" spans="1:10" x14ac:dyDescent="0.3">
      <c r="B9">
        <v>1</v>
      </c>
      <c r="C9">
        <v>79.813187989782449</v>
      </c>
      <c r="D9">
        <v>27.045139828096424</v>
      </c>
    </row>
    <row r="13" spans="1:10" x14ac:dyDescent="0.3">
      <c r="B13" t="s">
        <v>209</v>
      </c>
      <c r="C13">
        <v>15.838446617126465</v>
      </c>
      <c r="D13">
        <v>94.01885986328125</v>
      </c>
      <c r="E13">
        <v>248.28547668457031</v>
      </c>
      <c r="F13">
        <v>481.29583740234375</v>
      </c>
      <c r="G13">
        <v>764.60443115234375</v>
      </c>
      <c r="H13">
        <v>1104.74267578125</v>
      </c>
      <c r="I13">
        <v>1533.294189453125</v>
      </c>
      <c r="J13">
        <v>2155.8271484375</v>
      </c>
    </row>
    <row r="14" spans="1:10" x14ac:dyDescent="0.3">
      <c r="B14" t="s">
        <v>210</v>
      </c>
      <c r="C14">
        <v>3.9797545925755857</v>
      </c>
      <c r="D14">
        <v>9.6963322892360306</v>
      </c>
      <c r="E14">
        <v>15.757077034925301</v>
      </c>
      <c r="F14">
        <v>21.938455674963627</v>
      </c>
      <c r="G14">
        <v>27.651481536300071</v>
      </c>
      <c r="H14">
        <v>33.237669529936213</v>
      </c>
      <c r="I14">
        <v>39.157300589457456</v>
      </c>
      <c r="J14">
        <v>46.430885716702626</v>
      </c>
    </row>
    <row r="15" spans="1:10" x14ac:dyDescent="0.3">
      <c r="B15" t="s">
        <v>211</v>
      </c>
      <c r="C15">
        <v>1.5787872980212325</v>
      </c>
      <c r="D15">
        <v>0.64799615076878192</v>
      </c>
      <c r="E15">
        <v>0.39875327042404007</v>
      </c>
      <c r="F15">
        <v>0.28640056041731465</v>
      </c>
      <c r="G15">
        <v>0.22722782472800285</v>
      </c>
      <c r="H15">
        <v>0.18903810311793717</v>
      </c>
      <c r="I15">
        <v>0.16046014167002251</v>
      </c>
      <c r="J15">
        <v>0.13532341464121034</v>
      </c>
    </row>
    <row r="17" spans="2:10" x14ac:dyDescent="0.3">
      <c r="B17" t="s">
        <v>207</v>
      </c>
      <c r="C17">
        <v>0.26897688966861649</v>
      </c>
      <c r="D17">
        <v>0.24298612240839526</v>
      </c>
      <c r="E17">
        <v>0.17398376089926171</v>
      </c>
      <c r="F17">
        <v>0.12354130530655796</v>
      </c>
      <c r="G17">
        <v>8.8656199695021462E-2</v>
      </c>
      <c r="H17">
        <v>5.5328891509888241E-2</v>
      </c>
      <c r="I17">
        <v>3.2323426603992456E-2</v>
      </c>
      <c r="J17">
        <v>1.4203403908266613E-2</v>
      </c>
    </row>
    <row r="19" spans="2:10" x14ac:dyDescent="0.3">
      <c r="B19" t="s">
        <v>206</v>
      </c>
    </row>
    <row r="20" spans="2:10" x14ac:dyDescent="0.3">
      <c r="B20">
        <v>8</v>
      </c>
      <c r="C20">
        <v>5.2075758607676708</v>
      </c>
      <c r="D20">
        <v>-2.3150557442269371</v>
      </c>
      <c r="E20">
        <v>1.2699695904685508</v>
      </c>
      <c r="F20">
        <v>-0.63938097723152909</v>
      </c>
      <c r="G20">
        <v>0.2743475243791012</v>
      </c>
      <c r="H20">
        <v>-9.0280073278495576E-2</v>
      </c>
      <c r="I20">
        <v>1.6557236269420742E-2</v>
      </c>
      <c r="J20">
        <v>-1.2647316384693005E-3</v>
      </c>
    </row>
    <row r="21" spans="2:10" x14ac:dyDescent="0.3">
      <c r="B21">
        <v>7</v>
      </c>
      <c r="C21">
        <v>4.6128006599484168</v>
      </c>
      <c r="D21">
        <v>-0.74548427453433652</v>
      </c>
      <c r="E21">
        <v>-1.0038148417443629</v>
      </c>
      <c r="F21">
        <v>1.5797169262990944</v>
      </c>
      <c r="G21">
        <v>-1.2383166578141258</v>
      </c>
      <c r="H21">
        <v>0.62893317862544795</v>
      </c>
      <c r="I21">
        <v>-0.16651311065602181</v>
      </c>
      <c r="J21">
        <v>1.8396782973939922E-2</v>
      </c>
    </row>
    <row r="22" spans="2:10" x14ac:dyDescent="0.3">
      <c r="B22">
        <v>6</v>
      </c>
      <c r="C22">
        <v>3.9818247606923856</v>
      </c>
      <c r="D22">
        <v>0.48179832625953756</v>
      </c>
      <c r="E22">
        <v>-1.5302170308714798</v>
      </c>
      <c r="F22">
        <v>0.24857803637987982</v>
      </c>
      <c r="G22">
        <v>1.1981040463980503</v>
      </c>
      <c r="H22">
        <v>-1.4023205727965826</v>
      </c>
      <c r="I22">
        <v>0.63044974802041431</v>
      </c>
      <c r="J22">
        <v>-0.11086725444944491</v>
      </c>
    </row>
    <row r="23" spans="2:10" x14ac:dyDescent="0.3">
      <c r="B23">
        <v>5</v>
      </c>
      <c r="C23">
        <v>3.3409217652797745</v>
      </c>
      <c r="D23">
        <v>1.2721581067190622</v>
      </c>
      <c r="E23">
        <v>-0.89000938291721432</v>
      </c>
      <c r="F23">
        <v>-1.0670856502829424</v>
      </c>
      <c r="G23">
        <v>0.5231248867488707</v>
      </c>
      <c r="H23">
        <v>1.2939249161376893</v>
      </c>
      <c r="I23">
        <v>-1.4021015094196556</v>
      </c>
      <c r="J23">
        <v>0.44213716879961218</v>
      </c>
    </row>
    <row r="24" spans="2:10" x14ac:dyDescent="0.3">
      <c r="B24">
        <v>4</v>
      </c>
      <c r="C24">
        <v>2.7061449568319551</v>
      </c>
      <c r="D24">
        <v>1.6451072290589874</v>
      </c>
      <c r="E24">
        <v>0.11681439421531187</v>
      </c>
      <c r="F24">
        <v>-0.99067502884731984</v>
      </c>
      <c r="G24">
        <v>-0.90864942856906905</v>
      </c>
      <c r="H24">
        <v>0.30161023547218724</v>
      </c>
      <c r="I24">
        <v>1.7232262241122311</v>
      </c>
      <c r="J24">
        <v>-1.2246453557687702</v>
      </c>
    </row>
    <row r="25" spans="2:10" x14ac:dyDescent="0.3">
      <c r="B25">
        <v>3</v>
      </c>
      <c r="C25">
        <v>2.1207042672838639</v>
      </c>
      <c r="D25">
        <v>1.6663555103996606</v>
      </c>
      <c r="E25">
        <v>0.87136239108617508</v>
      </c>
      <c r="F25">
        <v>-7.3914375826475726E-2</v>
      </c>
      <c r="G25">
        <v>-0.80905808484314823</v>
      </c>
      <c r="H25">
        <v>-1.0912264071556008</v>
      </c>
      <c r="I25">
        <v>-0.51398224900250655</v>
      </c>
      <c r="J25">
        <v>2.1772880040872424</v>
      </c>
    </row>
    <row r="26" spans="2:10" x14ac:dyDescent="0.3">
      <c r="B26">
        <v>2</v>
      </c>
      <c r="C26">
        <v>1.58191681230839</v>
      </c>
      <c r="D26">
        <v>1.4410744228052521</v>
      </c>
      <c r="E26">
        <v>1.1631623853851216</v>
      </c>
      <c r="F26">
        <v>0.74339312260555057</v>
      </c>
      <c r="G26">
        <v>0.23301128500686763</v>
      </c>
      <c r="H26">
        <v>-0.37974930774329113</v>
      </c>
      <c r="I26">
        <v>-1.1517870238833936</v>
      </c>
      <c r="J26">
        <v>-2.273282989157031</v>
      </c>
    </row>
    <row r="27" spans="2:10" x14ac:dyDescent="0.3">
      <c r="B27">
        <v>1</v>
      </c>
      <c r="C27">
        <v>1</v>
      </c>
      <c r="D27">
        <v>1</v>
      </c>
      <c r="E27">
        <v>1</v>
      </c>
      <c r="F27">
        <v>1</v>
      </c>
      <c r="G27">
        <v>1</v>
      </c>
      <c r="H27">
        <v>1</v>
      </c>
      <c r="I27">
        <v>1</v>
      </c>
      <c r="J27">
        <v>1</v>
      </c>
    </row>
    <row r="28" spans="2:10" x14ac:dyDescent="0.3">
      <c r="B28">
        <v>0</v>
      </c>
      <c r="C28">
        <v>0</v>
      </c>
      <c r="D28">
        <v>0</v>
      </c>
      <c r="E28">
        <v>0</v>
      </c>
      <c r="F28">
        <v>0</v>
      </c>
      <c r="G28">
        <v>0</v>
      </c>
      <c r="H28">
        <v>0</v>
      </c>
      <c r="I28">
        <v>0</v>
      </c>
      <c r="J28">
        <v>0</v>
      </c>
    </row>
    <row r="31" spans="2:10" x14ac:dyDescent="0.3">
      <c r="B31" t="s">
        <v>208</v>
      </c>
    </row>
    <row r="32" spans="2:10" x14ac:dyDescent="0.3">
      <c r="B32">
        <v>8</v>
      </c>
      <c r="C32">
        <v>1.4007175577426563</v>
      </c>
      <c r="D32">
        <v>-0.5625264184489851</v>
      </c>
      <c r="E32">
        <v>0.22095408557741367</v>
      </c>
      <c r="F32">
        <v>-7.898996051536572E-2</v>
      </c>
      <c r="G32">
        <v>2.4322608907188365E-2</v>
      </c>
      <c r="H32">
        <v>-4.9950963799306417E-3</v>
      </c>
      <c r="I32">
        <v>5.3518661131958317E-4</v>
      </c>
      <c r="J32">
        <v>-1.7963494296743301E-5</v>
      </c>
    </row>
    <row r="33" spans="2:10" x14ac:dyDescent="0.3">
      <c r="B33">
        <v>7</v>
      </c>
      <c r="C33">
        <v>1.2407367741742668</v>
      </c>
      <c r="D33">
        <v>-0.18114233318553402</v>
      </c>
      <c r="E33">
        <v>-0.17464748141318145</v>
      </c>
      <c r="F33">
        <v>0.19516029108985375</v>
      </c>
      <c r="G33">
        <v>-0.1097844489008407</v>
      </c>
      <c r="H33">
        <v>3.4798175607136571E-2</v>
      </c>
      <c r="I33">
        <v>-5.3822743108923954E-3</v>
      </c>
      <c r="J33">
        <v>2.6129693919159098E-4</v>
      </c>
    </row>
    <row r="34" spans="2:10" x14ac:dyDescent="0.3">
      <c r="B34">
        <v>6</v>
      </c>
      <c r="C34">
        <v>1.071018839336521</v>
      </c>
      <c r="D34">
        <v>0.11707030708065995</v>
      </c>
      <c r="E34">
        <v>-0.26623291402312171</v>
      </c>
      <c r="F34">
        <v>3.0709655084911407E-2</v>
      </c>
      <c r="G34">
        <v>0.10621935159287881</v>
      </c>
      <c r="H34">
        <v>-7.7588842834346458E-2</v>
      </c>
      <c r="I34">
        <v>2.0378296157643399E-2</v>
      </c>
      <c r="J34">
        <v>-1.574692395146035E-3</v>
      </c>
    </row>
    <row r="35" spans="2:10" x14ac:dyDescent="0.3">
      <c r="B35">
        <v>5</v>
      </c>
      <c r="C35">
        <v>0.89863074505113738</v>
      </c>
      <c r="D35">
        <v>0.3091167654420704</v>
      </c>
      <c r="E35">
        <v>-0.15484717967556808</v>
      </c>
      <c r="F35">
        <v>-0.13182915410985194</v>
      </c>
      <c r="G35">
        <v>4.6378264425043364E-2</v>
      </c>
      <c r="H35">
        <v>7.1591431306923456E-2</v>
      </c>
      <c r="I35">
        <v>-4.5320725231073278E-2</v>
      </c>
      <c r="J35">
        <v>6.2798527913183466E-3</v>
      </c>
    </row>
    <row r="36" spans="2:10" x14ac:dyDescent="0.3">
      <c r="B36">
        <v>4</v>
      </c>
      <c r="C36">
        <v>0.72789045348107173</v>
      </c>
      <c r="D36">
        <v>0.39973822653506308</v>
      </c>
      <c r="E36">
        <v>2.0323807632748919E-2</v>
      </c>
      <c r="F36">
        <v>-0.12238928619840986</v>
      </c>
      <c r="G36">
        <v>-8.0557405191986522E-2</v>
      </c>
      <c r="H36">
        <v>1.6687759996712494E-2</v>
      </c>
      <c r="I36">
        <v>5.5700576377166758E-2</v>
      </c>
      <c r="J36">
        <v>-1.7394132632366707E-2</v>
      </c>
    </row>
    <row r="37" spans="2:10" x14ac:dyDescent="0.3">
      <c r="B37">
        <v>3</v>
      </c>
      <c r="C37">
        <v>0.57042043772097606</v>
      </c>
      <c r="D37">
        <v>0.4049012640258759</v>
      </c>
      <c r="E37">
        <v>0.15160290590734607</v>
      </c>
      <c r="F37">
        <v>-9.1314784705223053E-3</v>
      </c>
      <c r="G37">
        <v>-7.1728015134725764E-2</v>
      </c>
      <c r="H37">
        <v>-6.037634749423737E-2</v>
      </c>
      <c r="I37">
        <v>-1.6613667501387496E-2</v>
      </c>
      <c r="J37">
        <v>3.0924900946674751E-2</v>
      </c>
    </row>
    <row r="38" spans="2:10" x14ac:dyDescent="0.3">
      <c r="B38">
        <v>2</v>
      </c>
      <c r="C38">
        <v>0.42549906388920333</v>
      </c>
      <c r="D38">
        <v>0.35016108609936453</v>
      </c>
      <c r="E38">
        <v>0.20237136634585989</v>
      </c>
      <c r="F38">
        <v>9.1839756722607802E-2</v>
      </c>
      <c r="G38">
        <v>2.0657895014762416E-2</v>
      </c>
      <c r="H38">
        <v>-2.1011108249083716E-2</v>
      </c>
      <c r="I38">
        <v>-3.7229703329925777E-2</v>
      </c>
      <c r="J38">
        <v>-3.228835649278898E-2</v>
      </c>
    </row>
    <row r="39" spans="2:10" x14ac:dyDescent="0.3">
      <c r="B39">
        <v>1</v>
      </c>
      <c r="C39">
        <v>0.26897688966861649</v>
      </c>
      <c r="D39">
        <v>0.24298612240839526</v>
      </c>
      <c r="E39">
        <v>0.17398376089926171</v>
      </c>
      <c r="F39">
        <v>0.12354130530655796</v>
      </c>
      <c r="G39">
        <v>8.8656199695021462E-2</v>
      </c>
      <c r="H39">
        <v>5.5328891509888241E-2</v>
      </c>
      <c r="I39">
        <v>3.2323426603992456E-2</v>
      </c>
      <c r="J39">
        <v>1.4203403908266613E-2</v>
      </c>
    </row>
    <row r="40" spans="2:10" x14ac:dyDescent="0.3">
      <c r="B40">
        <v>0</v>
      </c>
      <c r="C40">
        <v>0</v>
      </c>
      <c r="D40">
        <v>0</v>
      </c>
      <c r="E40">
        <v>0</v>
      </c>
      <c r="F40">
        <v>0</v>
      </c>
      <c r="G40">
        <v>0</v>
      </c>
      <c r="H40">
        <v>0</v>
      </c>
      <c r="I40">
        <v>0</v>
      </c>
      <c r="J40">
        <v>0</v>
      </c>
    </row>
    <row r="43" spans="2:10" x14ac:dyDescent="0.3">
      <c r="C43">
        <v>0.11193416680224606</v>
      </c>
      <c r="D43">
        <v>0</v>
      </c>
      <c r="E43">
        <v>0</v>
      </c>
      <c r="F43">
        <v>0</v>
      </c>
      <c r="G43">
        <v>0</v>
      </c>
      <c r="H43">
        <v>0</v>
      </c>
      <c r="I43">
        <v>0</v>
      </c>
      <c r="J43">
        <v>0</v>
      </c>
    </row>
    <row r="44" spans="2:10" x14ac:dyDescent="0.3">
      <c r="C44">
        <v>0</v>
      </c>
      <c r="D44">
        <v>0.11945027827538506</v>
      </c>
      <c r="E44">
        <v>0</v>
      </c>
      <c r="F44">
        <v>0</v>
      </c>
      <c r="G44">
        <v>0</v>
      </c>
      <c r="H44">
        <v>0</v>
      </c>
      <c r="I44">
        <v>0</v>
      </c>
      <c r="J44">
        <v>0</v>
      </c>
    </row>
    <row r="45" spans="2:10" x14ac:dyDescent="0.3">
      <c r="C45">
        <v>0</v>
      </c>
      <c r="D45">
        <v>0</v>
      </c>
      <c r="E45">
        <v>0.12025785843086682</v>
      </c>
      <c r="F45">
        <v>0</v>
      </c>
      <c r="G45">
        <v>0</v>
      </c>
      <c r="H45">
        <v>0</v>
      </c>
      <c r="I45">
        <v>0</v>
      </c>
      <c r="J45">
        <v>0</v>
      </c>
    </row>
    <row r="46" spans="2:10" x14ac:dyDescent="0.3">
      <c r="C46">
        <v>0</v>
      </c>
      <c r="D46">
        <v>0</v>
      </c>
      <c r="E46">
        <v>0</v>
      </c>
      <c r="F46">
        <v>0.12261303669821622</v>
      </c>
      <c r="G46">
        <v>0</v>
      </c>
      <c r="H46">
        <v>0</v>
      </c>
      <c r="I46">
        <v>0</v>
      </c>
      <c r="J46">
        <v>0</v>
      </c>
    </row>
    <row r="47" spans="2:10" x14ac:dyDescent="0.3">
      <c r="C47">
        <v>0</v>
      </c>
      <c r="D47">
        <v>0</v>
      </c>
      <c r="E47">
        <v>0</v>
      </c>
      <c r="F47">
        <v>0</v>
      </c>
      <c r="G47">
        <v>0.12323808596545922</v>
      </c>
      <c r="H47">
        <v>0</v>
      </c>
      <c r="I47">
        <v>0</v>
      </c>
      <c r="J47">
        <v>0</v>
      </c>
    </row>
    <row r="48" spans="2:10" x14ac:dyDescent="0.3">
      <c r="C48">
        <v>0</v>
      </c>
      <c r="D48">
        <v>0</v>
      </c>
      <c r="E48">
        <v>0</v>
      </c>
      <c r="F48">
        <v>0</v>
      </c>
      <c r="G48">
        <v>0</v>
      </c>
      <c r="H48">
        <v>0.12391157571893943</v>
      </c>
      <c r="I48">
        <v>0</v>
      </c>
      <c r="J48">
        <v>0</v>
      </c>
    </row>
    <row r="49" spans="3:10" x14ac:dyDescent="0.3">
      <c r="C49">
        <v>0</v>
      </c>
      <c r="D49">
        <v>0</v>
      </c>
      <c r="E49">
        <v>0</v>
      </c>
      <c r="F49">
        <v>0</v>
      </c>
      <c r="G49">
        <v>0</v>
      </c>
      <c r="H49">
        <v>0</v>
      </c>
      <c r="I49">
        <v>0.12532245404870285</v>
      </c>
      <c r="J49">
        <v>0</v>
      </c>
    </row>
    <row r="50" spans="3:10" x14ac:dyDescent="0.3">
      <c r="C50">
        <v>0</v>
      </c>
      <c r="D50">
        <v>0</v>
      </c>
      <c r="E50">
        <v>0</v>
      </c>
      <c r="F50">
        <v>0</v>
      </c>
      <c r="G50">
        <v>0</v>
      </c>
      <c r="H50">
        <v>0</v>
      </c>
      <c r="I50">
        <v>0</v>
      </c>
      <c r="J50">
        <v>0.11172026603960804</v>
      </c>
    </row>
    <row r="53" spans="3:10" x14ac:dyDescent="0.3">
      <c r="C53">
        <v>71348.762536291688</v>
      </c>
      <c r="D53">
        <v>-44303.622708195267</v>
      </c>
      <c r="E53">
        <v>0</v>
      </c>
      <c r="F53">
        <v>0</v>
      </c>
      <c r="G53">
        <v>0</v>
      </c>
      <c r="H53">
        <v>0</v>
      </c>
      <c r="I53">
        <v>0</v>
      </c>
      <c r="J53">
        <v>0</v>
      </c>
    </row>
    <row r="54" spans="3:10" x14ac:dyDescent="0.3">
      <c r="C54">
        <v>-44303.622708195267</v>
      </c>
      <c r="D54">
        <v>88894.55228940706</v>
      </c>
      <c r="E54">
        <v>-44590.9295812118</v>
      </c>
      <c r="F54">
        <v>0</v>
      </c>
      <c r="G54">
        <v>0</v>
      </c>
      <c r="H54">
        <v>0</v>
      </c>
      <c r="I54">
        <v>0</v>
      </c>
      <c r="J54">
        <v>0</v>
      </c>
    </row>
    <row r="55" spans="3:10" x14ac:dyDescent="0.3">
      <c r="C55">
        <v>0</v>
      </c>
      <c r="D55">
        <v>-44590.9295812118</v>
      </c>
      <c r="E55">
        <v>81661.259900260833</v>
      </c>
      <c r="F55">
        <v>-37070.330319049026</v>
      </c>
      <c r="G55">
        <v>0</v>
      </c>
      <c r="H55">
        <v>0</v>
      </c>
      <c r="I55">
        <v>0</v>
      </c>
      <c r="J55">
        <v>0</v>
      </c>
    </row>
    <row r="56" spans="3:10" x14ac:dyDescent="0.3">
      <c r="C56">
        <v>0</v>
      </c>
      <c r="D56">
        <v>0</v>
      </c>
      <c r="E56">
        <v>-37070.330319049026</v>
      </c>
      <c r="F56">
        <v>66768.20930125087</v>
      </c>
      <c r="G56">
        <v>-29697.878982201837</v>
      </c>
      <c r="H56">
        <v>0</v>
      </c>
      <c r="I56">
        <v>0</v>
      </c>
      <c r="J56">
        <v>0</v>
      </c>
    </row>
    <row r="57" spans="3:10" x14ac:dyDescent="0.3">
      <c r="C57">
        <v>0</v>
      </c>
      <c r="D57">
        <v>0</v>
      </c>
      <c r="E57">
        <v>0</v>
      </c>
      <c r="F57">
        <v>-29697.878982201837</v>
      </c>
      <c r="G57">
        <v>53675.669431403832</v>
      </c>
      <c r="H57">
        <v>-23977.790449201992</v>
      </c>
      <c r="I57">
        <v>0</v>
      </c>
      <c r="J57">
        <v>0</v>
      </c>
    </row>
    <row r="58" spans="3:10" x14ac:dyDescent="0.3">
      <c r="C58">
        <v>0</v>
      </c>
      <c r="D58">
        <v>0</v>
      </c>
      <c r="E58">
        <v>0</v>
      </c>
      <c r="F58">
        <v>0</v>
      </c>
      <c r="G58">
        <v>-23977.790449201992</v>
      </c>
      <c r="H58">
        <v>41823.16323555322</v>
      </c>
      <c r="I58">
        <v>-17845.372786351232</v>
      </c>
      <c r="J58">
        <v>0</v>
      </c>
    </row>
    <row r="59" spans="3:10" x14ac:dyDescent="0.3">
      <c r="C59">
        <v>0</v>
      </c>
      <c r="D59">
        <v>0</v>
      </c>
      <c r="E59">
        <v>0</v>
      </c>
      <c r="F59">
        <v>0</v>
      </c>
      <c r="G59">
        <v>0</v>
      </c>
      <c r="H59">
        <v>-17845.372786351232</v>
      </c>
      <c r="I59">
        <v>28955.816903968866</v>
      </c>
      <c r="J59">
        <v>-11110.444117617631</v>
      </c>
    </row>
    <row r="60" spans="3:10" x14ac:dyDescent="0.3">
      <c r="C60">
        <v>0</v>
      </c>
      <c r="D60">
        <v>0</v>
      </c>
      <c r="E60">
        <v>0</v>
      </c>
      <c r="F60">
        <v>0</v>
      </c>
      <c r="G60">
        <v>0</v>
      </c>
      <c r="H60">
        <v>0</v>
      </c>
      <c r="I60">
        <v>-11110.444117617631</v>
      </c>
      <c r="J60">
        <v>11110.444117617631</v>
      </c>
    </row>
    <row r="63" spans="3:10" x14ac:dyDescent="0.3">
      <c r="C63">
        <v>893.94703223013266</v>
      </c>
      <c r="D63">
        <v>-592.36457229018629</v>
      </c>
      <c r="E63">
        <v>0</v>
      </c>
      <c r="F63">
        <v>0</v>
      </c>
      <c r="G63">
        <v>0</v>
      </c>
      <c r="H63">
        <v>0</v>
      </c>
      <c r="I63">
        <v>0</v>
      </c>
      <c r="J63">
        <v>0</v>
      </c>
    </row>
    <row r="64" spans="3:10" x14ac:dyDescent="0.3">
      <c r="C64">
        <v>-592.36457229018629</v>
      </c>
      <c r="D64">
        <v>1268.3802723831132</v>
      </c>
      <c r="E64">
        <v>-640.54133051871463</v>
      </c>
      <c r="F64">
        <v>0</v>
      </c>
      <c r="G64">
        <v>0</v>
      </c>
      <c r="H64">
        <v>0</v>
      </c>
      <c r="I64">
        <v>0</v>
      </c>
      <c r="J64">
        <v>0</v>
      </c>
    </row>
    <row r="65" spans="1:20" x14ac:dyDescent="0.3">
      <c r="C65">
        <v>0</v>
      </c>
      <c r="D65">
        <v>-640.54133051871474</v>
      </c>
      <c r="E65">
        <v>1180.9812629418857</v>
      </c>
      <c r="F65">
        <v>-546.60873803307925</v>
      </c>
      <c r="G65">
        <v>0</v>
      </c>
      <c r="H65">
        <v>0</v>
      </c>
      <c r="I65">
        <v>0</v>
      </c>
      <c r="J65">
        <v>0</v>
      </c>
    </row>
    <row r="66" spans="1:20" x14ac:dyDescent="0.3">
      <c r="C66">
        <v>0</v>
      </c>
      <c r="D66">
        <v>0</v>
      </c>
      <c r="E66">
        <v>-546.60873803307925</v>
      </c>
      <c r="F66">
        <v>1003.7903721356919</v>
      </c>
      <c r="G66">
        <v>-448.75265008292723</v>
      </c>
      <c r="H66">
        <v>0</v>
      </c>
      <c r="I66">
        <v>0</v>
      </c>
      <c r="J66">
        <v>0</v>
      </c>
    </row>
    <row r="67" spans="1:20" x14ac:dyDescent="0.3">
      <c r="C67">
        <v>0</v>
      </c>
      <c r="D67">
        <v>0</v>
      </c>
      <c r="E67">
        <v>0</v>
      </c>
      <c r="F67">
        <v>-448.75265008292723</v>
      </c>
      <c r="G67">
        <v>815.20598362935777</v>
      </c>
      <c r="H67">
        <v>-366.15585636259254</v>
      </c>
      <c r="I67">
        <v>0</v>
      </c>
      <c r="J67">
        <v>0</v>
      </c>
    </row>
    <row r="68" spans="1:20" x14ac:dyDescent="0.3">
      <c r="C68">
        <v>0</v>
      </c>
      <c r="D68">
        <v>0</v>
      </c>
      <c r="E68">
        <v>0</v>
      </c>
      <c r="F68">
        <v>0</v>
      </c>
      <c r="G68">
        <v>-366.1558563625926</v>
      </c>
      <c r="H68">
        <v>642.15613550013768</v>
      </c>
      <c r="I68">
        <v>-277.1190586106095</v>
      </c>
      <c r="J68">
        <v>0</v>
      </c>
    </row>
    <row r="69" spans="1:20" x14ac:dyDescent="0.3">
      <c r="C69">
        <v>0</v>
      </c>
      <c r="D69">
        <v>0</v>
      </c>
      <c r="E69">
        <v>0</v>
      </c>
      <c r="F69">
        <v>0</v>
      </c>
      <c r="G69">
        <v>0</v>
      </c>
      <c r="H69">
        <v>-277.1190586106095</v>
      </c>
      <c r="I69">
        <v>454.77187995084279</v>
      </c>
      <c r="J69">
        <v>-155.55797146389233</v>
      </c>
    </row>
    <row r="70" spans="1:20" x14ac:dyDescent="0.3">
      <c r="C70">
        <v>0</v>
      </c>
      <c r="D70">
        <v>0</v>
      </c>
      <c r="E70">
        <v>0</v>
      </c>
      <c r="F70">
        <v>0</v>
      </c>
      <c r="G70">
        <v>0</v>
      </c>
      <c r="H70">
        <v>0</v>
      </c>
      <c r="I70">
        <v>-155.55797146389233</v>
      </c>
      <c r="J70">
        <v>138.67409546396198</v>
      </c>
    </row>
    <row r="72" spans="1:20" x14ac:dyDescent="0.3">
      <c r="C72" t="s">
        <v>200</v>
      </c>
      <c r="M72" t="s">
        <v>201</v>
      </c>
    </row>
    <row r="73" spans="1:20" x14ac:dyDescent="0.3">
      <c r="A73">
        <v>1533.2942257397124</v>
      </c>
      <c r="B73">
        <v>-2.7902744964255353E-9</v>
      </c>
      <c r="C73">
        <v>2155.8271099114409</v>
      </c>
      <c r="D73">
        <v>-1.4416326857132824E-10</v>
      </c>
      <c r="E73">
        <v>5.4665257744184392E-15</v>
      </c>
      <c r="F73">
        <v>1.4381280993279171E-24</v>
      </c>
      <c r="G73">
        <v>1.0111222813149038E-16</v>
      </c>
      <c r="H73">
        <v>1.2493772371469836E-16</v>
      </c>
      <c r="I73">
        <v>6.7483668531354099E-10</v>
      </c>
      <c r="J73">
        <v>0</v>
      </c>
      <c r="M73">
        <v>1</v>
      </c>
      <c r="N73">
        <v>0</v>
      </c>
      <c r="O73">
        <v>0</v>
      </c>
      <c r="P73">
        <v>0</v>
      </c>
      <c r="Q73">
        <v>0</v>
      </c>
      <c r="R73">
        <v>0</v>
      </c>
      <c r="S73">
        <v>0</v>
      </c>
      <c r="T73">
        <v>0</v>
      </c>
    </row>
    <row r="74" spans="1:20" x14ac:dyDescent="0.3">
      <c r="A74">
        <v>-2.7902007358153373E-9</v>
      </c>
      <c r="B74">
        <v>15.838446752033366</v>
      </c>
      <c r="C74">
        <v>-1.4420838940920703E-10</v>
      </c>
      <c r="D74">
        <v>1533.2942257397124</v>
      </c>
      <c r="E74">
        <v>1.8468163541938594E-13</v>
      </c>
      <c r="F74">
        <v>1.5081660101343964E-10</v>
      </c>
      <c r="G74">
        <v>3.7997332130866505E-17</v>
      </c>
      <c r="H74">
        <v>1.485184903871462E-18</v>
      </c>
      <c r="I74">
        <v>0</v>
      </c>
      <c r="J74">
        <v>-2.7902744964255353E-9</v>
      </c>
      <c r="M74">
        <v>0</v>
      </c>
      <c r="N74">
        <v>1</v>
      </c>
      <c r="O74">
        <v>0</v>
      </c>
      <c r="P74">
        <v>0</v>
      </c>
      <c r="Q74">
        <v>0</v>
      </c>
      <c r="R74">
        <v>0</v>
      </c>
      <c r="S74">
        <v>0</v>
      </c>
      <c r="T74">
        <v>1.8387847178564742E-12</v>
      </c>
    </row>
    <row r="75" spans="1:20" x14ac:dyDescent="0.3">
      <c r="C75">
        <v>-5.7575237343132783E-14</v>
      </c>
      <c r="D75">
        <v>3.710737631095738E-14</v>
      </c>
      <c r="E75">
        <v>1104.742647312127</v>
      </c>
      <c r="F75">
        <v>2.1618682601784511E-13</v>
      </c>
      <c r="G75">
        <v>1.0771844267057883E-18</v>
      </c>
      <c r="H75">
        <v>0</v>
      </c>
      <c r="I75">
        <v>4.2280790629402878E-14</v>
      </c>
      <c r="J75">
        <v>-1.8626620381393278E-10</v>
      </c>
      <c r="M75">
        <v>0</v>
      </c>
      <c r="N75">
        <v>0</v>
      </c>
      <c r="O75">
        <v>1</v>
      </c>
      <c r="P75">
        <v>0</v>
      </c>
      <c r="Q75">
        <v>0</v>
      </c>
      <c r="R75">
        <v>0</v>
      </c>
      <c r="S75">
        <v>0</v>
      </c>
      <c r="T75">
        <v>0</v>
      </c>
    </row>
    <row r="76" spans="1:20" x14ac:dyDescent="0.3">
      <c r="C76">
        <v>-2.5541980674251783E-14</v>
      </c>
      <c r="D76">
        <v>1.5068597336981647E-10</v>
      </c>
      <c r="E76">
        <v>9.0301856714229474E-14</v>
      </c>
      <c r="F76">
        <v>764.6044471548314</v>
      </c>
      <c r="G76">
        <v>-4.4886725745549439E-17</v>
      </c>
      <c r="H76">
        <v>4.5718124485360451E-23</v>
      </c>
      <c r="I76">
        <v>-1.4770517812118214E-10</v>
      </c>
      <c r="J76">
        <v>-1.9955793889644683E-13</v>
      </c>
      <c r="M76">
        <v>0</v>
      </c>
      <c r="N76">
        <v>0</v>
      </c>
      <c r="O76">
        <v>0</v>
      </c>
      <c r="P76">
        <v>1</v>
      </c>
      <c r="Q76">
        <v>0</v>
      </c>
      <c r="R76">
        <v>0</v>
      </c>
      <c r="S76">
        <v>0</v>
      </c>
      <c r="T76">
        <v>0</v>
      </c>
    </row>
    <row r="77" spans="1:20" x14ac:dyDescent="0.3">
      <c r="A77">
        <v>-1.8387847178564742E-12</v>
      </c>
      <c r="C77">
        <v>1.1200294677974257E-14</v>
      </c>
      <c r="D77">
        <v>-8.1815491070367437E-14</v>
      </c>
      <c r="E77">
        <v>-4.9627128504077384E-14</v>
      </c>
      <c r="F77">
        <v>6.3116936713244482E-14</v>
      </c>
      <c r="G77">
        <v>481.2958243620829</v>
      </c>
      <c r="H77">
        <v>-4.4094241675789455E-13</v>
      </c>
      <c r="I77">
        <v>-3.3786792563330348E-24</v>
      </c>
      <c r="J77">
        <v>-1.0799336815161249E-22</v>
      </c>
      <c r="M77">
        <v>0</v>
      </c>
      <c r="N77">
        <v>0</v>
      </c>
      <c r="O77">
        <v>0</v>
      </c>
      <c r="P77">
        <v>0</v>
      </c>
      <c r="Q77">
        <v>1</v>
      </c>
      <c r="R77">
        <v>0</v>
      </c>
      <c r="S77">
        <v>0</v>
      </c>
      <c r="T77">
        <v>0</v>
      </c>
    </row>
    <row r="78" spans="1:20" x14ac:dyDescent="0.3">
      <c r="C78">
        <v>8.1454529281789314E-14</v>
      </c>
      <c r="D78">
        <v>-5.9281720951136487E-15</v>
      </c>
      <c r="E78">
        <v>5.8702412764614918E-14</v>
      </c>
      <c r="F78">
        <v>-9.3438838494529494E-16</v>
      </c>
      <c r="G78">
        <v>-4.6758871151471429E-13</v>
      </c>
      <c r="H78">
        <v>248.28547217485749</v>
      </c>
      <c r="I78">
        <v>1.8295612452888146E-11</v>
      </c>
      <c r="J78">
        <v>7.2299582707479698E-21</v>
      </c>
      <c r="M78">
        <v>0</v>
      </c>
      <c r="N78">
        <v>0</v>
      </c>
      <c r="O78">
        <v>0</v>
      </c>
      <c r="P78">
        <v>0</v>
      </c>
      <c r="Q78">
        <v>0</v>
      </c>
      <c r="R78">
        <v>1</v>
      </c>
      <c r="S78">
        <v>0</v>
      </c>
      <c r="T78">
        <v>0</v>
      </c>
    </row>
    <row r="79" spans="1:20" x14ac:dyDescent="0.3">
      <c r="C79">
        <v>6.7494609148527794E-10</v>
      </c>
      <c r="D79">
        <v>8.6516331023143315E-14</v>
      </c>
      <c r="E79">
        <v>3.3922686048161648E-14</v>
      </c>
      <c r="F79">
        <v>-1.4771216916533376E-10</v>
      </c>
      <c r="G79">
        <v>3.1975343102077994E-14</v>
      </c>
      <c r="H79">
        <v>1.8256121550480749E-11</v>
      </c>
      <c r="I79">
        <v>94.018860828038683</v>
      </c>
      <c r="J79">
        <v>-1.2352973380461766E-15</v>
      </c>
      <c r="M79">
        <v>0</v>
      </c>
      <c r="N79">
        <v>0</v>
      </c>
      <c r="O79">
        <v>0</v>
      </c>
      <c r="P79">
        <v>0</v>
      </c>
      <c r="Q79">
        <v>0</v>
      </c>
      <c r="R79">
        <v>0</v>
      </c>
      <c r="S79">
        <v>1</v>
      </c>
      <c r="T79">
        <v>0</v>
      </c>
    </row>
    <row r="80" spans="1:20" x14ac:dyDescent="0.3">
      <c r="C80">
        <v>5.2220248384180963E-14</v>
      </c>
      <c r="D80">
        <v>-2.7902007358153373E-9</v>
      </c>
      <c r="E80">
        <v>-1.8630516650913317E-10</v>
      </c>
      <c r="F80">
        <v>-1.7524399138181051E-13</v>
      </c>
      <c r="G80">
        <v>5.5604504365229415E-15</v>
      </c>
      <c r="H80">
        <v>-7.3315383529695433E-15</v>
      </c>
      <c r="I80">
        <v>-1.0737661530217426E-14</v>
      </c>
      <c r="J80">
        <v>15.838446752033366</v>
      </c>
      <c r="M80">
        <v>0</v>
      </c>
      <c r="N80">
        <v>-1.8387847178564742E-12</v>
      </c>
      <c r="O80">
        <v>0</v>
      </c>
      <c r="P80">
        <v>0</v>
      </c>
      <c r="Q80">
        <v>0</v>
      </c>
      <c r="R80">
        <v>0</v>
      </c>
      <c r="S80">
        <v>0</v>
      </c>
      <c r="T80">
        <v>1</v>
      </c>
    </row>
    <row r="82" spans="1:20" x14ac:dyDescent="0.3">
      <c r="C82" t="s">
        <v>203</v>
      </c>
      <c r="M82" t="s">
        <v>202</v>
      </c>
    </row>
    <row r="83" spans="1:20" x14ac:dyDescent="0.3">
      <c r="A83">
        <v>1</v>
      </c>
      <c r="B83">
        <v>1.8387847178564742E-12</v>
      </c>
      <c r="C83">
        <v>2155.8271099114409</v>
      </c>
      <c r="D83">
        <v>-1.4416326857132824E-10</v>
      </c>
      <c r="E83">
        <v>5.4665257744184392E-15</v>
      </c>
      <c r="F83">
        <v>1.4381280993279171E-24</v>
      </c>
      <c r="G83">
        <v>1.0111222813149038E-16</v>
      </c>
      <c r="H83">
        <v>1.2493772371469836E-16</v>
      </c>
      <c r="I83">
        <v>6.7483668531354099E-10</v>
      </c>
      <c r="J83">
        <v>-2.6508521512519691E-22</v>
      </c>
      <c r="M83">
        <v>1</v>
      </c>
      <c r="N83">
        <v>0</v>
      </c>
      <c r="O83">
        <v>0</v>
      </c>
      <c r="P83">
        <v>0</v>
      </c>
      <c r="Q83">
        <v>0</v>
      </c>
      <c r="R83">
        <v>0</v>
      </c>
      <c r="S83">
        <v>0</v>
      </c>
      <c r="T83">
        <v>0</v>
      </c>
    </row>
    <row r="84" spans="1:20" x14ac:dyDescent="0.3">
      <c r="A84">
        <v>-1.8387847178564742E-12</v>
      </c>
      <c r="B84">
        <v>1</v>
      </c>
      <c r="C84">
        <v>-1.4420838940920713E-10</v>
      </c>
      <c r="D84">
        <v>1533.2942257397124</v>
      </c>
      <c r="E84">
        <v>1.8468163576196104E-13</v>
      </c>
      <c r="F84">
        <v>1.5081660101343995E-10</v>
      </c>
      <c r="G84">
        <v>3.7997332120642036E-17</v>
      </c>
      <c r="H84">
        <v>1.4851849173525827E-18</v>
      </c>
      <c r="I84">
        <v>1.9744247927279165E-26</v>
      </c>
      <c r="J84">
        <v>0</v>
      </c>
      <c r="M84">
        <v>0</v>
      </c>
      <c r="N84">
        <v>1</v>
      </c>
      <c r="O84">
        <v>0</v>
      </c>
      <c r="P84">
        <v>0</v>
      </c>
      <c r="Q84">
        <v>0</v>
      </c>
      <c r="R84">
        <v>0</v>
      </c>
      <c r="S84">
        <v>0</v>
      </c>
      <c r="T84">
        <v>-1.8387847178564742E-12</v>
      </c>
    </row>
    <row r="85" spans="1:20" x14ac:dyDescent="0.3">
      <c r="C85">
        <v>-5.7575237343132783E-14</v>
      </c>
      <c r="D85">
        <v>3.710737665346083E-14</v>
      </c>
      <c r="E85">
        <v>1104.742647312127</v>
      </c>
      <c r="F85">
        <v>2.1618682601784511E-13</v>
      </c>
      <c r="G85">
        <v>1.0771844267057883E-18</v>
      </c>
      <c r="H85">
        <v>0</v>
      </c>
      <c r="I85">
        <v>4.2280790629402878E-14</v>
      </c>
      <c r="J85">
        <v>-1.862662038139327E-10</v>
      </c>
      <c r="M85">
        <v>0</v>
      </c>
      <c r="N85">
        <v>0</v>
      </c>
      <c r="O85">
        <v>1</v>
      </c>
      <c r="P85">
        <v>0</v>
      </c>
      <c r="Q85">
        <v>0</v>
      </c>
      <c r="R85">
        <v>0</v>
      </c>
      <c r="S85">
        <v>0</v>
      </c>
      <c r="T85">
        <v>0</v>
      </c>
    </row>
    <row r="86" spans="1:20" x14ac:dyDescent="0.3">
      <c r="C86">
        <v>-2.5541980674251783E-14</v>
      </c>
      <c r="D86">
        <v>1.5068597336981683E-10</v>
      </c>
      <c r="E86">
        <v>9.0301856714229474E-14</v>
      </c>
      <c r="F86">
        <v>764.6044471548314</v>
      </c>
      <c r="G86">
        <v>-4.4886725745549439E-17</v>
      </c>
      <c r="H86">
        <v>4.5718124485360451E-23</v>
      </c>
      <c r="I86">
        <v>-1.4770517812118214E-10</v>
      </c>
      <c r="J86">
        <v>-1.9955793861936776E-13</v>
      </c>
      <c r="M86">
        <v>0</v>
      </c>
      <c r="N86">
        <v>0</v>
      </c>
      <c r="O86">
        <v>0</v>
      </c>
      <c r="P86">
        <v>1</v>
      </c>
      <c r="Q86">
        <v>0</v>
      </c>
      <c r="R86">
        <v>0</v>
      </c>
      <c r="S86">
        <v>0</v>
      </c>
      <c r="T86">
        <v>0</v>
      </c>
    </row>
    <row r="87" spans="1:20" x14ac:dyDescent="0.3">
      <c r="A87">
        <v>1</v>
      </c>
      <c r="C87">
        <v>1.1200294677974257E-14</v>
      </c>
      <c r="D87">
        <v>-8.1815491070367437E-14</v>
      </c>
      <c r="E87">
        <v>-4.9627128504077384E-14</v>
      </c>
      <c r="F87">
        <v>6.3116936713244482E-14</v>
      </c>
      <c r="G87">
        <v>481.2958243620829</v>
      </c>
      <c r="H87">
        <v>-4.4094241675789455E-13</v>
      </c>
      <c r="I87">
        <v>-3.3786792563330348E-24</v>
      </c>
      <c r="J87">
        <v>-1.081438092262766E-22</v>
      </c>
      <c r="M87">
        <v>0</v>
      </c>
      <c r="N87">
        <v>0</v>
      </c>
      <c r="O87">
        <v>0</v>
      </c>
      <c r="P87">
        <v>0</v>
      </c>
      <c r="Q87">
        <v>1</v>
      </c>
      <c r="R87">
        <v>0</v>
      </c>
      <c r="S87">
        <v>0</v>
      </c>
      <c r="T87">
        <v>0</v>
      </c>
    </row>
    <row r="88" spans="1:20" x14ac:dyDescent="0.3">
      <c r="A88">
        <v>7</v>
      </c>
      <c r="C88">
        <v>8.1454529281789314E-14</v>
      </c>
      <c r="D88">
        <v>-5.9281720951136487E-15</v>
      </c>
      <c r="E88">
        <v>5.8702412764614918E-14</v>
      </c>
      <c r="F88">
        <v>-9.3438838494529494E-16</v>
      </c>
      <c r="G88">
        <v>-4.6758871151471429E-13</v>
      </c>
      <c r="H88">
        <v>248.28547217485749</v>
      </c>
      <c r="I88">
        <v>1.8295612452888146E-11</v>
      </c>
      <c r="J88">
        <v>7.2299473701157171E-21</v>
      </c>
      <c r="M88">
        <v>0</v>
      </c>
      <c r="N88">
        <v>0</v>
      </c>
      <c r="O88">
        <v>0</v>
      </c>
      <c r="P88">
        <v>0</v>
      </c>
      <c r="Q88">
        <v>0</v>
      </c>
      <c r="R88">
        <v>1</v>
      </c>
      <c r="S88">
        <v>0</v>
      </c>
      <c r="T88">
        <v>0</v>
      </c>
    </row>
    <row r="89" spans="1:20" x14ac:dyDescent="0.3">
      <c r="C89">
        <v>6.7494609148527794E-10</v>
      </c>
      <c r="D89">
        <v>8.6516331023145587E-14</v>
      </c>
      <c r="E89">
        <v>3.3922686048161648E-14</v>
      </c>
      <c r="F89">
        <v>-1.4771216916533376E-10</v>
      </c>
      <c r="G89">
        <v>3.1975343102077994E-14</v>
      </c>
      <c r="H89">
        <v>1.8256121550480749E-11</v>
      </c>
      <c r="I89">
        <v>94.018860828038683</v>
      </c>
      <c r="J89">
        <v>-1.2352973378870917E-15</v>
      </c>
      <c r="M89">
        <v>0</v>
      </c>
      <c r="N89">
        <v>0</v>
      </c>
      <c r="O89">
        <v>0</v>
      </c>
      <c r="P89">
        <v>0</v>
      </c>
      <c r="Q89">
        <v>0</v>
      </c>
      <c r="R89">
        <v>0</v>
      </c>
      <c r="S89">
        <v>1</v>
      </c>
      <c r="T89">
        <v>0</v>
      </c>
    </row>
    <row r="90" spans="1:20" x14ac:dyDescent="0.3">
      <c r="C90">
        <v>5.2220248119012778E-14</v>
      </c>
      <c r="D90">
        <v>7.3760610198174112E-14</v>
      </c>
      <c r="E90">
        <v>-1.8630516650913284E-10</v>
      </c>
      <c r="F90">
        <v>-1.7524399110449124E-13</v>
      </c>
      <c r="G90">
        <v>5.5604504365230117E-15</v>
      </c>
      <c r="H90">
        <v>-7.3315383529695402E-15</v>
      </c>
      <c r="I90">
        <v>-1.0737661530217426E-14</v>
      </c>
      <c r="J90">
        <v>15.838446752033366</v>
      </c>
      <c r="M90">
        <v>0</v>
      </c>
      <c r="N90">
        <v>1.8387847178564742E-12</v>
      </c>
      <c r="O90">
        <v>0</v>
      </c>
      <c r="P90">
        <v>0</v>
      </c>
      <c r="Q90">
        <v>0</v>
      </c>
      <c r="R90">
        <v>0</v>
      </c>
      <c r="S90">
        <v>0</v>
      </c>
      <c r="T90">
        <v>1</v>
      </c>
    </row>
    <row r="92" spans="1:20" x14ac:dyDescent="0.3">
      <c r="C92" t="s">
        <v>132</v>
      </c>
      <c r="M92" t="s">
        <v>204</v>
      </c>
    </row>
    <row r="93" spans="1:20" x14ac:dyDescent="0.3">
      <c r="C93">
        <v>1</v>
      </c>
      <c r="D93">
        <v>0</v>
      </c>
      <c r="E93">
        <v>0</v>
      </c>
      <c r="F93">
        <v>0</v>
      </c>
      <c r="G93">
        <v>0</v>
      </c>
      <c r="H93">
        <v>0</v>
      </c>
      <c r="I93">
        <v>0</v>
      </c>
      <c r="J93">
        <v>0</v>
      </c>
      <c r="M93">
        <v>0.30060479010280583</v>
      </c>
      <c r="N93">
        <v>0.38244074950915136</v>
      </c>
      <c r="O93">
        <v>0.42471662195645421</v>
      </c>
      <c r="P93">
        <v>0.4472657872409449</v>
      </c>
      <c r="Q93">
        <v>0.41889468817433395</v>
      </c>
      <c r="R93">
        <v>0.35704481043436603</v>
      </c>
      <c r="S93">
        <v>0.25965156300272252</v>
      </c>
      <c r="T93">
        <v>0.11212604189581009</v>
      </c>
    </row>
    <row r="94" spans="1:20" x14ac:dyDescent="0.3">
      <c r="C94">
        <v>0</v>
      </c>
      <c r="D94">
        <v>1</v>
      </c>
      <c r="E94">
        <v>0</v>
      </c>
      <c r="F94">
        <v>0</v>
      </c>
      <c r="G94">
        <v>0</v>
      </c>
      <c r="H94">
        <v>0</v>
      </c>
      <c r="I94">
        <v>0</v>
      </c>
      <c r="J94">
        <v>0</v>
      </c>
      <c r="M94">
        <v>-0.64036104390894977</v>
      </c>
      <c r="N94">
        <v>-0.4127735373117809</v>
      </c>
      <c r="O94">
        <v>-0.15113733290075754</v>
      </c>
      <c r="P94">
        <v>9.7660319073107238E-2</v>
      </c>
      <c r="Q94">
        <v>0.2918091444536457</v>
      </c>
      <c r="R94">
        <v>0.38916930569196251</v>
      </c>
      <c r="S94">
        <v>0.3506330555713435</v>
      </c>
      <c r="T94">
        <v>0.16621324881703811</v>
      </c>
    </row>
    <row r="95" spans="1:20" x14ac:dyDescent="0.3">
      <c r="C95">
        <v>0</v>
      </c>
      <c r="D95">
        <v>0</v>
      </c>
      <c r="E95">
        <v>1</v>
      </c>
      <c r="F95">
        <v>0</v>
      </c>
      <c r="G95">
        <v>0</v>
      </c>
      <c r="H95">
        <v>0</v>
      </c>
      <c r="I95">
        <v>0</v>
      </c>
      <c r="J95">
        <v>0</v>
      </c>
      <c r="M95">
        <v>0.60920152499669034</v>
      </c>
      <c r="N95">
        <v>-0.18296224742324863</v>
      </c>
      <c r="O95">
        <v>-0.43138330215384391</v>
      </c>
      <c r="P95">
        <v>-0.33681745212456093</v>
      </c>
      <c r="Q95">
        <v>-2.8819269773403048E-2</v>
      </c>
      <c r="R95">
        <v>0.28958145224669229</v>
      </c>
      <c r="S95">
        <v>0.4027242751183383</v>
      </c>
      <c r="T95">
        <v>0.22132771846639268</v>
      </c>
    </row>
    <row r="96" spans="1:20" x14ac:dyDescent="0.3">
      <c r="C96">
        <v>0</v>
      </c>
      <c r="D96">
        <v>0</v>
      </c>
      <c r="E96">
        <v>0</v>
      </c>
      <c r="F96">
        <v>1</v>
      </c>
      <c r="G96">
        <v>0</v>
      </c>
      <c r="H96">
        <v>0</v>
      </c>
      <c r="I96">
        <v>0</v>
      </c>
      <c r="J96">
        <v>0</v>
      </c>
      <c r="M96">
        <v>-0.33607194461266116</v>
      </c>
      <c r="N96">
        <v>0.60163414775611457</v>
      </c>
      <c r="O96">
        <v>0.11694222594273816</v>
      </c>
      <c r="P96">
        <v>-0.37101208748467457</v>
      </c>
      <c r="Q96">
        <v>-0.37884546412846953</v>
      </c>
      <c r="R96">
        <v>3.807545558931788E-2</v>
      </c>
      <c r="S96">
        <v>0.38995201997541129</v>
      </c>
      <c r="T96">
        <v>0.27700242442604378</v>
      </c>
    </row>
    <row r="97" spans="3:20" x14ac:dyDescent="0.3">
      <c r="C97">
        <v>0</v>
      </c>
      <c r="D97">
        <v>0</v>
      </c>
      <c r="E97">
        <v>0</v>
      </c>
      <c r="F97">
        <v>0</v>
      </c>
      <c r="G97">
        <v>1</v>
      </c>
      <c r="H97">
        <v>0</v>
      </c>
      <c r="I97">
        <v>0</v>
      </c>
      <c r="J97">
        <v>0</v>
      </c>
      <c r="M97">
        <v>0.12071761566882511</v>
      </c>
      <c r="N97">
        <v>-0.48703631384576573</v>
      </c>
      <c r="O97">
        <v>0.49914423588227935</v>
      </c>
      <c r="P97">
        <v>0.21251460712614156</v>
      </c>
      <c r="Q97">
        <v>-0.40599609771740597</v>
      </c>
      <c r="R97">
        <v>-0.28862572484073895</v>
      </c>
      <c r="S97">
        <v>0.30001968952845681</v>
      </c>
      <c r="T97">
        <v>0.34024403786095098</v>
      </c>
    </row>
    <row r="98" spans="3:20" x14ac:dyDescent="0.3">
      <c r="C98">
        <v>0</v>
      </c>
      <c r="D98">
        <v>0</v>
      </c>
      <c r="E98">
        <v>0</v>
      </c>
      <c r="F98">
        <v>0</v>
      </c>
      <c r="G98">
        <v>0</v>
      </c>
      <c r="H98">
        <v>1</v>
      </c>
      <c r="I98">
        <v>0</v>
      </c>
      <c r="J98">
        <v>0</v>
      </c>
      <c r="M98">
        <v>-3.0105786717036547E-2</v>
      </c>
      <c r="N98">
        <v>0.21780378732624889</v>
      </c>
      <c r="O98">
        <v>-0.53801868010297593</v>
      </c>
      <c r="P98">
        <v>0.48407316183960292</v>
      </c>
      <c r="Q98">
        <v>9.4062907230219442E-2</v>
      </c>
      <c r="R98">
        <v>-0.49354476243992917</v>
      </c>
      <c r="S98">
        <v>0.11300743545829252</v>
      </c>
      <c r="T98">
        <v>0.40331040423227943</v>
      </c>
    </row>
    <row r="99" spans="3:20" x14ac:dyDescent="0.3">
      <c r="C99">
        <v>0</v>
      </c>
      <c r="D99">
        <v>0</v>
      </c>
      <c r="E99">
        <v>0</v>
      </c>
      <c r="F99">
        <v>0</v>
      </c>
      <c r="G99">
        <v>0</v>
      </c>
      <c r="H99">
        <v>0</v>
      </c>
      <c r="I99">
        <v>1</v>
      </c>
      <c r="J99">
        <v>0</v>
      </c>
      <c r="M99">
        <v>4.9393700272525798E-3</v>
      </c>
      <c r="N99">
        <v>-5.6878269535435552E-2</v>
      </c>
      <c r="O99">
        <v>0.2385819283312979</v>
      </c>
      <c r="P99">
        <v>-0.49468777078621473</v>
      </c>
      <c r="Q99">
        <v>0.59104140359157442</v>
      </c>
      <c r="R99">
        <v>-0.32011801700095543</v>
      </c>
      <c r="S99">
        <v>-0.17288734630972993</v>
      </c>
      <c r="T99">
        <v>0.46196062375978603</v>
      </c>
    </row>
    <row r="100" spans="3:20" x14ac:dyDescent="0.3">
      <c r="C100">
        <v>0</v>
      </c>
      <c r="D100">
        <v>0</v>
      </c>
      <c r="E100">
        <v>0</v>
      </c>
      <c r="F100">
        <v>0</v>
      </c>
      <c r="G100">
        <v>0</v>
      </c>
      <c r="H100">
        <v>0</v>
      </c>
      <c r="I100">
        <v>0</v>
      </c>
      <c r="J100">
        <v>1</v>
      </c>
      <c r="M100">
        <v>-3.8091229363285638E-4</v>
      </c>
      <c r="N100">
        <v>6.3442854704390617E-3</v>
      </c>
      <c r="O100">
        <v>-3.8416860509588903E-2</v>
      </c>
      <c r="P100">
        <v>0.12294119613073765</v>
      </c>
      <c r="Q100">
        <v>-0.2683460914448178</v>
      </c>
      <c r="R100">
        <v>0.45430420498288848</v>
      </c>
      <c r="S100">
        <v>-0.60225872964268412</v>
      </c>
      <c r="T100">
        <v>0.58502281936738187</v>
      </c>
    </row>
    <row r="102" spans="3:20" x14ac:dyDescent="0.3">
      <c r="C102" t="s">
        <v>205</v>
      </c>
      <c r="M102" t="s">
        <v>133</v>
      </c>
    </row>
    <row r="103" spans="3:20" x14ac:dyDescent="0.3">
      <c r="C103">
        <v>0.30060479010280583</v>
      </c>
      <c r="D103">
        <v>0.38244074950915136</v>
      </c>
      <c r="E103">
        <v>0.42471662195645421</v>
      </c>
      <c r="F103">
        <v>0.4472657872409449</v>
      </c>
      <c r="G103">
        <v>0.41889468817433395</v>
      </c>
      <c r="H103">
        <v>0.35704481043436603</v>
      </c>
      <c r="I103">
        <v>0.25965156300272252</v>
      </c>
      <c r="J103">
        <v>0.11212604189581009</v>
      </c>
      <c r="M103">
        <v>1.0640415021345724E-3</v>
      </c>
      <c r="N103">
        <v>1.3537137230781302E-3</v>
      </c>
      <c r="O103">
        <v>1.5033563246065144E-3</v>
      </c>
      <c r="P103">
        <v>1.5831729093421887E-3</v>
      </c>
      <c r="Q103">
        <v>1.4827486051994594E-3</v>
      </c>
      <c r="R103">
        <v>1.2638205009774075E-3</v>
      </c>
      <c r="S103">
        <v>9.1908062753930033E-4</v>
      </c>
      <c r="T103">
        <v>3.96889091509218E-4</v>
      </c>
    </row>
    <row r="104" spans="3:20" x14ac:dyDescent="0.3">
      <c r="C104">
        <v>-0.64036104390894977</v>
      </c>
      <c r="D104">
        <v>-0.4127735373117809</v>
      </c>
      <c r="E104">
        <v>-0.15113733290075754</v>
      </c>
      <c r="F104">
        <v>9.7660319073107238E-2</v>
      </c>
      <c r="G104">
        <v>0.2918091444536457</v>
      </c>
      <c r="H104">
        <v>0.38916930569196251</v>
      </c>
      <c r="I104">
        <v>0.3506330555713435</v>
      </c>
      <c r="J104">
        <v>0.16621324881703811</v>
      </c>
      <c r="M104">
        <v>-2.4188674465596182E-3</v>
      </c>
      <c r="N104">
        <v>-1.5591899002942681E-3</v>
      </c>
      <c r="O104">
        <v>-5.7089852356082232E-4</v>
      </c>
      <c r="P104">
        <v>3.6889715399388451E-4</v>
      </c>
      <c r="Q104">
        <v>1.1022651156582508E-3</v>
      </c>
      <c r="R104">
        <v>1.4700284686155007E-3</v>
      </c>
      <c r="S104">
        <v>1.3244635848426861E-3</v>
      </c>
      <c r="T104">
        <v>6.2784552648023498E-4</v>
      </c>
    </row>
    <row r="105" spans="3:20" x14ac:dyDescent="0.3">
      <c r="C105">
        <v>0.60920152499669034</v>
      </c>
      <c r="D105">
        <v>-0.18296224742324863</v>
      </c>
      <c r="E105">
        <v>-0.43138330215384391</v>
      </c>
      <c r="F105">
        <v>-0.33681745212456093</v>
      </c>
      <c r="G105">
        <v>-2.8819269773403048E-2</v>
      </c>
      <c r="H105">
        <v>0.28958145224669229</v>
      </c>
      <c r="I105">
        <v>0.4027242751183383</v>
      </c>
      <c r="J105">
        <v>0.22132771846639268</v>
      </c>
      <c r="M105">
        <v>2.3167247984485742E-3</v>
      </c>
      <c r="N105">
        <v>-6.9578482389325372E-4</v>
      </c>
      <c r="O105">
        <v>-1.6405021207750159E-3</v>
      </c>
      <c r="P105">
        <v>-1.2808788420079463E-3</v>
      </c>
      <c r="Q105">
        <v>-1.0959643766089552E-4</v>
      </c>
      <c r="R105">
        <v>1.1012456536354015E-3</v>
      </c>
      <c r="S105">
        <v>1.531515068201691E-3</v>
      </c>
      <c r="T105">
        <v>8.416843900020145E-4</v>
      </c>
    </row>
    <row r="106" spans="3:20" x14ac:dyDescent="0.3">
      <c r="C106">
        <v>-0.33607194461266116</v>
      </c>
      <c r="D106">
        <v>0.60163414775611457</v>
      </c>
      <c r="E106">
        <v>0.11694222594273816</v>
      </c>
      <c r="F106">
        <v>-0.37101208748467457</v>
      </c>
      <c r="G106">
        <v>-0.37884546412846953</v>
      </c>
      <c r="H106">
        <v>3.807545558931788E-2</v>
      </c>
      <c r="I106">
        <v>0.38995201997541129</v>
      </c>
      <c r="J106">
        <v>0.27700242442604378</v>
      </c>
      <c r="M106">
        <v>-1.30307348393433E-3</v>
      </c>
      <c r="N106">
        <v>2.3327549875488368E-3</v>
      </c>
      <c r="O106">
        <v>4.5342765506317271E-4</v>
      </c>
      <c r="P106">
        <v>-1.4385491593998103E-3</v>
      </c>
      <c r="Q106">
        <v>-1.4689220172292977E-3</v>
      </c>
      <c r="R106">
        <v>1.4763242621856782E-4</v>
      </c>
      <c r="S106">
        <v>1.5119861844529736E-3</v>
      </c>
      <c r="T106">
        <v>1.0740394134092866E-3</v>
      </c>
    </row>
    <row r="107" spans="3:20" x14ac:dyDescent="0.3">
      <c r="C107">
        <v>0.12071761566882511</v>
      </c>
      <c r="D107">
        <v>-0.48703631384576573</v>
      </c>
      <c r="E107">
        <v>0.49914423588227935</v>
      </c>
      <c r="F107">
        <v>0.21251460712614156</v>
      </c>
      <c r="G107">
        <v>-0.40599609771740597</v>
      </c>
      <c r="H107">
        <v>-0.28862572484073895</v>
      </c>
      <c r="I107">
        <v>0.30001968952845681</v>
      </c>
      <c r="J107">
        <v>0.34024403786095098</v>
      </c>
      <c r="M107">
        <v>4.7045229723906632E-4</v>
      </c>
      <c r="N107">
        <v>-1.898044054449948E-3</v>
      </c>
      <c r="O107">
        <v>1.9452302062415491E-3</v>
      </c>
      <c r="P107">
        <v>8.2819714890351259E-4</v>
      </c>
      <c r="Q107">
        <v>-1.5822197595853911E-3</v>
      </c>
      <c r="R107">
        <v>-1.124812104193027E-3</v>
      </c>
      <c r="S107">
        <v>1.1692158710525638E-3</v>
      </c>
      <c r="T107">
        <v>1.3259754042252625E-3</v>
      </c>
    </row>
    <row r="108" spans="3:20" x14ac:dyDescent="0.3">
      <c r="C108">
        <v>-3.0105786717036547E-2</v>
      </c>
      <c r="D108">
        <v>0.21780378732624889</v>
      </c>
      <c r="E108">
        <v>-0.53801868010297593</v>
      </c>
      <c r="F108">
        <v>0.48407316183960292</v>
      </c>
      <c r="G108">
        <v>9.4062907230219442E-2</v>
      </c>
      <c r="H108">
        <v>-0.49354476243992917</v>
      </c>
      <c r="I108">
        <v>0.11300743545829252</v>
      </c>
      <c r="J108">
        <v>0.40331040423227943</v>
      </c>
      <c r="M108">
        <v>-1.1796735996192321E-4</v>
      </c>
      <c r="N108">
        <v>8.5344847560638417E-4</v>
      </c>
      <c r="O108">
        <v>-2.1081875022395725E-3</v>
      </c>
      <c r="P108">
        <v>1.8968058688306499E-3</v>
      </c>
      <c r="Q108">
        <v>3.685787367254873E-4</v>
      </c>
      <c r="R108">
        <v>-1.9339196545601544E-3</v>
      </c>
      <c r="S108">
        <v>4.4281150804600033E-4</v>
      </c>
      <c r="T108">
        <v>1.5803428118201103E-3</v>
      </c>
    </row>
    <row r="109" spans="3:20" x14ac:dyDescent="0.3">
      <c r="C109">
        <v>4.9393700272525798E-3</v>
      </c>
      <c r="D109">
        <v>-5.6878269535435552E-2</v>
      </c>
      <c r="E109">
        <v>0.2385819283312979</v>
      </c>
      <c r="F109">
        <v>-0.49468777078621473</v>
      </c>
      <c r="G109">
        <v>0.59104140359157442</v>
      </c>
      <c r="H109">
        <v>-0.32011801700095543</v>
      </c>
      <c r="I109">
        <v>-0.17288734630972993</v>
      </c>
      <c r="J109">
        <v>0.46196062375978603</v>
      </c>
      <c r="M109">
        <v>1.9574940590034759E-5</v>
      </c>
      <c r="N109">
        <v>-2.2541108296748397E-4</v>
      </c>
      <c r="O109">
        <v>9.4551067184144575E-4</v>
      </c>
      <c r="P109">
        <v>-1.9604693858384851E-3</v>
      </c>
      <c r="Q109">
        <v>2.3423230690799595E-3</v>
      </c>
      <c r="R109">
        <v>-1.2686417761819176E-3</v>
      </c>
      <c r="S109">
        <v>-6.8516015485969807E-4</v>
      </c>
      <c r="T109">
        <v>1.8307702632400485E-3</v>
      </c>
    </row>
    <row r="110" spans="3:20" x14ac:dyDescent="0.3">
      <c r="C110">
        <v>-3.8091229363285638E-4</v>
      </c>
      <c r="D110">
        <v>6.3442854704390617E-3</v>
      </c>
      <c r="E110">
        <v>-3.8416860509588903E-2</v>
      </c>
      <c r="F110">
        <v>0.12294119613073765</v>
      </c>
      <c r="G110">
        <v>-0.2683460914448178</v>
      </c>
      <c r="H110">
        <v>0.45430420498288848</v>
      </c>
      <c r="I110">
        <v>-0.60225872964268412</v>
      </c>
      <c r="J110">
        <v>0.58502281936738187</v>
      </c>
      <c r="M110">
        <v>-1.3457269523939934E-6</v>
      </c>
      <c r="N110">
        <v>2.2413757954161803E-5</v>
      </c>
      <c r="O110">
        <v>-1.357231191491659E-4</v>
      </c>
      <c r="P110">
        <v>4.3433956834208873E-4</v>
      </c>
      <c r="Q110">
        <v>-9.4804125218111708E-4</v>
      </c>
      <c r="R110">
        <v>1.6050136040520369E-3</v>
      </c>
      <c r="S110">
        <v>-2.1277228861925554E-3</v>
      </c>
      <c r="T110">
        <v>2.0668300523454149E-3</v>
      </c>
    </row>
    <row r="112" spans="3:20" x14ac:dyDescent="0.3">
      <c r="M112" t="s">
        <v>134</v>
      </c>
    </row>
    <row r="113" spans="13:20" x14ac:dyDescent="0.3">
      <c r="M113">
        <v>1</v>
      </c>
      <c r="N113">
        <v>1</v>
      </c>
      <c r="O113">
        <v>1</v>
      </c>
      <c r="P113">
        <v>1</v>
      </c>
      <c r="Q113">
        <v>1</v>
      </c>
      <c r="R113">
        <v>1</v>
      </c>
      <c r="S113">
        <v>1</v>
      </c>
      <c r="T113">
        <v>1</v>
      </c>
    </row>
    <row r="114" spans="13:20" x14ac:dyDescent="0.3">
      <c r="M114">
        <v>-2.273282989157031</v>
      </c>
      <c r="N114">
        <v>-1.1517870238833936</v>
      </c>
      <c r="O114">
        <v>-0.37974930774329113</v>
      </c>
      <c r="P114">
        <v>0.23301128500686763</v>
      </c>
      <c r="Q114">
        <v>0.74339312260555057</v>
      </c>
      <c r="R114">
        <v>1.1631623853851216</v>
      </c>
      <c r="S114">
        <v>1.4410744228052521</v>
      </c>
      <c r="T114">
        <v>1.58191681230839</v>
      </c>
    </row>
    <row r="115" spans="13:20" x14ac:dyDescent="0.3">
      <c r="M115">
        <v>2.1772880040872424</v>
      </c>
      <c r="N115">
        <v>-0.51398224900250655</v>
      </c>
      <c r="O115">
        <v>-1.0912264071556008</v>
      </c>
      <c r="P115">
        <v>-0.80905808484314823</v>
      </c>
      <c r="Q115">
        <v>-7.3914375826475726E-2</v>
      </c>
      <c r="R115">
        <v>0.87136239108617508</v>
      </c>
      <c r="S115">
        <v>1.6663555103996606</v>
      </c>
      <c r="T115">
        <v>2.1207042672838639</v>
      </c>
    </row>
    <row r="116" spans="13:20" x14ac:dyDescent="0.3">
      <c r="M116">
        <v>-1.2246453557687702</v>
      </c>
      <c r="N116">
        <v>1.7232262241122311</v>
      </c>
      <c r="O116">
        <v>0.30161023547218724</v>
      </c>
      <c r="P116">
        <v>-0.90864942856906905</v>
      </c>
      <c r="Q116">
        <v>-0.99067502884731984</v>
      </c>
      <c r="R116">
        <v>0.11681439421531187</v>
      </c>
      <c r="S116">
        <v>1.6451072290589874</v>
      </c>
      <c r="T116">
        <v>2.7061449568319551</v>
      </c>
    </row>
    <row r="117" spans="13:20" x14ac:dyDescent="0.3">
      <c r="M117">
        <v>0.44213716879961218</v>
      </c>
      <c r="N117">
        <v>-1.4021015094196556</v>
      </c>
      <c r="O117">
        <v>1.2939249161376893</v>
      </c>
      <c r="P117">
        <v>0.5231248867488707</v>
      </c>
      <c r="Q117">
        <v>-1.0670856502829424</v>
      </c>
      <c r="R117">
        <v>-0.89000938291721432</v>
      </c>
      <c r="S117">
        <v>1.2721581067190622</v>
      </c>
      <c r="T117">
        <v>3.3409217652797745</v>
      </c>
    </row>
    <row r="118" spans="13:20" x14ac:dyDescent="0.3">
      <c r="M118">
        <v>-0.11086725444944491</v>
      </c>
      <c r="N118">
        <v>0.63044974802041431</v>
      </c>
      <c r="O118">
        <v>-1.4023205727965826</v>
      </c>
      <c r="P118">
        <v>1.1981040463980503</v>
      </c>
      <c r="Q118">
        <v>0.24857803637987982</v>
      </c>
      <c r="R118">
        <v>-1.5302170308714798</v>
      </c>
      <c r="S118">
        <v>0.48179832625953756</v>
      </c>
      <c r="T118">
        <v>3.9818247606923856</v>
      </c>
    </row>
    <row r="119" spans="13:20" x14ac:dyDescent="0.3">
      <c r="M119">
        <v>1.8396782973939922E-2</v>
      </c>
      <c r="N119">
        <v>-0.16651311065602181</v>
      </c>
      <c r="O119">
        <v>0.62893317862544795</v>
      </c>
      <c r="P119">
        <v>-1.2383166578141258</v>
      </c>
      <c r="Q119">
        <v>1.5797169262990944</v>
      </c>
      <c r="R119">
        <v>-1.0038148417443629</v>
      </c>
      <c r="S119">
        <v>-0.74548427453433652</v>
      </c>
      <c r="T119">
        <v>4.6128006599484168</v>
      </c>
    </row>
    <row r="120" spans="13:20" x14ac:dyDescent="0.3">
      <c r="M120">
        <v>-1.2647316384693005E-3</v>
      </c>
      <c r="N120">
        <v>1.6557236269420742E-2</v>
      </c>
      <c r="O120">
        <v>-9.0280073278495576E-2</v>
      </c>
      <c r="P120">
        <v>0.2743475243791012</v>
      </c>
      <c r="Q120">
        <v>-0.63938097723152909</v>
      </c>
      <c r="R120">
        <v>1.2699695904685508</v>
      </c>
      <c r="S120">
        <v>-2.3150557442269371</v>
      </c>
      <c r="T120">
        <v>5.2075758607676708</v>
      </c>
    </row>
  </sheetData>
  <phoneticPr fontId="2"/>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elet">
                <anchor moveWithCells="1" sizeWithCells="1">
                  <from>
                    <xdr:col>0</xdr:col>
                    <xdr:colOff>125730</xdr:colOff>
                    <xdr:row>16</xdr:row>
                    <xdr:rowOff>68580</xdr:rowOff>
                  </from>
                  <to>
                    <xdr:col>0</xdr:col>
                    <xdr:colOff>601980</xdr:colOff>
                    <xdr:row>18</xdr:row>
                    <xdr:rowOff>57150</xdr:rowOff>
                  </to>
                </anchor>
              </controlPr>
            </control>
          </mc:Choice>
        </mc:AlternateContent>
        <mc:AlternateContent xmlns:mc="http://schemas.openxmlformats.org/markup-compatibility/2006">
          <mc:Choice Requires="x14">
            <control shapeId="2050" r:id="rId5" name="Button 2">
              <controlPr defaultSize="0" print="0" autoFill="0" autoPict="0" macro="[0]!matrix1">
                <anchor moveWithCells="1" sizeWithCells="1">
                  <from>
                    <xdr:col>0</xdr:col>
                    <xdr:colOff>152400</xdr:colOff>
                    <xdr:row>6</xdr:row>
                    <xdr:rowOff>11430</xdr:rowOff>
                  </from>
                  <to>
                    <xdr:col>0</xdr:col>
                    <xdr:colOff>628650</xdr:colOff>
                    <xdr:row>8</xdr:row>
                    <xdr:rowOff>0</xdr:rowOff>
                  </to>
                </anchor>
              </controlPr>
            </control>
          </mc:Choice>
        </mc:AlternateContent>
        <mc:AlternateContent xmlns:mc="http://schemas.openxmlformats.org/markup-compatibility/2006">
          <mc:Choice Requires="x14">
            <control shapeId="2051" r:id="rId6" name="Button 3">
              <controlPr defaultSize="0" print="0" autoFill="0" autoPict="0" macro="[0]!j_ready">
                <anchor moveWithCells="1" sizeWithCells="1">
                  <from>
                    <xdr:col>0</xdr:col>
                    <xdr:colOff>133350</xdr:colOff>
                    <xdr:row>3</xdr:row>
                    <xdr:rowOff>38100</xdr:rowOff>
                  </from>
                  <to>
                    <xdr:col>0</xdr:col>
                    <xdr:colOff>609600</xdr:colOff>
                    <xdr:row>5</xdr:row>
                    <xdr:rowOff>30480</xdr:rowOff>
                  </to>
                </anchor>
              </controlPr>
            </control>
          </mc:Choice>
        </mc:AlternateContent>
        <mc:AlternateContent xmlns:mc="http://schemas.openxmlformats.org/markup-compatibility/2006">
          <mc:Choice Requires="x14">
            <control shapeId="2053" r:id="rId7" name="Button 5">
              <controlPr defaultSize="0" print="0" autoFill="0" autoPict="0" macro="[0]!jacobi1">
                <anchor moveWithCells="1" sizeWithCells="1">
                  <from>
                    <xdr:col>0</xdr:col>
                    <xdr:colOff>152400</xdr:colOff>
                    <xdr:row>9</xdr:row>
                    <xdr:rowOff>0</xdr:rowOff>
                  </from>
                  <to>
                    <xdr:col>0</xdr:col>
                    <xdr:colOff>628650</xdr:colOff>
                    <xdr:row>10</xdr:row>
                    <xdr:rowOff>144780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EFD48-6BF7-45EC-B66F-791543175D0D}">
  <sheetPr codeName="Sheet6"/>
  <dimension ref="A1:N100"/>
  <sheetViews>
    <sheetView workbookViewId="0">
      <selection activeCell="N25" sqref="N25"/>
    </sheetView>
  </sheetViews>
  <sheetFormatPr defaultRowHeight="11.7" x14ac:dyDescent="0.3"/>
  <cols>
    <col min="1" max="1" width="2.703125" customWidth="1"/>
    <col min="2" max="2" width="9.703125" style="150" customWidth="1"/>
    <col min="3" max="3" width="9.703125" style="151" customWidth="1"/>
    <col min="4" max="4" width="9.703125" customWidth="1"/>
    <col min="5" max="5" width="9.703125" style="152" customWidth="1"/>
    <col min="6" max="6" width="9.703125" customWidth="1"/>
    <col min="7" max="7" width="9.703125" style="152" customWidth="1"/>
    <col min="8" max="9" width="9.703125" customWidth="1"/>
    <col min="10" max="12" width="10.703125" customWidth="1"/>
  </cols>
  <sheetData>
    <row r="1" spans="1:14" x14ac:dyDescent="0.3">
      <c r="A1">
        <v>1</v>
      </c>
      <c r="B1" s="150">
        <v>2</v>
      </c>
      <c r="C1">
        <v>3</v>
      </c>
      <c r="D1" s="150">
        <v>4</v>
      </c>
      <c r="E1">
        <v>5</v>
      </c>
      <c r="F1" s="150">
        <v>6</v>
      </c>
      <c r="G1">
        <v>7</v>
      </c>
      <c r="H1" s="150">
        <v>8</v>
      </c>
      <c r="I1">
        <v>9</v>
      </c>
      <c r="J1" s="150">
        <v>10</v>
      </c>
      <c r="K1">
        <v>11</v>
      </c>
    </row>
    <row r="2" spans="1:14" x14ac:dyDescent="0.3">
      <c r="B2"/>
      <c r="C2"/>
    </row>
    <row r="3" spans="1:14" x14ac:dyDescent="0.3">
      <c r="B3"/>
      <c r="C3"/>
      <c r="E3"/>
    </row>
    <row r="4" spans="1:14" x14ac:dyDescent="0.3">
      <c r="B4"/>
      <c r="C4"/>
      <c r="D4" s="14" t="s">
        <v>182</v>
      </c>
      <c r="E4" s="146">
        <v>8</v>
      </c>
      <c r="H4" s="159" t="s">
        <v>176</v>
      </c>
      <c r="I4" s="153">
        <v>835</v>
      </c>
      <c r="J4" t="s">
        <v>177</v>
      </c>
    </row>
    <row r="5" spans="1:14" x14ac:dyDescent="0.3">
      <c r="B5"/>
      <c r="C5"/>
      <c r="D5" s="14" t="s">
        <v>183</v>
      </c>
      <c r="E5" s="146">
        <v>0.8</v>
      </c>
    </row>
    <row r="6" spans="1:14" x14ac:dyDescent="0.3">
      <c r="B6"/>
      <c r="C6"/>
      <c r="D6" s="14" t="s">
        <v>184</v>
      </c>
      <c r="E6" s="146">
        <v>0.2</v>
      </c>
      <c r="H6" s="159" t="s">
        <v>178</v>
      </c>
      <c r="I6" s="153">
        <v>835</v>
      </c>
      <c r="J6" t="s">
        <v>177</v>
      </c>
    </row>
    <row r="7" spans="1:14" x14ac:dyDescent="0.3">
      <c r="B7"/>
      <c r="C7"/>
      <c r="D7" s="14" t="s">
        <v>185</v>
      </c>
      <c r="E7" s="146">
        <v>0.6</v>
      </c>
    </row>
    <row r="8" spans="1:14" x14ac:dyDescent="0.3">
      <c r="B8"/>
      <c r="C8"/>
      <c r="D8" s="14" t="s">
        <v>186</v>
      </c>
      <c r="E8" s="146">
        <v>0.90149999999999997</v>
      </c>
    </row>
    <row r="9" spans="1:14" x14ac:dyDescent="0.3">
      <c r="B9"/>
      <c r="C9"/>
      <c r="D9" s="14" t="s">
        <v>187</v>
      </c>
      <c r="E9" s="146">
        <v>0.94949877262115479</v>
      </c>
    </row>
    <row r="10" spans="1:14" x14ac:dyDescent="0.3">
      <c r="B10"/>
      <c r="C10"/>
      <c r="D10" s="14"/>
      <c r="E10"/>
      <c r="G10"/>
      <c r="H10" s="150"/>
      <c r="J10" s="150"/>
    </row>
    <row r="11" spans="1:14" x14ac:dyDescent="0.3">
      <c r="B11" s="147" t="s">
        <v>24</v>
      </c>
      <c r="C11" s="147" t="s">
        <v>44</v>
      </c>
      <c r="D11" s="147" t="s">
        <v>45</v>
      </c>
      <c r="E11" s="147" t="s">
        <v>46</v>
      </c>
      <c r="F11" s="147" t="s">
        <v>47</v>
      </c>
      <c r="G11" s="147" t="s">
        <v>48</v>
      </c>
      <c r="H11" s="147" t="s">
        <v>49</v>
      </c>
      <c r="I11" s="147" t="s">
        <v>50</v>
      </c>
      <c r="J11" s="147" t="s">
        <v>51</v>
      </c>
    </row>
    <row r="12" spans="1:14" x14ac:dyDescent="0.3">
      <c r="B12" s="147"/>
      <c r="C12" s="148" t="s">
        <v>52</v>
      </c>
      <c r="D12" s="17" t="s">
        <v>34</v>
      </c>
      <c r="E12" s="17" t="s">
        <v>34</v>
      </c>
      <c r="F12" s="18" t="s">
        <v>53</v>
      </c>
      <c r="G12" s="147" t="s">
        <v>54</v>
      </c>
      <c r="H12" s="147" t="s">
        <v>55</v>
      </c>
      <c r="I12" s="8"/>
      <c r="J12" s="8"/>
    </row>
    <row r="13" spans="1:14" x14ac:dyDescent="0.3">
      <c r="B13"/>
      <c r="C13"/>
      <c r="E13"/>
      <c r="I13" s="8"/>
      <c r="J13" s="8"/>
      <c r="N13" s="156"/>
    </row>
    <row r="14" spans="1:14" x14ac:dyDescent="0.3">
      <c r="B14"/>
      <c r="C14"/>
      <c r="E14"/>
      <c r="H14" s="158"/>
      <c r="I14" s="8"/>
      <c r="J14" s="8"/>
    </row>
    <row r="15" spans="1:14" x14ac:dyDescent="0.3">
      <c r="B15">
        <v>8</v>
      </c>
      <c r="C15">
        <v>19.990200000000002</v>
      </c>
      <c r="D15">
        <v>0.13993439999999999</v>
      </c>
      <c r="E15">
        <v>3.75</v>
      </c>
      <c r="F15" t="s">
        <v>165</v>
      </c>
      <c r="G15">
        <v>785.7</v>
      </c>
      <c r="H15">
        <v>80.119102853675827</v>
      </c>
      <c r="I15">
        <v>11.211418586367413</v>
      </c>
      <c r="J15">
        <v>1.5688631330321721</v>
      </c>
    </row>
    <row r="16" spans="1:14" x14ac:dyDescent="0.3">
      <c r="B16">
        <v>7</v>
      </c>
      <c r="C16">
        <v>18.357700000000001</v>
      </c>
      <c r="D16">
        <v>0.1199442</v>
      </c>
      <c r="E16">
        <v>3.5</v>
      </c>
      <c r="F16" t="s">
        <v>166</v>
      </c>
      <c r="G16">
        <v>624.4</v>
      </c>
      <c r="H16">
        <v>63.671080338341838</v>
      </c>
      <c r="I16">
        <v>7.6369767943181408</v>
      </c>
      <c r="J16">
        <v>0.91601107201305398</v>
      </c>
    </row>
    <row r="17" spans="2:10" x14ac:dyDescent="0.3">
      <c r="B17">
        <v>6</v>
      </c>
      <c r="C17">
        <v>17.361899999999999</v>
      </c>
      <c r="D17">
        <v>0.1015865</v>
      </c>
      <c r="E17">
        <v>3.5</v>
      </c>
      <c r="F17" t="s">
        <v>167</v>
      </c>
      <c r="G17">
        <v>638.70000000000005</v>
      </c>
      <c r="H17">
        <v>65.129274522900289</v>
      </c>
      <c r="I17">
        <v>6.6162550463206102</v>
      </c>
      <c r="J17">
        <v>0.67212219326304856</v>
      </c>
    </row>
    <row r="18" spans="2:10" x14ac:dyDescent="0.3">
      <c r="B18">
        <v>5</v>
      </c>
      <c r="C18">
        <v>16.529800000000002</v>
      </c>
      <c r="D18">
        <v>8.4224600000000011E-2</v>
      </c>
      <c r="E18">
        <v>3.5</v>
      </c>
      <c r="F18" t="s">
        <v>168</v>
      </c>
      <c r="G18">
        <v>645.70000000000005</v>
      </c>
      <c r="H18">
        <v>65.843075871984837</v>
      </c>
      <c r="I18">
        <v>5.5456067280875745</v>
      </c>
      <c r="J18">
        <v>0.46707650843048482</v>
      </c>
    </row>
    <row r="19" spans="2:10" x14ac:dyDescent="0.3">
      <c r="B19">
        <v>4</v>
      </c>
      <c r="C19">
        <v>14.9068</v>
      </c>
      <c r="D19">
        <v>6.7694799999999999E-2</v>
      </c>
      <c r="E19">
        <v>3.5</v>
      </c>
      <c r="F19" t="s">
        <v>169</v>
      </c>
      <c r="G19">
        <v>652.29999999999995</v>
      </c>
      <c r="H19">
        <v>66.51608857255026</v>
      </c>
      <c r="I19">
        <v>4.5027933127010753</v>
      </c>
      <c r="J19">
        <v>0.30481569274463671</v>
      </c>
    </row>
    <row r="20" spans="2:10" x14ac:dyDescent="0.3">
      <c r="B20">
        <v>3</v>
      </c>
      <c r="C20">
        <v>13.5319</v>
      </c>
      <c r="D20">
        <v>5.2788000000000002E-2</v>
      </c>
      <c r="E20">
        <v>3.5</v>
      </c>
      <c r="F20" t="s">
        <v>170</v>
      </c>
      <c r="G20">
        <v>678.1</v>
      </c>
      <c r="H20">
        <v>69.146956402033325</v>
      </c>
      <c r="I20">
        <v>3.6501295345505351</v>
      </c>
      <c r="J20">
        <v>0.19268303786985366</v>
      </c>
    </row>
    <row r="21" spans="2:10" x14ac:dyDescent="0.3">
      <c r="B21">
        <v>2</v>
      </c>
      <c r="C21">
        <v>14.4864</v>
      </c>
      <c r="D21">
        <v>3.9256100000000002E-2</v>
      </c>
      <c r="E21">
        <v>3.5</v>
      </c>
      <c r="F21" t="s">
        <v>171</v>
      </c>
      <c r="G21">
        <v>687.3</v>
      </c>
      <c r="H21">
        <v>70.085095317973014</v>
      </c>
      <c r="I21">
        <v>2.7512675103118807</v>
      </c>
      <c r="J21">
        <v>0.10800403251155422</v>
      </c>
    </row>
    <row r="22" spans="2:10" x14ac:dyDescent="0.3">
      <c r="B22">
        <v>1</v>
      </c>
      <c r="C22">
        <v>24.7697</v>
      </c>
      <c r="D22">
        <v>2.4769699999999999E-2</v>
      </c>
      <c r="E22">
        <v>5.3</v>
      </c>
      <c r="F22" t="s">
        <v>172</v>
      </c>
      <c r="G22">
        <v>782.7</v>
      </c>
      <c r="H22">
        <v>79.813187989782449</v>
      </c>
      <c r="I22">
        <v>1.9769487225505142</v>
      </c>
      <c r="J22">
        <v>4.896842677295947E-2</v>
      </c>
    </row>
    <row r="23" spans="2:10" x14ac:dyDescent="0.3">
      <c r="B23"/>
      <c r="C23"/>
      <c r="E23"/>
      <c r="G23" t="s">
        <v>173</v>
      </c>
      <c r="H23">
        <v>560.3238618692418</v>
      </c>
      <c r="I23">
        <v>43.89139623520775</v>
      </c>
      <c r="J23">
        <v>4.2785440966377646</v>
      </c>
    </row>
    <row r="24" spans="2:10" x14ac:dyDescent="0.3">
      <c r="B24"/>
      <c r="C24"/>
      <c r="E24"/>
      <c r="G24"/>
    </row>
    <row r="25" spans="2:10" x14ac:dyDescent="0.3">
      <c r="B25"/>
      <c r="C25"/>
      <c r="E25"/>
      <c r="G25"/>
    </row>
    <row r="26" spans="2:10" x14ac:dyDescent="0.3">
      <c r="B26"/>
      <c r="C26"/>
      <c r="D26" t="s">
        <v>174</v>
      </c>
      <c r="E26"/>
      <c r="G26"/>
    </row>
    <row r="27" spans="2:10" x14ac:dyDescent="0.3">
      <c r="B27"/>
      <c r="C27"/>
      <c r="E27"/>
      <c r="G27"/>
    </row>
    <row r="28" spans="2:10" x14ac:dyDescent="0.3">
      <c r="B28"/>
      <c r="C28"/>
      <c r="D28" t="s">
        <v>175</v>
      </c>
      <c r="E28"/>
      <c r="G28"/>
    </row>
    <row r="29" spans="2:10" x14ac:dyDescent="0.3">
      <c r="B29"/>
      <c r="C29"/>
      <c r="E29"/>
      <c r="G29"/>
    </row>
    <row r="30" spans="2:10" x14ac:dyDescent="0.3">
      <c r="B30"/>
      <c r="C30"/>
      <c r="D30" t="s">
        <v>198</v>
      </c>
      <c r="E30"/>
      <c r="G30"/>
    </row>
    <row r="31" spans="2:10" x14ac:dyDescent="0.3">
      <c r="B31"/>
      <c r="C31"/>
      <c r="E31"/>
      <c r="G31"/>
    </row>
    <row r="32" spans="2:10" x14ac:dyDescent="0.3">
      <c r="B32"/>
      <c r="C32"/>
      <c r="E32"/>
      <c r="G32"/>
    </row>
    <row r="33" spans="2:10" x14ac:dyDescent="0.3">
      <c r="B33">
        <v>8</v>
      </c>
      <c r="C33">
        <v>15.5783</v>
      </c>
      <c r="D33">
        <v>0.1159394</v>
      </c>
      <c r="E33">
        <v>3.75</v>
      </c>
      <c r="F33" t="s">
        <v>188</v>
      </c>
      <c r="G33">
        <v>785.7</v>
      </c>
      <c r="H33">
        <v>80.119102853675827</v>
      </c>
      <c r="I33">
        <v>9.2889607133934629</v>
      </c>
      <c r="J33">
        <v>1.0769565317344101</v>
      </c>
    </row>
    <row r="34" spans="2:10" x14ac:dyDescent="0.3">
      <c r="B34">
        <v>7</v>
      </c>
      <c r="C34">
        <v>14.861499999999999</v>
      </c>
      <c r="D34">
        <v>0.10036109999999999</v>
      </c>
      <c r="E34">
        <v>3.5</v>
      </c>
      <c r="F34" t="s">
        <v>189</v>
      </c>
      <c r="G34">
        <v>624.4</v>
      </c>
      <c r="H34">
        <v>63.671080338341838</v>
      </c>
      <c r="I34">
        <v>6.390099660944359</v>
      </c>
      <c r="J34">
        <v>0.64131743108200279</v>
      </c>
    </row>
    <row r="35" spans="2:10" x14ac:dyDescent="0.3">
      <c r="B35">
        <v>6</v>
      </c>
      <c r="C35">
        <v>13.728</v>
      </c>
      <c r="D35">
        <v>8.5499599999999995E-2</v>
      </c>
      <c r="E35">
        <v>3.5</v>
      </c>
      <c r="F35" t="s">
        <v>190</v>
      </c>
      <c r="G35">
        <v>638.70000000000005</v>
      </c>
      <c r="H35">
        <v>65.129274522900289</v>
      </c>
      <c r="I35">
        <v>5.5685269199981651</v>
      </c>
      <c r="J35">
        <v>0.47610682424907508</v>
      </c>
    </row>
    <row r="36" spans="2:10" x14ac:dyDescent="0.3">
      <c r="B36">
        <v>5</v>
      </c>
      <c r="C36">
        <v>13.347799999999999</v>
      </c>
      <c r="D36">
        <v>7.1771600000000005E-2</v>
      </c>
      <c r="E36">
        <v>3.5</v>
      </c>
      <c r="F36" t="s">
        <v>191</v>
      </c>
      <c r="G36">
        <v>645.70000000000005</v>
      </c>
      <c r="H36">
        <v>65.843075871984837</v>
      </c>
      <c r="I36">
        <v>4.7256629042537472</v>
      </c>
      <c r="J36">
        <v>0.33916838769893831</v>
      </c>
    </row>
    <row r="37" spans="2:10" x14ac:dyDescent="0.3">
      <c r="B37">
        <v>4</v>
      </c>
      <c r="C37">
        <v>12.6417</v>
      </c>
      <c r="D37">
        <v>5.8423799999999998E-2</v>
      </c>
      <c r="E37">
        <v>3.5</v>
      </c>
      <c r="F37" t="s">
        <v>192</v>
      </c>
      <c r="G37">
        <v>652.29999999999995</v>
      </c>
      <c r="H37">
        <v>66.51608857255026</v>
      </c>
      <c r="I37">
        <v>3.8861226555449617</v>
      </c>
      <c r="J37">
        <v>0.22704205280302772</v>
      </c>
    </row>
    <row r="38" spans="2:10" x14ac:dyDescent="0.3">
      <c r="B38">
        <v>3</v>
      </c>
      <c r="C38">
        <v>11.837999999999999</v>
      </c>
      <c r="D38">
        <v>4.5782099999999999E-2</v>
      </c>
      <c r="E38">
        <v>3.5</v>
      </c>
      <c r="F38" t="s">
        <v>193</v>
      </c>
      <c r="G38">
        <v>678.1</v>
      </c>
      <c r="H38">
        <v>69.146956402033325</v>
      </c>
      <c r="I38">
        <v>3.1656928726935298</v>
      </c>
      <c r="J38">
        <v>0.14493206766694244</v>
      </c>
    </row>
    <row r="39" spans="2:10" x14ac:dyDescent="0.3">
      <c r="B39">
        <v>2</v>
      </c>
      <c r="C39">
        <v>12.218299999999999</v>
      </c>
      <c r="D39">
        <v>3.3944099999999998E-2</v>
      </c>
      <c r="E39">
        <v>3.5</v>
      </c>
      <c r="F39" t="s">
        <v>194</v>
      </c>
      <c r="G39">
        <v>687.3</v>
      </c>
      <c r="H39">
        <v>70.085095317973014</v>
      </c>
      <c r="I39">
        <v>2.3789754839828077</v>
      </c>
      <c r="J39">
        <v>8.0752181725860822E-2</v>
      </c>
    </row>
    <row r="40" spans="2:10" x14ac:dyDescent="0.3">
      <c r="B40">
        <v>1</v>
      </c>
      <c r="C40">
        <v>21.7258</v>
      </c>
      <c r="D40">
        <v>2.17258E-2</v>
      </c>
      <c r="E40">
        <v>5.3</v>
      </c>
      <c r="F40" t="s">
        <v>195</v>
      </c>
      <c r="G40">
        <v>782.7</v>
      </c>
      <c r="H40">
        <v>79.813187989782449</v>
      </c>
      <c r="I40">
        <v>1.7340053596284155</v>
      </c>
      <c r="J40">
        <v>3.7672653642215032E-2</v>
      </c>
    </row>
    <row r="41" spans="2:10" x14ac:dyDescent="0.3">
      <c r="B41"/>
      <c r="C41"/>
      <c r="E41"/>
      <c r="G41" t="s">
        <v>173</v>
      </c>
      <c r="H41">
        <v>560.3238618692418</v>
      </c>
      <c r="I41">
        <v>37.138046570439442</v>
      </c>
      <c r="J41">
        <v>3.0239481306024723</v>
      </c>
    </row>
    <row r="42" spans="2:10" x14ac:dyDescent="0.3">
      <c r="B42"/>
      <c r="C42"/>
      <c r="E42"/>
      <c r="G42"/>
    </row>
    <row r="43" spans="2:10" x14ac:dyDescent="0.3">
      <c r="B43"/>
      <c r="C43"/>
      <c r="E43"/>
      <c r="G43"/>
    </row>
    <row r="44" spans="2:10" x14ac:dyDescent="0.3">
      <c r="B44"/>
      <c r="C44"/>
      <c r="D44" t="s">
        <v>196</v>
      </c>
      <c r="E44"/>
      <c r="G44"/>
    </row>
    <row r="45" spans="2:10" x14ac:dyDescent="0.3">
      <c r="B45"/>
      <c r="C45"/>
      <c r="E45"/>
      <c r="G45"/>
    </row>
    <row r="46" spans="2:10" x14ac:dyDescent="0.3">
      <c r="B46"/>
      <c r="C46"/>
      <c r="D46" t="s">
        <v>197</v>
      </c>
      <c r="E46"/>
      <c r="G46"/>
    </row>
    <row r="47" spans="2:10" x14ac:dyDescent="0.3">
      <c r="B47"/>
      <c r="C47"/>
      <c r="E47"/>
      <c r="G47"/>
    </row>
    <row r="48" spans="2:10" x14ac:dyDescent="0.3">
      <c r="B48"/>
      <c r="C48"/>
      <c r="D48" t="s">
        <v>199</v>
      </c>
      <c r="E48"/>
      <c r="G48"/>
    </row>
    <row r="49" spans="2:7" x14ac:dyDescent="0.3">
      <c r="B49"/>
      <c r="C49"/>
      <c r="E49"/>
      <c r="G49"/>
    </row>
    <row r="50" spans="2:7" x14ac:dyDescent="0.3">
      <c r="B50"/>
      <c r="C50"/>
      <c r="E50"/>
      <c r="G50"/>
    </row>
    <row r="51" spans="2:7" x14ac:dyDescent="0.3">
      <c r="B51"/>
      <c r="C51"/>
      <c r="E51"/>
      <c r="G51"/>
    </row>
    <row r="52" spans="2:7" x14ac:dyDescent="0.3">
      <c r="B52"/>
      <c r="C52"/>
      <c r="E52"/>
      <c r="G52"/>
    </row>
    <row r="53" spans="2:7" x14ac:dyDescent="0.3">
      <c r="B53"/>
      <c r="C53"/>
      <c r="E53"/>
      <c r="G53"/>
    </row>
    <row r="54" spans="2:7" x14ac:dyDescent="0.3">
      <c r="B54"/>
      <c r="C54"/>
      <c r="E54"/>
      <c r="G54"/>
    </row>
    <row r="55" spans="2:7" x14ac:dyDescent="0.3">
      <c r="B55"/>
      <c r="C55"/>
      <c r="E55"/>
      <c r="G55"/>
    </row>
    <row r="56" spans="2:7" x14ac:dyDescent="0.3">
      <c r="B56"/>
      <c r="C56"/>
      <c r="E56"/>
      <c r="G56"/>
    </row>
    <row r="57" spans="2:7" x14ac:dyDescent="0.3">
      <c r="B57"/>
      <c r="C57"/>
      <c r="E57"/>
      <c r="G57"/>
    </row>
    <row r="58" spans="2:7" x14ac:dyDescent="0.3">
      <c r="B58"/>
      <c r="C58"/>
      <c r="E58"/>
      <c r="G58"/>
    </row>
    <row r="59" spans="2:7" x14ac:dyDescent="0.3">
      <c r="B59"/>
      <c r="C59"/>
      <c r="E59"/>
      <c r="G59"/>
    </row>
    <row r="60" spans="2:7" x14ac:dyDescent="0.3">
      <c r="B60"/>
      <c r="C60"/>
      <c r="E60"/>
      <c r="G60"/>
    </row>
    <row r="61" spans="2:7" x14ac:dyDescent="0.3">
      <c r="B61"/>
      <c r="C61"/>
      <c r="E61"/>
      <c r="G61"/>
    </row>
    <row r="62" spans="2:7" x14ac:dyDescent="0.3">
      <c r="B62"/>
      <c r="C62"/>
      <c r="E62"/>
      <c r="G62"/>
    </row>
    <row r="63" spans="2:7" x14ac:dyDescent="0.3">
      <c r="B63"/>
      <c r="C63"/>
      <c r="E63"/>
      <c r="G63"/>
    </row>
    <row r="64" spans="2:7" x14ac:dyDescent="0.3">
      <c r="B64"/>
      <c r="C64"/>
      <c r="E64"/>
      <c r="G64"/>
    </row>
    <row r="65" spans="2:7" x14ac:dyDescent="0.3">
      <c r="B65"/>
      <c r="C65"/>
      <c r="E65"/>
      <c r="G65"/>
    </row>
    <row r="66" spans="2:7" x14ac:dyDescent="0.3">
      <c r="B66"/>
      <c r="C66"/>
      <c r="E66"/>
      <c r="G66"/>
    </row>
    <row r="67" spans="2:7" x14ac:dyDescent="0.3">
      <c r="B67"/>
      <c r="C67"/>
      <c r="E67"/>
      <c r="G67"/>
    </row>
    <row r="68" spans="2:7" x14ac:dyDescent="0.3">
      <c r="B68"/>
      <c r="C68"/>
      <c r="E68"/>
      <c r="G68"/>
    </row>
    <row r="69" spans="2:7" x14ac:dyDescent="0.3">
      <c r="B69"/>
      <c r="C69"/>
      <c r="E69"/>
      <c r="G69"/>
    </row>
    <row r="70" spans="2:7" x14ac:dyDescent="0.3">
      <c r="B70"/>
      <c r="C70"/>
      <c r="E70"/>
      <c r="G70"/>
    </row>
    <row r="71" spans="2:7" x14ac:dyDescent="0.3">
      <c r="B71"/>
      <c r="C71"/>
      <c r="E71"/>
      <c r="G71"/>
    </row>
    <row r="72" spans="2:7" x14ac:dyDescent="0.3">
      <c r="B72"/>
      <c r="C72"/>
      <c r="E72"/>
      <c r="G72"/>
    </row>
    <row r="73" spans="2:7" x14ac:dyDescent="0.3">
      <c r="B73"/>
      <c r="C73"/>
      <c r="E73"/>
      <c r="G73"/>
    </row>
    <row r="74" spans="2:7" x14ac:dyDescent="0.3">
      <c r="B74"/>
      <c r="C74"/>
      <c r="E74"/>
      <c r="G74"/>
    </row>
    <row r="75" spans="2:7" x14ac:dyDescent="0.3">
      <c r="B75"/>
      <c r="C75"/>
      <c r="E75"/>
      <c r="G75"/>
    </row>
    <row r="76" spans="2:7" x14ac:dyDescent="0.3">
      <c r="B76"/>
      <c r="C76"/>
      <c r="E76"/>
      <c r="G76"/>
    </row>
    <row r="77" spans="2:7" x14ac:dyDescent="0.3">
      <c r="B77"/>
      <c r="C77"/>
      <c r="E77"/>
      <c r="G77"/>
    </row>
    <row r="78" spans="2:7" x14ac:dyDescent="0.3">
      <c r="B78"/>
      <c r="C78"/>
      <c r="E78"/>
      <c r="G78"/>
    </row>
    <row r="79" spans="2:7" x14ac:dyDescent="0.3">
      <c r="B79"/>
      <c r="C79"/>
      <c r="E79"/>
      <c r="G79"/>
    </row>
    <row r="80" spans="2:7" x14ac:dyDescent="0.3">
      <c r="B80"/>
      <c r="C80"/>
      <c r="E80"/>
      <c r="G80"/>
    </row>
    <row r="81" spans="2:7" x14ac:dyDescent="0.3">
      <c r="B81"/>
      <c r="C81"/>
      <c r="E81"/>
      <c r="G81"/>
    </row>
    <row r="82" spans="2:7" x14ac:dyDescent="0.3">
      <c r="B82"/>
      <c r="C82"/>
      <c r="E82"/>
      <c r="G82"/>
    </row>
    <row r="83" spans="2:7" x14ac:dyDescent="0.3">
      <c r="B83"/>
      <c r="C83"/>
      <c r="E83"/>
      <c r="G83"/>
    </row>
    <row r="84" spans="2:7" x14ac:dyDescent="0.3">
      <c r="B84"/>
      <c r="C84"/>
      <c r="E84"/>
      <c r="G84"/>
    </row>
    <row r="85" spans="2:7" x14ac:dyDescent="0.3">
      <c r="B85"/>
      <c r="C85"/>
      <c r="E85"/>
      <c r="G85"/>
    </row>
    <row r="86" spans="2:7" x14ac:dyDescent="0.3">
      <c r="B86"/>
      <c r="C86"/>
      <c r="E86"/>
      <c r="G86"/>
    </row>
    <row r="87" spans="2:7" x14ac:dyDescent="0.3">
      <c r="B87"/>
      <c r="C87"/>
      <c r="E87"/>
      <c r="G87"/>
    </row>
    <row r="88" spans="2:7" x14ac:dyDescent="0.3">
      <c r="B88"/>
      <c r="C88"/>
      <c r="E88"/>
      <c r="G88"/>
    </row>
    <row r="89" spans="2:7" x14ac:dyDescent="0.3">
      <c r="B89"/>
      <c r="C89"/>
      <c r="E89"/>
      <c r="G89"/>
    </row>
    <row r="90" spans="2:7" x14ac:dyDescent="0.3">
      <c r="B90"/>
      <c r="C90"/>
      <c r="E90"/>
      <c r="G90"/>
    </row>
    <row r="91" spans="2:7" x14ac:dyDescent="0.3">
      <c r="B91"/>
      <c r="C91"/>
      <c r="E91"/>
      <c r="G91"/>
    </row>
    <row r="92" spans="2:7" x14ac:dyDescent="0.3">
      <c r="B92"/>
      <c r="C92"/>
      <c r="E92"/>
      <c r="G92"/>
    </row>
    <row r="93" spans="2:7" x14ac:dyDescent="0.3">
      <c r="B93"/>
      <c r="C93"/>
      <c r="E93"/>
      <c r="G93"/>
    </row>
    <row r="94" spans="2:7" x14ac:dyDescent="0.3">
      <c r="B94"/>
      <c r="C94"/>
      <c r="E94"/>
      <c r="G94"/>
    </row>
    <row r="95" spans="2:7" x14ac:dyDescent="0.3">
      <c r="B95"/>
      <c r="C95"/>
      <c r="E95"/>
      <c r="G95"/>
    </row>
    <row r="96" spans="2:7" x14ac:dyDescent="0.3">
      <c r="B96"/>
      <c r="C96"/>
      <c r="E96"/>
      <c r="G96"/>
    </row>
    <row r="97" spans="2:7" x14ac:dyDescent="0.3">
      <c r="B97"/>
      <c r="C97"/>
      <c r="E97"/>
      <c r="G97"/>
    </row>
    <row r="98" spans="2:7" x14ac:dyDescent="0.3">
      <c r="B98"/>
      <c r="C98"/>
      <c r="E98"/>
      <c r="G98"/>
    </row>
    <row r="99" spans="2:7" x14ac:dyDescent="0.3">
      <c r="B99"/>
      <c r="C99"/>
      <c r="E99"/>
      <c r="G99"/>
    </row>
    <row r="100" spans="2:7" x14ac:dyDescent="0.3">
      <c r="B100"/>
      <c r="C100"/>
      <c r="E100"/>
      <c r="G100"/>
    </row>
  </sheetData>
  <phoneticPr fontId="2"/>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naki_ready">
                <anchor moveWithCells="1" sizeWithCells="1">
                  <from>
                    <xdr:col>10</xdr:col>
                    <xdr:colOff>68580</xdr:colOff>
                    <xdr:row>2</xdr:row>
                    <xdr:rowOff>68580</xdr:rowOff>
                  </from>
                  <to>
                    <xdr:col>10</xdr:col>
                    <xdr:colOff>697230</xdr:colOff>
                    <xdr:row>3</xdr:row>
                    <xdr:rowOff>144780</xdr:rowOff>
                  </to>
                </anchor>
              </controlPr>
            </control>
          </mc:Choice>
        </mc:AlternateContent>
        <mc:AlternateContent xmlns:mc="http://schemas.openxmlformats.org/markup-compatibility/2006">
          <mc:Choice Requires="x14">
            <control shapeId="7171" r:id="rId5" name="Button 3">
              <controlPr defaultSize="0" print="0" autoFill="0" autoPict="0" macro="[0]!genkai">
                <anchor moveWithCells="1" sizeWithCells="1">
                  <from>
                    <xdr:col>10</xdr:col>
                    <xdr:colOff>68580</xdr:colOff>
                    <xdr:row>4</xdr:row>
                    <xdr:rowOff>57150</xdr:rowOff>
                  </from>
                  <to>
                    <xdr:col>10</xdr:col>
                    <xdr:colOff>697230</xdr:colOff>
                    <xdr:row>5</xdr:row>
                    <xdr:rowOff>133350</xdr:rowOff>
                  </to>
                </anchor>
              </controlPr>
            </control>
          </mc:Choice>
        </mc:AlternateContent>
        <mc:AlternateContent xmlns:mc="http://schemas.openxmlformats.org/markup-compatibility/2006">
          <mc:Choice Requires="x14">
            <control shapeId="7172" r:id="rId6" name="Button 4">
              <controlPr defaultSize="0" print="0" autoFill="0" autoPict="0" macro="[0]!gki_clear">
                <anchor moveWithCells="1" sizeWithCells="1">
                  <from>
                    <xdr:col>10</xdr:col>
                    <xdr:colOff>49530</xdr:colOff>
                    <xdr:row>6</xdr:row>
                    <xdr:rowOff>68580</xdr:rowOff>
                  </from>
                  <to>
                    <xdr:col>10</xdr:col>
                    <xdr:colOff>678180</xdr:colOff>
                    <xdr:row>7</xdr:row>
                    <xdr:rowOff>144780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3:L56"/>
  <sheetViews>
    <sheetView workbookViewId="0">
      <selection activeCell="L12" sqref="L12"/>
    </sheetView>
  </sheetViews>
  <sheetFormatPr defaultRowHeight="11.7" x14ac:dyDescent="0.3"/>
  <cols>
    <col min="1" max="1" width="2.703125" customWidth="1"/>
    <col min="2" max="9" width="9.703125" customWidth="1"/>
    <col min="10" max="12" width="10.703125" customWidth="1"/>
  </cols>
  <sheetData>
    <row r="3" spans="2:10" x14ac:dyDescent="0.3">
      <c r="B3" s="63" t="s">
        <v>24</v>
      </c>
      <c r="C3" s="63" t="s">
        <v>44</v>
      </c>
      <c r="D3" s="63" t="s">
        <v>45</v>
      </c>
      <c r="E3" s="63" t="s">
        <v>46</v>
      </c>
      <c r="F3" s="63" t="s">
        <v>47</v>
      </c>
      <c r="G3" s="63" t="s">
        <v>48</v>
      </c>
      <c r="H3" s="63" t="s">
        <v>49</v>
      </c>
      <c r="I3" s="63" t="s">
        <v>50</v>
      </c>
      <c r="J3" s="63" t="s">
        <v>51</v>
      </c>
    </row>
    <row r="4" spans="2:10" x14ac:dyDescent="0.3">
      <c r="B4" s="63"/>
      <c r="C4" s="65" t="s">
        <v>52</v>
      </c>
      <c r="D4" s="17" t="s">
        <v>34</v>
      </c>
      <c r="E4" s="17" t="s">
        <v>34</v>
      </c>
      <c r="F4" s="18" t="s">
        <v>53</v>
      </c>
      <c r="G4" s="63" t="s">
        <v>54</v>
      </c>
      <c r="H4" s="63" t="s">
        <v>55</v>
      </c>
      <c r="I4" s="8"/>
      <c r="J4" s="8"/>
    </row>
    <row r="5" spans="2:10" x14ac:dyDescent="0.3">
      <c r="B5" s="63"/>
      <c r="C5" s="9"/>
      <c r="D5" s="10"/>
      <c r="E5" s="9"/>
      <c r="F5" s="12"/>
      <c r="I5" s="8"/>
      <c r="J5" s="8"/>
    </row>
    <row r="6" spans="2:10" x14ac:dyDescent="0.3">
      <c r="B6" s="63"/>
      <c r="C6" s="9"/>
      <c r="D6" s="10"/>
      <c r="E6" s="9"/>
      <c r="F6" s="12"/>
      <c r="I6" s="8"/>
      <c r="J6" s="8"/>
    </row>
    <row r="7" spans="2:10" x14ac:dyDescent="0.3">
      <c r="B7" s="63">
        <v>8</v>
      </c>
      <c r="C7" s="20">
        <f>+重力式!S28</f>
        <v>19.990200000000002</v>
      </c>
      <c r="D7" s="10">
        <f>+C7/1000+D8</f>
        <v>0.13993440000000001</v>
      </c>
      <c r="E7" s="21">
        <f>+重力式!D28</f>
        <v>3.75</v>
      </c>
      <c r="F7" s="12">
        <f>+E7/(C7/1000)</f>
        <v>187.59192004081999</v>
      </c>
      <c r="G7" s="22">
        <f>+重力式!G28</f>
        <v>785.7</v>
      </c>
      <c r="H7" s="11">
        <f>+G7/9.80665</f>
        <v>80.119102853675827</v>
      </c>
      <c r="I7" s="8">
        <f>+D7*H7</f>
        <v>11.211418586367415</v>
      </c>
      <c r="J7" s="8">
        <f>+D7*I7</f>
        <v>1.5688631330321725</v>
      </c>
    </row>
    <row r="8" spans="2:10" x14ac:dyDescent="0.3">
      <c r="B8" s="63">
        <f t="shared" ref="B8:B13" si="0">IF(B7&gt;1,B7-1,"")</f>
        <v>7</v>
      </c>
      <c r="C8" s="20">
        <f>+重力式!S29</f>
        <v>18.357700000000001</v>
      </c>
      <c r="D8" s="10">
        <f t="shared" ref="D8:D12" si="1">+C8/1000+D9</f>
        <v>0.1199442</v>
      </c>
      <c r="E8" s="21">
        <f>+重力式!D29</f>
        <v>3.5</v>
      </c>
      <c r="F8" s="12">
        <f t="shared" ref="F8:F14" si="2">+E8/(C8/1000)</f>
        <v>190.65569216187211</v>
      </c>
      <c r="G8" s="22">
        <f>+重力式!G29</f>
        <v>624.4</v>
      </c>
      <c r="H8" s="11">
        <f t="shared" ref="H8:H14" si="3">+G8/9.80665</f>
        <v>63.671080338341838</v>
      </c>
      <c r="I8" s="8">
        <f t="shared" ref="I8:I14" si="4">+D8*H8</f>
        <v>7.6369767943181408</v>
      </c>
      <c r="J8" s="8">
        <f t="shared" ref="J8:J14" si="5">+D8*I8</f>
        <v>0.91601107201305398</v>
      </c>
    </row>
    <row r="9" spans="2:10" x14ac:dyDescent="0.3">
      <c r="B9" s="63">
        <f t="shared" si="0"/>
        <v>6</v>
      </c>
      <c r="C9" s="20">
        <f>+重力式!S30</f>
        <v>17.361899999999999</v>
      </c>
      <c r="D9" s="10">
        <f t="shared" si="1"/>
        <v>0.1015865</v>
      </c>
      <c r="E9" s="21">
        <f>+重力式!D30</f>
        <v>3.5</v>
      </c>
      <c r="F9" s="12">
        <f t="shared" si="2"/>
        <v>201.59083971224348</v>
      </c>
      <c r="G9" s="22">
        <f>+重力式!G30</f>
        <v>638.70000000000005</v>
      </c>
      <c r="H9" s="11">
        <f t="shared" si="3"/>
        <v>65.129274522900289</v>
      </c>
      <c r="I9" s="8">
        <f t="shared" si="4"/>
        <v>6.6162550463206102</v>
      </c>
      <c r="J9" s="8">
        <f t="shared" si="5"/>
        <v>0.67212219326304867</v>
      </c>
    </row>
    <row r="10" spans="2:10" x14ac:dyDescent="0.3">
      <c r="B10" s="63">
        <f t="shared" si="0"/>
        <v>5</v>
      </c>
      <c r="C10" s="20">
        <f>+重力式!S31</f>
        <v>16.529800000000002</v>
      </c>
      <c r="D10" s="10">
        <f t="shared" si="1"/>
        <v>8.4224599999999997E-2</v>
      </c>
      <c r="E10" s="21">
        <f>+重力式!D31</f>
        <v>3.5</v>
      </c>
      <c r="F10" s="12">
        <f t="shared" si="2"/>
        <v>211.73879901753196</v>
      </c>
      <c r="G10" s="22">
        <f>+重力式!G31</f>
        <v>645.70000000000005</v>
      </c>
      <c r="H10" s="11">
        <f t="shared" si="3"/>
        <v>65.843075871984837</v>
      </c>
      <c r="I10" s="8">
        <f t="shared" si="4"/>
        <v>5.5456067280875736</v>
      </c>
      <c r="J10" s="8">
        <f t="shared" si="5"/>
        <v>0.46707650843048465</v>
      </c>
    </row>
    <row r="11" spans="2:10" x14ac:dyDescent="0.3">
      <c r="B11" s="63">
        <f t="shared" si="0"/>
        <v>4</v>
      </c>
      <c r="C11" s="20">
        <f>+重力式!S32</f>
        <v>14.9068</v>
      </c>
      <c r="D11" s="10">
        <f t="shared" si="1"/>
        <v>6.7694799999999999E-2</v>
      </c>
      <c r="E11" s="21">
        <f>+重力式!D32</f>
        <v>3.5</v>
      </c>
      <c r="F11" s="12">
        <f t="shared" si="2"/>
        <v>234.79217538304664</v>
      </c>
      <c r="G11" s="22">
        <f>+重力式!G32</f>
        <v>652.29999999999995</v>
      </c>
      <c r="H11" s="11">
        <f t="shared" si="3"/>
        <v>66.51608857255026</v>
      </c>
      <c r="I11" s="8">
        <f t="shared" si="4"/>
        <v>4.5027933127010753</v>
      </c>
      <c r="J11" s="8">
        <f t="shared" si="5"/>
        <v>0.30481569274463677</v>
      </c>
    </row>
    <row r="12" spans="2:10" x14ac:dyDescent="0.3">
      <c r="B12" s="63">
        <f t="shared" si="0"/>
        <v>3</v>
      </c>
      <c r="C12" s="20">
        <f>+重力式!S33</f>
        <v>13.5319</v>
      </c>
      <c r="D12" s="10">
        <f t="shared" si="1"/>
        <v>5.2788000000000002E-2</v>
      </c>
      <c r="E12" s="21">
        <f>+重力式!D33</f>
        <v>3.5</v>
      </c>
      <c r="F12" s="12">
        <f t="shared" si="2"/>
        <v>258.64808341770191</v>
      </c>
      <c r="G12" s="22">
        <f>+重力式!G33</f>
        <v>678.1</v>
      </c>
      <c r="H12" s="11">
        <f t="shared" si="3"/>
        <v>69.146956402033325</v>
      </c>
      <c r="I12" s="8">
        <f t="shared" si="4"/>
        <v>3.6501295345505351</v>
      </c>
      <c r="J12" s="8">
        <f t="shared" si="5"/>
        <v>0.19268303786985366</v>
      </c>
    </row>
    <row r="13" spans="2:10" x14ac:dyDescent="0.3">
      <c r="B13" s="63">
        <f t="shared" si="0"/>
        <v>2</v>
      </c>
      <c r="C13" s="20">
        <f>+重力式!S34</f>
        <v>14.4864</v>
      </c>
      <c r="D13" s="10">
        <f>+C13/1000+D14</f>
        <v>3.9256100000000002E-2</v>
      </c>
      <c r="E13" s="21">
        <f>+重力式!D34</f>
        <v>3.5</v>
      </c>
      <c r="F13" s="12">
        <f t="shared" si="2"/>
        <v>241.6059200353435</v>
      </c>
      <c r="G13" s="22">
        <f>+重力式!G34</f>
        <v>687.3</v>
      </c>
      <c r="H13" s="11">
        <f t="shared" si="3"/>
        <v>70.085095317973014</v>
      </c>
      <c r="I13" s="8">
        <f t="shared" si="4"/>
        <v>2.7512675103118807</v>
      </c>
      <c r="J13" s="8">
        <f t="shared" si="5"/>
        <v>0.10800403251155423</v>
      </c>
    </row>
    <row r="14" spans="2:10" x14ac:dyDescent="0.3">
      <c r="B14" s="63">
        <f>IF(B13&gt;1,B13-1,0)</f>
        <v>1</v>
      </c>
      <c r="C14" s="20">
        <f>+重力式!S35</f>
        <v>24.7697</v>
      </c>
      <c r="D14" s="10">
        <f>+C14/1000</f>
        <v>2.4769699999999999E-2</v>
      </c>
      <c r="E14" s="21">
        <f>+重力式!D35</f>
        <v>5.3</v>
      </c>
      <c r="F14" s="12">
        <f t="shared" si="2"/>
        <v>213.9711017896866</v>
      </c>
      <c r="G14" s="22">
        <f>+重力式!G35</f>
        <v>782.7</v>
      </c>
      <c r="H14" s="11">
        <f t="shared" si="3"/>
        <v>79.813187989782449</v>
      </c>
      <c r="I14" s="8">
        <f t="shared" si="4"/>
        <v>1.9769487225505142</v>
      </c>
      <c r="J14" s="8">
        <f t="shared" si="5"/>
        <v>4.896842677295947E-2</v>
      </c>
    </row>
    <row r="15" spans="2:10" x14ac:dyDescent="0.3">
      <c r="C15" s="154">
        <f>SUM(C7:C14)</f>
        <v>139.93440000000001</v>
      </c>
      <c r="H15" s="11">
        <f>SUM(H7:H14)</f>
        <v>560.3238618692418</v>
      </c>
      <c r="I15" s="11">
        <f t="shared" ref="I15:J15" si="6">SUM(I7:I14)</f>
        <v>43.89139623520775</v>
      </c>
      <c r="J15" s="11">
        <f t="shared" si="6"/>
        <v>4.2785440966377646</v>
      </c>
    </row>
    <row r="17" spans="2:12" x14ac:dyDescent="0.3">
      <c r="C17" s="14" t="s">
        <v>56</v>
      </c>
      <c r="D17">
        <v>686.9</v>
      </c>
    </row>
    <row r="18" spans="2:12" x14ac:dyDescent="0.3">
      <c r="C18" t="s">
        <v>164</v>
      </c>
    </row>
    <row r="19" spans="2:12" x14ac:dyDescent="0.3">
      <c r="B19" s="156" t="s">
        <v>57</v>
      </c>
      <c r="C19" s="156" t="s">
        <v>58</v>
      </c>
      <c r="D19" s="149" t="s">
        <v>59</v>
      </c>
      <c r="E19" s="149"/>
      <c r="F19" s="156" t="s">
        <v>60</v>
      </c>
      <c r="G19" s="16">
        <f>+I15^2</f>
        <v>1926.454663476009</v>
      </c>
      <c r="H19" s="157" t="s">
        <v>60</v>
      </c>
      <c r="I19" s="155">
        <f>+G19/G20</f>
        <v>450.25939197164922</v>
      </c>
      <c r="J19" s="156" t="s">
        <v>55</v>
      </c>
    </row>
    <row r="20" spans="2:12" x14ac:dyDescent="0.3">
      <c r="B20" s="156"/>
      <c r="C20" s="156"/>
      <c r="D20" s="156" t="s">
        <v>61</v>
      </c>
      <c r="E20" s="156"/>
      <c r="F20" s="156"/>
      <c r="G20" s="13">
        <f>+J15</f>
        <v>4.2785440966377646</v>
      </c>
      <c r="H20" s="157"/>
      <c r="I20" s="155"/>
      <c r="J20" s="156"/>
    </row>
    <row r="22" spans="2:12" x14ac:dyDescent="0.3">
      <c r="D22" s="160"/>
      <c r="E22" s="160"/>
    </row>
    <row r="23" spans="2:12" x14ac:dyDescent="0.3">
      <c r="B23" s="160" t="s">
        <v>62</v>
      </c>
      <c r="C23" s="160" t="s">
        <v>63</v>
      </c>
      <c r="D23" s="161" t="s">
        <v>61</v>
      </c>
      <c r="E23" s="161"/>
      <c r="F23" s="160" t="s">
        <v>60</v>
      </c>
      <c r="G23" s="15">
        <f>+J15</f>
        <v>4.2785440966377646</v>
      </c>
      <c r="H23" s="162" t="s">
        <v>60</v>
      </c>
      <c r="I23" s="166">
        <f>+G23/G24</f>
        <v>9.748024587118749E-2</v>
      </c>
      <c r="J23" s="164" t="s">
        <v>34</v>
      </c>
      <c r="K23" s="165"/>
      <c r="L23" s="160"/>
    </row>
    <row r="24" spans="2:12" x14ac:dyDescent="0.3">
      <c r="B24" s="160"/>
      <c r="C24" s="160"/>
      <c r="D24" s="160" t="s">
        <v>64</v>
      </c>
      <c r="E24" s="160"/>
      <c r="F24" s="160"/>
      <c r="G24" s="13">
        <f>+I15</f>
        <v>43.89139623520775</v>
      </c>
      <c r="H24" s="162"/>
      <c r="I24" s="166"/>
      <c r="J24" s="164"/>
      <c r="K24" s="165"/>
      <c r="L24" s="160"/>
    </row>
    <row r="26" spans="2:12" x14ac:dyDescent="0.3">
      <c r="D26" s="14" t="s">
        <v>65</v>
      </c>
      <c r="E26">
        <f>I23/D17</f>
        <v>1.4191330014731038E-4</v>
      </c>
      <c r="G26" s="14" t="s">
        <v>66</v>
      </c>
      <c r="H26" s="13">
        <f>+(I19*E26)^0.5</f>
        <v>0.25278013418189754</v>
      </c>
    </row>
    <row r="28" spans="2:12" x14ac:dyDescent="0.3">
      <c r="H28" s="14" t="s">
        <v>67</v>
      </c>
      <c r="I28" s="19">
        <f>+H26*2*PI()</f>
        <v>1.5882644250385829</v>
      </c>
    </row>
    <row r="31" spans="2:12" x14ac:dyDescent="0.3">
      <c r="B31" s="63" t="s">
        <v>24</v>
      </c>
      <c r="C31" s="63" t="s">
        <v>44</v>
      </c>
      <c r="D31" s="63" t="s">
        <v>45</v>
      </c>
      <c r="E31" s="63" t="s">
        <v>46</v>
      </c>
      <c r="F31" s="63" t="s">
        <v>47</v>
      </c>
      <c r="G31" s="63" t="s">
        <v>48</v>
      </c>
      <c r="H31" s="63" t="s">
        <v>49</v>
      </c>
      <c r="I31" s="63" t="s">
        <v>50</v>
      </c>
      <c r="J31" s="63" t="s">
        <v>51</v>
      </c>
    </row>
    <row r="32" spans="2:12" x14ac:dyDescent="0.3">
      <c r="B32" s="63"/>
      <c r="C32" s="65" t="s">
        <v>52</v>
      </c>
      <c r="D32" s="17" t="s">
        <v>34</v>
      </c>
      <c r="E32" s="17" t="s">
        <v>34</v>
      </c>
      <c r="F32" s="18" t="s">
        <v>53</v>
      </c>
      <c r="G32" s="63" t="s">
        <v>54</v>
      </c>
      <c r="H32" s="63" t="s">
        <v>55</v>
      </c>
      <c r="I32" s="8"/>
      <c r="J32" s="8"/>
    </row>
    <row r="33" spans="2:10" x14ac:dyDescent="0.3">
      <c r="B33" s="63"/>
      <c r="C33" s="9"/>
      <c r="D33" s="10"/>
      <c r="E33" s="9"/>
      <c r="F33" s="12"/>
      <c r="I33" s="8"/>
      <c r="J33" s="8"/>
    </row>
    <row r="34" spans="2:10" x14ac:dyDescent="0.3">
      <c r="B34" s="63"/>
      <c r="C34" s="9"/>
      <c r="D34" s="10"/>
      <c r="E34" s="9"/>
      <c r="F34" s="12"/>
      <c r="I34" s="8"/>
      <c r="J34" s="8"/>
    </row>
    <row r="35" spans="2:10" x14ac:dyDescent="0.3">
      <c r="B35" s="63">
        <v>8</v>
      </c>
      <c r="C35" s="20">
        <f>+重力式!S47</f>
        <v>15.5783</v>
      </c>
      <c r="D35" s="10">
        <f>+C35/1000+D36</f>
        <v>0.1159394</v>
      </c>
      <c r="E35" s="9">
        <f>+E7</f>
        <v>3.75</v>
      </c>
      <c r="F35" s="12">
        <f>+E35/(C35/1000)</f>
        <v>240.71946232900893</v>
      </c>
      <c r="G35" s="11">
        <f>+G7</f>
        <v>785.7</v>
      </c>
      <c r="H35" s="11">
        <f>+G35/9.80665</f>
        <v>80.119102853675827</v>
      </c>
      <c r="I35" s="8">
        <f>+D35*H35</f>
        <v>9.2889607133934629</v>
      </c>
      <c r="J35" s="8">
        <f>+D35*I35</f>
        <v>1.0769565317344101</v>
      </c>
    </row>
    <row r="36" spans="2:10" x14ac:dyDescent="0.3">
      <c r="B36" s="63">
        <f t="shared" ref="B36:B41" si="7">IF(B35&gt;1,B35-1,"")</f>
        <v>7</v>
      </c>
      <c r="C36" s="20">
        <f>+重力式!S48</f>
        <v>14.861499999999999</v>
      </c>
      <c r="D36" s="10">
        <f t="shared" ref="D36:D40" si="8">+C36/1000+D37</f>
        <v>0.10036109999999999</v>
      </c>
      <c r="E36" s="9">
        <f t="shared" ref="E36:E42" si="9">+E8</f>
        <v>3.5</v>
      </c>
      <c r="F36" s="12">
        <f t="shared" ref="F36:F42" si="10">+E36/(C36/1000)</f>
        <v>235.50785586919221</v>
      </c>
      <c r="G36" s="11">
        <f t="shared" ref="G36:G42" si="11">+G8</f>
        <v>624.4</v>
      </c>
      <c r="H36" s="11">
        <f t="shared" ref="H36:H42" si="12">+G36/9.80665</f>
        <v>63.671080338341838</v>
      </c>
      <c r="I36" s="8">
        <f t="shared" ref="I36:I42" si="13">+D36*H36</f>
        <v>6.390099660944359</v>
      </c>
      <c r="J36" s="8">
        <f t="shared" ref="J36:J42" si="14">+D36*I36</f>
        <v>0.6413174310820029</v>
      </c>
    </row>
    <row r="37" spans="2:10" x14ac:dyDescent="0.3">
      <c r="B37" s="63">
        <f t="shared" si="7"/>
        <v>6</v>
      </c>
      <c r="C37" s="20">
        <f>+重力式!S49</f>
        <v>13.728</v>
      </c>
      <c r="D37" s="10">
        <f t="shared" si="8"/>
        <v>8.5499599999999995E-2</v>
      </c>
      <c r="E37" s="9">
        <f t="shared" si="9"/>
        <v>3.5</v>
      </c>
      <c r="F37" s="12">
        <f t="shared" si="10"/>
        <v>254.95337995337994</v>
      </c>
      <c r="G37" s="11">
        <f t="shared" si="11"/>
        <v>638.70000000000005</v>
      </c>
      <c r="H37" s="11">
        <f t="shared" si="12"/>
        <v>65.129274522900289</v>
      </c>
      <c r="I37" s="8">
        <f t="shared" si="13"/>
        <v>5.5685269199981651</v>
      </c>
      <c r="J37" s="8">
        <f t="shared" si="14"/>
        <v>0.47610682424907508</v>
      </c>
    </row>
    <row r="38" spans="2:10" x14ac:dyDescent="0.3">
      <c r="B38" s="63">
        <f t="shared" si="7"/>
        <v>5</v>
      </c>
      <c r="C38" s="20">
        <f>+重力式!S50</f>
        <v>13.347799999999999</v>
      </c>
      <c r="D38" s="10">
        <f t="shared" si="8"/>
        <v>7.1771599999999991E-2</v>
      </c>
      <c r="E38" s="9">
        <f t="shared" si="9"/>
        <v>3.5</v>
      </c>
      <c r="F38" s="12">
        <f t="shared" si="10"/>
        <v>262.21549618663749</v>
      </c>
      <c r="G38" s="11">
        <f t="shared" si="11"/>
        <v>645.70000000000005</v>
      </c>
      <c r="H38" s="11">
        <f t="shared" si="12"/>
        <v>65.843075871984837</v>
      </c>
      <c r="I38" s="8">
        <f t="shared" si="13"/>
        <v>4.7256629042537464</v>
      </c>
      <c r="J38" s="8">
        <f t="shared" si="14"/>
        <v>0.33916838769893815</v>
      </c>
    </row>
    <row r="39" spans="2:10" x14ac:dyDescent="0.3">
      <c r="B39" s="63">
        <f t="shared" si="7"/>
        <v>4</v>
      </c>
      <c r="C39" s="20">
        <f>+重力式!S51</f>
        <v>12.6417</v>
      </c>
      <c r="D39" s="10">
        <f t="shared" si="8"/>
        <v>5.8423799999999998E-2</v>
      </c>
      <c r="E39" s="9">
        <f t="shared" si="9"/>
        <v>3.5</v>
      </c>
      <c r="F39" s="12">
        <f t="shared" si="10"/>
        <v>276.86149805801432</v>
      </c>
      <c r="G39" s="11">
        <f t="shared" si="11"/>
        <v>652.29999999999995</v>
      </c>
      <c r="H39" s="11">
        <f t="shared" si="12"/>
        <v>66.51608857255026</v>
      </c>
      <c r="I39" s="8">
        <f t="shared" si="13"/>
        <v>3.8861226555449617</v>
      </c>
      <c r="J39" s="8">
        <f t="shared" si="14"/>
        <v>0.22704205280302772</v>
      </c>
    </row>
    <row r="40" spans="2:10" x14ac:dyDescent="0.3">
      <c r="B40" s="63">
        <f t="shared" si="7"/>
        <v>3</v>
      </c>
      <c r="C40" s="20">
        <f>+重力式!S52</f>
        <v>11.837999999999999</v>
      </c>
      <c r="D40" s="10">
        <f t="shared" si="8"/>
        <v>4.5782099999999999E-2</v>
      </c>
      <c r="E40" s="9">
        <f t="shared" si="9"/>
        <v>3.5</v>
      </c>
      <c r="F40" s="12">
        <f t="shared" si="10"/>
        <v>295.65805034634229</v>
      </c>
      <c r="G40" s="11">
        <f t="shared" si="11"/>
        <v>678.1</v>
      </c>
      <c r="H40" s="11">
        <f t="shared" si="12"/>
        <v>69.146956402033325</v>
      </c>
      <c r="I40" s="8">
        <f t="shared" si="13"/>
        <v>3.1656928726935298</v>
      </c>
      <c r="J40" s="8">
        <f t="shared" si="14"/>
        <v>0.14493206766694244</v>
      </c>
    </row>
    <row r="41" spans="2:10" x14ac:dyDescent="0.3">
      <c r="B41" s="63">
        <f t="shared" si="7"/>
        <v>2</v>
      </c>
      <c r="C41" s="20">
        <f>+重力式!S53</f>
        <v>12.218299999999999</v>
      </c>
      <c r="D41" s="10">
        <f>+C41/1000+D42</f>
        <v>3.3944099999999998E-2</v>
      </c>
      <c r="E41" s="9">
        <f t="shared" si="9"/>
        <v>3.5</v>
      </c>
      <c r="F41" s="12">
        <f t="shared" si="10"/>
        <v>286.45556255780264</v>
      </c>
      <c r="G41" s="11">
        <f t="shared" si="11"/>
        <v>687.3</v>
      </c>
      <c r="H41" s="11">
        <f t="shared" si="12"/>
        <v>70.085095317973014</v>
      </c>
      <c r="I41" s="8">
        <f t="shared" si="13"/>
        <v>2.3789754839828077</v>
      </c>
      <c r="J41" s="8">
        <f t="shared" si="14"/>
        <v>8.0752181725860822E-2</v>
      </c>
    </row>
    <row r="42" spans="2:10" x14ac:dyDescent="0.3">
      <c r="B42" s="63">
        <f>IF(B41&gt;1,B41-1,0)</f>
        <v>1</v>
      </c>
      <c r="C42" s="20">
        <f>+重力式!S54</f>
        <v>21.7258</v>
      </c>
      <c r="D42" s="10">
        <f>+C42/1000</f>
        <v>2.17258E-2</v>
      </c>
      <c r="E42" s="9">
        <f t="shared" si="9"/>
        <v>5.3</v>
      </c>
      <c r="F42" s="12">
        <f t="shared" si="10"/>
        <v>243.94958988851963</v>
      </c>
      <c r="G42" s="11">
        <f t="shared" si="11"/>
        <v>782.7</v>
      </c>
      <c r="H42" s="11">
        <f t="shared" si="12"/>
        <v>79.813187989782449</v>
      </c>
      <c r="I42" s="8">
        <f t="shared" si="13"/>
        <v>1.7340053596284155</v>
      </c>
      <c r="J42" s="8">
        <f t="shared" si="14"/>
        <v>3.7672653642215032E-2</v>
      </c>
    </row>
    <row r="43" spans="2:10" x14ac:dyDescent="0.3">
      <c r="H43" s="11">
        <f>SUM(H33:H42)</f>
        <v>560.3238618692418</v>
      </c>
      <c r="I43" s="8">
        <f>SUM(I32:I42)</f>
        <v>37.138046570439442</v>
      </c>
      <c r="J43" s="8">
        <f>SUM(J32:J42)</f>
        <v>3.0239481306024727</v>
      </c>
    </row>
    <row r="45" spans="2:10" x14ac:dyDescent="0.3">
      <c r="C45" s="14" t="s">
        <v>56</v>
      </c>
      <c r="D45">
        <v>686.9</v>
      </c>
    </row>
    <row r="47" spans="2:10" x14ac:dyDescent="0.3">
      <c r="B47" s="160" t="s">
        <v>57</v>
      </c>
      <c r="C47" s="160" t="s">
        <v>58</v>
      </c>
      <c r="D47" s="161" t="s">
        <v>59</v>
      </c>
      <c r="E47" s="161"/>
      <c r="F47" s="160" t="s">
        <v>60</v>
      </c>
      <c r="G47" s="16">
        <f>+I43^2</f>
        <v>1379.2345030681288</v>
      </c>
      <c r="H47" s="162" t="s">
        <v>60</v>
      </c>
      <c r="I47" s="163">
        <f>+G47/G48</f>
        <v>456.10388918719275</v>
      </c>
      <c r="J47" s="164" t="s">
        <v>55</v>
      </c>
    </row>
    <row r="48" spans="2:10" x14ac:dyDescent="0.3">
      <c r="B48" s="160"/>
      <c r="C48" s="160"/>
      <c r="D48" s="160" t="s">
        <v>61</v>
      </c>
      <c r="E48" s="160"/>
      <c r="F48" s="160"/>
      <c r="G48" s="13">
        <f>+J43</f>
        <v>3.0239481306024727</v>
      </c>
      <c r="H48" s="162"/>
      <c r="I48" s="163"/>
      <c r="J48" s="164"/>
    </row>
    <row r="50" spans="2:10" x14ac:dyDescent="0.3">
      <c r="D50" s="160"/>
      <c r="E50" s="160"/>
    </row>
    <row r="51" spans="2:10" x14ac:dyDescent="0.3">
      <c r="B51" s="160" t="s">
        <v>62</v>
      </c>
      <c r="C51" s="160" t="s">
        <v>63</v>
      </c>
      <c r="D51" s="161" t="s">
        <v>61</v>
      </c>
      <c r="E51" s="161"/>
      <c r="F51" s="160" t="s">
        <v>60</v>
      </c>
      <c r="G51" s="15">
        <f>+J43</f>
        <v>3.0239481306024727</v>
      </c>
      <c r="H51" s="162" t="s">
        <v>60</v>
      </c>
      <c r="I51" s="166">
        <f>+G51/G52</f>
        <v>8.142453386359387E-2</v>
      </c>
      <c r="J51" s="164" t="s">
        <v>34</v>
      </c>
    </row>
    <row r="52" spans="2:10" x14ac:dyDescent="0.3">
      <c r="B52" s="160"/>
      <c r="C52" s="160"/>
      <c r="D52" s="160" t="s">
        <v>64</v>
      </c>
      <c r="E52" s="160"/>
      <c r="F52" s="160"/>
      <c r="G52" s="13">
        <f>+I43</f>
        <v>37.138046570439442</v>
      </c>
      <c r="H52" s="162"/>
      <c r="I52" s="166"/>
      <c r="J52" s="164"/>
    </row>
    <row r="54" spans="2:10" x14ac:dyDescent="0.3">
      <c r="D54" s="14" t="s">
        <v>65</v>
      </c>
      <c r="E54">
        <f>I51/D45</f>
        <v>1.1853913795835474E-4</v>
      </c>
      <c r="G54" s="14" t="s">
        <v>66</v>
      </c>
      <c r="H54" s="13">
        <f>+(I47*E54)^0.5</f>
        <v>0.23252131481587399</v>
      </c>
    </row>
    <row r="56" spans="2:10" x14ac:dyDescent="0.3">
      <c r="H56" s="14" t="s">
        <v>67</v>
      </c>
      <c r="I56" s="19">
        <f>+H54*2*PI()</f>
        <v>1.4609745088571784</v>
      </c>
    </row>
  </sheetData>
  <mergeCells count="28">
    <mergeCell ref="D22:E22"/>
    <mergeCell ref="B23:B24"/>
    <mergeCell ref="C23:C24"/>
    <mergeCell ref="D23:E23"/>
    <mergeCell ref="F23:F24"/>
    <mergeCell ref="B51:B52"/>
    <mergeCell ref="C51:C52"/>
    <mergeCell ref="D51:E51"/>
    <mergeCell ref="F51:F52"/>
    <mergeCell ref="K23:K24"/>
    <mergeCell ref="H51:H52"/>
    <mergeCell ref="I51:I52"/>
    <mergeCell ref="J51:J52"/>
    <mergeCell ref="D52:E52"/>
    <mergeCell ref="D50:E50"/>
    <mergeCell ref="H23:H24"/>
    <mergeCell ref="I23:I24"/>
    <mergeCell ref="J23:J24"/>
    <mergeCell ref="L23:L24"/>
    <mergeCell ref="D24:E24"/>
    <mergeCell ref="B47:B48"/>
    <mergeCell ref="C47:C48"/>
    <mergeCell ref="D47:E47"/>
    <mergeCell ref="D48:E48"/>
    <mergeCell ref="F47:F48"/>
    <mergeCell ref="H47:H48"/>
    <mergeCell ref="I47:I48"/>
    <mergeCell ref="J47:J48"/>
  </mergeCells>
  <phoneticPr fontId="2"/>
  <pageMargins left="0.75" right="0.75" top="1" bottom="1" header="0.51200000000000001" footer="0.51200000000000001"/>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M58"/>
  <sheetViews>
    <sheetView topLeftCell="A13" workbookViewId="0">
      <selection activeCell="C15" sqref="C15"/>
    </sheetView>
  </sheetViews>
  <sheetFormatPr defaultRowHeight="11.7" x14ac:dyDescent="0.3"/>
  <cols>
    <col min="1" max="1" width="2.703125" customWidth="1"/>
    <col min="6" max="6" width="10.703125" bestFit="1" customWidth="1"/>
    <col min="9" max="9" width="9.29296875" customWidth="1"/>
  </cols>
  <sheetData>
    <row r="1" spans="1:13" x14ac:dyDescent="0.3">
      <c r="A1" s="23">
        <v>1</v>
      </c>
      <c r="B1" s="23">
        <f>1+A1</f>
        <v>2</v>
      </c>
      <c r="C1" s="23">
        <f t="shared" ref="C1:L1" si="0">1+B1</f>
        <v>3</v>
      </c>
      <c r="D1" s="23">
        <f t="shared" si="0"/>
        <v>4</v>
      </c>
      <c r="E1" s="23">
        <f t="shared" si="0"/>
        <v>5</v>
      </c>
      <c r="F1" s="23">
        <f t="shared" si="0"/>
        <v>6</v>
      </c>
      <c r="G1" s="23">
        <f t="shared" si="0"/>
        <v>7</v>
      </c>
      <c r="H1" s="23">
        <f t="shared" si="0"/>
        <v>8</v>
      </c>
      <c r="I1" s="23">
        <f t="shared" si="0"/>
        <v>9</v>
      </c>
      <c r="J1" s="23">
        <f t="shared" si="0"/>
        <v>10</v>
      </c>
      <c r="K1" s="23">
        <f t="shared" si="0"/>
        <v>11</v>
      </c>
      <c r="L1" s="23">
        <f t="shared" si="0"/>
        <v>12</v>
      </c>
    </row>
    <row r="2" spans="1:13" x14ac:dyDescent="0.3">
      <c r="A2" s="23"/>
      <c r="B2" s="23" t="s">
        <v>68</v>
      </c>
      <c r="C2" s="23"/>
      <c r="D2" s="23"/>
      <c r="E2" s="23"/>
      <c r="F2" s="23"/>
      <c r="G2" s="23"/>
      <c r="H2" s="23"/>
      <c r="I2" s="23" t="s">
        <v>69</v>
      </c>
      <c r="J2" s="23"/>
      <c r="K2" s="23"/>
      <c r="L2" s="23">
        <v>8</v>
      </c>
    </row>
    <row r="3" spans="1:13" x14ac:dyDescent="0.3">
      <c r="A3" s="23"/>
      <c r="B3" s="167" t="s">
        <v>70</v>
      </c>
      <c r="C3" s="167"/>
      <c r="D3" s="167"/>
      <c r="E3" s="167"/>
      <c r="F3" s="167"/>
      <c r="G3" s="167"/>
      <c r="H3" s="167"/>
      <c r="I3" s="167"/>
      <c r="J3" s="167"/>
      <c r="K3" s="23"/>
      <c r="L3" s="23"/>
    </row>
    <row r="4" spans="1:13" x14ac:dyDescent="0.3">
      <c r="A4" s="23"/>
      <c r="B4" s="167"/>
      <c r="C4" s="167"/>
      <c r="D4" s="167"/>
      <c r="E4" s="167"/>
      <c r="F4" s="167"/>
      <c r="G4" s="167"/>
      <c r="H4" s="167"/>
      <c r="I4" s="167"/>
      <c r="J4" s="167"/>
      <c r="K4" s="23"/>
      <c r="L4" s="23"/>
    </row>
    <row r="5" spans="1:13" x14ac:dyDescent="0.3">
      <c r="A5" s="23"/>
      <c r="B5" s="66"/>
      <c r="C5" s="66"/>
      <c r="D5" s="66"/>
      <c r="E5" s="66"/>
      <c r="F5" s="66"/>
      <c r="G5" s="66"/>
      <c r="H5" s="66"/>
      <c r="I5" s="66"/>
      <c r="J5" s="66"/>
      <c r="K5" s="23"/>
      <c r="L5" s="23"/>
    </row>
    <row r="6" spans="1:13" x14ac:dyDescent="0.3">
      <c r="A6" s="23"/>
      <c r="B6" s="24" t="s">
        <v>71</v>
      </c>
      <c r="C6" s="44">
        <v>0.8</v>
      </c>
      <c r="D6" s="23"/>
      <c r="E6" s="24" t="s">
        <v>72</v>
      </c>
      <c r="F6" s="44">
        <v>1.25</v>
      </c>
      <c r="G6" s="23"/>
      <c r="H6" s="24" t="s">
        <v>73</v>
      </c>
      <c r="I6" s="26">
        <f>+C6*C7*C8</f>
        <v>0.12288000000000002</v>
      </c>
      <c r="J6" s="24" t="s">
        <v>11</v>
      </c>
      <c r="K6" s="25">
        <v>8</v>
      </c>
      <c r="L6" s="23"/>
    </row>
    <row r="7" spans="1:13" x14ac:dyDescent="0.3">
      <c r="A7" s="23"/>
      <c r="B7" s="24" t="s">
        <v>74</v>
      </c>
      <c r="C7" s="27">
        <v>0.76800000000000002</v>
      </c>
      <c r="D7" s="23"/>
      <c r="E7" s="24" t="s">
        <v>75</v>
      </c>
      <c r="F7" s="44">
        <v>0.6</v>
      </c>
      <c r="G7" s="23"/>
      <c r="H7" s="23"/>
      <c r="I7" s="23"/>
      <c r="J7" s="23"/>
      <c r="K7" s="23"/>
      <c r="L7" s="23"/>
    </row>
    <row r="8" spans="1:13" x14ac:dyDescent="0.3">
      <c r="A8" s="23"/>
      <c r="B8" s="24" t="s">
        <v>76</v>
      </c>
      <c r="C8" s="44">
        <v>0.2</v>
      </c>
      <c r="D8" s="23"/>
      <c r="E8" s="24" t="s">
        <v>77</v>
      </c>
      <c r="F8" s="26">
        <f>2*F6/(1+3*F6)</f>
        <v>0.52631578947368418</v>
      </c>
      <c r="G8" s="23"/>
      <c r="H8" s="23"/>
      <c r="I8" s="23"/>
      <c r="J8" s="23"/>
      <c r="K8" s="23"/>
      <c r="L8" s="23"/>
    </row>
    <row r="9" spans="1:13" x14ac:dyDescent="0.3">
      <c r="A9" s="23"/>
      <c r="B9" s="24"/>
      <c r="C9" s="44"/>
      <c r="D9" s="23"/>
      <c r="E9" s="24"/>
      <c r="F9" s="26"/>
      <c r="G9" s="23"/>
      <c r="H9" s="23"/>
      <c r="I9" s="23"/>
      <c r="J9" s="23"/>
      <c r="K9" s="23"/>
      <c r="L9" s="23"/>
    </row>
    <row r="10" spans="1:13" x14ac:dyDescent="0.3">
      <c r="A10" s="23"/>
      <c r="B10" s="30" t="s">
        <v>24</v>
      </c>
      <c r="C10" s="30" t="s">
        <v>78</v>
      </c>
      <c r="D10" s="30" t="s">
        <v>79</v>
      </c>
      <c r="E10" s="30" t="s">
        <v>80</v>
      </c>
      <c r="F10" s="30" t="s">
        <v>81</v>
      </c>
      <c r="G10" s="30" t="s">
        <v>82</v>
      </c>
      <c r="H10" s="30" t="s">
        <v>83</v>
      </c>
      <c r="I10" s="30" t="s">
        <v>84</v>
      </c>
      <c r="J10" s="30" t="s">
        <v>85</v>
      </c>
      <c r="K10" s="30" t="s">
        <v>86</v>
      </c>
      <c r="L10" s="23"/>
      <c r="M10" s="23"/>
    </row>
    <row r="11" spans="1:13" x14ac:dyDescent="0.3">
      <c r="A11" s="23"/>
      <c r="B11" s="23"/>
      <c r="C11" s="48" t="s">
        <v>54</v>
      </c>
      <c r="D11" s="48" t="s">
        <v>54</v>
      </c>
      <c r="E11" s="48"/>
      <c r="F11" s="48"/>
      <c r="G11" s="48"/>
      <c r="H11" s="48" t="s">
        <v>54</v>
      </c>
      <c r="I11" s="48" t="s">
        <v>87</v>
      </c>
      <c r="J11" s="48" t="s">
        <v>34</v>
      </c>
      <c r="K11" s="48" t="s">
        <v>88</v>
      </c>
      <c r="L11" s="23"/>
      <c r="M11" s="23"/>
    </row>
    <row r="12" spans="1:13" x14ac:dyDescent="0.3">
      <c r="A12" s="23"/>
      <c r="B12" s="24">
        <v>8</v>
      </c>
      <c r="C12" s="45">
        <v>594.4</v>
      </c>
      <c r="D12" s="49">
        <v>594.4</v>
      </c>
      <c r="E12" s="50">
        <v>0.11517594171446287</v>
      </c>
      <c r="F12" s="50">
        <v>2.4902157951293127</v>
      </c>
      <c r="G12" s="50">
        <v>0.30599771690548994</v>
      </c>
      <c r="H12" s="51">
        <v>181.88504292862322</v>
      </c>
      <c r="I12" s="51">
        <v>272.82756439293485</v>
      </c>
      <c r="J12" s="52">
        <v>3.75</v>
      </c>
      <c r="K12" s="51">
        <v>954.89647537527196</v>
      </c>
      <c r="L12" s="23"/>
      <c r="M12" s="28">
        <f>SUM(H12:H19)</f>
        <v>3636.8798876178753</v>
      </c>
    </row>
    <row r="13" spans="1:13" x14ac:dyDescent="0.3">
      <c r="A13" s="23"/>
      <c r="B13" s="24">
        <v>7</v>
      </c>
      <c r="C13" s="45">
        <v>611</v>
      </c>
      <c r="D13" s="49">
        <v>1205.4000000000001</v>
      </c>
      <c r="E13" s="50">
        <v>0.23356843900170518</v>
      </c>
      <c r="F13" s="50">
        <v>1.9660979294043965</v>
      </c>
      <c r="G13" s="50">
        <v>0.24159411356521232</v>
      </c>
      <c r="H13" s="51">
        <v>291.21754449150694</v>
      </c>
      <c r="I13" s="51">
        <v>436.82631673726041</v>
      </c>
      <c r="J13" s="52">
        <v>3.5</v>
      </c>
      <c r="K13" s="51">
        <v>1528.8921085804113</v>
      </c>
      <c r="L13" s="23"/>
      <c r="M13" s="23"/>
    </row>
    <row r="14" spans="1:13" x14ac:dyDescent="0.3">
      <c r="A14" s="23"/>
      <c r="B14" s="24">
        <v>6</v>
      </c>
      <c r="C14" s="45">
        <v>617.20000000000005</v>
      </c>
      <c r="D14" s="49">
        <v>1822.6000000000001</v>
      </c>
      <c r="E14" s="50">
        <v>0.3531623004185398</v>
      </c>
      <c r="F14" s="50">
        <v>1.6997691983874064</v>
      </c>
      <c r="G14" s="50">
        <v>0.20886763909784453</v>
      </c>
      <c r="H14" s="51">
        <v>380.6821590197315</v>
      </c>
      <c r="I14" s="51">
        <v>571.02323852959728</v>
      </c>
      <c r="J14" s="52">
        <v>3.5</v>
      </c>
      <c r="K14" s="51">
        <v>1998.5813348535905</v>
      </c>
      <c r="L14" s="23"/>
      <c r="M14" s="23"/>
    </row>
    <row r="15" spans="1:13" x14ac:dyDescent="0.3">
      <c r="A15" s="23"/>
      <c r="B15" s="24">
        <v>5</v>
      </c>
      <c r="C15" s="45">
        <v>623.70000000000005</v>
      </c>
      <c r="D15" s="49">
        <v>2446.3000000000002</v>
      </c>
      <c r="E15" s="50">
        <v>0.47401565648736632</v>
      </c>
      <c r="F15" s="50">
        <v>1.5149697844149699</v>
      </c>
      <c r="G15" s="50">
        <v>0.18615948710891153</v>
      </c>
      <c r="H15" s="51">
        <v>455.40195331453032</v>
      </c>
      <c r="I15" s="51">
        <v>683.10292997179545</v>
      </c>
      <c r="J15" s="52">
        <v>3.5</v>
      </c>
      <c r="K15" s="51">
        <v>2390.860254901284</v>
      </c>
      <c r="L15" s="23"/>
      <c r="M15" s="23"/>
    </row>
    <row r="16" spans="1:13" x14ac:dyDescent="0.3">
      <c r="A16" s="23"/>
      <c r="B16" s="24">
        <v>4</v>
      </c>
      <c r="C16" s="45">
        <v>644.6</v>
      </c>
      <c r="D16" s="49">
        <v>3090.9</v>
      </c>
      <c r="E16" s="50">
        <v>0.59891877228336687</v>
      </c>
      <c r="F16" s="50">
        <v>1.3648634035579867</v>
      </c>
      <c r="G16" s="50">
        <v>0.16771441502920542</v>
      </c>
      <c r="H16" s="51">
        <v>518.38848541377104</v>
      </c>
      <c r="I16" s="51">
        <v>777.58272812065661</v>
      </c>
      <c r="J16" s="52">
        <v>3.5</v>
      </c>
      <c r="K16" s="51">
        <v>2721.5395484222981</v>
      </c>
      <c r="L16" s="23"/>
      <c r="M16" s="23"/>
    </row>
    <row r="17" spans="1:13" x14ac:dyDescent="0.3">
      <c r="A17" s="23"/>
      <c r="B17" s="24">
        <v>3</v>
      </c>
      <c r="C17" s="45">
        <v>650.4</v>
      </c>
      <c r="D17" s="49">
        <v>3741.3</v>
      </c>
      <c r="E17" s="50">
        <v>0.72494574484576035</v>
      </c>
      <c r="F17" s="50">
        <v>1.2365992847876568</v>
      </c>
      <c r="G17" s="50">
        <v>0.1519533201147073</v>
      </c>
      <c r="H17" s="51">
        <v>568.50295654515446</v>
      </c>
      <c r="I17" s="51">
        <v>852.75443481773164</v>
      </c>
      <c r="J17" s="52">
        <v>3.5</v>
      </c>
      <c r="K17" s="51">
        <v>2984.6405218620607</v>
      </c>
      <c r="L17" s="23"/>
      <c r="M17" s="23"/>
    </row>
    <row r="18" spans="1:13" x14ac:dyDescent="0.3">
      <c r="A18" s="23"/>
      <c r="B18" s="24">
        <v>2</v>
      </c>
      <c r="C18" s="45">
        <v>667.1</v>
      </c>
      <c r="D18" s="49">
        <v>4408.4000000000005</v>
      </c>
      <c r="E18" s="50">
        <v>0.85420864982173317</v>
      </c>
      <c r="F18" s="50">
        <v>1.1198780641973642</v>
      </c>
      <c r="G18" s="50">
        <v>0.13761061652857215</v>
      </c>
      <c r="H18" s="51">
        <v>606.64264190455754</v>
      </c>
      <c r="I18" s="51">
        <v>909.96396285683636</v>
      </c>
      <c r="J18" s="52">
        <v>3.5</v>
      </c>
      <c r="K18" s="51">
        <v>3184.8738699989271</v>
      </c>
      <c r="L18" s="23"/>
      <c r="M18" s="23"/>
    </row>
    <row r="19" spans="1:13" x14ac:dyDescent="0.3">
      <c r="A19" s="23"/>
      <c r="B19" s="24">
        <v>1</v>
      </c>
      <c r="C19" s="45">
        <v>752.4</v>
      </c>
      <c r="D19" s="49">
        <v>5160.8</v>
      </c>
      <c r="E19" s="50">
        <v>1</v>
      </c>
      <c r="F19" s="50">
        <v>1</v>
      </c>
      <c r="G19" s="50">
        <v>0.12288000000000002</v>
      </c>
      <c r="H19" s="51">
        <v>634.15910400000007</v>
      </c>
      <c r="I19" s="51">
        <v>951.23865600000011</v>
      </c>
      <c r="J19" s="52">
        <v>5.0999999999999996</v>
      </c>
      <c r="K19" s="51">
        <v>4851.3171456</v>
      </c>
      <c r="L19" s="23"/>
      <c r="M19" s="23"/>
    </row>
    <row r="20" spans="1:13" x14ac:dyDescent="0.3">
      <c r="A20" s="23"/>
      <c r="B20" s="24" t="s">
        <v>89</v>
      </c>
      <c r="C20" s="45">
        <v>3926.63</v>
      </c>
      <c r="D20" s="28"/>
      <c r="E20" s="29"/>
      <c r="F20" s="29"/>
      <c r="G20" s="47">
        <v>8.0000000000000016E-2</v>
      </c>
      <c r="H20" s="28">
        <v>314.13040000000007</v>
      </c>
      <c r="I20" s="53">
        <v>471.19560000000013</v>
      </c>
      <c r="J20" s="52">
        <v>3.5</v>
      </c>
      <c r="K20" s="54">
        <v>1649.1846000000005</v>
      </c>
      <c r="L20" s="23"/>
      <c r="M20" s="23"/>
    </row>
    <row r="21" spans="1:13" x14ac:dyDescent="0.3">
      <c r="A21" s="23"/>
      <c r="B21" s="23"/>
      <c r="C21" s="45"/>
      <c r="D21" s="28"/>
      <c r="E21" s="29"/>
      <c r="F21" s="29"/>
      <c r="G21" s="29"/>
      <c r="H21" s="28"/>
      <c r="I21" s="11"/>
      <c r="J21" s="46"/>
      <c r="K21" s="28">
        <v>22264.785859593801</v>
      </c>
      <c r="L21" s="28"/>
      <c r="M21" s="23"/>
    </row>
    <row r="22" spans="1:13" x14ac:dyDescent="0.3">
      <c r="A22" s="23"/>
      <c r="B22" s="23"/>
      <c r="C22" s="45"/>
      <c r="D22" s="28"/>
      <c r="E22" s="29"/>
      <c r="F22" s="29"/>
      <c r="G22" s="29"/>
      <c r="H22" s="28"/>
      <c r="I22" s="11"/>
      <c r="J22" s="46"/>
      <c r="K22" s="28"/>
      <c r="L22" s="23"/>
      <c r="M22" s="23"/>
    </row>
    <row r="23" spans="1:13" x14ac:dyDescent="0.3">
      <c r="A23" s="23"/>
      <c r="B23" s="23"/>
      <c r="C23" s="45"/>
      <c r="D23" s="28"/>
      <c r="E23" s="29"/>
      <c r="F23" s="29"/>
      <c r="G23" s="29"/>
      <c r="H23" s="28"/>
      <c r="I23" s="11"/>
      <c r="J23" s="46"/>
      <c r="K23" s="28"/>
      <c r="L23" s="23"/>
      <c r="M23" s="23"/>
    </row>
    <row r="24" spans="1:13" x14ac:dyDescent="0.3">
      <c r="A24" s="23"/>
      <c r="B24" s="23"/>
      <c r="C24" s="45"/>
      <c r="D24" s="28"/>
      <c r="E24" s="29"/>
      <c r="F24" s="29"/>
      <c r="G24" s="29"/>
      <c r="H24" s="28"/>
      <c r="I24" s="11"/>
      <c r="J24" s="46"/>
      <c r="K24" s="28"/>
      <c r="L24" s="23"/>
      <c r="M24" s="23"/>
    </row>
    <row r="25" spans="1:13" x14ac:dyDescent="0.3">
      <c r="A25" s="23"/>
      <c r="B25" s="23"/>
      <c r="C25" s="45"/>
      <c r="D25" s="28"/>
      <c r="E25" s="29"/>
      <c r="F25" s="29"/>
      <c r="G25" s="29"/>
      <c r="H25" s="28"/>
      <c r="I25" s="11"/>
      <c r="J25" s="46"/>
      <c r="K25" s="28"/>
      <c r="L25" s="23"/>
      <c r="M25" s="23"/>
    </row>
    <row r="26" spans="1:13" x14ac:dyDescent="0.3">
      <c r="A26" s="23"/>
      <c r="B26" s="23"/>
      <c r="C26" s="45"/>
      <c r="D26" s="28"/>
      <c r="E26" s="29"/>
      <c r="F26" s="29"/>
      <c r="G26" s="29"/>
      <c r="H26" s="28"/>
      <c r="I26" s="11"/>
      <c r="J26" s="46"/>
      <c r="K26" s="28"/>
      <c r="L26" s="23"/>
      <c r="M26" s="23"/>
    </row>
    <row r="27" spans="1:13" x14ac:dyDescent="0.3">
      <c r="A27" s="23"/>
      <c r="B27" s="23"/>
      <c r="C27" s="45"/>
      <c r="D27" s="28"/>
      <c r="E27" s="29"/>
      <c r="F27" s="29"/>
      <c r="G27" s="29"/>
      <c r="H27" s="28"/>
      <c r="I27" s="11"/>
      <c r="J27" s="46"/>
      <c r="K27" s="28"/>
      <c r="L27" s="23"/>
      <c r="M27" s="23"/>
    </row>
    <row r="28" spans="1:13" x14ac:dyDescent="0.3">
      <c r="A28" s="23"/>
      <c r="B28" s="23"/>
      <c r="C28" s="45"/>
      <c r="D28" s="28"/>
      <c r="E28" s="29"/>
      <c r="F28" s="29"/>
      <c r="G28" s="29"/>
      <c r="H28" s="28"/>
      <c r="I28" s="11"/>
      <c r="J28" s="46"/>
      <c r="K28" s="28"/>
      <c r="L28" s="23"/>
      <c r="M28" s="23"/>
    </row>
    <row r="29" spans="1:13" x14ac:dyDescent="0.3">
      <c r="A29" s="23"/>
      <c r="B29" s="24"/>
      <c r="C29" s="45"/>
      <c r="D29" s="28"/>
      <c r="E29" s="29"/>
      <c r="F29" s="29"/>
      <c r="G29" s="29"/>
      <c r="H29" s="28"/>
      <c r="I29" s="11"/>
      <c r="J29" s="46"/>
      <c r="K29" s="28"/>
      <c r="L29" s="23"/>
      <c r="M29" s="23"/>
    </row>
    <row r="30" spans="1:13" x14ac:dyDescent="0.3">
      <c r="A30" s="23"/>
      <c r="B30" s="23"/>
      <c r="C30" s="23"/>
      <c r="D30" s="23"/>
      <c r="E30" s="23"/>
      <c r="F30" s="23"/>
      <c r="G30" s="23"/>
      <c r="H30" s="23"/>
      <c r="I30" s="23"/>
      <c r="J30" s="24"/>
      <c r="K30" s="28"/>
      <c r="L30" s="23"/>
      <c r="M30" s="23"/>
    </row>
    <row r="31" spans="1:13" x14ac:dyDescent="0.3">
      <c r="A31" s="23"/>
      <c r="B31" s="23"/>
      <c r="C31" s="30" t="s">
        <v>90</v>
      </c>
      <c r="D31" s="30" t="s">
        <v>91</v>
      </c>
      <c r="E31" s="31" t="s">
        <v>92</v>
      </c>
      <c r="F31" s="23"/>
      <c r="G31" s="23"/>
      <c r="H31" s="23"/>
      <c r="I31" s="23"/>
      <c r="J31" s="23"/>
      <c r="K31" s="23"/>
      <c r="L31" s="23"/>
    </row>
    <row r="32" spans="1:13" x14ac:dyDescent="0.3">
      <c r="A32" s="23"/>
      <c r="B32" s="23" t="s">
        <v>93</v>
      </c>
      <c r="C32" s="30" t="s">
        <v>94</v>
      </c>
      <c r="D32" s="30" t="s">
        <v>95</v>
      </c>
      <c r="E32" s="30" t="s">
        <v>96</v>
      </c>
      <c r="F32" s="23"/>
      <c r="G32" s="30" t="s">
        <v>97</v>
      </c>
      <c r="H32" s="23"/>
      <c r="I32" s="23"/>
      <c r="J32" s="30"/>
      <c r="K32" s="23"/>
      <c r="L32" s="23"/>
    </row>
    <row r="33" spans="1:12" x14ac:dyDescent="0.3">
      <c r="A33" s="23"/>
      <c r="B33" s="23"/>
      <c r="C33" s="32">
        <v>6.3</v>
      </c>
      <c r="D33" s="32">
        <f>0.457+1.732/3-0.11</f>
        <v>0.92433333333333334</v>
      </c>
      <c r="E33" s="32">
        <f>+C33-D33*2</f>
        <v>4.4513333333333334</v>
      </c>
      <c r="F33" s="23"/>
      <c r="G33" s="33">
        <f>+K21/E33</f>
        <v>5001.8239912222107</v>
      </c>
      <c r="H33" s="33"/>
      <c r="I33" s="23"/>
      <c r="J33" s="34"/>
      <c r="K33" s="23"/>
      <c r="L33" s="23"/>
    </row>
    <row r="34" spans="1:12" x14ac:dyDescent="0.3">
      <c r="A34" s="23"/>
      <c r="B34" s="24"/>
      <c r="C34" s="30"/>
      <c r="D34" s="23"/>
      <c r="E34" s="23"/>
      <c r="F34" s="23"/>
      <c r="G34" s="23"/>
      <c r="H34" s="23"/>
      <c r="I34" s="23"/>
      <c r="J34" s="23"/>
      <c r="K34" s="33"/>
      <c r="L34" s="33"/>
    </row>
    <row r="35" spans="1:12" x14ac:dyDescent="0.3">
      <c r="A35" s="23"/>
      <c r="B35" s="24"/>
      <c r="C35" s="30"/>
      <c r="D35" s="23"/>
      <c r="E35" s="23"/>
      <c r="F35" s="30" t="s">
        <v>98</v>
      </c>
      <c r="G35" s="30" t="s">
        <v>99</v>
      </c>
      <c r="H35" s="30" t="s">
        <v>100</v>
      </c>
      <c r="I35" s="23" t="s">
        <v>101</v>
      </c>
      <c r="J35" s="30"/>
      <c r="K35" s="33"/>
      <c r="L35" s="33"/>
    </row>
    <row r="36" spans="1:12" x14ac:dyDescent="0.3">
      <c r="A36" s="23"/>
      <c r="B36" s="23"/>
      <c r="C36" s="24" t="s">
        <v>102</v>
      </c>
      <c r="D36" s="30" t="s">
        <v>103</v>
      </c>
      <c r="E36" s="23" t="s">
        <v>104</v>
      </c>
      <c r="F36" s="35">
        <v>1669</v>
      </c>
      <c r="G36" s="35">
        <v>1675</v>
      </c>
      <c r="H36" s="35">
        <v>1473</v>
      </c>
      <c r="I36" s="35">
        <f>SUM(F36:H36)</f>
        <v>4817</v>
      </c>
      <c r="J36" s="30"/>
      <c r="K36" s="33"/>
      <c r="L36" s="33"/>
    </row>
    <row r="37" spans="1:12" x14ac:dyDescent="0.3">
      <c r="A37" s="23"/>
      <c r="B37" s="23"/>
      <c r="C37" s="24" t="s">
        <v>105</v>
      </c>
      <c r="D37" s="30" t="s">
        <v>106</v>
      </c>
      <c r="E37" s="35" t="s">
        <v>104</v>
      </c>
      <c r="F37" s="35">
        <v>1668</v>
      </c>
      <c r="G37" s="35">
        <v>1674</v>
      </c>
      <c r="H37" s="23">
        <v>1472</v>
      </c>
      <c r="I37" s="35">
        <f>SUM(F37:H37)</f>
        <v>4814</v>
      </c>
      <c r="J37" s="30"/>
      <c r="K37" s="33"/>
      <c r="L37" s="33"/>
    </row>
    <row r="38" spans="1:12" x14ac:dyDescent="0.3">
      <c r="A38" s="23"/>
      <c r="B38" s="23"/>
      <c r="C38" s="23"/>
      <c r="D38" s="23"/>
      <c r="E38" s="23"/>
      <c r="F38" s="30"/>
      <c r="G38" s="30"/>
      <c r="H38" s="30"/>
      <c r="I38" s="23"/>
      <c r="J38" s="30"/>
      <c r="K38" s="33"/>
      <c r="L38" s="33"/>
    </row>
    <row r="39" spans="1:12" x14ac:dyDescent="0.3">
      <c r="A39" s="23"/>
      <c r="B39" s="23"/>
      <c r="C39" s="23"/>
      <c r="D39" s="23"/>
      <c r="E39" s="23"/>
      <c r="F39" s="30"/>
      <c r="G39" s="30"/>
      <c r="H39" s="30"/>
      <c r="I39" s="23"/>
      <c r="J39" s="30"/>
      <c r="K39" s="33"/>
      <c r="L39" s="33"/>
    </row>
    <row r="40" spans="1:12" x14ac:dyDescent="0.3">
      <c r="A40" s="23"/>
      <c r="B40" s="23"/>
      <c r="C40" s="23"/>
      <c r="D40" s="23"/>
      <c r="E40" s="23"/>
      <c r="F40" s="23"/>
      <c r="G40" s="23"/>
      <c r="H40" s="23"/>
      <c r="I40" s="23"/>
      <c r="J40" s="30"/>
      <c r="K40" s="33"/>
      <c r="L40" s="33"/>
    </row>
    <row r="41" spans="1:12" x14ac:dyDescent="0.3">
      <c r="A41" s="23"/>
      <c r="B41" s="23"/>
      <c r="C41" s="23"/>
      <c r="D41" s="23"/>
      <c r="E41" s="23"/>
      <c r="F41" s="23"/>
      <c r="G41" s="23"/>
      <c r="H41" s="23"/>
      <c r="I41" s="23"/>
      <c r="J41" s="30"/>
      <c r="K41" s="33"/>
      <c r="L41" s="33"/>
    </row>
    <row r="42" spans="1:12" x14ac:dyDescent="0.3">
      <c r="A42" s="23"/>
      <c r="B42" s="23"/>
      <c r="C42" s="23"/>
      <c r="D42" s="23"/>
      <c r="E42" s="23"/>
      <c r="F42" s="23"/>
      <c r="G42" s="23"/>
      <c r="H42" s="23"/>
      <c r="I42" s="30"/>
      <c r="J42" s="30"/>
      <c r="K42" s="33"/>
      <c r="L42" s="33"/>
    </row>
    <row r="43" spans="1:12" x14ac:dyDescent="0.3">
      <c r="A43" s="23"/>
      <c r="B43" s="23"/>
      <c r="C43" s="23"/>
      <c r="D43" s="23"/>
      <c r="E43" s="23"/>
      <c r="F43" s="23"/>
      <c r="G43" s="28"/>
      <c r="H43" s="23"/>
      <c r="I43" s="30"/>
      <c r="J43" s="30"/>
      <c r="K43" s="33"/>
      <c r="L43" s="33"/>
    </row>
    <row r="44" spans="1:12" x14ac:dyDescent="0.3">
      <c r="A44" s="23"/>
      <c r="B44" s="23"/>
      <c r="C44" s="23"/>
      <c r="D44" s="23"/>
      <c r="E44" s="23"/>
      <c r="F44" s="23"/>
      <c r="G44" s="28"/>
      <c r="H44" s="23"/>
      <c r="I44" s="30"/>
      <c r="J44" s="30"/>
      <c r="K44" s="33"/>
      <c r="L44" s="33"/>
    </row>
    <row r="45" spans="1:12" x14ac:dyDescent="0.3">
      <c r="A45" s="23"/>
      <c r="B45" s="23"/>
      <c r="C45" s="23"/>
      <c r="D45" s="23"/>
      <c r="E45" s="23"/>
      <c r="F45" s="23"/>
      <c r="G45" s="28"/>
      <c r="H45" s="23"/>
      <c r="I45" s="30"/>
      <c r="J45" s="30"/>
      <c r="K45" s="33"/>
      <c r="L45" s="33"/>
    </row>
    <row r="46" spans="1:12" x14ac:dyDescent="0.3">
      <c r="A46" s="23"/>
      <c r="B46" s="23"/>
      <c r="C46" s="36"/>
      <c r="D46" s="37"/>
      <c r="E46" s="38"/>
      <c r="F46" s="168" t="s">
        <v>107</v>
      </c>
      <c r="G46" s="169"/>
      <c r="H46" s="170" t="s">
        <v>108</v>
      </c>
      <c r="I46" s="171"/>
      <c r="J46" s="30"/>
      <c r="K46" s="33"/>
      <c r="L46" s="33"/>
    </row>
    <row r="47" spans="1:12" x14ac:dyDescent="0.3">
      <c r="A47" s="23"/>
      <c r="B47" s="23"/>
      <c r="C47" s="36"/>
      <c r="D47" s="39" t="s">
        <v>109</v>
      </c>
      <c r="E47" s="68" t="s">
        <v>110</v>
      </c>
      <c r="F47" s="36"/>
      <c r="G47" s="40">
        <f>+G33*-1</f>
        <v>-5001.8239912222107</v>
      </c>
      <c r="H47" s="36"/>
      <c r="I47" s="40">
        <f>+G33</f>
        <v>5001.8239912222107</v>
      </c>
      <c r="J47" s="30"/>
      <c r="K47" s="33"/>
      <c r="L47" s="33"/>
    </row>
    <row r="48" spans="1:12" x14ac:dyDescent="0.3">
      <c r="A48" s="23"/>
      <c r="B48" s="23"/>
      <c r="C48" s="36"/>
      <c r="D48" s="39" t="s">
        <v>111</v>
      </c>
      <c r="E48" s="68" t="s">
        <v>104</v>
      </c>
      <c r="F48" s="36"/>
      <c r="G48" s="40">
        <f>MIN(I36:I37)</f>
        <v>4814</v>
      </c>
      <c r="H48" s="36"/>
      <c r="I48" s="40">
        <f>+MAX(I36:I37)</f>
        <v>4817</v>
      </c>
      <c r="J48" s="30"/>
      <c r="K48" s="33"/>
      <c r="L48" s="33"/>
    </row>
    <row r="49" spans="1:12" x14ac:dyDescent="0.3">
      <c r="A49" s="23"/>
      <c r="B49" s="23"/>
      <c r="C49" s="36"/>
      <c r="D49" s="39" t="s">
        <v>112</v>
      </c>
      <c r="E49" s="68" t="s">
        <v>113</v>
      </c>
      <c r="F49" s="36"/>
      <c r="G49" s="40">
        <f>+G47+G48</f>
        <v>-187.82399122221068</v>
      </c>
      <c r="H49" s="36"/>
      <c r="I49" s="40">
        <f>+I47+I48</f>
        <v>9818.8239912222107</v>
      </c>
      <c r="J49" s="30"/>
      <c r="K49" s="33"/>
      <c r="L49" s="33"/>
    </row>
    <row r="50" spans="1:12" x14ac:dyDescent="0.3">
      <c r="A50" s="23"/>
      <c r="B50" s="23"/>
      <c r="C50" s="36"/>
      <c r="D50" s="39" t="s">
        <v>114</v>
      </c>
      <c r="E50" s="68" t="s">
        <v>115</v>
      </c>
      <c r="F50" s="36"/>
      <c r="G50" s="40">
        <v>9</v>
      </c>
      <c r="H50" s="67"/>
      <c r="I50" s="40">
        <f>+G50</f>
        <v>9</v>
      </c>
      <c r="J50" s="30"/>
      <c r="K50" s="33"/>
      <c r="L50" s="33"/>
    </row>
    <row r="51" spans="1:12" x14ac:dyDescent="0.3">
      <c r="A51" s="23"/>
      <c r="B51" s="23"/>
      <c r="C51" s="36"/>
      <c r="D51" s="39" t="s">
        <v>116</v>
      </c>
      <c r="E51" s="68" t="s">
        <v>117</v>
      </c>
      <c r="F51" s="36"/>
      <c r="G51" s="40">
        <f>+G49/G50</f>
        <v>-20.86933235802341</v>
      </c>
      <c r="H51" s="36"/>
      <c r="I51" s="41">
        <f>+I49/I50</f>
        <v>1090.9804434691346</v>
      </c>
      <c r="J51" s="30"/>
      <c r="K51" s="33"/>
      <c r="L51" s="33"/>
    </row>
    <row r="52" spans="1:12" x14ac:dyDescent="0.3">
      <c r="A52" s="23"/>
      <c r="B52" s="23"/>
      <c r="C52" s="36"/>
      <c r="D52" s="39" t="s">
        <v>118</v>
      </c>
      <c r="E52" s="38"/>
      <c r="F52" s="36"/>
      <c r="G52" s="38">
        <v>350</v>
      </c>
      <c r="H52" s="42"/>
      <c r="I52" s="38">
        <v>1500</v>
      </c>
      <c r="J52" s="23"/>
      <c r="K52" s="23"/>
      <c r="L52" s="28"/>
    </row>
    <row r="53" spans="1:12" x14ac:dyDescent="0.3">
      <c r="A53" s="23"/>
      <c r="B53" s="23"/>
      <c r="C53" s="36"/>
      <c r="D53" s="39" t="s">
        <v>119</v>
      </c>
      <c r="E53" s="43"/>
      <c r="F53" s="36"/>
      <c r="G53" s="68" t="str">
        <f>IF(G52&gt;G51,"OK","NG")</f>
        <v>OK</v>
      </c>
      <c r="H53" s="67"/>
      <c r="I53" s="68" t="str">
        <f>IF(I52&gt;I51,"OK","NG")</f>
        <v>OK</v>
      </c>
      <c r="J53" s="23"/>
      <c r="K53" s="23"/>
      <c r="L53" s="23"/>
    </row>
    <row r="54" spans="1:12" x14ac:dyDescent="0.3">
      <c r="A54" s="23"/>
      <c r="B54" s="23"/>
      <c r="C54" s="25"/>
      <c r="D54" s="25"/>
      <c r="E54" s="23"/>
      <c r="F54" s="23"/>
      <c r="G54" s="23"/>
      <c r="H54" s="23"/>
      <c r="I54" s="23"/>
      <c r="J54" s="23"/>
      <c r="K54" s="23"/>
      <c r="L54" s="23"/>
    </row>
    <row r="55" spans="1:12" x14ac:dyDescent="0.3">
      <c r="A55" s="23"/>
      <c r="B55" s="23"/>
      <c r="C55" s="25"/>
      <c r="D55" s="25"/>
      <c r="E55" s="23"/>
      <c r="F55" s="23"/>
      <c r="G55" s="23"/>
      <c r="H55" s="23"/>
      <c r="I55" s="23"/>
      <c r="J55" s="23"/>
      <c r="K55" s="23"/>
      <c r="L55" s="23"/>
    </row>
    <row r="56" spans="1:12" x14ac:dyDescent="0.3">
      <c r="A56" s="23"/>
      <c r="B56" s="23"/>
      <c r="C56" s="25"/>
      <c r="D56" s="25"/>
      <c r="E56" s="23"/>
      <c r="F56" s="23"/>
      <c r="G56" s="23"/>
      <c r="H56" s="23"/>
      <c r="I56" s="23"/>
      <c r="J56" s="23"/>
      <c r="K56" s="23"/>
      <c r="L56" s="23"/>
    </row>
    <row r="57" spans="1:12" x14ac:dyDescent="0.3">
      <c r="A57" s="23"/>
      <c r="B57" s="23"/>
      <c r="C57" s="23"/>
      <c r="D57" s="23"/>
      <c r="E57" s="23"/>
      <c r="F57" s="23"/>
      <c r="G57" s="23"/>
      <c r="H57" s="23"/>
      <c r="I57" s="23"/>
      <c r="J57" s="23"/>
      <c r="K57" s="23"/>
      <c r="L57" s="23"/>
    </row>
    <row r="58" spans="1:12" x14ac:dyDescent="0.3">
      <c r="A58" s="23"/>
      <c r="B58" s="23"/>
      <c r="C58" s="23"/>
      <c r="D58" s="23"/>
      <c r="E58" s="23"/>
      <c r="F58" s="23"/>
      <c r="G58" s="23"/>
      <c r="H58" s="23"/>
      <c r="I58" s="23"/>
      <c r="J58" s="23"/>
      <c r="K58" s="23"/>
      <c r="L58" s="23"/>
    </row>
  </sheetData>
  <mergeCells count="3">
    <mergeCell ref="B3:J4"/>
    <mergeCell ref="F46:G46"/>
    <mergeCell ref="H46:I46"/>
  </mergeCells>
  <phoneticPr fontId="2"/>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4:L33"/>
  <sheetViews>
    <sheetView workbookViewId="0">
      <selection activeCell="D12" sqref="D12"/>
    </sheetView>
  </sheetViews>
  <sheetFormatPr defaultRowHeight="11.7" x14ac:dyDescent="0.3"/>
  <cols>
    <col min="7" max="7" width="10.703125" bestFit="1" customWidth="1"/>
  </cols>
  <sheetData>
    <row r="4" spans="2:10" x14ac:dyDescent="0.3">
      <c r="C4" s="63" t="s">
        <v>44</v>
      </c>
      <c r="D4" s="63" t="s">
        <v>45</v>
      </c>
      <c r="E4" s="63" t="s">
        <v>46</v>
      </c>
      <c r="F4" s="63" t="s">
        <v>47</v>
      </c>
      <c r="G4" s="63" t="s">
        <v>49</v>
      </c>
      <c r="H4" s="63" t="s">
        <v>49</v>
      </c>
      <c r="I4" s="160" t="s">
        <v>50</v>
      </c>
      <c r="J4" s="160" t="s">
        <v>125</v>
      </c>
    </row>
    <row r="5" spans="2:10" x14ac:dyDescent="0.3">
      <c r="B5" s="63" t="s">
        <v>24</v>
      </c>
      <c r="C5" s="63" t="s">
        <v>34</v>
      </c>
      <c r="D5" s="63" t="s">
        <v>34</v>
      </c>
      <c r="E5" s="63" t="s">
        <v>34</v>
      </c>
      <c r="F5" s="63" t="s">
        <v>53</v>
      </c>
      <c r="G5" s="63" t="s">
        <v>54</v>
      </c>
      <c r="H5" s="63" t="s">
        <v>55</v>
      </c>
      <c r="I5" s="160"/>
      <c r="J5" s="160"/>
    </row>
    <row r="11" spans="2:10" x14ac:dyDescent="0.3">
      <c r="B11">
        <v>6</v>
      </c>
      <c r="C11" s="9">
        <f>+重力式!S30/100</f>
        <v>0.173619</v>
      </c>
      <c r="D11" s="10">
        <f>+D12+C11</f>
        <v>1.015865</v>
      </c>
      <c r="E11" s="9">
        <f>+重力式!D30</f>
        <v>3.5</v>
      </c>
      <c r="F11" s="12">
        <f t="shared" ref="F11:F16" si="0">+E11/C11</f>
        <v>20.159083971224348</v>
      </c>
      <c r="G11" s="11">
        <f>+重力式!G30</f>
        <v>638.70000000000005</v>
      </c>
      <c r="H11" s="11">
        <f t="shared" ref="H11:H16" si="1">G11/9.80665</f>
        <v>65.129274522900289</v>
      </c>
      <c r="I11" s="8">
        <f t="shared" ref="I11:I16" si="2">+D11*H11</f>
        <v>66.162550463206102</v>
      </c>
      <c r="J11" s="8">
        <f t="shared" ref="J11:J16" si="3">+D11*I11</f>
        <v>67.212219326304862</v>
      </c>
    </row>
    <row r="12" spans="2:10" x14ac:dyDescent="0.3">
      <c r="B12">
        <f>IF(B11&gt;1,B11-1,"")</f>
        <v>5</v>
      </c>
      <c r="C12" s="9">
        <f>+重力式!S31/100</f>
        <v>0.16529800000000003</v>
      </c>
      <c r="D12" s="10">
        <f>+D13+C12</f>
        <v>0.84224600000000005</v>
      </c>
      <c r="E12" s="9">
        <f>+重力式!D31</f>
        <v>3.5</v>
      </c>
      <c r="F12" s="12">
        <f t="shared" si="0"/>
        <v>21.173879901753192</v>
      </c>
      <c r="G12" s="11">
        <f>+重力式!G31</f>
        <v>645.70000000000005</v>
      </c>
      <c r="H12" s="11">
        <f t="shared" si="1"/>
        <v>65.843075871984837</v>
      </c>
      <c r="I12" s="8">
        <f t="shared" si="2"/>
        <v>55.456067280875743</v>
      </c>
      <c r="J12" s="8">
        <f t="shared" si="3"/>
        <v>46.707650843048476</v>
      </c>
    </row>
    <row r="13" spans="2:10" x14ac:dyDescent="0.3">
      <c r="B13">
        <f>IF(B12&gt;1,B12-1,"")</f>
        <v>4</v>
      </c>
      <c r="C13" s="9">
        <f>+重力式!S32/100</f>
        <v>0.14906800000000001</v>
      </c>
      <c r="D13" s="10">
        <f>+D14+C13</f>
        <v>0.67694799999999999</v>
      </c>
      <c r="E13" s="9">
        <f>+重力式!D32</f>
        <v>3.5</v>
      </c>
      <c r="F13" s="12">
        <f t="shared" si="0"/>
        <v>23.479217538304667</v>
      </c>
      <c r="G13" s="11">
        <f>+重力式!G32</f>
        <v>652.29999999999995</v>
      </c>
      <c r="H13" s="11">
        <f t="shared" si="1"/>
        <v>66.51608857255026</v>
      </c>
      <c r="I13" s="8">
        <f t="shared" si="2"/>
        <v>45.027933127010755</v>
      </c>
      <c r="J13" s="8">
        <f t="shared" si="3"/>
        <v>30.481569274463677</v>
      </c>
    </row>
    <row r="14" spans="2:10" x14ac:dyDescent="0.3">
      <c r="B14">
        <f>IF(B13&gt;1,B13-1,"")</f>
        <v>3</v>
      </c>
      <c r="C14" s="9">
        <f>+重力式!S33/100</f>
        <v>0.13531899999999999</v>
      </c>
      <c r="D14" s="10">
        <f>+D15+C14</f>
        <v>0.52788000000000002</v>
      </c>
      <c r="E14" s="9">
        <f>+重力式!D33</f>
        <v>3.5</v>
      </c>
      <c r="F14" s="12">
        <f t="shared" si="0"/>
        <v>25.864808341770189</v>
      </c>
      <c r="G14" s="11">
        <f>+重力式!G33</f>
        <v>678.1</v>
      </c>
      <c r="H14" s="11">
        <f t="shared" si="1"/>
        <v>69.146956402033325</v>
      </c>
      <c r="I14" s="8">
        <f t="shared" si="2"/>
        <v>36.501295345505355</v>
      </c>
      <c r="J14" s="8">
        <f t="shared" si="3"/>
        <v>19.268303786985367</v>
      </c>
    </row>
    <row r="15" spans="2:10" x14ac:dyDescent="0.3">
      <c r="B15">
        <f>IF(B14&gt;1,B14-1,"")</f>
        <v>2</v>
      </c>
      <c r="C15" s="9">
        <f>+重力式!S34/100</f>
        <v>0.14486399999999999</v>
      </c>
      <c r="D15" s="10">
        <f>+D16+C15</f>
        <v>0.39256099999999999</v>
      </c>
      <c r="E15" s="9">
        <f>+重力式!D34</f>
        <v>3.5</v>
      </c>
      <c r="F15" s="12">
        <f t="shared" si="0"/>
        <v>24.160592003534351</v>
      </c>
      <c r="G15" s="11">
        <f>+重力式!G34</f>
        <v>687.3</v>
      </c>
      <c r="H15" s="11">
        <f t="shared" si="1"/>
        <v>70.085095317973014</v>
      </c>
      <c r="I15" s="8">
        <f t="shared" si="2"/>
        <v>27.512675103118802</v>
      </c>
      <c r="J15" s="8">
        <f t="shared" si="3"/>
        <v>10.800403251155419</v>
      </c>
    </row>
    <row r="16" spans="2:10" x14ac:dyDescent="0.3">
      <c r="B16">
        <f>IF(B15&gt;1,B15-1,"")</f>
        <v>1</v>
      </c>
      <c r="C16" s="9">
        <f>+重力式!S35/100</f>
        <v>0.247697</v>
      </c>
      <c r="D16" s="10">
        <f>+C16</f>
        <v>0.247697</v>
      </c>
      <c r="E16" s="9">
        <f>+重力式!D35</f>
        <v>5.3</v>
      </c>
      <c r="F16" s="12">
        <f t="shared" si="0"/>
        <v>21.39711017896866</v>
      </c>
      <c r="G16" s="11">
        <f>+重力式!G35</f>
        <v>782.7</v>
      </c>
      <c r="H16" s="11">
        <f t="shared" si="1"/>
        <v>79.813187989782449</v>
      </c>
      <c r="I16" s="8">
        <f t="shared" si="2"/>
        <v>19.769487225505145</v>
      </c>
      <c r="J16" s="8">
        <f t="shared" si="3"/>
        <v>4.8968426772959477</v>
      </c>
    </row>
    <row r="17" spans="2:12" x14ac:dyDescent="0.3">
      <c r="H17">
        <f>SUM(H11:H16)</f>
        <v>416.5336786772242</v>
      </c>
      <c r="I17" s="8">
        <f>SUM(I11:I16)</f>
        <v>250.43000854522188</v>
      </c>
      <c r="J17" s="8">
        <f>SUM(J11:J16)</f>
        <v>179.36698915925376</v>
      </c>
    </row>
    <row r="19" spans="2:12" x14ac:dyDescent="0.3">
      <c r="C19" s="14" t="s">
        <v>56</v>
      </c>
      <c r="D19">
        <v>1370.1</v>
      </c>
    </row>
    <row r="21" spans="2:12" x14ac:dyDescent="0.3">
      <c r="B21" s="160" t="s">
        <v>57</v>
      </c>
      <c r="C21" s="160" t="s">
        <v>58</v>
      </c>
      <c r="D21" s="161" t="s">
        <v>59</v>
      </c>
      <c r="E21" s="161"/>
      <c r="F21" s="160" t="s">
        <v>60</v>
      </c>
      <c r="G21" s="64">
        <f>+I17^2</f>
        <v>62715.189179959903</v>
      </c>
      <c r="H21" s="162" t="s">
        <v>60</v>
      </c>
      <c r="I21" s="163">
        <f>+G21/G22</f>
        <v>349.6473318414084</v>
      </c>
      <c r="J21" s="164" t="s">
        <v>55</v>
      </c>
    </row>
    <row r="22" spans="2:12" x14ac:dyDescent="0.3">
      <c r="B22" s="160"/>
      <c r="C22" s="160"/>
      <c r="D22" s="160" t="s">
        <v>61</v>
      </c>
      <c r="E22" s="160"/>
      <c r="F22" s="160"/>
      <c r="G22" s="13">
        <f>+J17</f>
        <v>179.36698915925376</v>
      </c>
      <c r="H22" s="162"/>
      <c r="I22" s="163"/>
      <c r="J22" s="164"/>
    </row>
    <row r="25" spans="2:12" x14ac:dyDescent="0.3">
      <c r="D25" s="160"/>
      <c r="E25" s="160"/>
    </row>
    <row r="26" spans="2:12" x14ac:dyDescent="0.3">
      <c r="B26" s="160" t="s">
        <v>62</v>
      </c>
      <c r="C26" s="160" t="s">
        <v>63</v>
      </c>
      <c r="D26" s="161" t="s">
        <v>61</v>
      </c>
      <c r="E26" s="161"/>
      <c r="F26" s="160" t="s">
        <v>60</v>
      </c>
      <c r="G26" s="15">
        <f>+J17</f>
        <v>179.36698915925376</v>
      </c>
      <c r="H26" s="162" t="s">
        <v>60</v>
      </c>
      <c r="I26" s="160">
        <f>+G26/G27</f>
        <v>0.71623600622472616</v>
      </c>
      <c r="J26" s="160" t="s">
        <v>126</v>
      </c>
      <c r="K26" s="165">
        <f>+I26*1000</f>
        <v>716.23600622472611</v>
      </c>
      <c r="L26" s="164" t="s">
        <v>52</v>
      </c>
    </row>
    <row r="27" spans="2:12" x14ac:dyDescent="0.3">
      <c r="B27" s="160"/>
      <c r="C27" s="160"/>
      <c r="D27" s="160" t="s">
        <v>64</v>
      </c>
      <c r="E27" s="160"/>
      <c r="F27" s="160"/>
      <c r="G27" s="13">
        <f>+I17</f>
        <v>250.43000854522188</v>
      </c>
      <c r="H27" s="162"/>
      <c r="I27" s="160"/>
      <c r="J27" s="160"/>
      <c r="K27" s="165"/>
      <c r="L27" s="164"/>
    </row>
    <row r="29" spans="2:12" x14ac:dyDescent="0.3">
      <c r="D29" s="14" t="s">
        <v>65</v>
      </c>
      <c r="E29">
        <f>+K26/D19</f>
        <v>0.52276184674456327</v>
      </c>
      <c r="G29" s="14" t="s">
        <v>66</v>
      </c>
      <c r="H29" s="13">
        <f>+(I21*E29/1000)^0.5</f>
        <v>0.42753044909424148</v>
      </c>
    </row>
    <row r="33" spans="6:9" x14ac:dyDescent="0.3">
      <c r="F33" t="s">
        <v>67</v>
      </c>
      <c r="I33">
        <f>+H29*2*PI()</f>
        <v>2.6862530361208283</v>
      </c>
    </row>
  </sheetData>
  <mergeCells count="21">
    <mergeCell ref="B21:B22"/>
    <mergeCell ref="B26:B27"/>
    <mergeCell ref="C26:C27"/>
    <mergeCell ref="D25:E25"/>
    <mergeCell ref="F26:F27"/>
    <mergeCell ref="D27:E27"/>
    <mergeCell ref="C21:C22"/>
    <mergeCell ref="F21:F22"/>
    <mergeCell ref="D22:E22"/>
    <mergeCell ref="D21:E21"/>
    <mergeCell ref="D26:E26"/>
    <mergeCell ref="I4:I5"/>
    <mergeCell ref="J4:J5"/>
    <mergeCell ref="I21:I22"/>
    <mergeCell ref="I26:I27"/>
    <mergeCell ref="J26:J27"/>
    <mergeCell ref="H21:H22"/>
    <mergeCell ref="L26:L27"/>
    <mergeCell ref="J21:J22"/>
    <mergeCell ref="K26:K27"/>
    <mergeCell ref="H26:H27"/>
  </mergeCells>
  <phoneticPr fontId="2"/>
  <pageMargins left="0.75" right="0.75" top="1" bottom="1" header="0.51200000000000001" footer="0.5120000000000000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96E65-0968-4ACC-A209-4BBDDC519C34}">
  <sheetPr codeName="Sheet9"/>
  <dimension ref="B1:BB54"/>
  <sheetViews>
    <sheetView zoomScaleNormal="100" workbookViewId="0">
      <selection activeCell="AF24" sqref="AF24"/>
    </sheetView>
  </sheetViews>
  <sheetFormatPr defaultRowHeight="11.7" x14ac:dyDescent="0.3"/>
  <cols>
    <col min="1" max="1" width="4.703125" customWidth="1"/>
    <col min="2" max="2" width="8.41015625" customWidth="1"/>
    <col min="3" max="3" width="9.5859375" customWidth="1"/>
    <col min="4" max="4" width="8.703125" customWidth="1"/>
    <col min="5" max="5" width="9.5859375" customWidth="1"/>
    <col min="6" max="37" width="3.1171875" customWidth="1"/>
    <col min="38" max="39" width="10.29296875" customWidth="1"/>
    <col min="40" max="50" width="3.1171875" customWidth="1"/>
  </cols>
  <sheetData>
    <row r="1" spans="2:35" ht="16.5" customHeight="1" x14ac:dyDescent="0.3">
      <c r="B1" t="s">
        <v>0</v>
      </c>
    </row>
    <row r="2" spans="2:35" ht="16.5" customHeight="1" x14ac:dyDescent="0.3">
      <c r="D2" t="s">
        <v>1</v>
      </c>
    </row>
    <row r="3" spans="2:35" ht="16.5" customHeight="1" x14ac:dyDescent="0.3">
      <c r="D3" t="s">
        <v>2</v>
      </c>
    </row>
    <row r="4" spans="2:35" ht="7.5" customHeight="1" x14ac:dyDescent="0.3"/>
    <row r="5" spans="2:35" ht="7.5" customHeight="1" x14ac:dyDescent="0.3">
      <c r="G5" s="2" t="s">
        <v>3</v>
      </c>
    </row>
    <row r="6" spans="2:35" ht="7.5" customHeight="1" x14ac:dyDescent="0.3">
      <c r="G6" s="172" t="s">
        <v>4</v>
      </c>
      <c r="H6" s="173" t="s">
        <v>5</v>
      </c>
    </row>
    <row r="7" spans="2:35" ht="7.5" customHeight="1" x14ac:dyDescent="0.3">
      <c r="F7" s="2" t="s">
        <v>3</v>
      </c>
      <c r="G7" s="172"/>
      <c r="H7" s="173"/>
    </row>
    <row r="8" spans="2:35" ht="7.5" customHeight="1" x14ac:dyDescent="0.3">
      <c r="D8" s="174" t="s">
        <v>6</v>
      </c>
      <c r="E8" s="174"/>
      <c r="F8" s="173" t="s">
        <v>4</v>
      </c>
      <c r="G8" s="3" t="s">
        <v>7</v>
      </c>
      <c r="H8" s="4"/>
    </row>
    <row r="9" spans="2:35" ht="7.5" customHeight="1" x14ac:dyDescent="0.3">
      <c r="D9" s="174"/>
      <c r="E9" s="174"/>
      <c r="F9" s="173"/>
      <c r="G9" s="175" t="s">
        <v>8</v>
      </c>
      <c r="H9" s="175"/>
    </row>
    <row r="10" spans="2:35" ht="7.5" customHeight="1" x14ac:dyDescent="0.3">
      <c r="F10" s="1" t="s">
        <v>9</v>
      </c>
      <c r="G10" s="174"/>
      <c r="H10" s="174"/>
    </row>
    <row r="11" spans="2:35" ht="7.5" customHeight="1" x14ac:dyDescent="0.3"/>
    <row r="12" spans="2:35" ht="16.5" customHeight="1" x14ac:dyDescent="0.3">
      <c r="AG12" s="174" t="s">
        <v>10</v>
      </c>
      <c r="AH12" s="174"/>
      <c r="AI12" s="174"/>
    </row>
    <row r="13" spans="2:35" ht="16.5" customHeight="1" x14ac:dyDescent="0.3">
      <c r="D13" s="174" t="s">
        <v>11</v>
      </c>
      <c r="E13" s="174"/>
      <c r="F13" s="7">
        <v>8</v>
      </c>
      <c r="L13" s="180" t="s">
        <v>12</v>
      </c>
      <c r="M13" s="180"/>
      <c r="N13" s="180"/>
      <c r="O13" s="179">
        <v>0.6</v>
      </c>
      <c r="P13" s="179"/>
      <c r="R13" s="173" t="s">
        <v>13</v>
      </c>
      <c r="S13" s="173"/>
      <c r="V13" s="172" t="s">
        <v>14</v>
      </c>
      <c r="W13" s="172"/>
      <c r="X13" s="172"/>
      <c r="Y13" s="176">
        <f>I14*(0.02+0.01*O14)</f>
        <v>0.90149999999999997</v>
      </c>
      <c r="Z13" s="176"/>
      <c r="AA13" s="176"/>
      <c r="AB13" s="172" t="s">
        <v>15</v>
      </c>
      <c r="AC13" s="172"/>
      <c r="AD13" s="176">
        <f>IF(Y13&lt;O13,1,IF(Y13&gt;2*O13,1.6*O13/Y13,1-0.2*(Y13/O13-1)^2))</f>
        <v>0.94949875000000006</v>
      </c>
      <c r="AE13" s="176"/>
      <c r="AF13" s="176"/>
    </row>
    <row r="14" spans="2:35" ht="16.5" customHeight="1" x14ac:dyDescent="0.3">
      <c r="B14" s="75"/>
      <c r="C14" s="75"/>
      <c r="D14" s="173" t="s">
        <v>16</v>
      </c>
      <c r="E14" s="173"/>
      <c r="F14" s="173"/>
      <c r="G14" s="173"/>
      <c r="H14" s="173"/>
      <c r="I14" s="177">
        <f>SUM(C21:C35)</f>
        <v>30.05</v>
      </c>
      <c r="J14" s="178"/>
      <c r="K14" s="178"/>
      <c r="M14" s="172" t="s">
        <v>17</v>
      </c>
      <c r="N14" s="172"/>
      <c r="O14" s="179">
        <v>1</v>
      </c>
      <c r="P14" s="179"/>
      <c r="R14" s="173" t="s">
        <v>18</v>
      </c>
      <c r="S14" s="173"/>
      <c r="T14" s="173" t="s">
        <v>19</v>
      </c>
      <c r="U14" s="173"/>
      <c r="V14" s="172" t="s">
        <v>14</v>
      </c>
      <c r="W14" s="172"/>
      <c r="X14" s="172"/>
      <c r="Y14" s="176">
        <f>MAX(X21:Z35)</f>
        <v>1.5847776261679376</v>
      </c>
      <c r="Z14" s="173"/>
      <c r="AA14" s="173"/>
      <c r="AB14" s="172" t="s">
        <v>20</v>
      </c>
      <c r="AC14" s="172"/>
      <c r="AD14" s="176">
        <f>IF(Y14&lt;O13,1,IF(Y14&gt;2*O13,1.6*O13/Y14,1-0.2*(Y14/O13-1)^2))</f>
        <v>0.60576322138098482</v>
      </c>
      <c r="AE14" s="176"/>
      <c r="AF14" s="176"/>
      <c r="AG14" s="181">
        <f>AD14/AD13</f>
        <v>0.63798211570155805</v>
      </c>
      <c r="AH14" s="181"/>
      <c r="AI14" s="181"/>
    </row>
    <row r="15" spans="2:35" ht="16.5" customHeight="1" x14ac:dyDescent="0.3">
      <c r="B15" s="75"/>
      <c r="C15" s="75"/>
      <c r="D15" s="74"/>
      <c r="E15" s="74"/>
      <c r="F15" s="74"/>
      <c r="G15" s="74"/>
      <c r="H15" s="74"/>
      <c r="I15" s="76"/>
      <c r="J15" s="74"/>
      <c r="K15" s="74"/>
      <c r="M15" s="77"/>
      <c r="N15" s="77"/>
      <c r="O15" s="78"/>
      <c r="P15" s="78"/>
      <c r="R15" s="74"/>
      <c r="S15" s="74"/>
      <c r="T15" s="173" t="s">
        <v>21</v>
      </c>
      <c r="U15" s="173"/>
      <c r="V15" s="172" t="s">
        <v>14</v>
      </c>
      <c r="W15" s="172"/>
      <c r="X15" s="172"/>
      <c r="Y15" s="176">
        <f>MAX(AE40:AG54)</f>
        <v>1.450261693929594</v>
      </c>
      <c r="Z15" s="173"/>
      <c r="AA15" s="173"/>
      <c r="AB15" s="172" t="s">
        <v>22</v>
      </c>
      <c r="AC15" s="172"/>
      <c r="AD15" s="176">
        <f>IF(Y15&lt;O13,1,IF(Y15&gt;2*O13,1.6*O13/Y15,1-0.2*(Y15/O13-1)^2))</f>
        <v>0.66194949781705059</v>
      </c>
      <c r="AE15" s="176"/>
      <c r="AF15" s="176"/>
      <c r="AG15" s="181">
        <f>AD15/AD13</f>
        <v>0.69715678700688188</v>
      </c>
      <c r="AH15" s="181"/>
      <c r="AI15" s="181"/>
    </row>
    <row r="16" spans="2:35" ht="16.5" customHeight="1" x14ac:dyDescent="0.3">
      <c r="B16" s="75"/>
      <c r="C16" s="75"/>
      <c r="D16" s="74"/>
      <c r="E16" s="74"/>
      <c r="F16" s="74"/>
      <c r="G16" s="74"/>
      <c r="H16" s="74"/>
      <c r="I16" s="76"/>
      <c r="J16" s="74"/>
      <c r="K16" s="74"/>
      <c r="M16" s="77"/>
      <c r="N16" s="77"/>
      <c r="O16" s="78"/>
      <c r="P16" s="78"/>
      <c r="R16" s="173" t="s">
        <v>23</v>
      </c>
      <c r="S16" s="173"/>
      <c r="T16" s="173" t="s">
        <v>19</v>
      </c>
      <c r="U16" s="173"/>
      <c r="V16" s="172" t="s">
        <v>14</v>
      </c>
      <c r="W16" s="172"/>
      <c r="X16" s="172"/>
      <c r="Y16" s="177">
        <v>1.26</v>
      </c>
      <c r="Z16" s="178"/>
      <c r="AA16" s="178"/>
      <c r="AB16" s="172" t="s">
        <v>20</v>
      </c>
      <c r="AC16" s="172"/>
      <c r="AD16" s="176">
        <f>IF(Y16&lt;O13,1,IF(Y16&gt;2*O13,1.6*O13/Y16,1-0.2*(Y16/O13-1)^2))</f>
        <v>0.76190476190476186</v>
      </c>
      <c r="AE16" s="176"/>
      <c r="AF16" s="176"/>
      <c r="AG16" s="181">
        <f>AD16/AD13</f>
        <v>0.80242839909453467</v>
      </c>
      <c r="AH16" s="181"/>
      <c r="AI16" s="181"/>
    </row>
    <row r="17" spans="2:47" ht="16.5" customHeight="1" x14ac:dyDescent="0.3">
      <c r="B17" s="75"/>
      <c r="C17" s="75"/>
      <c r="D17" s="74"/>
      <c r="E17" s="74"/>
      <c r="F17" s="74"/>
      <c r="G17" s="74"/>
      <c r="H17" s="74"/>
      <c r="I17" s="76"/>
      <c r="J17" s="74"/>
      <c r="K17" s="74"/>
      <c r="M17" s="77"/>
      <c r="N17" s="77"/>
      <c r="O17" s="78"/>
      <c r="P17" s="78"/>
      <c r="R17" s="74"/>
      <c r="S17" s="74"/>
      <c r="T17" s="173" t="s">
        <v>21</v>
      </c>
      <c r="U17" s="173"/>
      <c r="V17" s="172" t="s">
        <v>14</v>
      </c>
      <c r="W17" s="172"/>
      <c r="X17" s="172"/>
      <c r="Y17" s="177">
        <v>1.26</v>
      </c>
      <c r="Z17" s="178"/>
      <c r="AA17" s="178"/>
      <c r="AB17" s="172" t="s">
        <v>22</v>
      </c>
      <c r="AC17" s="172"/>
      <c r="AD17" s="176">
        <f>IF(Y17&lt;O13,1,IF(Y17&gt;2*O13,1.6*O13/Y17,1-0.2*(Y17/O13-1)^2))</f>
        <v>0.76190476190476186</v>
      </c>
      <c r="AE17" s="176"/>
      <c r="AF17" s="176"/>
      <c r="AG17" s="181">
        <f>AD17/AD13</f>
        <v>0.80242839909453467</v>
      </c>
      <c r="AH17" s="181"/>
      <c r="AI17" s="181"/>
    </row>
    <row r="18" spans="2:47" ht="16.5" customHeight="1" x14ac:dyDescent="0.3">
      <c r="B18" t="s">
        <v>19</v>
      </c>
      <c r="C18" s="79"/>
    </row>
    <row r="19" spans="2:47" ht="16.5" customHeight="1" x14ac:dyDescent="0.3">
      <c r="B19" s="80" t="s">
        <v>24</v>
      </c>
      <c r="C19" s="81" t="s">
        <v>25</v>
      </c>
      <c r="D19" s="81" t="s">
        <v>26</v>
      </c>
      <c r="E19" s="81" t="s">
        <v>27</v>
      </c>
      <c r="F19" s="183" t="s">
        <v>27</v>
      </c>
      <c r="G19" s="183"/>
      <c r="H19" s="183"/>
      <c r="I19" s="183" t="s">
        <v>28</v>
      </c>
      <c r="J19" s="183"/>
      <c r="K19" s="183"/>
      <c r="L19" s="183" t="s">
        <v>29</v>
      </c>
      <c r="M19" s="183"/>
      <c r="N19" s="183"/>
      <c r="O19" s="183" t="s">
        <v>30</v>
      </c>
      <c r="P19" s="183"/>
      <c r="Q19" s="183"/>
      <c r="R19" s="183" t="s">
        <v>31</v>
      </c>
      <c r="S19" s="183"/>
      <c r="T19" s="183"/>
      <c r="U19" s="183" t="s">
        <v>32</v>
      </c>
      <c r="V19" s="183"/>
      <c r="W19" s="183"/>
      <c r="X19" s="183" t="s">
        <v>33</v>
      </c>
      <c r="Y19" s="183"/>
      <c r="Z19" s="183"/>
    </row>
    <row r="20" spans="2:47" ht="16.5" customHeight="1" x14ac:dyDescent="0.3">
      <c r="B20" s="80"/>
      <c r="C20" s="82" t="s">
        <v>34</v>
      </c>
      <c r="D20" s="82" t="s">
        <v>35</v>
      </c>
      <c r="E20" s="82" t="s">
        <v>36</v>
      </c>
      <c r="F20" s="182" t="s">
        <v>37</v>
      </c>
      <c r="G20" s="182"/>
      <c r="H20" s="182"/>
      <c r="I20" s="182" t="s">
        <v>38</v>
      </c>
      <c r="J20" s="182"/>
      <c r="K20" s="182"/>
      <c r="L20" s="182" t="s">
        <v>39</v>
      </c>
      <c r="M20" s="182"/>
      <c r="N20" s="182"/>
      <c r="O20" s="182" t="s">
        <v>40</v>
      </c>
      <c r="P20" s="182"/>
      <c r="Q20" s="182"/>
      <c r="R20" s="182" t="s">
        <v>41</v>
      </c>
      <c r="S20" s="182"/>
      <c r="T20" s="182"/>
      <c r="U20" s="182" t="s">
        <v>42</v>
      </c>
      <c r="V20" s="182"/>
      <c r="W20" s="182"/>
      <c r="X20" s="182" t="s">
        <v>43</v>
      </c>
      <c r="Y20" s="182"/>
      <c r="Z20" s="182"/>
    </row>
    <row r="21" spans="2:47" ht="16.5" customHeight="1" x14ac:dyDescent="0.3">
      <c r="B21" s="80" t="str">
        <f>IF($F$13&gt;=15,15,"")</f>
        <v/>
      </c>
      <c r="C21" s="83"/>
      <c r="D21" s="84"/>
      <c r="E21" s="84" t="str">
        <f>IF(D21="","",SUM(D$21:D21))</f>
        <v/>
      </c>
      <c r="F21" s="186" t="str">
        <f t="shared" ref="F21:F35" si="0">IF(E21="","",E21/9.80665)</f>
        <v/>
      </c>
      <c r="G21" s="186"/>
      <c r="H21" s="186"/>
      <c r="I21" s="186"/>
      <c r="J21" s="186"/>
      <c r="K21" s="186"/>
      <c r="L21" s="184"/>
      <c r="M21" s="184"/>
      <c r="N21" s="184"/>
      <c r="O21" s="185" t="str">
        <f t="shared" ref="O21:O27" si="1">IF(L21="","",(I21)/L21)</f>
        <v/>
      </c>
      <c r="P21" s="185"/>
      <c r="Q21" s="185"/>
      <c r="R21" s="186" t="str">
        <f t="shared" ref="R21:R35" si="2">IF(O21="","",E21/O21)</f>
        <v/>
      </c>
      <c r="S21" s="186"/>
      <c r="T21" s="186"/>
      <c r="U21" s="186" t="str">
        <f t="shared" ref="U21:U35" si="3">IF(B21=$F$13,SUM($R$21:$T$35)/10,"")</f>
        <v/>
      </c>
      <c r="V21" s="186"/>
      <c r="W21" s="186"/>
      <c r="X21" s="187" t="str">
        <f t="shared" ref="X21:X35" si="4">IF(B21=$F$13,IF(B21=1,SQRT(U21)/5,IF(B21=2,SQRT(U21)/5.4,IF(B21&gt;=3,SQRT(U21)/5.7,""))),"")</f>
        <v/>
      </c>
      <c r="Y21" s="187"/>
      <c r="Z21" s="187"/>
    </row>
    <row r="22" spans="2:47" ht="16.5" customHeight="1" x14ac:dyDescent="0.3">
      <c r="B22" s="80" t="str">
        <f>IF($F$13&gt;=14,14,"")</f>
        <v/>
      </c>
      <c r="C22" s="83"/>
      <c r="D22" s="84"/>
      <c r="E22" s="84" t="str">
        <f>IF(D22="","",SUM(D$21:D22))</f>
        <v/>
      </c>
      <c r="F22" s="186" t="str">
        <f t="shared" si="0"/>
        <v/>
      </c>
      <c r="G22" s="186"/>
      <c r="H22" s="186"/>
      <c r="I22" s="186"/>
      <c r="J22" s="186"/>
      <c r="K22" s="186"/>
      <c r="L22" s="184"/>
      <c r="M22" s="184"/>
      <c r="N22" s="184"/>
      <c r="O22" s="185" t="str">
        <f t="shared" si="1"/>
        <v/>
      </c>
      <c r="P22" s="185"/>
      <c r="Q22" s="185"/>
      <c r="R22" s="186" t="str">
        <f t="shared" si="2"/>
        <v/>
      </c>
      <c r="S22" s="186"/>
      <c r="T22" s="186"/>
      <c r="U22" s="186" t="str">
        <f t="shared" si="3"/>
        <v/>
      </c>
      <c r="V22" s="186"/>
      <c r="W22" s="186"/>
      <c r="X22" s="187" t="str">
        <f t="shared" si="4"/>
        <v/>
      </c>
      <c r="Y22" s="187"/>
      <c r="Z22" s="187"/>
    </row>
    <row r="23" spans="2:47" ht="16.5" customHeight="1" x14ac:dyDescent="0.3">
      <c r="B23" s="80" t="str">
        <f>IF($F$13&gt;=13,13,"")</f>
        <v/>
      </c>
      <c r="C23" s="83"/>
      <c r="D23" s="85"/>
      <c r="E23" s="84" t="str">
        <f>IF(D23="","",SUM(D$21:D23))</f>
        <v/>
      </c>
      <c r="F23" s="186" t="str">
        <f t="shared" si="0"/>
        <v/>
      </c>
      <c r="G23" s="186"/>
      <c r="H23" s="186"/>
      <c r="I23" s="189"/>
      <c r="J23" s="189"/>
      <c r="K23" s="189"/>
      <c r="L23" s="188"/>
      <c r="M23" s="188"/>
      <c r="N23" s="188"/>
      <c r="O23" s="185" t="str">
        <f t="shared" si="1"/>
        <v/>
      </c>
      <c r="P23" s="185"/>
      <c r="Q23" s="185"/>
      <c r="R23" s="186" t="str">
        <f t="shared" si="2"/>
        <v/>
      </c>
      <c r="S23" s="186"/>
      <c r="T23" s="186"/>
      <c r="U23" s="186" t="str">
        <f t="shared" si="3"/>
        <v/>
      </c>
      <c r="V23" s="186"/>
      <c r="W23" s="186"/>
      <c r="X23" s="187" t="str">
        <f t="shared" si="4"/>
        <v/>
      </c>
      <c r="Y23" s="187"/>
      <c r="Z23" s="187"/>
    </row>
    <row r="24" spans="2:47" ht="16.5" customHeight="1" x14ac:dyDescent="0.3">
      <c r="B24" s="80" t="str">
        <f>IF($F$13&gt;=12,12,"")</f>
        <v/>
      </c>
      <c r="C24" s="83"/>
      <c r="D24" s="85"/>
      <c r="E24" s="84" t="str">
        <f>IF(D24="","",SUM(D$21:D24))</f>
        <v/>
      </c>
      <c r="F24" s="186" t="str">
        <f t="shared" si="0"/>
        <v/>
      </c>
      <c r="G24" s="186"/>
      <c r="H24" s="186"/>
      <c r="I24" s="189"/>
      <c r="J24" s="189"/>
      <c r="K24" s="189"/>
      <c r="L24" s="188"/>
      <c r="M24" s="188"/>
      <c r="N24" s="188"/>
      <c r="O24" s="185" t="str">
        <f t="shared" si="1"/>
        <v/>
      </c>
      <c r="P24" s="185"/>
      <c r="Q24" s="185"/>
      <c r="R24" s="186" t="str">
        <f t="shared" si="2"/>
        <v/>
      </c>
      <c r="S24" s="186"/>
      <c r="T24" s="186"/>
      <c r="U24" s="186" t="str">
        <f t="shared" si="3"/>
        <v/>
      </c>
      <c r="V24" s="186"/>
      <c r="W24" s="186"/>
      <c r="X24" s="187" t="str">
        <f t="shared" si="4"/>
        <v/>
      </c>
      <c r="Y24" s="187"/>
      <c r="Z24" s="187"/>
    </row>
    <row r="25" spans="2:47" ht="16.5" customHeight="1" x14ac:dyDescent="0.3">
      <c r="B25" s="80" t="str">
        <f>IF($F$13&gt;=11,11,"")</f>
        <v/>
      </c>
      <c r="C25" s="83"/>
      <c r="D25" s="85"/>
      <c r="E25" s="84" t="str">
        <f>IF(D25="","",SUM(D$21:D25))</f>
        <v/>
      </c>
      <c r="F25" s="186" t="str">
        <f t="shared" si="0"/>
        <v/>
      </c>
      <c r="G25" s="186"/>
      <c r="H25" s="186"/>
      <c r="I25" s="189"/>
      <c r="J25" s="189"/>
      <c r="K25" s="189"/>
      <c r="L25" s="188"/>
      <c r="M25" s="188"/>
      <c r="N25" s="188"/>
      <c r="O25" s="185" t="str">
        <f t="shared" si="1"/>
        <v/>
      </c>
      <c r="P25" s="185"/>
      <c r="Q25" s="185"/>
      <c r="R25" s="186" t="str">
        <f t="shared" si="2"/>
        <v/>
      </c>
      <c r="S25" s="186"/>
      <c r="T25" s="186"/>
      <c r="U25" s="186" t="str">
        <f t="shared" si="3"/>
        <v/>
      </c>
      <c r="V25" s="186"/>
      <c r="W25" s="186"/>
      <c r="X25" s="187" t="str">
        <f t="shared" si="4"/>
        <v/>
      </c>
      <c r="Y25" s="187"/>
      <c r="Z25" s="187"/>
    </row>
    <row r="26" spans="2:47" ht="16.5" customHeight="1" x14ac:dyDescent="0.3">
      <c r="B26" s="80" t="str">
        <f>IF($F$13&gt;=10,10,"")</f>
        <v/>
      </c>
      <c r="C26" s="83"/>
      <c r="D26" s="85"/>
      <c r="E26" s="84" t="str">
        <f>IF(D26="","",SUM(D$21:D26))</f>
        <v/>
      </c>
      <c r="F26" s="186" t="str">
        <f t="shared" si="0"/>
        <v/>
      </c>
      <c r="G26" s="186"/>
      <c r="H26" s="186"/>
      <c r="I26" s="189"/>
      <c r="J26" s="189"/>
      <c r="K26" s="189"/>
      <c r="L26" s="188"/>
      <c r="M26" s="188"/>
      <c r="N26" s="188"/>
      <c r="O26" s="185" t="str">
        <f t="shared" si="1"/>
        <v/>
      </c>
      <c r="P26" s="185"/>
      <c r="Q26" s="185"/>
      <c r="R26" s="186" t="str">
        <f t="shared" si="2"/>
        <v/>
      </c>
      <c r="S26" s="186"/>
      <c r="T26" s="186"/>
      <c r="U26" s="186" t="str">
        <f t="shared" si="3"/>
        <v/>
      </c>
      <c r="V26" s="186"/>
      <c r="W26" s="186"/>
      <c r="X26" s="187" t="str">
        <f t="shared" si="4"/>
        <v/>
      </c>
      <c r="Y26" s="187"/>
      <c r="Z26" s="187"/>
    </row>
    <row r="27" spans="2:47" ht="16.5" customHeight="1" x14ac:dyDescent="0.3">
      <c r="B27" s="80" t="str">
        <f>IF($F$13&gt;=9,9,"")</f>
        <v/>
      </c>
      <c r="C27" s="83"/>
      <c r="D27" s="85"/>
      <c r="E27" s="84" t="str">
        <f>IF(D27="","",SUM(D$21:D27))</f>
        <v/>
      </c>
      <c r="F27" s="186" t="str">
        <f t="shared" si="0"/>
        <v/>
      </c>
      <c r="G27" s="186"/>
      <c r="H27" s="186"/>
      <c r="I27" s="189"/>
      <c r="J27" s="189"/>
      <c r="K27" s="189"/>
      <c r="L27" s="188"/>
      <c r="M27" s="188"/>
      <c r="N27" s="188"/>
      <c r="O27" s="185" t="str">
        <f t="shared" si="1"/>
        <v/>
      </c>
      <c r="P27" s="185"/>
      <c r="Q27" s="185"/>
      <c r="R27" s="186" t="str">
        <f t="shared" si="2"/>
        <v/>
      </c>
      <c r="S27" s="186"/>
      <c r="T27" s="186"/>
      <c r="U27" s="186" t="str">
        <f t="shared" si="3"/>
        <v/>
      </c>
      <c r="V27" s="186"/>
      <c r="W27" s="186"/>
      <c r="X27" s="187" t="str">
        <f t="shared" si="4"/>
        <v/>
      </c>
      <c r="Y27" s="187"/>
      <c r="Z27" s="187"/>
    </row>
    <row r="28" spans="2:47" ht="16.5" customHeight="1" x14ac:dyDescent="0.3">
      <c r="B28" s="80">
        <f>IF($F$13&gt;=8,8,"")</f>
        <v>8</v>
      </c>
      <c r="C28" s="83">
        <v>3.75</v>
      </c>
      <c r="D28" s="85">
        <f t="shared" ref="D28:D35" si="5">+AR28</f>
        <v>785.7</v>
      </c>
      <c r="E28" s="84">
        <f>IF(D28="","",SUM(D$21:D28))</f>
        <v>785.7</v>
      </c>
      <c r="F28" s="186">
        <f t="shared" si="0"/>
        <v>80.119102853675827</v>
      </c>
      <c r="G28" s="186"/>
      <c r="H28" s="186"/>
      <c r="I28" s="189">
        <f>+AS28</f>
        <v>222.1</v>
      </c>
      <c r="J28" s="189"/>
      <c r="K28" s="189"/>
      <c r="L28" s="188">
        <f>+AU28</f>
        <v>19.990200000000002</v>
      </c>
      <c r="M28" s="188"/>
      <c r="N28" s="188"/>
      <c r="O28" s="186">
        <f>IF(L28="","",(I28)/L28)</f>
        <v>11.110444117617632</v>
      </c>
      <c r="P28" s="186"/>
      <c r="Q28" s="186"/>
      <c r="R28" s="186">
        <f t="shared" si="2"/>
        <v>70.717245114813153</v>
      </c>
      <c r="S28" s="186"/>
      <c r="T28" s="186"/>
      <c r="U28" s="186">
        <f t="shared" si="3"/>
        <v>81.599288841836696</v>
      </c>
      <c r="V28" s="186"/>
      <c r="W28" s="186"/>
      <c r="X28" s="187">
        <f t="shared" si="4"/>
        <v>1.5847776261679376</v>
      </c>
      <c r="Y28" s="187"/>
      <c r="Z28" s="187"/>
      <c r="AE28" s="55"/>
      <c r="AF28" s="55"/>
      <c r="AR28" s="56">
        <v>785.7</v>
      </c>
      <c r="AS28" s="56">
        <v>222.1</v>
      </c>
      <c r="AT28" s="56"/>
      <c r="AU28" s="56">
        <v>19.990200000000002</v>
      </c>
    </row>
    <row r="29" spans="2:47" ht="16.5" customHeight="1" x14ac:dyDescent="0.3">
      <c r="B29" s="80">
        <f>IF($F$13&gt;=7,7,"")</f>
        <v>7</v>
      </c>
      <c r="C29" s="83">
        <v>3.5</v>
      </c>
      <c r="D29" s="85">
        <f t="shared" si="5"/>
        <v>624.4</v>
      </c>
      <c r="E29" s="84">
        <f>IF(D29="","",SUM(D$21:D29))</f>
        <v>1410.1</v>
      </c>
      <c r="F29" s="186">
        <f t="shared" si="0"/>
        <v>143.79018319201765</v>
      </c>
      <c r="G29" s="186"/>
      <c r="H29" s="186"/>
      <c r="I29" s="190">
        <f t="shared" ref="I29:I35" si="6">+AS29</f>
        <v>327.60000000000002</v>
      </c>
      <c r="J29" s="191"/>
      <c r="K29" s="192"/>
      <c r="L29" s="188">
        <f t="shared" ref="L29:L35" si="7">+AU29</f>
        <v>18.357700000000001</v>
      </c>
      <c r="M29" s="188"/>
      <c r="N29" s="188"/>
      <c r="O29" s="186">
        <f t="shared" ref="O29:O35" si="8">IF(L29="","",(I29)/L29)</f>
        <v>17.845372786351231</v>
      </c>
      <c r="P29" s="186"/>
      <c r="Q29" s="186"/>
      <c r="R29" s="186">
        <f t="shared" si="2"/>
        <v>79.01768244810745</v>
      </c>
      <c r="S29" s="186"/>
      <c r="T29" s="186"/>
      <c r="U29" s="186" t="str">
        <f t="shared" si="3"/>
        <v/>
      </c>
      <c r="V29" s="186"/>
      <c r="W29" s="186"/>
      <c r="X29" s="187" t="str">
        <f t="shared" si="4"/>
        <v/>
      </c>
      <c r="Y29" s="187"/>
      <c r="Z29" s="187"/>
      <c r="AE29" s="55"/>
      <c r="AF29" s="55"/>
      <c r="AR29" s="56">
        <v>624.4</v>
      </c>
      <c r="AS29" s="56">
        <v>327.60000000000002</v>
      </c>
      <c r="AT29" s="56"/>
      <c r="AU29" s="56">
        <v>18.357700000000001</v>
      </c>
    </row>
    <row r="30" spans="2:47" ht="16.5" customHeight="1" x14ac:dyDescent="0.3">
      <c r="B30" s="80">
        <f>IF($F$13&gt;=6,6,"")</f>
        <v>6</v>
      </c>
      <c r="C30" s="83">
        <v>3.5</v>
      </c>
      <c r="D30" s="85">
        <f t="shared" si="5"/>
        <v>638.70000000000005</v>
      </c>
      <c r="E30" s="84">
        <f>IF(D30="","",SUM(D$21:D30))</f>
        <v>2048.8000000000002</v>
      </c>
      <c r="F30" s="186">
        <f t="shared" si="0"/>
        <v>208.91945771491797</v>
      </c>
      <c r="G30" s="186"/>
      <c r="H30" s="186"/>
      <c r="I30" s="189">
        <f t="shared" si="6"/>
        <v>416.3</v>
      </c>
      <c r="J30" s="189"/>
      <c r="K30" s="189"/>
      <c r="L30" s="188">
        <f t="shared" si="7"/>
        <v>17.361899999999999</v>
      </c>
      <c r="M30" s="188"/>
      <c r="N30" s="188"/>
      <c r="O30" s="186">
        <f t="shared" si="8"/>
        <v>23.97779044920199</v>
      </c>
      <c r="P30" s="186"/>
      <c r="Q30" s="186"/>
      <c r="R30" s="186">
        <f t="shared" si="2"/>
        <v>85.445737977420137</v>
      </c>
      <c r="S30" s="186"/>
      <c r="T30" s="186"/>
      <c r="U30" s="186" t="str">
        <f t="shared" si="3"/>
        <v/>
      </c>
      <c r="V30" s="186"/>
      <c r="W30" s="186"/>
      <c r="X30" s="187" t="str">
        <f t="shared" si="4"/>
        <v/>
      </c>
      <c r="Y30" s="187"/>
      <c r="Z30" s="187"/>
      <c r="AE30" s="55"/>
      <c r="AF30" s="55"/>
      <c r="AR30" s="56">
        <v>638.70000000000005</v>
      </c>
      <c r="AS30" s="56">
        <v>416.3</v>
      </c>
      <c r="AT30" s="56"/>
      <c r="AU30" s="56">
        <v>17.361899999999999</v>
      </c>
    </row>
    <row r="31" spans="2:47" ht="16.5" customHeight="1" x14ac:dyDescent="0.3">
      <c r="B31" s="80">
        <f>IF($F$13&gt;=5,5,"")</f>
        <v>5</v>
      </c>
      <c r="C31" s="83">
        <v>3.5</v>
      </c>
      <c r="D31" s="85">
        <f t="shared" si="5"/>
        <v>645.70000000000005</v>
      </c>
      <c r="E31" s="84">
        <f>IF(D31="","",SUM(D$21:D31))</f>
        <v>2694.5</v>
      </c>
      <c r="F31" s="186">
        <f t="shared" si="0"/>
        <v>274.7625335869028</v>
      </c>
      <c r="G31" s="186"/>
      <c r="H31" s="186"/>
      <c r="I31" s="189">
        <f t="shared" si="6"/>
        <v>490.9</v>
      </c>
      <c r="J31" s="189"/>
      <c r="K31" s="189"/>
      <c r="L31" s="188">
        <f t="shared" si="7"/>
        <v>16.529800000000002</v>
      </c>
      <c r="M31" s="188"/>
      <c r="N31" s="188"/>
      <c r="O31" s="186">
        <f t="shared" si="8"/>
        <v>29.697878982201836</v>
      </c>
      <c r="P31" s="186"/>
      <c r="Q31" s="186"/>
      <c r="R31" s="186">
        <f t="shared" si="2"/>
        <v>90.730385210837255</v>
      </c>
      <c r="S31" s="186"/>
      <c r="T31" s="186"/>
      <c r="U31" s="186" t="str">
        <f t="shared" si="3"/>
        <v/>
      </c>
      <c r="V31" s="186"/>
      <c r="W31" s="186"/>
      <c r="X31" s="187" t="str">
        <f t="shared" si="4"/>
        <v/>
      </c>
      <c r="Y31" s="187"/>
      <c r="Z31" s="187"/>
      <c r="AE31" s="55"/>
      <c r="AF31" s="55"/>
      <c r="AR31" s="56">
        <v>645.70000000000005</v>
      </c>
      <c r="AS31" s="56">
        <v>490.9</v>
      </c>
      <c r="AT31" s="56"/>
      <c r="AU31" s="56">
        <v>16.529800000000002</v>
      </c>
    </row>
    <row r="32" spans="2:47" ht="16.5" customHeight="1" x14ac:dyDescent="0.3">
      <c r="B32" s="80">
        <f>IF($F$13&gt;=4,4,"")</f>
        <v>4</v>
      </c>
      <c r="C32" s="83">
        <v>3.5</v>
      </c>
      <c r="D32" s="85">
        <f t="shared" si="5"/>
        <v>652.29999999999995</v>
      </c>
      <c r="E32" s="84">
        <f>IF(D32="","",SUM(D$21:D32))</f>
        <v>3346.8</v>
      </c>
      <c r="F32" s="186">
        <f t="shared" si="0"/>
        <v>341.27862215945305</v>
      </c>
      <c r="G32" s="186"/>
      <c r="H32" s="186"/>
      <c r="I32" s="189">
        <f t="shared" si="6"/>
        <v>552.6</v>
      </c>
      <c r="J32" s="189"/>
      <c r="K32" s="189"/>
      <c r="L32" s="188">
        <f t="shared" si="7"/>
        <v>14.9068</v>
      </c>
      <c r="M32" s="188"/>
      <c r="N32" s="188"/>
      <c r="O32" s="186">
        <f t="shared" si="8"/>
        <v>37.070330319049027</v>
      </c>
      <c r="P32" s="186"/>
      <c r="Q32" s="186"/>
      <c r="R32" s="186">
        <f t="shared" si="2"/>
        <v>90.282443431053196</v>
      </c>
      <c r="S32" s="186"/>
      <c r="T32" s="186"/>
      <c r="U32" s="186" t="str">
        <f t="shared" si="3"/>
        <v/>
      </c>
      <c r="V32" s="186"/>
      <c r="W32" s="186"/>
      <c r="X32" s="187" t="str">
        <f t="shared" si="4"/>
        <v/>
      </c>
      <c r="Y32" s="187"/>
      <c r="Z32" s="187"/>
      <c r="AE32" s="55"/>
      <c r="AF32" s="55"/>
      <c r="AR32" s="56">
        <v>652.29999999999995</v>
      </c>
      <c r="AS32" s="56">
        <v>552.6</v>
      </c>
      <c r="AT32" s="56"/>
      <c r="AU32" s="56">
        <v>14.9068</v>
      </c>
    </row>
    <row r="33" spans="2:54" ht="16.5" customHeight="1" x14ac:dyDescent="0.3">
      <c r="B33" s="80">
        <f>IF($F$13&gt;=3,3,"")</f>
        <v>3</v>
      </c>
      <c r="C33" s="83">
        <v>3.5</v>
      </c>
      <c r="D33" s="85">
        <f t="shared" si="5"/>
        <v>678.1</v>
      </c>
      <c r="E33" s="84">
        <f>IF(D33="","",SUM(D$21:D33))</f>
        <v>4024.9</v>
      </c>
      <c r="F33" s="186">
        <f t="shared" si="0"/>
        <v>410.42557856148636</v>
      </c>
      <c r="G33" s="186"/>
      <c r="H33" s="186"/>
      <c r="I33" s="189">
        <f t="shared" si="6"/>
        <v>603.4</v>
      </c>
      <c r="J33" s="189"/>
      <c r="K33" s="189"/>
      <c r="L33" s="188">
        <f t="shared" si="7"/>
        <v>13.5319</v>
      </c>
      <c r="M33" s="188"/>
      <c r="N33" s="188"/>
      <c r="O33" s="186">
        <f t="shared" si="8"/>
        <v>44.590929581211803</v>
      </c>
      <c r="P33" s="186"/>
      <c r="Q33" s="186"/>
      <c r="R33" s="186">
        <f t="shared" si="2"/>
        <v>90.262751590984422</v>
      </c>
      <c r="S33" s="186"/>
      <c r="T33" s="186"/>
      <c r="U33" s="186" t="str">
        <f t="shared" si="3"/>
        <v/>
      </c>
      <c r="V33" s="186"/>
      <c r="W33" s="186"/>
      <c r="X33" s="187" t="str">
        <f t="shared" si="4"/>
        <v/>
      </c>
      <c r="Y33" s="187"/>
      <c r="Z33" s="187"/>
      <c r="AE33" s="55"/>
      <c r="AF33" s="55"/>
      <c r="AR33" s="56">
        <v>678.1</v>
      </c>
      <c r="AS33" s="56">
        <v>603.4</v>
      </c>
      <c r="AT33" s="56"/>
      <c r="AU33" s="56">
        <v>13.5319</v>
      </c>
    </row>
    <row r="34" spans="2:54" ht="16.5" customHeight="1" x14ac:dyDescent="0.3">
      <c r="B34" s="80">
        <f>IF($F$13&gt;=2,2,"")</f>
        <v>2</v>
      </c>
      <c r="C34" s="83">
        <v>3.5</v>
      </c>
      <c r="D34" s="85">
        <f t="shared" si="5"/>
        <v>687.3</v>
      </c>
      <c r="E34" s="84">
        <f>IF(D34="","",SUM(D$21:D34))</f>
        <v>4712.2</v>
      </c>
      <c r="F34" s="186">
        <f t="shared" si="0"/>
        <v>480.51067387945938</v>
      </c>
      <c r="G34" s="186"/>
      <c r="H34" s="186"/>
      <c r="I34" s="189">
        <f t="shared" si="6"/>
        <v>641.79999999999995</v>
      </c>
      <c r="J34" s="189"/>
      <c r="K34" s="189"/>
      <c r="L34" s="188">
        <f t="shared" si="7"/>
        <v>14.4864</v>
      </c>
      <c r="M34" s="188"/>
      <c r="N34" s="188"/>
      <c r="O34" s="186">
        <f t="shared" si="8"/>
        <v>44.30362270819527</v>
      </c>
      <c r="P34" s="186"/>
      <c r="Q34" s="186"/>
      <c r="R34" s="186">
        <f t="shared" si="2"/>
        <v>106.36150526643814</v>
      </c>
      <c r="S34" s="186"/>
      <c r="T34" s="186"/>
      <c r="U34" s="186" t="str">
        <f t="shared" si="3"/>
        <v/>
      </c>
      <c r="V34" s="186"/>
      <c r="W34" s="186"/>
      <c r="X34" s="187" t="str">
        <f t="shared" si="4"/>
        <v/>
      </c>
      <c r="Y34" s="187"/>
      <c r="Z34" s="187"/>
      <c r="AE34" s="55"/>
      <c r="AF34" s="55"/>
      <c r="AR34" s="56">
        <v>687.3</v>
      </c>
      <c r="AS34" s="56">
        <v>641.79999999999995</v>
      </c>
      <c r="AT34" s="56"/>
      <c r="AU34" s="56">
        <v>14.4864</v>
      </c>
    </row>
    <row r="35" spans="2:54" ht="16.5" customHeight="1" x14ac:dyDescent="0.3">
      <c r="B35" s="80">
        <f>IF($F$13&gt;=1,1,"")</f>
        <v>1</v>
      </c>
      <c r="C35" s="83">
        <v>5.3</v>
      </c>
      <c r="D35" s="85">
        <f t="shared" si="5"/>
        <v>782.7</v>
      </c>
      <c r="E35" s="84">
        <f>IF(D35="","",SUM(D$21:D35))</f>
        <v>5494.9</v>
      </c>
      <c r="F35" s="186">
        <f t="shared" si="0"/>
        <v>560.3238618692418</v>
      </c>
      <c r="G35" s="186"/>
      <c r="H35" s="186"/>
      <c r="I35" s="189">
        <f t="shared" si="6"/>
        <v>669.9</v>
      </c>
      <c r="J35" s="189"/>
      <c r="K35" s="189"/>
      <c r="L35" s="188">
        <f t="shared" si="7"/>
        <v>24.7697</v>
      </c>
      <c r="M35" s="188"/>
      <c r="N35" s="188"/>
      <c r="O35" s="186">
        <f t="shared" si="8"/>
        <v>27.045139828096424</v>
      </c>
      <c r="P35" s="186"/>
      <c r="Q35" s="186"/>
      <c r="R35" s="186">
        <f t="shared" si="2"/>
        <v>203.17513737871323</v>
      </c>
      <c r="S35" s="186"/>
      <c r="T35" s="186"/>
      <c r="U35" s="186" t="str">
        <f t="shared" si="3"/>
        <v/>
      </c>
      <c r="V35" s="186"/>
      <c r="W35" s="186"/>
      <c r="X35" s="187" t="str">
        <f t="shared" si="4"/>
        <v/>
      </c>
      <c r="Y35" s="187"/>
      <c r="Z35" s="187"/>
      <c r="AE35" s="55"/>
      <c r="AF35" s="55"/>
      <c r="AR35" s="56">
        <v>782.7</v>
      </c>
      <c r="AS35" s="56">
        <v>669.9</v>
      </c>
      <c r="AT35" s="56"/>
      <c r="AU35" s="56">
        <v>24.7697</v>
      </c>
    </row>
    <row r="36" spans="2:54" ht="16.5" customHeight="1" x14ac:dyDescent="0.3">
      <c r="B36" s="75"/>
      <c r="C36" s="75"/>
      <c r="D36" s="76"/>
      <c r="E36" s="76"/>
      <c r="F36" s="76"/>
      <c r="G36" s="5"/>
      <c r="H36" s="5"/>
      <c r="I36" s="5"/>
      <c r="J36" s="5"/>
      <c r="K36" s="5"/>
      <c r="L36" s="5"/>
      <c r="M36" s="5"/>
      <c r="N36" s="5"/>
      <c r="O36" s="5"/>
      <c r="P36" s="5"/>
      <c r="Q36" s="5"/>
      <c r="R36" s="5"/>
      <c r="S36" s="6"/>
      <c r="T36" s="6"/>
      <c r="U36" s="6"/>
      <c r="V36" s="6"/>
      <c r="W36" s="6"/>
      <c r="X36" s="6"/>
      <c r="Y36" s="5"/>
      <c r="Z36" s="5"/>
      <c r="AA36" s="5"/>
      <c r="AB36" s="6"/>
      <c r="AC36" s="6"/>
      <c r="AD36" s="6"/>
      <c r="AE36" s="6"/>
      <c r="AF36" s="6"/>
      <c r="AG36" s="6"/>
      <c r="AH36" s="76"/>
      <c r="AI36" s="76"/>
      <c r="AJ36" s="76"/>
      <c r="AM36" s="55"/>
      <c r="AY36" s="56"/>
      <c r="AZ36" s="57"/>
      <c r="BA36" s="56"/>
      <c r="BB36" s="56"/>
    </row>
    <row r="37" spans="2:54" ht="16.5" customHeight="1" x14ac:dyDescent="0.3">
      <c r="B37" t="s">
        <v>21</v>
      </c>
      <c r="C37" s="79"/>
      <c r="AM37" s="55"/>
      <c r="AY37" s="56"/>
      <c r="AZ37" s="56"/>
      <c r="BA37" s="56"/>
      <c r="BB37" s="56"/>
    </row>
    <row r="38" spans="2:54" ht="16.5" customHeight="1" x14ac:dyDescent="0.3">
      <c r="B38" s="193" t="s">
        <v>24</v>
      </c>
      <c r="C38" s="193"/>
      <c r="D38" s="183" t="s">
        <v>25</v>
      </c>
      <c r="E38" s="183"/>
      <c r="F38" s="183"/>
      <c r="G38" s="183" t="s">
        <v>26</v>
      </c>
      <c r="H38" s="183"/>
      <c r="I38" s="183"/>
      <c r="J38" s="183" t="s">
        <v>27</v>
      </c>
      <c r="K38" s="183"/>
      <c r="L38" s="183"/>
      <c r="M38" s="183" t="s">
        <v>27</v>
      </c>
      <c r="N38" s="183"/>
      <c r="O38" s="183"/>
      <c r="P38" s="183" t="s">
        <v>28</v>
      </c>
      <c r="Q38" s="183"/>
      <c r="R38" s="183"/>
      <c r="S38" s="183" t="s">
        <v>29</v>
      </c>
      <c r="T38" s="183"/>
      <c r="U38" s="183"/>
      <c r="V38" s="183" t="s">
        <v>30</v>
      </c>
      <c r="W38" s="183"/>
      <c r="X38" s="183"/>
      <c r="Y38" s="183" t="s">
        <v>31</v>
      </c>
      <c r="Z38" s="183"/>
      <c r="AA38" s="183"/>
      <c r="AB38" s="183" t="s">
        <v>32</v>
      </c>
      <c r="AC38" s="183"/>
      <c r="AD38" s="183"/>
      <c r="AE38" s="183" t="s">
        <v>33</v>
      </c>
      <c r="AF38" s="183"/>
      <c r="AG38" s="183"/>
      <c r="AM38" s="55"/>
      <c r="AY38" s="56"/>
      <c r="AZ38" s="56"/>
      <c r="BA38" s="56"/>
      <c r="BB38" s="56"/>
    </row>
    <row r="39" spans="2:54" ht="16.5" customHeight="1" x14ac:dyDescent="0.3">
      <c r="B39" s="193"/>
      <c r="C39" s="193"/>
      <c r="D39" s="182" t="s">
        <v>34</v>
      </c>
      <c r="E39" s="182"/>
      <c r="F39" s="182"/>
      <c r="G39" s="182" t="s">
        <v>35</v>
      </c>
      <c r="H39" s="182"/>
      <c r="I39" s="182"/>
      <c r="J39" s="182" t="s">
        <v>36</v>
      </c>
      <c r="K39" s="182"/>
      <c r="L39" s="182"/>
      <c r="M39" s="182" t="s">
        <v>37</v>
      </c>
      <c r="N39" s="182"/>
      <c r="O39" s="182"/>
      <c r="P39" s="182" t="s">
        <v>38</v>
      </c>
      <c r="Q39" s="182"/>
      <c r="R39" s="182"/>
      <c r="S39" s="182" t="s">
        <v>39</v>
      </c>
      <c r="T39" s="182"/>
      <c r="U39" s="182"/>
      <c r="V39" s="182" t="s">
        <v>40</v>
      </c>
      <c r="W39" s="182"/>
      <c r="X39" s="182"/>
      <c r="Y39" s="182" t="s">
        <v>41</v>
      </c>
      <c r="Z39" s="182"/>
      <c r="AA39" s="182"/>
      <c r="AB39" s="182" t="s">
        <v>42</v>
      </c>
      <c r="AC39" s="182"/>
      <c r="AD39" s="182"/>
      <c r="AE39" s="182" t="s">
        <v>43</v>
      </c>
      <c r="AF39" s="182"/>
      <c r="AG39" s="182"/>
      <c r="AM39" s="55"/>
      <c r="AY39" s="56"/>
      <c r="AZ39" s="56"/>
      <c r="BA39" s="56"/>
      <c r="BB39" s="56"/>
    </row>
    <row r="40" spans="2:54" ht="16.5" customHeight="1" x14ac:dyDescent="0.3">
      <c r="B40" s="193" t="str">
        <f t="shared" ref="B40:B48" si="9">+B21</f>
        <v/>
      </c>
      <c r="C40" s="193"/>
      <c r="D40" s="187" t="str">
        <f t="shared" ref="D40:D54" si="10">IF(C21="","",C21)</f>
        <v/>
      </c>
      <c r="E40" s="187"/>
      <c r="F40" s="187"/>
      <c r="G40" s="186" t="str">
        <f t="shared" ref="G40:G54" si="11">IF(D21="","",D21)</f>
        <v/>
      </c>
      <c r="H40" s="186"/>
      <c r="I40" s="186"/>
      <c r="J40" s="186" t="str">
        <f>IF(G40="","",SUM(G$40:G40))</f>
        <v/>
      </c>
      <c r="K40" s="186"/>
      <c r="L40" s="186"/>
      <c r="M40" s="186" t="str">
        <f t="shared" ref="M40:M54" si="12">IF(J40="","",J40/9.80665)</f>
        <v/>
      </c>
      <c r="N40" s="186"/>
      <c r="O40" s="186"/>
      <c r="P40" s="186" t="str">
        <f t="shared" ref="P40:P54" si="13">IF(I21="","",I21)</f>
        <v/>
      </c>
      <c r="Q40" s="186"/>
      <c r="R40" s="186"/>
      <c r="S40" s="184"/>
      <c r="T40" s="184"/>
      <c r="U40" s="184"/>
      <c r="V40" s="186" t="str">
        <f t="shared" ref="V40:V46" si="14">IF(S40="","",P40/S40)</f>
        <v/>
      </c>
      <c r="W40" s="186"/>
      <c r="X40" s="186"/>
      <c r="Y40" s="186" t="str">
        <f t="shared" ref="Y40:Y46" si="15">IF(V40="","",J40/V40)</f>
        <v/>
      </c>
      <c r="Z40" s="186"/>
      <c r="AA40" s="186"/>
      <c r="AB40" s="186" t="str">
        <f t="shared" ref="AB40:AB46" si="16">IF(B40=$F$13,SUM($Y$40:$AA$54)/10,"")</f>
        <v/>
      </c>
      <c r="AC40" s="186"/>
      <c r="AD40" s="186"/>
      <c r="AE40" s="187" t="str">
        <f t="shared" ref="AE40:AE54" si="17">IF(B40=$F$13,IF(B40=1,SQRT(AB40)/5,IF(B40=2,SQRT(AB40)/5.4,IF(B40&gt;=3,SQRT(AB40)/5.7,""))),"")</f>
        <v/>
      </c>
      <c r="AF40" s="187"/>
      <c r="AG40" s="187"/>
      <c r="AM40" s="55"/>
      <c r="AY40" s="56"/>
      <c r="AZ40" s="56"/>
      <c r="BA40" s="56"/>
      <c r="BB40" s="56"/>
    </row>
    <row r="41" spans="2:54" ht="16.5" customHeight="1" x14ac:dyDescent="0.3">
      <c r="B41" s="193" t="str">
        <f t="shared" si="9"/>
        <v/>
      </c>
      <c r="C41" s="193"/>
      <c r="D41" s="187" t="str">
        <f t="shared" si="10"/>
        <v/>
      </c>
      <c r="E41" s="187"/>
      <c r="F41" s="187"/>
      <c r="G41" s="186" t="str">
        <f t="shared" si="11"/>
        <v/>
      </c>
      <c r="H41" s="186"/>
      <c r="I41" s="186"/>
      <c r="J41" s="186" t="str">
        <f>IF(G41="","",SUM(G$40:G41))</f>
        <v/>
      </c>
      <c r="K41" s="186"/>
      <c r="L41" s="186"/>
      <c r="M41" s="186" t="str">
        <f t="shared" si="12"/>
        <v/>
      </c>
      <c r="N41" s="186"/>
      <c r="O41" s="186"/>
      <c r="P41" s="186" t="str">
        <f t="shared" si="13"/>
        <v/>
      </c>
      <c r="Q41" s="186"/>
      <c r="R41" s="186"/>
      <c r="S41" s="184"/>
      <c r="T41" s="184"/>
      <c r="U41" s="184"/>
      <c r="V41" s="186" t="str">
        <f t="shared" si="14"/>
        <v/>
      </c>
      <c r="W41" s="186"/>
      <c r="X41" s="186"/>
      <c r="Y41" s="186" t="str">
        <f t="shared" si="15"/>
        <v/>
      </c>
      <c r="Z41" s="186"/>
      <c r="AA41" s="186"/>
      <c r="AB41" s="186" t="str">
        <f t="shared" si="16"/>
        <v/>
      </c>
      <c r="AC41" s="186"/>
      <c r="AD41" s="186"/>
      <c r="AE41" s="187" t="str">
        <f t="shared" si="17"/>
        <v/>
      </c>
      <c r="AF41" s="187"/>
      <c r="AG41" s="187"/>
      <c r="AM41" s="55"/>
      <c r="AY41" s="56"/>
      <c r="AZ41" s="56"/>
      <c r="BA41" s="56"/>
      <c r="BB41" s="56"/>
    </row>
    <row r="42" spans="2:54" ht="16.5" customHeight="1" x14ac:dyDescent="0.3">
      <c r="B42" s="193" t="str">
        <f t="shared" si="9"/>
        <v/>
      </c>
      <c r="C42" s="193"/>
      <c r="D42" s="187" t="str">
        <f t="shared" si="10"/>
        <v/>
      </c>
      <c r="E42" s="187"/>
      <c r="F42" s="187"/>
      <c r="G42" s="186" t="str">
        <f t="shared" si="11"/>
        <v/>
      </c>
      <c r="H42" s="186"/>
      <c r="I42" s="186"/>
      <c r="J42" s="186" t="str">
        <f>IF(G42="","",SUM(G$40:G42))</f>
        <v/>
      </c>
      <c r="K42" s="186"/>
      <c r="L42" s="186"/>
      <c r="M42" s="186" t="str">
        <f t="shared" si="12"/>
        <v/>
      </c>
      <c r="N42" s="186"/>
      <c r="O42" s="186"/>
      <c r="P42" s="186" t="str">
        <f t="shared" si="13"/>
        <v/>
      </c>
      <c r="Q42" s="186"/>
      <c r="R42" s="186"/>
      <c r="S42" s="188"/>
      <c r="T42" s="188"/>
      <c r="U42" s="188"/>
      <c r="V42" s="186" t="str">
        <f t="shared" si="14"/>
        <v/>
      </c>
      <c r="W42" s="186"/>
      <c r="X42" s="186"/>
      <c r="Y42" s="186" t="str">
        <f t="shared" si="15"/>
        <v/>
      </c>
      <c r="Z42" s="186"/>
      <c r="AA42" s="186"/>
      <c r="AB42" s="186" t="str">
        <f t="shared" si="16"/>
        <v/>
      </c>
      <c r="AC42" s="186"/>
      <c r="AD42" s="186"/>
      <c r="AE42" s="187" t="str">
        <f t="shared" si="17"/>
        <v/>
      </c>
      <c r="AF42" s="187"/>
      <c r="AG42" s="187"/>
      <c r="AM42" s="55"/>
      <c r="AY42" s="56"/>
      <c r="AZ42" s="56"/>
      <c r="BA42" s="56"/>
      <c r="BB42" s="56"/>
    </row>
    <row r="43" spans="2:54" ht="16.5" customHeight="1" x14ac:dyDescent="0.3">
      <c r="B43" s="193" t="str">
        <f t="shared" si="9"/>
        <v/>
      </c>
      <c r="C43" s="193"/>
      <c r="D43" s="187" t="str">
        <f t="shared" si="10"/>
        <v/>
      </c>
      <c r="E43" s="187"/>
      <c r="F43" s="187"/>
      <c r="G43" s="186" t="str">
        <f t="shared" si="11"/>
        <v/>
      </c>
      <c r="H43" s="186"/>
      <c r="I43" s="186"/>
      <c r="J43" s="186" t="str">
        <f>IF(G43="","",SUM(G$40:G43))</f>
        <v/>
      </c>
      <c r="K43" s="186"/>
      <c r="L43" s="186"/>
      <c r="M43" s="186" t="str">
        <f>IF(J43="","",J43/9.80665)</f>
        <v/>
      </c>
      <c r="N43" s="186"/>
      <c r="O43" s="186"/>
      <c r="P43" s="186" t="str">
        <f t="shared" si="13"/>
        <v/>
      </c>
      <c r="Q43" s="186"/>
      <c r="R43" s="186"/>
      <c r="S43" s="188"/>
      <c r="T43" s="188"/>
      <c r="U43" s="188"/>
      <c r="V43" s="186" t="str">
        <f t="shared" si="14"/>
        <v/>
      </c>
      <c r="W43" s="186"/>
      <c r="X43" s="186"/>
      <c r="Y43" s="186" t="str">
        <f t="shared" si="15"/>
        <v/>
      </c>
      <c r="Z43" s="186"/>
      <c r="AA43" s="186"/>
      <c r="AB43" s="186" t="str">
        <f t="shared" si="16"/>
        <v/>
      </c>
      <c r="AC43" s="186"/>
      <c r="AD43" s="186"/>
      <c r="AE43" s="187" t="str">
        <f t="shared" si="17"/>
        <v/>
      </c>
      <c r="AF43" s="187"/>
      <c r="AG43" s="187"/>
      <c r="AM43" s="55"/>
      <c r="AY43" s="56"/>
      <c r="AZ43" s="56"/>
      <c r="BA43" s="56"/>
      <c r="BB43" s="56"/>
    </row>
    <row r="44" spans="2:54" ht="16.5" customHeight="1" x14ac:dyDescent="0.3">
      <c r="B44" s="193" t="str">
        <f t="shared" si="9"/>
        <v/>
      </c>
      <c r="C44" s="193"/>
      <c r="D44" s="187" t="str">
        <f t="shared" si="10"/>
        <v/>
      </c>
      <c r="E44" s="187"/>
      <c r="F44" s="187"/>
      <c r="G44" s="186" t="str">
        <f t="shared" si="11"/>
        <v/>
      </c>
      <c r="H44" s="186"/>
      <c r="I44" s="186"/>
      <c r="J44" s="186" t="str">
        <f>IF(G44="","",SUM(G$40:G44))</f>
        <v/>
      </c>
      <c r="K44" s="186"/>
      <c r="L44" s="186"/>
      <c r="M44" s="186" t="str">
        <f>IF(J44="","",J44/9.80665)</f>
        <v/>
      </c>
      <c r="N44" s="186"/>
      <c r="O44" s="186"/>
      <c r="P44" s="186" t="str">
        <f t="shared" si="13"/>
        <v/>
      </c>
      <c r="Q44" s="186"/>
      <c r="R44" s="186"/>
      <c r="S44" s="188"/>
      <c r="T44" s="188"/>
      <c r="U44" s="188"/>
      <c r="V44" s="186" t="str">
        <f t="shared" si="14"/>
        <v/>
      </c>
      <c r="W44" s="186"/>
      <c r="X44" s="186"/>
      <c r="Y44" s="186" t="str">
        <f t="shared" si="15"/>
        <v/>
      </c>
      <c r="Z44" s="186"/>
      <c r="AA44" s="186"/>
      <c r="AB44" s="186" t="str">
        <f t="shared" si="16"/>
        <v/>
      </c>
      <c r="AC44" s="186"/>
      <c r="AD44" s="186"/>
      <c r="AE44" s="187" t="str">
        <f t="shared" si="17"/>
        <v/>
      </c>
      <c r="AF44" s="187"/>
      <c r="AG44" s="187"/>
      <c r="AM44" s="55"/>
      <c r="AY44" s="56"/>
      <c r="AZ44" s="56"/>
      <c r="BA44" s="56"/>
      <c r="BB44" s="56"/>
    </row>
    <row r="45" spans="2:54" ht="16.5" customHeight="1" x14ac:dyDescent="0.3">
      <c r="B45" s="193" t="str">
        <f t="shared" si="9"/>
        <v/>
      </c>
      <c r="C45" s="193"/>
      <c r="D45" s="187" t="str">
        <f t="shared" si="10"/>
        <v/>
      </c>
      <c r="E45" s="187"/>
      <c r="F45" s="187"/>
      <c r="G45" s="186" t="str">
        <f t="shared" si="11"/>
        <v/>
      </c>
      <c r="H45" s="186"/>
      <c r="I45" s="186"/>
      <c r="J45" s="186" t="str">
        <f>IF(G45="","",SUM(G$40:G45))</f>
        <v/>
      </c>
      <c r="K45" s="186"/>
      <c r="L45" s="186"/>
      <c r="M45" s="186" t="str">
        <f t="shared" si="12"/>
        <v/>
      </c>
      <c r="N45" s="186"/>
      <c r="O45" s="186"/>
      <c r="P45" s="186" t="str">
        <f t="shared" si="13"/>
        <v/>
      </c>
      <c r="Q45" s="186"/>
      <c r="R45" s="186"/>
      <c r="S45" s="188"/>
      <c r="T45" s="188"/>
      <c r="U45" s="188"/>
      <c r="V45" s="186" t="str">
        <f t="shared" si="14"/>
        <v/>
      </c>
      <c r="W45" s="186"/>
      <c r="X45" s="186"/>
      <c r="Y45" s="186" t="str">
        <f t="shared" si="15"/>
        <v/>
      </c>
      <c r="Z45" s="186"/>
      <c r="AA45" s="186"/>
      <c r="AB45" s="186" t="str">
        <f t="shared" si="16"/>
        <v/>
      </c>
      <c r="AC45" s="186"/>
      <c r="AD45" s="186"/>
      <c r="AE45" s="187" t="str">
        <f t="shared" si="17"/>
        <v/>
      </c>
      <c r="AF45" s="187"/>
      <c r="AG45" s="187"/>
      <c r="AM45" s="55"/>
      <c r="AY45" s="56"/>
      <c r="AZ45" s="56"/>
      <c r="BA45" s="56"/>
      <c r="BB45" s="56"/>
    </row>
    <row r="46" spans="2:54" ht="16.5" customHeight="1" x14ac:dyDescent="0.3">
      <c r="B46" s="193" t="str">
        <f t="shared" si="9"/>
        <v/>
      </c>
      <c r="C46" s="193"/>
      <c r="D46" s="187" t="str">
        <f t="shared" si="10"/>
        <v/>
      </c>
      <c r="E46" s="187"/>
      <c r="F46" s="187"/>
      <c r="G46" s="186" t="str">
        <f t="shared" si="11"/>
        <v/>
      </c>
      <c r="H46" s="186"/>
      <c r="I46" s="186"/>
      <c r="J46" s="186" t="str">
        <f>IF(G46="","",SUM(G$40:G46))</f>
        <v/>
      </c>
      <c r="K46" s="186"/>
      <c r="L46" s="186"/>
      <c r="M46" s="186" t="str">
        <f t="shared" si="12"/>
        <v/>
      </c>
      <c r="N46" s="186"/>
      <c r="O46" s="186"/>
      <c r="P46" s="186" t="str">
        <f t="shared" si="13"/>
        <v/>
      </c>
      <c r="Q46" s="186"/>
      <c r="R46" s="186"/>
      <c r="S46" s="188"/>
      <c r="T46" s="188"/>
      <c r="U46" s="188"/>
      <c r="V46" s="186" t="str">
        <f t="shared" si="14"/>
        <v/>
      </c>
      <c r="W46" s="186"/>
      <c r="X46" s="186"/>
      <c r="Y46" s="186" t="str">
        <f t="shared" si="15"/>
        <v/>
      </c>
      <c r="Z46" s="186"/>
      <c r="AA46" s="186"/>
      <c r="AB46" s="186" t="str">
        <f t="shared" si="16"/>
        <v/>
      </c>
      <c r="AC46" s="186"/>
      <c r="AD46" s="186"/>
      <c r="AE46" s="187" t="str">
        <f t="shared" si="17"/>
        <v/>
      </c>
      <c r="AF46" s="187"/>
      <c r="AG46" s="187"/>
      <c r="AM46" s="55"/>
      <c r="AY46" s="56"/>
      <c r="AZ46" s="56"/>
      <c r="BA46" s="56"/>
      <c r="BB46" s="56"/>
    </row>
    <row r="47" spans="2:54" ht="16.5" customHeight="1" x14ac:dyDescent="0.3">
      <c r="B47" s="193">
        <f t="shared" si="9"/>
        <v>8</v>
      </c>
      <c r="C47" s="193"/>
      <c r="D47" s="187">
        <f t="shared" si="10"/>
        <v>3.75</v>
      </c>
      <c r="E47" s="187"/>
      <c r="F47" s="187"/>
      <c r="G47" s="186">
        <f t="shared" si="11"/>
        <v>785.7</v>
      </c>
      <c r="H47" s="186"/>
      <c r="I47" s="186"/>
      <c r="J47" s="186">
        <f>IF(G47="","",SUM(G$40:G47))</f>
        <v>785.7</v>
      </c>
      <c r="K47" s="186"/>
      <c r="L47" s="186"/>
      <c r="M47" s="186">
        <f t="shared" si="12"/>
        <v>80.119102853675827</v>
      </c>
      <c r="N47" s="186"/>
      <c r="O47" s="186"/>
      <c r="P47" s="186">
        <f t="shared" si="13"/>
        <v>222.1</v>
      </c>
      <c r="Q47" s="186"/>
      <c r="R47" s="186"/>
      <c r="S47" s="188">
        <f>+BB47</f>
        <v>15.5783</v>
      </c>
      <c r="T47" s="188"/>
      <c r="U47" s="188"/>
      <c r="V47" s="186">
        <f>IF(S47="","",P47/S47)</f>
        <v>14.257011355539435</v>
      </c>
      <c r="W47" s="186"/>
      <c r="X47" s="186"/>
      <c r="Y47" s="186">
        <f>IF(V47="","",J47/V47)</f>
        <v>55.109726744709597</v>
      </c>
      <c r="Z47" s="186"/>
      <c r="AA47" s="186"/>
      <c r="AB47" s="186">
        <f>IF(B47=$F$13,SUM($Y$40:$AA$54)/10,"")</f>
        <v>68.334884288776124</v>
      </c>
      <c r="AC47" s="186"/>
      <c r="AD47" s="186"/>
      <c r="AE47" s="187">
        <f>IF(B47=$F$13,IF(B47=1,SQRT(AB47)/5,IF(B47=2,SQRT(AB47)/5.4,IF(B47&gt;=3,SQRT(AB47)/5.7,""))),"")</f>
        <v>1.450261693929594</v>
      </c>
      <c r="AF47" s="187"/>
      <c r="AG47" s="187"/>
      <c r="AM47" s="55"/>
      <c r="AY47" s="56"/>
      <c r="AZ47" s="56"/>
      <c r="BA47" s="56"/>
      <c r="BB47" s="56">
        <v>15.5783</v>
      </c>
    </row>
    <row r="48" spans="2:54" ht="16.5" customHeight="1" x14ac:dyDescent="0.3">
      <c r="B48" s="193">
        <f t="shared" si="9"/>
        <v>7</v>
      </c>
      <c r="C48" s="193"/>
      <c r="D48" s="187">
        <f t="shared" si="10"/>
        <v>3.5</v>
      </c>
      <c r="E48" s="187"/>
      <c r="F48" s="187"/>
      <c r="G48" s="186">
        <f t="shared" si="11"/>
        <v>624.4</v>
      </c>
      <c r="H48" s="186"/>
      <c r="I48" s="186"/>
      <c r="J48" s="186">
        <f>IF(G48="","",SUM(G$40:G48))</f>
        <v>1410.1</v>
      </c>
      <c r="K48" s="186"/>
      <c r="L48" s="186"/>
      <c r="M48" s="186">
        <f t="shared" si="12"/>
        <v>143.79018319201765</v>
      </c>
      <c r="N48" s="186"/>
      <c r="O48" s="186"/>
      <c r="P48" s="186">
        <f t="shared" si="13"/>
        <v>327.60000000000002</v>
      </c>
      <c r="Q48" s="186"/>
      <c r="R48" s="186"/>
      <c r="S48" s="188">
        <f t="shared" ref="S48:S54" si="18">+BB48</f>
        <v>14.861499999999999</v>
      </c>
      <c r="T48" s="188"/>
      <c r="U48" s="188"/>
      <c r="V48" s="186">
        <f t="shared" ref="V48:V54" si="19">IF(S48="","",P48/S48)</f>
        <v>22.043535309356393</v>
      </c>
      <c r="W48" s="186"/>
      <c r="X48" s="186"/>
      <c r="Y48" s="186">
        <f t="shared" ref="Y48:Y54" si="20">IF(V48="","",J48/V48)</f>
        <v>63.968867979242965</v>
      </c>
      <c r="Z48" s="186"/>
      <c r="AA48" s="186"/>
      <c r="AB48" s="186" t="str">
        <f t="shared" ref="AB48:AB54" si="21">IF(B48=$F$13,SUM($Y$40:$AA$54)/10,"")</f>
        <v/>
      </c>
      <c r="AC48" s="186"/>
      <c r="AD48" s="186"/>
      <c r="AE48" s="187" t="str">
        <f t="shared" si="17"/>
        <v/>
      </c>
      <c r="AF48" s="187"/>
      <c r="AG48" s="187"/>
      <c r="AM48" s="55"/>
      <c r="AY48" s="56"/>
      <c r="AZ48" s="56"/>
      <c r="BA48" s="56"/>
      <c r="BB48" s="56">
        <v>14.861499999999999</v>
      </c>
    </row>
    <row r="49" spans="2:54" ht="16.5" customHeight="1" x14ac:dyDescent="0.3">
      <c r="B49" s="193">
        <f>+B30</f>
        <v>6</v>
      </c>
      <c r="C49" s="193"/>
      <c r="D49" s="187">
        <f t="shared" si="10"/>
        <v>3.5</v>
      </c>
      <c r="E49" s="187"/>
      <c r="F49" s="187"/>
      <c r="G49" s="186">
        <f t="shared" si="11"/>
        <v>638.70000000000005</v>
      </c>
      <c r="H49" s="186"/>
      <c r="I49" s="186"/>
      <c r="J49" s="186">
        <f>IF(G49="","",SUM(G$40:G49))</f>
        <v>2048.8000000000002</v>
      </c>
      <c r="K49" s="186"/>
      <c r="L49" s="186"/>
      <c r="M49" s="186">
        <f t="shared" si="12"/>
        <v>208.91945771491797</v>
      </c>
      <c r="N49" s="186"/>
      <c r="O49" s="186"/>
      <c r="P49" s="186">
        <f t="shared" si="13"/>
        <v>416.3</v>
      </c>
      <c r="Q49" s="186"/>
      <c r="R49" s="186"/>
      <c r="S49" s="188">
        <f t="shared" si="18"/>
        <v>13.728</v>
      </c>
      <c r="T49" s="188"/>
      <c r="U49" s="188"/>
      <c r="V49" s="186">
        <f t="shared" si="19"/>
        <v>30.324883449883451</v>
      </c>
      <c r="W49" s="186"/>
      <c r="X49" s="186"/>
      <c r="Y49" s="186">
        <f t="shared" si="20"/>
        <v>67.56167763631997</v>
      </c>
      <c r="Z49" s="186"/>
      <c r="AA49" s="186"/>
      <c r="AB49" s="186" t="str">
        <f t="shared" si="21"/>
        <v/>
      </c>
      <c r="AC49" s="186"/>
      <c r="AD49" s="186"/>
      <c r="AE49" s="187" t="str">
        <f t="shared" si="17"/>
        <v/>
      </c>
      <c r="AF49" s="187"/>
      <c r="AG49" s="187"/>
      <c r="AM49" s="55"/>
      <c r="AY49" s="56"/>
      <c r="AZ49" s="56"/>
      <c r="BA49" s="56"/>
      <c r="BB49" s="56">
        <v>13.728</v>
      </c>
    </row>
    <row r="50" spans="2:54" ht="16.5" customHeight="1" x14ac:dyDescent="0.3">
      <c r="B50" s="193">
        <f>IF($F$13&gt;=5,5,"")</f>
        <v>5</v>
      </c>
      <c r="C50" s="193"/>
      <c r="D50" s="187">
        <f t="shared" si="10"/>
        <v>3.5</v>
      </c>
      <c r="E50" s="187"/>
      <c r="F50" s="187"/>
      <c r="G50" s="186">
        <f t="shared" si="11"/>
        <v>645.70000000000005</v>
      </c>
      <c r="H50" s="186"/>
      <c r="I50" s="186"/>
      <c r="J50" s="186">
        <f>IF(G50="","",SUM(G$40:G50))</f>
        <v>2694.5</v>
      </c>
      <c r="K50" s="186"/>
      <c r="L50" s="186"/>
      <c r="M50" s="186">
        <f t="shared" si="12"/>
        <v>274.7625335869028</v>
      </c>
      <c r="N50" s="186"/>
      <c r="O50" s="186"/>
      <c r="P50" s="186">
        <f t="shared" si="13"/>
        <v>490.9</v>
      </c>
      <c r="Q50" s="186"/>
      <c r="R50" s="186"/>
      <c r="S50" s="188">
        <f t="shared" si="18"/>
        <v>13.347799999999999</v>
      </c>
      <c r="T50" s="188"/>
      <c r="U50" s="188"/>
      <c r="V50" s="186">
        <f t="shared" si="19"/>
        <v>36.777596308005812</v>
      </c>
      <c r="W50" s="186"/>
      <c r="X50" s="186"/>
      <c r="Y50" s="186">
        <f t="shared" si="20"/>
        <v>73.264711957628847</v>
      </c>
      <c r="Z50" s="186"/>
      <c r="AA50" s="186"/>
      <c r="AB50" s="186" t="str">
        <f t="shared" si="21"/>
        <v/>
      </c>
      <c r="AC50" s="186"/>
      <c r="AD50" s="186"/>
      <c r="AE50" s="187" t="str">
        <f t="shared" si="17"/>
        <v/>
      </c>
      <c r="AF50" s="187"/>
      <c r="AG50" s="187"/>
      <c r="AM50" s="55"/>
      <c r="AY50" s="56"/>
      <c r="AZ50" s="56"/>
      <c r="BA50" s="56"/>
      <c r="BB50" s="56">
        <v>13.347799999999999</v>
      </c>
    </row>
    <row r="51" spans="2:54" ht="16.5" customHeight="1" x14ac:dyDescent="0.3">
      <c r="B51" s="193">
        <f>IF($F$13&gt;=4,4,"")</f>
        <v>4</v>
      </c>
      <c r="C51" s="193"/>
      <c r="D51" s="187">
        <f t="shared" si="10"/>
        <v>3.5</v>
      </c>
      <c r="E51" s="187"/>
      <c r="F51" s="187"/>
      <c r="G51" s="186">
        <f t="shared" si="11"/>
        <v>652.29999999999995</v>
      </c>
      <c r="H51" s="186"/>
      <c r="I51" s="186"/>
      <c r="J51" s="186">
        <f>IF(G51="","",SUM(G$40:G51))</f>
        <v>3346.8</v>
      </c>
      <c r="K51" s="186"/>
      <c r="L51" s="186"/>
      <c r="M51" s="186">
        <f t="shared" si="12"/>
        <v>341.27862215945305</v>
      </c>
      <c r="N51" s="186"/>
      <c r="O51" s="186"/>
      <c r="P51" s="186">
        <f t="shared" si="13"/>
        <v>552.6</v>
      </c>
      <c r="Q51" s="186"/>
      <c r="R51" s="186"/>
      <c r="S51" s="188">
        <f t="shared" si="18"/>
        <v>12.6417</v>
      </c>
      <c r="T51" s="188"/>
      <c r="U51" s="188"/>
      <c r="V51" s="186">
        <f t="shared" si="19"/>
        <v>43.712475379102493</v>
      </c>
      <c r="W51" s="186"/>
      <c r="X51" s="186"/>
      <c r="Y51" s="186">
        <f t="shared" si="20"/>
        <v>76.563955048859938</v>
      </c>
      <c r="Z51" s="186"/>
      <c r="AA51" s="186"/>
      <c r="AB51" s="186" t="str">
        <f t="shared" si="21"/>
        <v/>
      </c>
      <c r="AC51" s="186"/>
      <c r="AD51" s="186"/>
      <c r="AE51" s="187" t="str">
        <f t="shared" si="17"/>
        <v/>
      </c>
      <c r="AF51" s="187"/>
      <c r="AG51" s="187"/>
      <c r="AM51" s="55"/>
      <c r="AY51" s="56"/>
      <c r="AZ51" s="56"/>
      <c r="BA51" s="56"/>
      <c r="BB51" s="56">
        <v>12.6417</v>
      </c>
    </row>
    <row r="52" spans="2:54" ht="16.5" customHeight="1" x14ac:dyDescent="0.3">
      <c r="B52" s="193">
        <f>IF($F$13&gt;=3,3,"")</f>
        <v>3</v>
      </c>
      <c r="C52" s="193"/>
      <c r="D52" s="187">
        <f t="shared" si="10"/>
        <v>3.5</v>
      </c>
      <c r="E52" s="187"/>
      <c r="F52" s="187"/>
      <c r="G52" s="186">
        <f t="shared" si="11"/>
        <v>678.1</v>
      </c>
      <c r="H52" s="186"/>
      <c r="I52" s="186"/>
      <c r="J52" s="186">
        <f>IF(G52="","",SUM(G$40:G52))</f>
        <v>4024.9</v>
      </c>
      <c r="K52" s="186"/>
      <c r="L52" s="186"/>
      <c r="M52" s="186">
        <f t="shared" si="12"/>
        <v>410.42557856148636</v>
      </c>
      <c r="N52" s="186"/>
      <c r="O52" s="186"/>
      <c r="P52" s="186">
        <f t="shared" si="13"/>
        <v>603.4</v>
      </c>
      <c r="Q52" s="186"/>
      <c r="R52" s="186"/>
      <c r="S52" s="188">
        <f t="shared" si="18"/>
        <v>11.837999999999999</v>
      </c>
      <c r="T52" s="188"/>
      <c r="U52" s="188"/>
      <c r="V52" s="186">
        <f t="shared" si="19"/>
        <v>50.971447879709409</v>
      </c>
      <c r="W52" s="186"/>
      <c r="X52" s="186"/>
      <c r="Y52" s="186">
        <f t="shared" si="20"/>
        <v>78.963815379516078</v>
      </c>
      <c r="Z52" s="186"/>
      <c r="AA52" s="186"/>
      <c r="AB52" s="186" t="str">
        <f t="shared" si="21"/>
        <v/>
      </c>
      <c r="AC52" s="186"/>
      <c r="AD52" s="186"/>
      <c r="AE52" s="187" t="str">
        <f t="shared" si="17"/>
        <v/>
      </c>
      <c r="AF52" s="187"/>
      <c r="AG52" s="187"/>
      <c r="AM52" s="55"/>
      <c r="AY52" s="56"/>
      <c r="AZ52" s="56"/>
      <c r="BA52" s="56"/>
      <c r="BB52" s="56">
        <v>11.837999999999999</v>
      </c>
    </row>
    <row r="53" spans="2:54" ht="16.5" customHeight="1" x14ac:dyDescent="0.3">
      <c r="B53" s="193">
        <f>IF($F$13&gt;=2,2,"")</f>
        <v>2</v>
      </c>
      <c r="C53" s="193"/>
      <c r="D53" s="187">
        <f t="shared" si="10"/>
        <v>3.5</v>
      </c>
      <c r="E53" s="187"/>
      <c r="F53" s="187"/>
      <c r="G53" s="186">
        <f t="shared" si="11"/>
        <v>687.3</v>
      </c>
      <c r="H53" s="186"/>
      <c r="I53" s="186"/>
      <c r="J53" s="186">
        <f>IF(G53="","",SUM(G$40:G53))</f>
        <v>4712.2</v>
      </c>
      <c r="K53" s="186"/>
      <c r="L53" s="186"/>
      <c r="M53" s="186">
        <f t="shared" si="12"/>
        <v>480.51067387945938</v>
      </c>
      <c r="N53" s="186"/>
      <c r="O53" s="186"/>
      <c r="P53" s="186">
        <f t="shared" si="13"/>
        <v>641.79999999999995</v>
      </c>
      <c r="Q53" s="186"/>
      <c r="R53" s="186"/>
      <c r="S53" s="188">
        <f t="shared" si="18"/>
        <v>12.218299999999999</v>
      </c>
      <c r="T53" s="188"/>
      <c r="U53" s="188"/>
      <c r="V53" s="186">
        <f t="shared" si="19"/>
        <v>52.527765728456494</v>
      </c>
      <c r="W53" s="186"/>
      <c r="X53" s="186"/>
      <c r="Y53" s="186">
        <f t="shared" si="20"/>
        <v>89.70874612028669</v>
      </c>
      <c r="Z53" s="186"/>
      <c r="AA53" s="186"/>
      <c r="AB53" s="186" t="str">
        <f t="shared" si="21"/>
        <v/>
      </c>
      <c r="AC53" s="186"/>
      <c r="AD53" s="186"/>
      <c r="AE53" s="187" t="str">
        <f t="shared" si="17"/>
        <v/>
      </c>
      <c r="AF53" s="187"/>
      <c r="AG53" s="187"/>
      <c r="AM53" s="55"/>
      <c r="AY53" s="56"/>
      <c r="AZ53" s="56"/>
      <c r="BA53" s="56"/>
      <c r="BB53" s="56">
        <v>12.218299999999999</v>
      </c>
    </row>
    <row r="54" spans="2:54" ht="16.5" customHeight="1" x14ac:dyDescent="0.3">
      <c r="B54" s="193">
        <f>IF($F$13&gt;=1,1,"")</f>
        <v>1</v>
      </c>
      <c r="C54" s="193"/>
      <c r="D54" s="187">
        <f t="shared" si="10"/>
        <v>5.3</v>
      </c>
      <c r="E54" s="187"/>
      <c r="F54" s="187"/>
      <c r="G54" s="186">
        <f t="shared" si="11"/>
        <v>782.7</v>
      </c>
      <c r="H54" s="186"/>
      <c r="I54" s="186"/>
      <c r="J54" s="186">
        <f>IF(G54="","",SUM(G$40:G54))</f>
        <v>5494.9</v>
      </c>
      <c r="K54" s="186"/>
      <c r="L54" s="186"/>
      <c r="M54" s="186">
        <f t="shared" si="12"/>
        <v>560.3238618692418</v>
      </c>
      <c r="N54" s="186"/>
      <c r="O54" s="186"/>
      <c r="P54" s="186">
        <f t="shared" si="13"/>
        <v>669.9</v>
      </c>
      <c r="Q54" s="186"/>
      <c r="R54" s="186"/>
      <c r="S54" s="188">
        <f t="shared" si="18"/>
        <v>21.7258</v>
      </c>
      <c r="T54" s="188"/>
      <c r="U54" s="188"/>
      <c r="V54" s="186">
        <f t="shared" si="19"/>
        <v>30.834307597418736</v>
      </c>
      <c r="W54" s="186"/>
      <c r="X54" s="186"/>
      <c r="Y54" s="186">
        <f t="shared" si="20"/>
        <v>178.20734202119718</v>
      </c>
      <c r="Z54" s="186"/>
      <c r="AA54" s="186"/>
      <c r="AB54" s="186" t="str">
        <f t="shared" si="21"/>
        <v/>
      </c>
      <c r="AC54" s="186"/>
      <c r="AD54" s="186"/>
      <c r="AE54" s="187" t="str">
        <f t="shared" si="17"/>
        <v/>
      </c>
      <c r="AF54" s="187"/>
      <c r="AG54" s="187"/>
      <c r="AM54" s="55"/>
      <c r="AY54" s="56"/>
      <c r="AZ54" s="56"/>
      <c r="BA54" s="56"/>
      <c r="BB54" s="56">
        <v>21.7258</v>
      </c>
    </row>
  </sheetData>
  <mergeCells count="349">
    <mergeCell ref="P54:R54"/>
    <mergeCell ref="S54:U54"/>
    <mergeCell ref="V54:X54"/>
    <mergeCell ref="Y54:AA54"/>
    <mergeCell ref="AB54:AD54"/>
    <mergeCell ref="AE54:AG54"/>
    <mergeCell ref="S53:U53"/>
    <mergeCell ref="V53:X53"/>
    <mergeCell ref="Y53:AA53"/>
    <mergeCell ref="AB53:AD53"/>
    <mergeCell ref="AE53:AG53"/>
    <mergeCell ref="P53:R53"/>
    <mergeCell ref="B54:C54"/>
    <mergeCell ref="D54:F54"/>
    <mergeCell ref="G54:I54"/>
    <mergeCell ref="J54:L54"/>
    <mergeCell ref="M54:O54"/>
    <mergeCell ref="B53:C53"/>
    <mergeCell ref="D53:F53"/>
    <mergeCell ref="G53:I53"/>
    <mergeCell ref="J53:L53"/>
    <mergeCell ref="M53:O53"/>
    <mergeCell ref="P52:R52"/>
    <mergeCell ref="S52:U52"/>
    <mergeCell ref="V52:X52"/>
    <mergeCell ref="Y52:AA52"/>
    <mergeCell ref="AB52:AD52"/>
    <mergeCell ref="AE52:AG52"/>
    <mergeCell ref="S51:U51"/>
    <mergeCell ref="V51:X51"/>
    <mergeCell ref="Y51:AA51"/>
    <mergeCell ref="AB51:AD51"/>
    <mergeCell ref="AE51:AG51"/>
    <mergeCell ref="P51:R51"/>
    <mergeCell ref="B52:C52"/>
    <mergeCell ref="D52:F52"/>
    <mergeCell ref="G52:I52"/>
    <mergeCell ref="J52:L52"/>
    <mergeCell ref="M52:O52"/>
    <mergeCell ref="B51:C51"/>
    <mergeCell ref="D51:F51"/>
    <mergeCell ref="G51:I51"/>
    <mergeCell ref="J51:L51"/>
    <mergeCell ref="M51:O51"/>
    <mergeCell ref="P50:R50"/>
    <mergeCell ref="S50:U50"/>
    <mergeCell ref="V50:X50"/>
    <mergeCell ref="Y50:AA50"/>
    <mergeCell ref="AB50:AD50"/>
    <mergeCell ref="AE50:AG50"/>
    <mergeCell ref="S49:U49"/>
    <mergeCell ref="V49:X49"/>
    <mergeCell ref="Y49:AA49"/>
    <mergeCell ref="AB49:AD49"/>
    <mergeCell ref="AE49:AG49"/>
    <mergeCell ref="P49:R49"/>
    <mergeCell ref="B50:C50"/>
    <mergeCell ref="D50:F50"/>
    <mergeCell ref="G50:I50"/>
    <mergeCell ref="J50:L50"/>
    <mergeCell ref="M50:O50"/>
    <mergeCell ref="B49:C49"/>
    <mergeCell ref="D49:F49"/>
    <mergeCell ref="G49:I49"/>
    <mergeCell ref="J49:L49"/>
    <mergeCell ref="M49:O49"/>
    <mergeCell ref="P48:R48"/>
    <mergeCell ref="S48:U48"/>
    <mergeCell ref="V48:X48"/>
    <mergeCell ref="Y48:AA48"/>
    <mergeCell ref="AB48:AD48"/>
    <mergeCell ref="AE48:AG48"/>
    <mergeCell ref="S47:U47"/>
    <mergeCell ref="V47:X47"/>
    <mergeCell ref="Y47:AA47"/>
    <mergeCell ref="AB47:AD47"/>
    <mergeCell ref="AE47:AG47"/>
    <mergeCell ref="P47:R47"/>
    <mergeCell ref="B48:C48"/>
    <mergeCell ref="D48:F48"/>
    <mergeCell ref="G48:I48"/>
    <mergeCell ref="J48:L48"/>
    <mergeCell ref="M48:O48"/>
    <mergeCell ref="B47:C47"/>
    <mergeCell ref="D47:F47"/>
    <mergeCell ref="G47:I47"/>
    <mergeCell ref="J47:L47"/>
    <mergeCell ref="M47:O47"/>
    <mergeCell ref="AE43:AG43"/>
    <mergeCell ref="P43:R43"/>
    <mergeCell ref="B46:C46"/>
    <mergeCell ref="D46:F46"/>
    <mergeCell ref="G46:I46"/>
    <mergeCell ref="J46:L46"/>
    <mergeCell ref="M46:O46"/>
    <mergeCell ref="B45:C45"/>
    <mergeCell ref="D45:F45"/>
    <mergeCell ref="G45:I45"/>
    <mergeCell ref="J45:L45"/>
    <mergeCell ref="M45:O45"/>
    <mergeCell ref="P46:R46"/>
    <mergeCell ref="S46:U46"/>
    <mergeCell ref="V46:X46"/>
    <mergeCell ref="Y46:AA46"/>
    <mergeCell ref="AB46:AD46"/>
    <mergeCell ref="AE46:AG46"/>
    <mergeCell ref="S45:U45"/>
    <mergeCell ref="V45:X45"/>
    <mergeCell ref="Y45:AA45"/>
    <mergeCell ref="AB45:AD45"/>
    <mergeCell ref="AE45:AG45"/>
    <mergeCell ref="P45:R45"/>
    <mergeCell ref="Y41:AA41"/>
    <mergeCell ref="AB41:AD41"/>
    <mergeCell ref="AE41:AG41"/>
    <mergeCell ref="P41:R41"/>
    <mergeCell ref="B44:C44"/>
    <mergeCell ref="D44:F44"/>
    <mergeCell ref="G44:I44"/>
    <mergeCell ref="J44:L44"/>
    <mergeCell ref="M44:O44"/>
    <mergeCell ref="B43:C43"/>
    <mergeCell ref="D43:F43"/>
    <mergeCell ref="G43:I43"/>
    <mergeCell ref="J43:L43"/>
    <mergeCell ref="M43:O43"/>
    <mergeCell ref="P44:R44"/>
    <mergeCell ref="S44:U44"/>
    <mergeCell ref="V44:X44"/>
    <mergeCell ref="Y44:AA44"/>
    <mergeCell ref="AB44:AD44"/>
    <mergeCell ref="AE44:AG44"/>
    <mergeCell ref="S43:U43"/>
    <mergeCell ref="V43:X43"/>
    <mergeCell ref="Y43:AA43"/>
    <mergeCell ref="AB43:AD43"/>
    <mergeCell ref="AE40:AG40"/>
    <mergeCell ref="S39:U39"/>
    <mergeCell ref="V39:X39"/>
    <mergeCell ref="Y39:AA39"/>
    <mergeCell ref="AB39:AD39"/>
    <mergeCell ref="AE39:AG39"/>
    <mergeCell ref="B42:C42"/>
    <mergeCell ref="D42:F42"/>
    <mergeCell ref="G42:I42"/>
    <mergeCell ref="J42:L42"/>
    <mergeCell ref="M42:O42"/>
    <mergeCell ref="B41:C41"/>
    <mergeCell ref="D41:F41"/>
    <mergeCell ref="G41:I41"/>
    <mergeCell ref="J41:L41"/>
    <mergeCell ref="M41:O41"/>
    <mergeCell ref="P42:R42"/>
    <mergeCell ref="S42:U42"/>
    <mergeCell ref="V42:X42"/>
    <mergeCell ref="Y42:AA42"/>
    <mergeCell ref="AB42:AD42"/>
    <mergeCell ref="AE42:AG42"/>
    <mergeCell ref="S41:U41"/>
    <mergeCell ref="V41:X41"/>
    <mergeCell ref="B40:C40"/>
    <mergeCell ref="D40:F40"/>
    <mergeCell ref="G40:I40"/>
    <mergeCell ref="J40:L40"/>
    <mergeCell ref="M40:O40"/>
    <mergeCell ref="S38:U38"/>
    <mergeCell ref="V38:X38"/>
    <mergeCell ref="Y38:AA38"/>
    <mergeCell ref="AB38:AD38"/>
    <mergeCell ref="P40:R40"/>
    <mergeCell ref="S40:U40"/>
    <mergeCell ref="V40:X40"/>
    <mergeCell ref="Y40:AA40"/>
    <mergeCell ref="AB40:AD40"/>
    <mergeCell ref="AE38:AG38"/>
    <mergeCell ref="D39:F39"/>
    <mergeCell ref="G39:I39"/>
    <mergeCell ref="J39:L39"/>
    <mergeCell ref="M39:O39"/>
    <mergeCell ref="P39:R39"/>
    <mergeCell ref="B38:C39"/>
    <mergeCell ref="D38:F38"/>
    <mergeCell ref="G38:I38"/>
    <mergeCell ref="J38:L38"/>
    <mergeCell ref="M38:O38"/>
    <mergeCell ref="P38:R38"/>
    <mergeCell ref="F35:H35"/>
    <mergeCell ref="F34:H34"/>
    <mergeCell ref="I34:K34"/>
    <mergeCell ref="I33:K33"/>
    <mergeCell ref="L33:N33"/>
    <mergeCell ref="O33:Q33"/>
    <mergeCell ref="R33:T33"/>
    <mergeCell ref="U33:W33"/>
    <mergeCell ref="X33:Z33"/>
    <mergeCell ref="I35:K35"/>
    <mergeCell ref="L35:N35"/>
    <mergeCell ref="O35:Q35"/>
    <mergeCell ref="R35:T35"/>
    <mergeCell ref="U35:W35"/>
    <mergeCell ref="X35:Z35"/>
    <mergeCell ref="L34:N34"/>
    <mergeCell ref="O34:Q34"/>
    <mergeCell ref="R34:T34"/>
    <mergeCell ref="U34:W34"/>
    <mergeCell ref="X34:Z34"/>
    <mergeCell ref="L32:N32"/>
    <mergeCell ref="O32:Q32"/>
    <mergeCell ref="R32:T32"/>
    <mergeCell ref="U32:W32"/>
    <mergeCell ref="X32:Z32"/>
    <mergeCell ref="F33:H33"/>
    <mergeCell ref="F32:H32"/>
    <mergeCell ref="I32:K32"/>
    <mergeCell ref="I31:K31"/>
    <mergeCell ref="L31:N31"/>
    <mergeCell ref="O31:Q31"/>
    <mergeCell ref="R31:T31"/>
    <mergeCell ref="U31:W31"/>
    <mergeCell ref="X31:Z31"/>
    <mergeCell ref="L30:N30"/>
    <mergeCell ref="O30:Q30"/>
    <mergeCell ref="R30:T30"/>
    <mergeCell ref="U30:W30"/>
    <mergeCell ref="X30:Z30"/>
    <mergeCell ref="F31:H31"/>
    <mergeCell ref="F30:H30"/>
    <mergeCell ref="I30:K30"/>
    <mergeCell ref="I29:K29"/>
    <mergeCell ref="L29:N29"/>
    <mergeCell ref="O29:Q29"/>
    <mergeCell ref="R29:T29"/>
    <mergeCell ref="U29:W29"/>
    <mergeCell ref="X29:Z29"/>
    <mergeCell ref="L28:N28"/>
    <mergeCell ref="O28:Q28"/>
    <mergeCell ref="R28:T28"/>
    <mergeCell ref="U28:W28"/>
    <mergeCell ref="X28:Z28"/>
    <mergeCell ref="F29:H29"/>
    <mergeCell ref="F28:H28"/>
    <mergeCell ref="I28:K28"/>
    <mergeCell ref="I27:K27"/>
    <mergeCell ref="L27:N27"/>
    <mergeCell ref="O27:Q27"/>
    <mergeCell ref="R27:T27"/>
    <mergeCell ref="U27:W27"/>
    <mergeCell ref="X27:Z27"/>
    <mergeCell ref="L26:N26"/>
    <mergeCell ref="O26:Q26"/>
    <mergeCell ref="R26:T26"/>
    <mergeCell ref="U26:W26"/>
    <mergeCell ref="X26:Z26"/>
    <mergeCell ref="F27:H27"/>
    <mergeCell ref="F26:H26"/>
    <mergeCell ref="I26:K26"/>
    <mergeCell ref="I25:K25"/>
    <mergeCell ref="L25:N25"/>
    <mergeCell ref="O25:Q25"/>
    <mergeCell ref="R25:T25"/>
    <mergeCell ref="U25:W25"/>
    <mergeCell ref="X25:Z25"/>
    <mergeCell ref="L24:N24"/>
    <mergeCell ref="O24:Q24"/>
    <mergeCell ref="R24:T24"/>
    <mergeCell ref="U24:W24"/>
    <mergeCell ref="X24:Z24"/>
    <mergeCell ref="F25:H25"/>
    <mergeCell ref="F24:H24"/>
    <mergeCell ref="I24:K24"/>
    <mergeCell ref="I23:K23"/>
    <mergeCell ref="L23:N23"/>
    <mergeCell ref="O23:Q23"/>
    <mergeCell ref="R23:T23"/>
    <mergeCell ref="U23:W23"/>
    <mergeCell ref="X23:Z23"/>
    <mergeCell ref="F23:H23"/>
    <mergeCell ref="F20:H20"/>
    <mergeCell ref="I20:K20"/>
    <mergeCell ref="F19:H19"/>
    <mergeCell ref="I19:K19"/>
    <mergeCell ref="L22:N22"/>
    <mergeCell ref="O22:Q22"/>
    <mergeCell ref="R22:T22"/>
    <mergeCell ref="U22:W22"/>
    <mergeCell ref="X22:Z22"/>
    <mergeCell ref="F22:H22"/>
    <mergeCell ref="I22:K22"/>
    <mergeCell ref="I21:K21"/>
    <mergeCell ref="L21:N21"/>
    <mergeCell ref="O21:Q21"/>
    <mergeCell ref="R21:T21"/>
    <mergeCell ref="U21:W21"/>
    <mergeCell ref="X21:Z21"/>
    <mergeCell ref="F21:H21"/>
    <mergeCell ref="R16:S16"/>
    <mergeCell ref="T16:U16"/>
    <mergeCell ref="V16:X16"/>
    <mergeCell ref="Y16:AA16"/>
    <mergeCell ref="AB16:AC16"/>
    <mergeCell ref="AD16:AF16"/>
    <mergeCell ref="L20:N20"/>
    <mergeCell ref="O20:Q20"/>
    <mergeCell ref="R20:T20"/>
    <mergeCell ref="U20:W20"/>
    <mergeCell ref="X20:Z20"/>
    <mergeCell ref="L19:N19"/>
    <mergeCell ref="O19:Q19"/>
    <mergeCell ref="R19:T19"/>
    <mergeCell ref="U19:W19"/>
    <mergeCell ref="X19:Z19"/>
    <mergeCell ref="AG14:AI14"/>
    <mergeCell ref="T15:U15"/>
    <mergeCell ref="V15:X15"/>
    <mergeCell ref="Y15:AA15"/>
    <mergeCell ref="AB15:AC15"/>
    <mergeCell ref="AD15:AF15"/>
    <mergeCell ref="AG15:AI15"/>
    <mergeCell ref="AG16:AI16"/>
    <mergeCell ref="T17:U17"/>
    <mergeCell ref="V17:X17"/>
    <mergeCell ref="Y17:AA17"/>
    <mergeCell ref="AB17:AC17"/>
    <mergeCell ref="AD17:AF17"/>
    <mergeCell ref="AG17:AI17"/>
    <mergeCell ref="G6:G7"/>
    <mergeCell ref="H6:H7"/>
    <mergeCell ref="D8:E9"/>
    <mergeCell ref="F8:F9"/>
    <mergeCell ref="G9:H10"/>
    <mergeCell ref="AG12:AI12"/>
    <mergeCell ref="AB13:AC13"/>
    <mergeCell ref="AD13:AF13"/>
    <mergeCell ref="D14:H14"/>
    <mergeCell ref="I14:K14"/>
    <mergeCell ref="M14:N14"/>
    <mergeCell ref="O14:P14"/>
    <mergeCell ref="R14:S14"/>
    <mergeCell ref="T14:U14"/>
    <mergeCell ref="V14:X14"/>
    <mergeCell ref="Y14:AA14"/>
    <mergeCell ref="D13:E13"/>
    <mergeCell ref="L13:N13"/>
    <mergeCell ref="O13:P13"/>
    <mergeCell ref="R13:S13"/>
    <mergeCell ref="V13:X13"/>
    <mergeCell ref="Y13:AA13"/>
    <mergeCell ref="AB14:AC14"/>
    <mergeCell ref="AD14:AF14"/>
  </mergeCells>
  <phoneticPr fontId="2"/>
  <conditionalFormatting sqref="AG14:AI17">
    <cfRule type="cellIs" dxfId="1" priority="1" stopIfTrue="1" operator="lessThan">
      <formula>0.75</formula>
    </cfRule>
  </conditionalFormatting>
  <pageMargins left="0.78740157480314965" right="0.59055118110236227" top="0.78740157480314965" bottom="0.78740157480314965" header="0.39370078740157483" footer="0.39370078740157483"/>
  <pageSetup paperSize="9" scale="83"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BB54"/>
  <sheetViews>
    <sheetView topLeftCell="B1" zoomScaleNormal="100" workbookViewId="0">
      <selection activeCell="Y14" sqref="Y14:AA14"/>
    </sheetView>
  </sheetViews>
  <sheetFormatPr defaultRowHeight="11.7" x14ac:dyDescent="0.3"/>
  <cols>
    <col min="1" max="1" width="4.703125" customWidth="1"/>
    <col min="2" max="37" width="3.1171875" customWidth="1"/>
    <col min="38" max="39" width="10.29296875" customWidth="1"/>
    <col min="40" max="50" width="3.1171875" customWidth="1"/>
  </cols>
  <sheetData>
    <row r="1" spans="2:35" ht="16.5" customHeight="1" x14ac:dyDescent="0.3">
      <c r="B1" t="s">
        <v>0</v>
      </c>
    </row>
    <row r="2" spans="2:35" ht="16.5" customHeight="1" x14ac:dyDescent="0.3">
      <c r="D2" t="s">
        <v>1</v>
      </c>
    </row>
    <row r="3" spans="2:35" ht="16.5" customHeight="1" x14ac:dyDescent="0.3">
      <c r="D3" t="s">
        <v>2</v>
      </c>
    </row>
    <row r="4" spans="2:35" ht="7.5" customHeight="1" x14ac:dyDescent="0.3"/>
    <row r="5" spans="2:35" ht="7.5" customHeight="1" x14ac:dyDescent="0.3">
      <c r="G5" s="2" t="s">
        <v>3</v>
      </c>
    </row>
    <row r="6" spans="2:35" ht="7.5" customHeight="1" x14ac:dyDescent="0.3">
      <c r="G6" s="172" t="s">
        <v>4</v>
      </c>
      <c r="H6" s="173" t="s">
        <v>5</v>
      </c>
    </row>
    <row r="7" spans="2:35" ht="7.5" customHeight="1" x14ac:dyDescent="0.3">
      <c r="F7" s="2" t="s">
        <v>3</v>
      </c>
      <c r="G7" s="172"/>
      <c r="H7" s="173"/>
    </row>
    <row r="8" spans="2:35" ht="7.5" customHeight="1" x14ac:dyDescent="0.3">
      <c r="D8" s="174" t="s">
        <v>6</v>
      </c>
      <c r="E8" s="174"/>
      <c r="F8" s="173" t="s">
        <v>4</v>
      </c>
      <c r="G8" s="3" t="s">
        <v>7</v>
      </c>
      <c r="H8" s="4"/>
    </row>
    <row r="9" spans="2:35" ht="7.5" customHeight="1" x14ac:dyDescent="0.3">
      <c r="D9" s="174"/>
      <c r="E9" s="174"/>
      <c r="F9" s="173"/>
      <c r="G9" s="175" t="s">
        <v>8</v>
      </c>
      <c r="H9" s="175"/>
    </row>
    <row r="10" spans="2:35" ht="7.5" customHeight="1" x14ac:dyDescent="0.3">
      <c r="F10" s="1" t="s">
        <v>9</v>
      </c>
      <c r="G10" s="174"/>
      <c r="H10" s="174"/>
    </row>
    <row r="11" spans="2:35" ht="7.5" customHeight="1" x14ac:dyDescent="0.3"/>
    <row r="12" spans="2:35" ht="16.5" customHeight="1" x14ac:dyDescent="0.3">
      <c r="AG12" s="174" t="s">
        <v>10</v>
      </c>
      <c r="AH12" s="174"/>
      <c r="AI12" s="174"/>
    </row>
    <row r="13" spans="2:35" ht="16.5" customHeight="1" x14ac:dyDescent="0.3">
      <c r="D13" s="174" t="s">
        <v>11</v>
      </c>
      <c r="E13" s="174"/>
      <c r="F13" s="7">
        <v>8</v>
      </c>
      <c r="L13" s="180" t="s">
        <v>12</v>
      </c>
      <c r="M13" s="180"/>
      <c r="N13" s="180"/>
      <c r="O13" s="179">
        <v>0.6</v>
      </c>
      <c r="P13" s="179"/>
      <c r="R13" s="173" t="s">
        <v>13</v>
      </c>
      <c r="S13" s="173"/>
      <c r="V13" s="172" t="s">
        <v>14</v>
      </c>
      <c r="W13" s="172"/>
      <c r="X13" s="172"/>
      <c r="Y13" s="176">
        <f>I14*(0.02+0.01*O14)</f>
        <v>0.90149999999999997</v>
      </c>
      <c r="Z13" s="176"/>
      <c r="AA13" s="176"/>
      <c r="AB13" s="172" t="s">
        <v>15</v>
      </c>
      <c r="AC13" s="172"/>
      <c r="AD13" s="176">
        <f>IF(Y13&lt;O13,1,IF(Y13&gt;2*O13,1.6*O13/Y13,1-0.2*(Y13/O13-1)^2))</f>
        <v>0.94949875000000006</v>
      </c>
      <c r="AE13" s="176"/>
      <c r="AF13" s="176"/>
    </row>
    <row r="14" spans="2:35" ht="16.5" customHeight="1" x14ac:dyDescent="0.3">
      <c r="B14" s="59"/>
      <c r="C14" s="59"/>
      <c r="D14" s="173" t="s">
        <v>16</v>
      </c>
      <c r="E14" s="173"/>
      <c r="F14" s="173"/>
      <c r="G14" s="173"/>
      <c r="H14" s="173"/>
      <c r="I14" s="177">
        <f>SUM(D21:F35)</f>
        <v>30.05</v>
      </c>
      <c r="J14" s="178"/>
      <c r="K14" s="178"/>
      <c r="M14" s="172" t="s">
        <v>17</v>
      </c>
      <c r="N14" s="172"/>
      <c r="O14" s="179">
        <v>1</v>
      </c>
      <c r="P14" s="179"/>
      <c r="R14" s="173" t="s">
        <v>18</v>
      </c>
      <c r="S14" s="173"/>
      <c r="T14" s="173" t="s">
        <v>19</v>
      </c>
      <c r="U14" s="173"/>
      <c r="V14" s="172" t="s">
        <v>14</v>
      </c>
      <c r="W14" s="172"/>
      <c r="X14" s="172"/>
      <c r="Y14" s="176">
        <f>MAX(AE21:AG35)</f>
        <v>1.5847776261679376</v>
      </c>
      <c r="Z14" s="173"/>
      <c r="AA14" s="173"/>
      <c r="AB14" s="172" t="s">
        <v>20</v>
      </c>
      <c r="AC14" s="172"/>
      <c r="AD14" s="176">
        <f>IF(Y14&lt;O13,1,IF(Y14&gt;2*O13,1.6*O13/Y14,1-0.2*(Y14/O13-1)^2))</f>
        <v>0.60576322138098482</v>
      </c>
      <c r="AE14" s="176"/>
      <c r="AF14" s="176"/>
      <c r="AG14" s="181">
        <f>AD14/AD13</f>
        <v>0.63798211570155805</v>
      </c>
      <c r="AH14" s="181"/>
      <c r="AI14" s="181"/>
    </row>
    <row r="15" spans="2:35" ht="16.5" customHeight="1" x14ac:dyDescent="0.3">
      <c r="B15" s="59"/>
      <c r="C15" s="59"/>
      <c r="D15" s="58"/>
      <c r="E15" s="58"/>
      <c r="F15" s="58"/>
      <c r="G15" s="58"/>
      <c r="H15" s="58"/>
      <c r="I15" s="60"/>
      <c r="J15" s="58"/>
      <c r="K15" s="58"/>
      <c r="M15" s="61"/>
      <c r="N15" s="61"/>
      <c r="O15" s="62"/>
      <c r="P15" s="62"/>
      <c r="R15" s="58"/>
      <c r="S15" s="58"/>
      <c r="T15" s="173" t="s">
        <v>21</v>
      </c>
      <c r="U15" s="173"/>
      <c r="V15" s="172" t="s">
        <v>14</v>
      </c>
      <c r="W15" s="172"/>
      <c r="X15" s="172"/>
      <c r="Y15" s="176">
        <f>MAX(AE40:AG54)</f>
        <v>1.450261693929594</v>
      </c>
      <c r="Z15" s="173"/>
      <c r="AA15" s="173"/>
      <c r="AB15" s="172" t="s">
        <v>22</v>
      </c>
      <c r="AC15" s="172"/>
      <c r="AD15" s="176">
        <f>IF(Y15&lt;O13,1,IF(Y15&gt;2*O13,1.6*O13/Y15,1-0.2*(Y15/O13-1)^2))</f>
        <v>0.66194949781705059</v>
      </c>
      <c r="AE15" s="176"/>
      <c r="AF15" s="176"/>
      <c r="AG15" s="181">
        <f>AD15/AD13</f>
        <v>0.69715678700688188</v>
      </c>
      <c r="AH15" s="181"/>
      <c r="AI15" s="181"/>
    </row>
    <row r="16" spans="2:35" ht="16.5" customHeight="1" x14ac:dyDescent="0.3">
      <c r="B16" s="59"/>
      <c r="C16" s="59"/>
      <c r="D16" s="58"/>
      <c r="E16" s="58"/>
      <c r="F16" s="58"/>
      <c r="G16" s="58"/>
      <c r="H16" s="58"/>
      <c r="I16" s="60"/>
      <c r="J16" s="58"/>
      <c r="K16" s="58"/>
      <c r="M16" s="61"/>
      <c r="N16" s="61"/>
      <c r="O16" s="62"/>
      <c r="P16" s="62"/>
      <c r="R16" s="173" t="s">
        <v>23</v>
      </c>
      <c r="S16" s="173"/>
      <c r="T16" s="173" t="s">
        <v>19</v>
      </c>
      <c r="U16" s="173"/>
      <c r="V16" s="172" t="s">
        <v>14</v>
      </c>
      <c r="W16" s="172"/>
      <c r="X16" s="172"/>
      <c r="Y16" s="177">
        <v>1.26</v>
      </c>
      <c r="Z16" s="178"/>
      <c r="AA16" s="178"/>
      <c r="AB16" s="172" t="s">
        <v>20</v>
      </c>
      <c r="AC16" s="172"/>
      <c r="AD16" s="176">
        <f>IF(Y16&lt;O13,1,IF(Y16&gt;2*O13,1.6*O13/Y16,1-0.2*(Y16/O13-1)^2))</f>
        <v>0.76190476190476186</v>
      </c>
      <c r="AE16" s="176"/>
      <c r="AF16" s="176"/>
      <c r="AG16" s="181">
        <f>AD16/AD13</f>
        <v>0.80242839909453467</v>
      </c>
      <c r="AH16" s="181"/>
      <c r="AI16" s="181"/>
    </row>
    <row r="17" spans="2:54" ht="16.5" customHeight="1" x14ac:dyDescent="0.3">
      <c r="B17" s="59"/>
      <c r="C17" s="59"/>
      <c r="D17" s="58"/>
      <c r="E17" s="58"/>
      <c r="F17" s="58"/>
      <c r="G17" s="58"/>
      <c r="H17" s="58"/>
      <c r="I17" s="60"/>
      <c r="J17" s="58"/>
      <c r="K17" s="58"/>
      <c r="M17" s="61"/>
      <c r="N17" s="61"/>
      <c r="O17" s="62"/>
      <c r="P17" s="62"/>
      <c r="R17" s="58"/>
      <c r="S17" s="58"/>
      <c r="T17" s="173" t="s">
        <v>21</v>
      </c>
      <c r="U17" s="173"/>
      <c r="V17" s="172" t="s">
        <v>14</v>
      </c>
      <c r="W17" s="172"/>
      <c r="X17" s="172"/>
      <c r="Y17" s="177">
        <v>1.26</v>
      </c>
      <c r="Z17" s="178"/>
      <c r="AA17" s="178"/>
      <c r="AB17" s="172" t="s">
        <v>22</v>
      </c>
      <c r="AC17" s="172"/>
      <c r="AD17" s="176">
        <f>IF(Y17&lt;O13,1,IF(Y17&gt;2*O13,1.6*O13/Y17,1-0.2*(Y17/O13-1)^2))</f>
        <v>0.76190476190476186</v>
      </c>
      <c r="AE17" s="176"/>
      <c r="AF17" s="176"/>
      <c r="AG17" s="181">
        <f>AD17/AD13</f>
        <v>0.80242839909453467</v>
      </c>
      <c r="AH17" s="181"/>
      <c r="AI17" s="181"/>
    </row>
    <row r="18" spans="2:54" ht="16.5" customHeight="1" x14ac:dyDescent="0.3">
      <c r="B18" t="s">
        <v>19</v>
      </c>
      <c r="C18" s="63"/>
    </row>
    <row r="19" spans="2:54" ht="16.5" customHeight="1" x14ac:dyDescent="0.3">
      <c r="B19" s="193" t="s">
        <v>24</v>
      </c>
      <c r="C19" s="193"/>
      <c r="D19" s="183" t="s">
        <v>25</v>
      </c>
      <c r="E19" s="183"/>
      <c r="F19" s="183"/>
      <c r="G19" s="183" t="s">
        <v>26</v>
      </c>
      <c r="H19" s="183"/>
      <c r="I19" s="183"/>
      <c r="J19" s="183" t="s">
        <v>27</v>
      </c>
      <c r="K19" s="183"/>
      <c r="L19" s="183"/>
      <c r="M19" s="183" t="s">
        <v>27</v>
      </c>
      <c r="N19" s="183"/>
      <c r="O19" s="183"/>
      <c r="P19" s="183" t="s">
        <v>28</v>
      </c>
      <c r="Q19" s="183"/>
      <c r="R19" s="183"/>
      <c r="S19" s="183" t="s">
        <v>29</v>
      </c>
      <c r="T19" s="183"/>
      <c r="U19" s="183"/>
      <c r="V19" s="183" t="s">
        <v>30</v>
      </c>
      <c r="W19" s="183"/>
      <c r="X19" s="183"/>
      <c r="Y19" s="183" t="s">
        <v>31</v>
      </c>
      <c r="Z19" s="183"/>
      <c r="AA19" s="183"/>
      <c r="AB19" s="183" t="s">
        <v>32</v>
      </c>
      <c r="AC19" s="183"/>
      <c r="AD19" s="183"/>
      <c r="AE19" s="183" t="s">
        <v>33</v>
      </c>
      <c r="AF19" s="183"/>
      <c r="AG19" s="183"/>
    </row>
    <row r="20" spans="2:54" ht="16.5" customHeight="1" x14ac:dyDescent="0.3">
      <c r="B20" s="193"/>
      <c r="C20" s="193"/>
      <c r="D20" s="182" t="s">
        <v>34</v>
      </c>
      <c r="E20" s="182"/>
      <c r="F20" s="182"/>
      <c r="G20" s="182" t="s">
        <v>35</v>
      </c>
      <c r="H20" s="182"/>
      <c r="I20" s="182"/>
      <c r="J20" s="182" t="s">
        <v>36</v>
      </c>
      <c r="K20" s="182"/>
      <c r="L20" s="182"/>
      <c r="M20" s="182" t="s">
        <v>37</v>
      </c>
      <c r="N20" s="182"/>
      <c r="O20" s="182"/>
      <c r="P20" s="182" t="s">
        <v>38</v>
      </c>
      <c r="Q20" s="182"/>
      <c r="R20" s="182"/>
      <c r="S20" s="182" t="s">
        <v>39</v>
      </c>
      <c r="T20" s="182"/>
      <c r="U20" s="182"/>
      <c r="V20" s="182" t="s">
        <v>40</v>
      </c>
      <c r="W20" s="182"/>
      <c r="X20" s="182"/>
      <c r="Y20" s="182" t="s">
        <v>41</v>
      </c>
      <c r="Z20" s="182"/>
      <c r="AA20" s="182"/>
      <c r="AB20" s="182" t="s">
        <v>42</v>
      </c>
      <c r="AC20" s="182"/>
      <c r="AD20" s="182"/>
      <c r="AE20" s="182" t="s">
        <v>43</v>
      </c>
      <c r="AF20" s="182"/>
      <c r="AG20" s="182"/>
    </row>
    <row r="21" spans="2:54" ht="16.5" customHeight="1" x14ac:dyDescent="0.3">
      <c r="B21" s="193" t="str">
        <f>IF($F$13&gt;=15,15,"")</f>
        <v/>
      </c>
      <c r="C21" s="193"/>
      <c r="D21" s="194"/>
      <c r="E21" s="195"/>
      <c r="F21" s="196"/>
      <c r="G21" s="186"/>
      <c r="H21" s="186"/>
      <c r="I21" s="186"/>
      <c r="J21" s="186" t="str">
        <f>IF(G21="","",SUM(G$21:G21))</f>
        <v/>
      </c>
      <c r="K21" s="186"/>
      <c r="L21" s="186"/>
      <c r="M21" s="186" t="str">
        <f t="shared" ref="M21:M34" si="0">IF(J21="","",J21/9.80665)</f>
        <v/>
      </c>
      <c r="N21" s="186"/>
      <c r="O21" s="186"/>
      <c r="P21" s="186"/>
      <c r="Q21" s="186"/>
      <c r="R21" s="186"/>
      <c r="S21" s="184"/>
      <c r="T21" s="184"/>
      <c r="U21" s="184"/>
      <c r="V21" s="185" t="str">
        <f t="shared" ref="V21:V27" si="1">IF(S21="","",(P21)/S21)</f>
        <v/>
      </c>
      <c r="W21" s="185"/>
      <c r="X21" s="185"/>
      <c r="Y21" s="186" t="str">
        <f t="shared" ref="Y21:Y27" si="2">IF(V21="","",J21/V21)</f>
        <v/>
      </c>
      <c r="Z21" s="186"/>
      <c r="AA21" s="186"/>
      <c r="AB21" s="186" t="str">
        <f t="shared" ref="AB21:AB27" si="3">IF(B21=$F$13,SUM($Y$21:$AA$35)/10,"")</f>
        <v/>
      </c>
      <c r="AC21" s="186"/>
      <c r="AD21" s="186"/>
      <c r="AE21" s="187" t="str">
        <f t="shared" ref="AE21:AE35" si="4">IF(B21=$F$13,IF(B21=1,SQRT(AB21)/5,IF(B21=2,SQRT(AB21)/5.4,IF(B21&gt;=3,SQRT(AB21)/5.7,""))),"")</f>
        <v/>
      </c>
      <c r="AF21" s="187"/>
      <c r="AG21" s="187"/>
    </row>
    <row r="22" spans="2:54" ht="16.5" customHeight="1" x14ac:dyDescent="0.3">
      <c r="B22" s="193" t="str">
        <f>IF($F$13&gt;=14,14,"")</f>
        <v/>
      </c>
      <c r="C22" s="193"/>
      <c r="D22" s="194"/>
      <c r="E22" s="195"/>
      <c r="F22" s="196"/>
      <c r="G22" s="186"/>
      <c r="H22" s="186"/>
      <c r="I22" s="186"/>
      <c r="J22" s="186" t="str">
        <f>IF(G22="","",SUM(G$21:G22))</f>
        <v/>
      </c>
      <c r="K22" s="186"/>
      <c r="L22" s="186"/>
      <c r="M22" s="186" t="str">
        <f t="shared" si="0"/>
        <v/>
      </c>
      <c r="N22" s="186"/>
      <c r="O22" s="186"/>
      <c r="P22" s="186"/>
      <c r="Q22" s="186"/>
      <c r="R22" s="186"/>
      <c r="S22" s="184"/>
      <c r="T22" s="184"/>
      <c r="U22" s="184"/>
      <c r="V22" s="185" t="str">
        <f t="shared" si="1"/>
        <v/>
      </c>
      <c r="W22" s="185"/>
      <c r="X22" s="185"/>
      <c r="Y22" s="186" t="str">
        <f t="shared" si="2"/>
        <v/>
      </c>
      <c r="Z22" s="186"/>
      <c r="AA22" s="186"/>
      <c r="AB22" s="186" t="str">
        <f t="shared" si="3"/>
        <v/>
      </c>
      <c r="AC22" s="186"/>
      <c r="AD22" s="186"/>
      <c r="AE22" s="187" t="str">
        <f t="shared" si="4"/>
        <v/>
      </c>
      <c r="AF22" s="187"/>
      <c r="AG22" s="187"/>
    </row>
    <row r="23" spans="2:54" ht="16.5" customHeight="1" x14ac:dyDescent="0.3">
      <c r="B23" s="193" t="str">
        <f>IF($F$13&gt;=13,13,"")</f>
        <v/>
      </c>
      <c r="C23" s="193"/>
      <c r="D23" s="194"/>
      <c r="E23" s="195"/>
      <c r="F23" s="196"/>
      <c r="G23" s="190"/>
      <c r="H23" s="191"/>
      <c r="I23" s="192"/>
      <c r="J23" s="186" t="str">
        <f>IF(G23="","",SUM(G$21:G23))</f>
        <v/>
      </c>
      <c r="K23" s="186"/>
      <c r="L23" s="186"/>
      <c r="M23" s="186" t="str">
        <f t="shared" ref="M23:M28" si="5">IF(J23="","",J23/9.80665)</f>
        <v/>
      </c>
      <c r="N23" s="186"/>
      <c r="O23" s="186"/>
      <c r="P23" s="189"/>
      <c r="Q23" s="189"/>
      <c r="R23" s="189"/>
      <c r="S23" s="188"/>
      <c r="T23" s="188"/>
      <c r="U23" s="188"/>
      <c r="V23" s="185" t="str">
        <f t="shared" si="1"/>
        <v/>
      </c>
      <c r="W23" s="185"/>
      <c r="X23" s="185"/>
      <c r="Y23" s="186" t="str">
        <f t="shared" si="2"/>
        <v/>
      </c>
      <c r="Z23" s="186"/>
      <c r="AA23" s="186"/>
      <c r="AB23" s="186" t="str">
        <f t="shared" si="3"/>
        <v/>
      </c>
      <c r="AC23" s="186"/>
      <c r="AD23" s="186"/>
      <c r="AE23" s="187" t="str">
        <f t="shared" si="4"/>
        <v/>
      </c>
      <c r="AF23" s="187"/>
      <c r="AG23" s="187"/>
    </row>
    <row r="24" spans="2:54" ht="16.5" customHeight="1" x14ac:dyDescent="0.3">
      <c r="B24" s="193" t="str">
        <f>IF($F$13&gt;=12,12,"")</f>
        <v/>
      </c>
      <c r="C24" s="193"/>
      <c r="D24" s="194"/>
      <c r="E24" s="195"/>
      <c r="F24" s="196"/>
      <c r="G24" s="190"/>
      <c r="H24" s="191"/>
      <c r="I24" s="192"/>
      <c r="J24" s="186" t="str">
        <f>IF(G24="","",SUM(G$21:G24))</f>
        <v/>
      </c>
      <c r="K24" s="186"/>
      <c r="L24" s="186"/>
      <c r="M24" s="186" t="str">
        <f t="shared" si="5"/>
        <v/>
      </c>
      <c r="N24" s="186"/>
      <c r="O24" s="186"/>
      <c r="P24" s="189"/>
      <c r="Q24" s="189"/>
      <c r="R24" s="189"/>
      <c r="S24" s="188"/>
      <c r="T24" s="188"/>
      <c r="U24" s="188"/>
      <c r="V24" s="185" t="str">
        <f t="shared" si="1"/>
        <v/>
      </c>
      <c r="W24" s="185"/>
      <c r="X24" s="185"/>
      <c r="Y24" s="186" t="str">
        <f t="shared" si="2"/>
        <v/>
      </c>
      <c r="Z24" s="186"/>
      <c r="AA24" s="186"/>
      <c r="AB24" s="186" t="str">
        <f t="shared" si="3"/>
        <v/>
      </c>
      <c r="AC24" s="186"/>
      <c r="AD24" s="186"/>
      <c r="AE24" s="187" t="str">
        <f t="shared" si="4"/>
        <v/>
      </c>
      <c r="AF24" s="187"/>
      <c r="AG24" s="187"/>
    </row>
    <row r="25" spans="2:54" ht="16.5" customHeight="1" x14ac:dyDescent="0.3">
      <c r="B25" s="193" t="str">
        <f>IF($F$13&gt;=11,11,"")</f>
        <v/>
      </c>
      <c r="C25" s="193"/>
      <c r="D25" s="194"/>
      <c r="E25" s="195"/>
      <c r="F25" s="196"/>
      <c r="G25" s="190"/>
      <c r="H25" s="191"/>
      <c r="I25" s="192"/>
      <c r="J25" s="186" t="str">
        <f>IF(G25="","",SUM(G$21:G25))</f>
        <v/>
      </c>
      <c r="K25" s="186"/>
      <c r="L25" s="186"/>
      <c r="M25" s="186" t="str">
        <f t="shared" si="5"/>
        <v/>
      </c>
      <c r="N25" s="186"/>
      <c r="O25" s="186"/>
      <c r="P25" s="189"/>
      <c r="Q25" s="189"/>
      <c r="R25" s="189"/>
      <c r="S25" s="188"/>
      <c r="T25" s="188"/>
      <c r="U25" s="188"/>
      <c r="V25" s="185" t="str">
        <f t="shared" si="1"/>
        <v/>
      </c>
      <c r="W25" s="185"/>
      <c r="X25" s="185"/>
      <c r="Y25" s="186" t="str">
        <f t="shared" si="2"/>
        <v/>
      </c>
      <c r="Z25" s="186"/>
      <c r="AA25" s="186"/>
      <c r="AB25" s="186" t="str">
        <f t="shared" si="3"/>
        <v/>
      </c>
      <c r="AC25" s="186"/>
      <c r="AD25" s="186"/>
      <c r="AE25" s="187" t="str">
        <f t="shared" si="4"/>
        <v/>
      </c>
      <c r="AF25" s="187"/>
      <c r="AG25" s="187"/>
    </row>
    <row r="26" spans="2:54" ht="16.5" customHeight="1" x14ac:dyDescent="0.3">
      <c r="B26" s="193" t="str">
        <f>IF($F$13&gt;=10,10,"")</f>
        <v/>
      </c>
      <c r="C26" s="193"/>
      <c r="D26" s="194"/>
      <c r="E26" s="195"/>
      <c r="F26" s="196"/>
      <c r="G26" s="190"/>
      <c r="H26" s="191"/>
      <c r="I26" s="192"/>
      <c r="J26" s="186" t="str">
        <f>IF(G26="","",SUM(G$21:G26))</f>
        <v/>
      </c>
      <c r="K26" s="186"/>
      <c r="L26" s="186"/>
      <c r="M26" s="186" t="str">
        <f t="shared" si="5"/>
        <v/>
      </c>
      <c r="N26" s="186"/>
      <c r="O26" s="186"/>
      <c r="P26" s="189"/>
      <c r="Q26" s="189"/>
      <c r="R26" s="189"/>
      <c r="S26" s="188"/>
      <c r="T26" s="188"/>
      <c r="U26" s="188"/>
      <c r="V26" s="185" t="str">
        <f t="shared" si="1"/>
        <v/>
      </c>
      <c r="W26" s="185"/>
      <c r="X26" s="185"/>
      <c r="Y26" s="186" t="str">
        <f t="shared" si="2"/>
        <v/>
      </c>
      <c r="Z26" s="186"/>
      <c r="AA26" s="186"/>
      <c r="AB26" s="186" t="str">
        <f t="shared" si="3"/>
        <v/>
      </c>
      <c r="AC26" s="186"/>
      <c r="AD26" s="186"/>
      <c r="AE26" s="187" t="str">
        <f t="shared" si="4"/>
        <v/>
      </c>
      <c r="AF26" s="187"/>
      <c r="AG26" s="187"/>
    </row>
    <row r="27" spans="2:54" ht="16.5" customHeight="1" x14ac:dyDescent="0.3">
      <c r="B27" s="193" t="str">
        <f>IF($F$13&gt;=9,9,"")</f>
        <v/>
      </c>
      <c r="C27" s="193"/>
      <c r="D27" s="194"/>
      <c r="E27" s="195"/>
      <c r="F27" s="196"/>
      <c r="G27" s="190"/>
      <c r="H27" s="191"/>
      <c r="I27" s="192"/>
      <c r="J27" s="186" t="str">
        <f>IF(G27="","",SUM(G$21:G27))</f>
        <v/>
      </c>
      <c r="K27" s="186"/>
      <c r="L27" s="186"/>
      <c r="M27" s="186" t="str">
        <f t="shared" si="5"/>
        <v/>
      </c>
      <c r="N27" s="186"/>
      <c r="O27" s="186"/>
      <c r="P27" s="189"/>
      <c r="Q27" s="189"/>
      <c r="R27" s="189"/>
      <c r="S27" s="188"/>
      <c r="T27" s="188"/>
      <c r="U27" s="188"/>
      <c r="V27" s="185" t="str">
        <f t="shared" si="1"/>
        <v/>
      </c>
      <c r="W27" s="185"/>
      <c r="X27" s="185"/>
      <c r="Y27" s="186" t="str">
        <f t="shared" si="2"/>
        <v/>
      </c>
      <c r="Z27" s="186"/>
      <c r="AA27" s="186"/>
      <c r="AB27" s="186" t="str">
        <f t="shared" si="3"/>
        <v/>
      </c>
      <c r="AC27" s="186"/>
      <c r="AD27" s="186"/>
      <c r="AE27" s="187" t="str">
        <f t="shared" si="4"/>
        <v/>
      </c>
      <c r="AF27" s="187"/>
      <c r="AG27" s="187"/>
    </row>
    <row r="28" spans="2:54" ht="16.5" customHeight="1" x14ac:dyDescent="0.3">
      <c r="B28" s="193">
        <f>IF($F$13&gt;=8,8,"")</f>
        <v>8</v>
      </c>
      <c r="C28" s="193"/>
      <c r="D28" s="194">
        <v>3.75</v>
      </c>
      <c r="E28" s="195"/>
      <c r="F28" s="196"/>
      <c r="G28" s="190">
        <f>+AY28</f>
        <v>785.7</v>
      </c>
      <c r="H28" s="191"/>
      <c r="I28" s="192"/>
      <c r="J28" s="186">
        <f>IF(G28="","",SUM(G$21:G28))</f>
        <v>785.7</v>
      </c>
      <c r="K28" s="186"/>
      <c r="L28" s="186"/>
      <c r="M28" s="186">
        <f t="shared" si="5"/>
        <v>80.119102853675827</v>
      </c>
      <c r="N28" s="186"/>
      <c r="O28" s="186"/>
      <c r="P28" s="189">
        <f>+AZ28</f>
        <v>222.1</v>
      </c>
      <c r="Q28" s="189"/>
      <c r="R28" s="189"/>
      <c r="S28" s="188">
        <f>+BB28</f>
        <v>19.990200000000002</v>
      </c>
      <c r="T28" s="188"/>
      <c r="U28" s="188"/>
      <c r="V28" s="186">
        <f>IF(S28="","",(P28)/S28)</f>
        <v>11.110444117617632</v>
      </c>
      <c r="W28" s="186"/>
      <c r="X28" s="186"/>
      <c r="Y28" s="186">
        <f>IF(V28="","",J28/V28)</f>
        <v>70.717245114813153</v>
      </c>
      <c r="Z28" s="186"/>
      <c r="AA28" s="186"/>
      <c r="AB28" s="186">
        <f>IF(B28=$F$13,SUM($Y$21:$AA$35)/10,"")</f>
        <v>81.599288841836696</v>
      </c>
      <c r="AC28" s="186"/>
      <c r="AD28" s="186"/>
      <c r="AE28" s="187">
        <f>IF(B28=$F$13,IF(B28=1,SQRT(AB28)/5,IF(B28=2,SQRT(AB28)/5.4,IF(B28&gt;=3,SQRT(AB28)/5.7,""))),"")</f>
        <v>1.5847776261679376</v>
      </c>
      <c r="AF28" s="187"/>
      <c r="AG28" s="187"/>
      <c r="AL28" s="55"/>
      <c r="AM28" s="55"/>
      <c r="AY28" s="56">
        <v>785.7</v>
      </c>
      <c r="AZ28" s="56">
        <v>222.1</v>
      </c>
      <c r="BA28" s="56"/>
      <c r="BB28" s="56">
        <v>19.990200000000002</v>
      </c>
    </row>
    <row r="29" spans="2:54" ht="16.5" customHeight="1" x14ac:dyDescent="0.3">
      <c r="B29" s="193">
        <f>IF($F$13&gt;=7,7,"")</f>
        <v>7</v>
      </c>
      <c r="C29" s="193"/>
      <c r="D29" s="194">
        <v>3.5</v>
      </c>
      <c r="E29" s="195"/>
      <c r="F29" s="196"/>
      <c r="G29" s="190">
        <f t="shared" ref="G29:G35" si="6">+AY29</f>
        <v>624.4</v>
      </c>
      <c r="H29" s="191"/>
      <c r="I29" s="192"/>
      <c r="J29" s="186">
        <f>IF(G29="","",SUM(G$21:G29))</f>
        <v>1410.1</v>
      </c>
      <c r="K29" s="186"/>
      <c r="L29" s="186"/>
      <c r="M29" s="186">
        <f t="shared" si="0"/>
        <v>143.79018319201765</v>
      </c>
      <c r="N29" s="186"/>
      <c r="O29" s="186"/>
      <c r="P29" s="190">
        <f t="shared" ref="P29:P35" si="7">+AZ29</f>
        <v>327.60000000000002</v>
      </c>
      <c r="Q29" s="191"/>
      <c r="R29" s="192"/>
      <c r="S29" s="188">
        <f t="shared" ref="S29:S35" si="8">+BB29</f>
        <v>18.357700000000001</v>
      </c>
      <c r="T29" s="188"/>
      <c r="U29" s="188"/>
      <c r="V29" s="186">
        <f t="shared" ref="V29:V35" si="9">IF(S29="","",(P29)/S29)</f>
        <v>17.845372786351231</v>
      </c>
      <c r="W29" s="186"/>
      <c r="X29" s="186"/>
      <c r="Y29" s="186">
        <f>IF(V29="","",J29/V29)</f>
        <v>79.01768244810745</v>
      </c>
      <c r="Z29" s="186"/>
      <c r="AA29" s="186"/>
      <c r="AB29" s="186" t="str">
        <f t="shared" ref="AB29:AB35" si="10">IF(B29=$F$13,SUM($Y$21:$AA$35)/10,"")</f>
        <v/>
      </c>
      <c r="AC29" s="186"/>
      <c r="AD29" s="186"/>
      <c r="AE29" s="187" t="str">
        <f t="shared" si="4"/>
        <v/>
      </c>
      <c r="AF29" s="187"/>
      <c r="AG29" s="187"/>
      <c r="AL29" s="55"/>
      <c r="AM29" s="55"/>
      <c r="AY29" s="56">
        <v>624.4</v>
      </c>
      <c r="AZ29" s="56">
        <v>327.60000000000002</v>
      </c>
      <c r="BA29" s="56"/>
      <c r="BB29" s="56">
        <v>18.357700000000001</v>
      </c>
    </row>
    <row r="30" spans="2:54" ht="16.5" customHeight="1" x14ac:dyDescent="0.3">
      <c r="B30" s="193">
        <f>IF($F$13&gt;=6,6,"")</f>
        <v>6</v>
      </c>
      <c r="C30" s="193"/>
      <c r="D30" s="194">
        <v>3.5</v>
      </c>
      <c r="E30" s="195"/>
      <c r="F30" s="196"/>
      <c r="G30" s="190">
        <f t="shared" si="6"/>
        <v>638.70000000000005</v>
      </c>
      <c r="H30" s="191"/>
      <c r="I30" s="192"/>
      <c r="J30" s="186">
        <f>IF(G30="","",SUM(G$21:G30))</f>
        <v>2048.8000000000002</v>
      </c>
      <c r="K30" s="186"/>
      <c r="L30" s="186"/>
      <c r="M30" s="186">
        <f t="shared" si="0"/>
        <v>208.91945771491797</v>
      </c>
      <c r="N30" s="186"/>
      <c r="O30" s="186"/>
      <c r="P30" s="189">
        <f t="shared" si="7"/>
        <v>416.3</v>
      </c>
      <c r="Q30" s="189"/>
      <c r="R30" s="189"/>
      <c r="S30" s="188">
        <f t="shared" si="8"/>
        <v>17.361899999999999</v>
      </c>
      <c r="T30" s="188"/>
      <c r="U30" s="188"/>
      <c r="V30" s="186">
        <f t="shared" si="9"/>
        <v>23.97779044920199</v>
      </c>
      <c r="W30" s="186"/>
      <c r="X30" s="186"/>
      <c r="Y30" s="186">
        <f t="shared" ref="Y30:Y35" si="11">IF(V30="","",J30/V30)</f>
        <v>85.445737977420137</v>
      </c>
      <c r="Z30" s="186"/>
      <c r="AA30" s="186"/>
      <c r="AB30" s="186" t="str">
        <f t="shared" si="10"/>
        <v/>
      </c>
      <c r="AC30" s="186"/>
      <c r="AD30" s="186"/>
      <c r="AE30" s="187" t="str">
        <f t="shared" si="4"/>
        <v/>
      </c>
      <c r="AF30" s="187"/>
      <c r="AG30" s="187"/>
      <c r="AL30" s="55"/>
      <c r="AM30" s="55"/>
      <c r="AY30" s="56">
        <v>638.70000000000005</v>
      </c>
      <c r="AZ30" s="56">
        <v>416.3</v>
      </c>
      <c r="BA30" s="56"/>
      <c r="BB30" s="56">
        <v>17.361899999999999</v>
      </c>
    </row>
    <row r="31" spans="2:54" ht="16.5" customHeight="1" x14ac:dyDescent="0.3">
      <c r="B31" s="193">
        <f>IF($F$13&gt;=5,5,"")</f>
        <v>5</v>
      </c>
      <c r="C31" s="193"/>
      <c r="D31" s="194">
        <v>3.5</v>
      </c>
      <c r="E31" s="195"/>
      <c r="F31" s="196"/>
      <c r="G31" s="190">
        <f t="shared" si="6"/>
        <v>645.70000000000005</v>
      </c>
      <c r="H31" s="191"/>
      <c r="I31" s="192"/>
      <c r="J31" s="186">
        <f>IF(G31="","",SUM(G$21:G31))</f>
        <v>2694.5</v>
      </c>
      <c r="K31" s="186"/>
      <c r="L31" s="186"/>
      <c r="M31" s="186">
        <f t="shared" si="0"/>
        <v>274.7625335869028</v>
      </c>
      <c r="N31" s="186"/>
      <c r="O31" s="186"/>
      <c r="P31" s="189">
        <f t="shared" si="7"/>
        <v>490.9</v>
      </c>
      <c r="Q31" s="189"/>
      <c r="R31" s="189"/>
      <c r="S31" s="188">
        <f t="shared" si="8"/>
        <v>16.529800000000002</v>
      </c>
      <c r="T31" s="188"/>
      <c r="U31" s="188"/>
      <c r="V31" s="186">
        <f t="shared" si="9"/>
        <v>29.697878982201836</v>
      </c>
      <c r="W31" s="186"/>
      <c r="X31" s="186"/>
      <c r="Y31" s="186">
        <f t="shared" si="11"/>
        <v>90.730385210837255</v>
      </c>
      <c r="Z31" s="186"/>
      <c r="AA31" s="186"/>
      <c r="AB31" s="186" t="str">
        <f t="shared" si="10"/>
        <v/>
      </c>
      <c r="AC31" s="186"/>
      <c r="AD31" s="186"/>
      <c r="AE31" s="187" t="str">
        <f t="shared" si="4"/>
        <v/>
      </c>
      <c r="AF31" s="187"/>
      <c r="AG31" s="187"/>
      <c r="AL31" s="55"/>
      <c r="AM31" s="55"/>
      <c r="AY31" s="56">
        <v>645.70000000000005</v>
      </c>
      <c r="AZ31" s="56">
        <v>490.9</v>
      </c>
      <c r="BA31" s="56"/>
      <c r="BB31" s="56">
        <v>16.529800000000002</v>
      </c>
    </row>
    <row r="32" spans="2:54" ht="16.5" customHeight="1" x14ac:dyDescent="0.3">
      <c r="B32" s="193">
        <f>IF($F$13&gt;=4,4,"")</f>
        <v>4</v>
      </c>
      <c r="C32" s="193"/>
      <c r="D32" s="194">
        <v>3.5</v>
      </c>
      <c r="E32" s="195"/>
      <c r="F32" s="196"/>
      <c r="G32" s="190">
        <f t="shared" si="6"/>
        <v>652.29999999999995</v>
      </c>
      <c r="H32" s="191"/>
      <c r="I32" s="192"/>
      <c r="J32" s="186">
        <f>IF(G32="","",SUM(G$21:G32))</f>
        <v>3346.8</v>
      </c>
      <c r="K32" s="186"/>
      <c r="L32" s="186"/>
      <c r="M32" s="186">
        <f t="shared" si="0"/>
        <v>341.27862215945305</v>
      </c>
      <c r="N32" s="186"/>
      <c r="O32" s="186"/>
      <c r="P32" s="189">
        <f t="shared" si="7"/>
        <v>552.6</v>
      </c>
      <c r="Q32" s="189"/>
      <c r="R32" s="189"/>
      <c r="S32" s="188">
        <f t="shared" si="8"/>
        <v>14.9068</v>
      </c>
      <c r="T32" s="188"/>
      <c r="U32" s="188"/>
      <c r="V32" s="186">
        <f t="shared" si="9"/>
        <v>37.070330319049027</v>
      </c>
      <c r="W32" s="186"/>
      <c r="X32" s="186"/>
      <c r="Y32" s="186">
        <f t="shared" si="11"/>
        <v>90.282443431053196</v>
      </c>
      <c r="Z32" s="186"/>
      <c r="AA32" s="186"/>
      <c r="AB32" s="186" t="str">
        <f t="shared" si="10"/>
        <v/>
      </c>
      <c r="AC32" s="186"/>
      <c r="AD32" s="186"/>
      <c r="AE32" s="187" t="str">
        <f t="shared" si="4"/>
        <v/>
      </c>
      <c r="AF32" s="187"/>
      <c r="AG32" s="187"/>
      <c r="AL32" s="55"/>
      <c r="AM32" s="55"/>
      <c r="AY32" s="56">
        <v>652.29999999999995</v>
      </c>
      <c r="AZ32" s="56">
        <v>552.6</v>
      </c>
      <c r="BA32" s="56"/>
      <c r="BB32" s="56">
        <v>14.9068</v>
      </c>
    </row>
    <row r="33" spans="2:54" ht="16.5" customHeight="1" x14ac:dyDescent="0.3">
      <c r="B33" s="193">
        <f>IF($F$13&gt;=3,3,"")</f>
        <v>3</v>
      </c>
      <c r="C33" s="193"/>
      <c r="D33" s="194">
        <v>3.5</v>
      </c>
      <c r="E33" s="195"/>
      <c r="F33" s="196"/>
      <c r="G33" s="190">
        <f t="shared" si="6"/>
        <v>678.1</v>
      </c>
      <c r="H33" s="191"/>
      <c r="I33" s="192"/>
      <c r="J33" s="186">
        <f>IF(G33="","",SUM(G$21:G33))</f>
        <v>4024.9</v>
      </c>
      <c r="K33" s="186"/>
      <c r="L33" s="186"/>
      <c r="M33" s="186">
        <f t="shared" si="0"/>
        <v>410.42557856148636</v>
      </c>
      <c r="N33" s="186"/>
      <c r="O33" s="186"/>
      <c r="P33" s="189">
        <f t="shared" si="7"/>
        <v>603.4</v>
      </c>
      <c r="Q33" s="189"/>
      <c r="R33" s="189"/>
      <c r="S33" s="188">
        <f t="shared" si="8"/>
        <v>13.5319</v>
      </c>
      <c r="T33" s="188"/>
      <c r="U33" s="188"/>
      <c r="V33" s="186">
        <f t="shared" si="9"/>
        <v>44.590929581211803</v>
      </c>
      <c r="W33" s="186"/>
      <c r="X33" s="186"/>
      <c r="Y33" s="186">
        <f t="shared" si="11"/>
        <v>90.262751590984422</v>
      </c>
      <c r="Z33" s="186"/>
      <c r="AA33" s="186"/>
      <c r="AB33" s="186" t="str">
        <f t="shared" si="10"/>
        <v/>
      </c>
      <c r="AC33" s="186"/>
      <c r="AD33" s="186"/>
      <c r="AE33" s="187" t="str">
        <f t="shared" si="4"/>
        <v/>
      </c>
      <c r="AF33" s="187"/>
      <c r="AG33" s="187"/>
      <c r="AL33" s="55"/>
      <c r="AM33" s="55"/>
      <c r="AY33" s="56">
        <v>678.1</v>
      </c>
      <c r="AZ33" s="56">
        <v>603.4</v>
      </c>
      <c r="BA33" s="56"/>
      <c r="BB33" s="56">
        <v>13.5319</v>
      </c>
    </row>
    <row r="34" spans="2:54" ht="16.5" customHeight="1" x14ac:dyDescent="0.3">
      <c r="B34" s="193">
        <f>IF($F$13&gt;=2,2,"")</f>
        <v>2</v>
      </c>
      <c r="C34" s="193"/>
      <c r="D34" s="194">
        <v>3.5</v>
      </c>
      <c r="E34" s="195"/>
      <c r="F34" s="196"/>
      <c r="G34" s="190">
        <f t="shared" si="6"/>
        <v>687.3</v>
      </c>
      <c r="H34" s="191"/>
      <c r="I34" s="192"/>
      <c r="J34" s="186">
        <f>IF(G34="","",SUM(G$21:G34))</f>
        <v>4712.2</v>
      </c>
      <c r="K34" s="186"/>
      <c r="L34" s="186"/>
      <c r="M34" s="186">
        <f t="shared" si="0"/>
        <v>480.51067387945938</v>
      </c>
      <c r="N34" s="186"/>
      <c r="O34" s="186"/>
      <c r="P34" s="189">
        <f t="shared" si="7"/>
        <v>641.79999999999995</v>
      </c>
      <c r="Q34" s="189"/>
      <c r="R34" s="189"/>
      <c r="S34" s="188">
        <f t="shared" si="8"/>
        <v>14.4864</v>
      </c>
      <c r="T34" s="188"/>
      <c r="U34" s="188"/>
      <c r="V34" s="186">
        <f t="shared" si="9"/>
        <v>44.30362270819527</v>
      </c>
      <c r="W34" s="186"/>
      <c r="X34" s="186"/>
      <c r="Y34" s="186">
        <f t="shared" si="11"/>
        <v>106.36150526643814</v>
      </c>
      <c r="Z34" s="186"/>
      <c r="AA34" s="186"/>
      <c r="AB34" s="186" t="str">
        <f t="shared" si="10"/>
        <v/>
      </c>
      <c r="AC34" s="186"/>
      <c r="AD34" s="186"/>
      <c r="AE34" s="187" t="str">
        <f t="shared" si="4"/>
        <v/>
      </c>
      <c r="AF34" s="187"/>
      <c r="AG34" s="187"/>
      <c r="AL34" s="55"/>
      <c r="AM34" s="55"/>
      <c r="AY34" s="56">
        <v>687.3</v>
      </c>
      <c r="AZ34" s="56">
        <v>641.79999999999995</v>
      </c>
      <c r="BA34" s="56"/>
      <c r="BB34" s="56">
        <v>14.4864</v>
      </c>
    </row>
    <row r="35" spans="2:54" ht="16.5" customHeight="1" x14ac:dyDescent="0.3">
      <c r="B35" s="193">
        <f>IF($F$13&gt;=1,1,"")</f>
        <v>1</v>
      </c>
      <c r="C35" s="193"/>
      <c r="D35" s="194">
        <v>5.3</v>
      </c>
      <c r="E35" s="195"/>
      <c r="F35" s="196"/>
      <c r="G35" s="190">
        <f t="shared" si="6"/>
        <v>782.7</v>
      </c>
      <c r="H35" s="191"/>
      <c r="I35" s="192"/>
      <c r="J35" s="186">
        <f>IF(G35="","",SUM(G$21:G35))</f>
        <v>5494.9</v>
      </c>
      <c r="K35" s="186"/>
      <c r="L35" s="186"/>
      <c r="M35" s="186">
        <f>IF(J35="","",J35/9.80665)</f>
        <v>560.3238618692418</v>
      </c>
      <c r="N35" s="186"/>
      <c r="O35" s="186"/>
      <c r="P35" s="189">
        <f t="shared" si="7"/>
        <v>669.9</v>
      </c>
      <c r="Q35" s="189"/>
      <c r="R35" s="189"/>
      <c r="S35" s="188">
        <f t="shared" si="8"/>
        <v>24.7697</v>
      </c>
      <c r="T35" s="188"/>
      <c r="U35" s="188"/>
      <c r="V35" s="186">
        <f t="shared" si="9"/>
        <v>27.045139828096424</v>
      </c>
      <c r="W35" s="186"/>
      <c r="X35" s="186"/>
      <c r="Y35" s="186">
        <f t="shared" si="11"/>
        <v>203.17513737871323</v>
      </c>
      <c r="Z35" s="186"/>
      <c r="AA35" s="186"/>
      <c r="AB35" s="186" t="str">
        <f t="shared" si="10"/>
        <v/>
      </c>
      <c r="AC35" s="186"/>
      <c r="AD35" s="186"/>
      <c r="AE35" s="187" t="str">
        <f t="shared" si="4"/>
        <v/>
      </c>
      <c r="AF35" s="187"/>
      <c r="AG35" s="187"/>
      <c r="AL35" s="55"/>
      <c r="AM35" s="55"/>
      <c r="AY35" s="56">
        <v>782.7</v>
      </c>
      <c r="AZ35" s="56">
        <v>669.9</v>
      </c>
      <c r="BA35" s="56"/>
      <c r="BB35" s="56">
        <v>24.7697</v>
      </c>
    </row>
    <row r="36" spans="2:54" ht="16.5" customHeight="1" x14ac:dyDescent="0.3">
      <c r="B36" s="59"/>
      <c r="C36" s="59"/>
      <c r="D36" s="60"/>
      <c r="E36" s="60"/>
      <c r="F36" s="60"/>
      <c r="G36" s="5"/>
      <c r="H36" s="5"/>
      <c r="I36" s="5"/>
      <c r="J36" s="5"/>
      <c r="K36" s="5"/>
      <c r="L36" s="5"/>
      <c r="M36" s="5"/>
      <c r="N36" s="5"/>
      <c r="O36" s="5"/>
      <c r="P36" s="5"/>
      <c r="Q36" s="5"/>
      <c r="R36" s="5"/>
      <c r="S36" s="6"/>
      <c r="T36" s="6"/>
      <c r="U36" s="6"/>
      <c r="V36" s="6"/>
      <c r="W36" s="6"/>
      <c r="X36" s="6"/>
      <c r="Y36" s="5"/>
      <c r="Z36" s="5"/>
      <c r="AA36" s="5"/>
      <c r="AB36" s="6"/>
      <c r="AC36" s="6"/>
      <c r="AD36" s="6"/>
      <c r="AE36" s="6"/>
      <c r="AF36" s="6"/>
      <c r="AG36" s="6"/>
      <c r="AH36" s="60"/>
      <c r="AI36" s="60"/>
      <c r="AJ36" s="60"/>
      <c r="AM36" s="55"/>
      <c r="AY36" s="56"/>
      <c r="AZ36" s="57"/>
      <c r="BA36" s="56"/>
      <c r="BB36" s="56"/>
    </row>
    <row r="37" spans="2:54" ht="16.5" customHeight="1" x14ac:dyDescent="0.3">
      <c r="B37" t="s">
        <v>21</v>
      </c>
      <c r="C37" s="63"/>
      <c r="AM37" s="55"/>
      <c r="AY37" s="56"/>
      <c r="AZ37" s="56"/>
      <c r="BA37" s="56"/>
      <c r="BB37" s="56"/>
    </row>
    <row r="38" spans="2:54" ht="16.5" customHeight="1" x14ac:dyDescent="0.3">
      <c r="B38" s="193" t="s">
        <v>24</v>
      </c>
      <c r="C38" s="193"/>
      <c r="D38" s="183" t="s">
        <v>25</v>
      </c>
      <c r="E38" s="183"/>
      <c r="F38" s="183"/>
      <c r="G38" s="183" t="s">
        <v>26</v>
      </c>
      <c r="H38" s="183"/>
      <c r="I38" s="183"/>
      <c r="J38" s="183" t="s">
        <v>27</v>
      </c>
      <c r="K38" s="183"/>
      <c r="L38" s="183"/>
      <c r="M38" s="183" t="s">
        <v>27</v>
      </c>
      <c r="N38" s="183"/>
      <c r="O38" s="183"/>
      <c r="P38" s="183" t="s">
        <v>28</v>
      </c>
      <c r="Q38" s="183"/>
      <c r="R38" s="183"/>
      <c r="S38" s="183" t="s">
        <v>29</v>
      </c>
      <c r="T38" s="183"/>
      <c r="U38" s="183"/>
      <c r="V38" s="183" t="s">
        <v>30</v>
      </c>
      <c r="W38" s="183"/>
      <c r="X38" s="183"/>
      <c r="Y38" s="183" t="s">
        <v>31</v>
      </c>
      <c r="Z38" s="183"/>
      <c r="AA38" s="183"/>
      <c r="AB38" s="183" t="s">
        <v>32</v>
      </c>
      <c r="AC38" s="183"/>
      <c r="AD38" s="183"/>
      <c r="AE38" s="183" t="s">
        <v>33</v>
      </c>
      <c r="AF38" s="183"/>
      <c r="AG38" s="183"/>
      <c r="AM38" s="55"/>
      <c r="AY38" s="56"/>
      <c r="AZ38" s="56"/>
      <c r="BA38" s="56"/>
      <c r="BB38" s="56"/>
    </row>
    <row r="39" spans="2:54" ht="16.5" customHeight="1" x14ac:dyDescent="0.3">
      <c r="B39" s="193"/>
      <c r="C39" s="193"/>
      <c r="D39" s="182" t="s">
        <v>34</v>
      </c>
      <c r="E39" s="182"/>
      <c r="F39" s="182"/>
      <c r="G39" s="182" t="s">
        <v>35</v>
      </c>
      <c r="H39" s="182"/>
      <c r="I39" s="182"/>
      <c r="J39" s="182" t="s">
        <v>36</v>
      </c>
      <c r="K39" s="182"/>
      <c r="L39" s="182"/>
      <c r="M39" s="182" t="s">
        <v>37</v>
      </c>
      <c r="N39" s="182"/>
      <c r="O39" s="182"/>
      <c r="P39" s="182" t="s">
        <v>38</v>
      </c>
      <c r="Q39" s="182"/>
      <c r="R39" s="182"/>
      <c r="S39" s="182" t="s">
        <v>39</v>
      </c>
      <c r="T39" s="182"/>
      <c r="U39" s="182"/>
      <c r="V39" s="182" t="s">
        <v>40</v>
      </c>
      <c r="W39" s="182"/>
      <c r="X39" s="182"/>
      <c r="Y39" s="182" t="s">
        <v>41</v>
      </c>
      <c r="Z39" s="182"/>
      <c r="AA39" s="182"/>
      <c r="AB39" s="182" t="s">
        <v>42</v>
      </c>
      <c r="AC39" s="182"/>
      <c r="AD39" s="182"/>
      <c r="AE39" s="182" t="s">
        <v>43</v>
      </c>
      <c r="AF39" s="182"/>
      <c r="AG39" s="182"/>
      <c r="AM39" s="55"/>
      <c r="AY39" s="56"/>
      <c r="AZ39" s="56"/>
      <c r="BA39" s="56"/>
      <c r="BB39" s="56"/>
    </row>
    <row r="40" spans="2:54" ht="16.5" customHeight="1" x14ac:dyDescent="0.3">
      <c r="B40" s="193" t="str">
        <f t="shared" ref="B40:B48" si="12">+B21</f>
        <v/>
      </c>
      <c r="C40" s="193"/>
      <c r="D40" s="187" t="str">
        <f t="shared" ref="D40:D54" si="13">IF(D21="","",D21)</f>
        <v/>
      </c>
      <c r="E40" s="187"/>
      <c r="F40" s="187"/>
      <c r="G40" s="186" t="str">
        <f t="shared" ref="G40:G54" si="14">IF(G21="","",G21)</f>
        <v/>
      </c>
      <c r="H40" s="186"/>
      <c r="I40" s="186"/>
      <c r="J40" s="186" t="str">
        <f>IF(G40="","",SUM(G$40:G40))</f>
        <v/>
      </c>
      <c r="K40" s="186"/>
      <c r="L40" s="186"/>
      <c r="M40" s="186" t="str">
        <f t="shared" ref="M40:M54" si="15">IF(J40="","",J40/9.80665)</f>
        <v/>
      </c>
      <c r="N40" s="186"/>
      <c r="O40" s="186"/>
      <c r="P40" s="186" t="str">
        <f t="shared" ref="P40:P54" si="16">IF(P21="","",P21)</f>
        <v/>
      </c>
      <c r="Q40" s="186"/>
      <c r="R40" s="186"/>
      <c r="S40" s="184"/>
      <c r="T40" s="184"/>
      <c r="U40" s="184"/>
      <c r="V40" s="186" t="str">
        <f t="shared" ref="V40:V46" si="17">IF(S40="","",P40/S40)</f>
        <v/>
      </c>
      <c r="W40" s="186"/>
      <c r="X40" s="186"/>
      <c r="Y40" s="186" t="str">
        <f t="shared" ref="Y40:Y46" si="18">IF(V40="","",J40/V40)</f>
        <v/>
      </c>
      <c r="Z40" s="186"/>
      <c r="AA40" s="186"/>
      <c r="AB40" s="186" t="str">
        <f t="shared" ref="AB40:AB46" si="19">IF(B40=$F$13,SUM($Y$40:$AA$54)/10,"")</f>
        <v/>
      </c>
      <c r="AC40" s="186"/>
      <c r="AD40" s="186"/>
      <c r="AE40" s="187" t="str">
        <f t="shared" ref="AE40:AE54" si="20">IF(B40=$F$13,IF(B40=1,SQRT(AB40)/5,IF(B40=2,SQRT(AB40)/5.4,IF(B40&gt;=3,SQRT(AB40)/5.7,""))),"")</f>
        <v/>
      </c>
      <c r="AF40" s="187"/>
      <c r="AG40" s="187"/>
      <c r="AM40" s="55"/>
      <c r="AY40" s="56"/>
      <c r="AZ40" s="56"/>
      <c r="BA40" s="56"/>
      <c r="BB40" s="56"/>
    </row>
    <row r="41" spans="2:54" ht="16.5" customHeight="1" x14ac:dyDescent="0.3">
      <c r="B41" s="193" t="str">
        <f t="shared" si="12"/>
        <v/>
      </c>
      <c r="C41" s="193"/>
      <c r="D41" s="187" t="str">
        <f t="shared" si="13"/>
        <v/>
      </c>
      <c r="E41" s="187"/>
      <c r="F41" s="187"/>
      <c r="G41" s="186" t="str">
        <f t="shared" si="14"/>
        <v/>
      </c>
      <c r="H41" s="186"/>
      <c r="I41" s="186"/>
      <c r="J41" s="186" t="str">
        <f>IF(G41="","",SUM(G$40:G41))</f>
        <v/>
      </c>
      <c r="K41" s="186"/>
      <c r="L41" s="186"/>
      <c r="M41" s="186" t="str">
        <f t="shared" si="15"/>
        <v/>
      </c>
      <c r="N41" s="186"/>
      <c r="O41" s="186"/>
      <c r="P41" s="186" t="str">
        <f t="shared" si="16"/>
        <v/>
      </c>
      <c r="Q41" s="186"/>
      <c r="R41" s="186"/>
      <c r="S41" s="184"/>
      <c r="T41" s="184"/>
      <c r="U41" s="184"/>
      <c r="V41" s="186" t="str">
        <f t="shared" si="17"/>
        <v/>
      </c>
      <c r="W41" s="186"/>
      <c r="X41" s="186"/>
      <c r="Y41" s="186" t="str">
        <f t="shared" si="18"/>
        <v/>
      </c>
      <c r="Z41" s="186"/>
      <c r="AA41" s="186"/>
      <c r="AB41" s="186" t="str">
        <f t="shared" si="19"/>
        <v/>
      </c>
      <c r="AC41" s="186"/>
      <c r="AD41" s="186"/>
      <c r="AE41" s="187" t="str">
        <f t="shared" si="20"/>
        <v/>
      </c>
      <c r="AF41" s="187"/>
      <c r="AG41" s="187"/>
      <c r="AM41" s="55"/>
      <c r="AY41" s="56"/>
      <c r="AZ41" s="56"/>
      <c r="BA41" s="56"/>
      <c r="BB41" s="56"/>
    </row>
    <row r="42" spans="2:54" ht="16.5" customHeight="1" x14ac:dyDescent="0.3">
      <c r="B42" s="193" t="str">
        <f t="shared" si="12"/>
        <v/>
      </c>
      <c r="C42" s="193"/>
      <c r="D42" s="187" t="str">
        <f t="shared" si="13"/>
        <v/>
      </c>
      <c r="E42" s="187"/>
      <c r="F42" s="187"/>
      <c r="G42" s="186" t="str">
        <f t="shared" si="14"/>
        <v/>
      </c>
      <c r="H42" s="186"/>
      <c r="I42" s="186"/>
      <c r="J42" s="186" t="str">
        <f>IF(G42="","",SUM(G$40:G42))</f>
        <v/>
      </c>
      <c r="K42" s="186"/>
      <c r="L42" s="186"/>
      <c r="M42" s="186" t="str">
        <f t="shared" si="15"/>
        <v/>
      </c>
      <c r="N42" s="186"/>
      <c r="O42" s="186"/>
      <c r="P42" s="186" t="str">
        <f t="shared" si="16"/>
        <v/>
      </c>
      <c r="Q42" s="186"/>
      <c r="R42" s="186"/>
      <c r="S42" s="188"/>
      <c r="T42" s="188"/>
      <c r="U42" s="188"/>
      <c r="V42" s="186" t="str">
        <f t="shared" si="17"/>
        <v/>
      </c>
      <c r="W42" s="186"/>
      <c r="X42" s="186"/>
      <c r="Y42" s="186" t="str">
        <f t="shared" si="18"/>
        <v/>
      </c>
      <c r="Z42" s="186"/>
      <c r="AA42" s="186"/>
      <c r="AB42" s="186" t="str">
        <f t="shared" si="19"/>
        <v/>
      </c>
      <c r="AC42" s="186"/>
      <c r="AD42" s="186"/>
      <c r="AE42" s="187" t="str">
        <f t="shared" si="20"/>
        <v/>
      </c>
      <c r="AF42" s="187"/>
      <c r="AG42" s="187"/>
      <c r="AM42" s="55"/>
      <c r="AY42" s="56"/>
      <c r="AZ42" s="56"/>
      <c r="BA42" s="56"/>
      <c r="BB42" s="56"/>
    </row>
    <row r="43" spans="2:54" ht="16.5" customHeight="1" x14ac:dyDescent="0.3">
      <c r="B43" s="193" t="str">
        <f t="shared" si="12"/>
        <v/>
      </c>
      <c r="C43" s="193"/>
      <c r="D43" s="187" t="str">
        <f t="shared" si="13"/>
        <v/>
      </c>
      <c r="E43" s="187"/>
      <c r="F43" s="187"/>
      <c r="G43" s="186" t="str">
        <f>IF(G24="","",G24)</f>
        <v/>
      </c>
      <c r="H43" s="186"/>
      <c r="I43" s="186"/>
      <c r="J43" s="186" t="str">
        <f>IF(G43="","",SUM(G$40:G43))</f>
        <v/>
      </c>
      <c r="K43" s="186"/>
      <c r="L43" s="186"/>
      <c r="M43" s="186" t="str">
        <f>IF(J43="","",J43/9.80665)</f>
        <v/>
      </c>
      <c r="N43" s="186"/>
      <c r="O43" s="186"/>
      <c r="P43" s="186" t="str">
        <f t="shared" si="16"/>
        <v/>
      </c>
      <c r="Q43" s="186"/>
      <c r="R43" s="186"/>
      <c r="S43" s="188"/>
      <c r="T43" s="188"/>
      <c r="U43" s="188"/>
      <c r="V43" s="186" t="str">
        <f t="shared" si="17"/>
        <v/>
      </c>
      <c r="W43" s="186"/>
      <c r="X43" s="186"/>
      <c r="Y43" s="186" t="str">
        <f t="shared" si="18"/>
        <v/>
      </c>
      <c r="Z43" s="186"/>
      <c r="AA43" s="186"/>
      <c r="AB43" s="186" t="str">
        <f t="shared" si="19"/>
        <v/>
      </c>
      <c r="AC43" s="186"/>
      <c r="AD43" s="186"/>
      <c r="AE43" s="187" t="str">
        <f t="shared" si="20"/>
        <v/>
      </c>
      <c r="AF43" s="187"/>
      <c r="AG43" s="187"/>
      <c r="AM43" s="55"/>
      <c r="AY43" s="56"/>
      <c r="AZ43" s="56"/>
      <c r="BA43" s="56"/>
      <c r="BB43" s="56"/>
    </row>
    <row r="44" spans="2:54" ht="16.5" customHeight="1" x14ac:dyDescent="0.3">
      <c r="B44" s="193" t="str">
        <f t="shared" si="12"/>
        <v/>
      </c>
      <c r="C44" s="193"/>
      <c r="D44" s="187" t="str">
        <f>IF(D25="","",D25)</f>
        <v/>
      </c>
      <c r="E44" s="187"/>
      <c r="F44" s="187"/>
      <c r="G44" s="186" t="str">
        <f>IF(G25="","",G25)</f>
        <v/>
      </c>
      <c r="H44" s="186"/>
      <c r="I44" s="186"/>
      <c r="J44" s="186" t="str">
        <f>IF(G44="","",SUM(G$40:G44))</f>
        <v/>
      </c>
      <c r="K44" s="186"/>
      <c r="L44" s="186"/>
      <c r="M44" s="186" t="str">
        <f>IF(J44="","",J44/9.80665)</f>
        <v/>
      </c>
      <c r="N44" s="186"/>
      <c r="O44" s="186"/>
      <c r="P44" s="186" t="str">
        <f>IF(P25="","",P25)</f>
        <v/>
      </c>
      <c r="Q44" s="186"/>
      <c r="R44" s="186"/>
      <c r="S44" s="188"/>
      <c r="T44" s="188"/>
      <c r="U44" s="188"/>
      <c r="V44" s="186" t="str">
        <f t="shared" si="17"/>
        <v/>
      </c>
      <c r="W44" s="186"/>
      <c r="X44" s="186"/>
      <c r="Y44" s="186" t="str">
        <f t="shared" si="18"/>
        <v/>
      </c>
      <c r="Z44" s="186"/>
      <c r="AA44" s="186"/>
      <c r="AB44" s="186" t="str">
        <f t="shared" si="19"/>
        <v/>
      </c>
      <c r="AC44" s="186"/>
      <c r="AD44" s="186"/>
      <c r="AE44" s="187" t="str">
        <f t="shared" si="20"/>
        <v/>
      </c>
      <c r="AF44" s="187"/>
      <c r="AG44" s="187"/>
      <c r="AM44" s="55"/>
      <c r="AY44" s="56"/>
      <c r="AZ44" s="56"/>
      <c r="BA44" s="56"/>
      <c r="BB44" s="56"/>
    </row>
    <row r="45" spans="2:54" ht="16.5" customHeight="1" x14ac:dyDescent="0.3">
      <c r="B45" s="193" t="str">
        <f t="shared" si="12"/>
        <v/>
      </c>
      <c r="C45" s="193"/>
      <c r="D45" s="187" t="str">
        <f t="shared" si="13"/>
        <v/>
      </c>
      <c r="E45" s="187"/>
      <c r="F45" s="187"/>
      <c r="G45" s="186" t="str">
        <f t="shared" si="14"/>
        <v/>
      </c>
      <c r="H45" s="186"/>
      <c r="I45" s="186"/>
      <c r="J45" s="186" t="str">
        <f>IF(G45="","",SUM(G$40:G45))</f>
        <v/>
      </c>
      <c r="K45" s="186"/>
      <c r="L45" s="186"/>
      <c r="M45" s="186" t="str">
        <f t="shared" si="15"/>
        <v/>
      </c>
      <c r="N45" s="186"/>
      <c r="O45" s="186"/>
      <c r="P45" s="186" t="str">
        <f>IF(P26="","",P26)</f>
        <v/>
      </c>
      <c r="Q45" s="186"/>
      <c r="R45" s="186"/>
      <c r="S45" s="188"/>
      <c r="T45" s="188"/>
      <c r="U45" s="188"/>
      <c r="V45" s="186" t="str">
        <f t="shared" si="17"/>
        <v/>
      </c>
      <c r="W45" s="186"/>
      <c r="X45" s="186"/>
      <c r="Y45" s="186" t="str">
        <f t="shared" si="18"/>
        <v/>
      </c>
      <c r="Z45" s="186"/>
      <c r="AA45" s="186"/>
      <c r="AB45" s="186" t="str">
        <f t="shared" si="19"/>
        <v/>
      </c>
      <c r="AC45" s="186"/>
      <c r="AD45" s="186"/>
      <c r="AE45" s="187" t="str">
        <f t="shared" si="20"/>
        <v/>
      </c>
      <c r="AF45" s="187"/>
      <c r="AG45" s="187"/>
      <c r="AM45" s="55"/>
      <c r="AY45" s="56"/>
      <c r="AZ45" s="56"/>
      <c r="BA45" s="56"/>
      <c r="BB45" s="56"/>
    </row>
    <row r="46" spans="2:54" ht="16.5" customHeight="1" x14ac:dyDescent="0.3">
      <c r="B46" s="193" t="str">
        <f t="shared" si="12"/>
        <v/>
      </c>
      <c r="C46" s="193"/>
      <c r="D46" s="187" t="str">
        <f t="shared" si="13"/>
        <v/>
      </c>
      <c r="E46" s="187"/>
      <c r="F46" s="187"/>
      <c r="G46" s="186" t="str">
        <f t="shared" si="14"/>
        <v/>
      </c>
      <c r="H46" s="186"/>
      <c r="I46" s="186"/>
      <c r="J46" s="186" t="str">
        <f>IF(G46="","",SUM(G$40:G46))</f>
        <v/>
      </c>
      <c r="K46" s="186"/>
      <c r="L46" s="186"/>
      <c r="M46" s="186" t="str">
        <f t="shared" si="15"/>
        <v/>
      </c>
      <c r="N46" s="186"/>
      <c r="O46" s="186"/>
      <c r="P46" s="186" t="str">
        <f t="shared" si="16"/>
        <v/>
      </c>
      <c r="Q46" s="186"/>
      <c r="R46" s="186"/>
      <c r="S46" s="188"/>
      <c r="T46" s="188"/>
      <c r="U46" s="188"/>
      <c r="V46" s="186" t="str">
        <f t="shared" si="17"/>
        <v/>
      </c>
      <c r="W46" s="186"/>
      <c r="X46" s="186"/>
      <c r="Y46" s="186" t="str">
        <f t="shared" si="18"/>
        <v/>
      </c>
      <c r="Z46" s="186"/>
      <c r="AA46" s="186"/>
      <c r="AB46" s="186" t="str">
        <f t="shared" si="19"/>
        <v/>
      </c>
      <c r="AC46" s="186"/>
      <c r="AD46" s="186"/>
      <c r="AE46" s="187" t="str">
        <f t="shared" si="20"/>
        <v/>
      </c>
      <c r="AF46" s="187"/>
      <c r="AG46" s="187"/>
      <c r="AM46" s="55"/>
      <c r="AY46" s="56"/>
      <c r="AZ46" s="56"/>
      <c r="BA46" s="56"/>
      <c r="BB46" s="56"/>
    </row>
    <row r="47" spans="2:54" ht="16.5" customHeight="1" x14ac:dyDescent="0.3">
      <c r="B47" s="193">
        <f t="shared" si="12"/>
        <v>8</v>
      </c>
      <c r="C47" s="193"/>
      <c r="D47" s="187">
        <f t="shared" si="13"/>
        <v>3.75</v>
      </c>
      <c r="E47" s="187"/>
      <c r="F47" s="187"/>
      <c r="G47" s="186">
        <f t="shared" si="14"/>
        <v>785.7</v>
      </c>
      <c r="H47" s="186"/>
      <c r="I47" s="186"/>
      <c r="J47" s="186">
        <f>IF(G47="","",SUM(G$40:G47))</f>
        <v>785.7</v>
      </c>
      <c r="K47" s="186"/>
      <c r="L47" s="186"/>
      <c r="M47" s="186">
        <f t="shared" si="15"/>
        <v>80.119102853675827</v>
      </c>
      <c r="N47" s="186"/>
      <c r="O47" s="186"/>
      <c r="P47" s="186">
        <f>IF(P28="","",P28)</f>
        <v>222.1</v>
      </c>
      <c r="Q47" s="186"/>
      <c r="R47" s="186"/>
      <c r="S47" s="188">
        <f>+BB47</f>
        <v>15.5783</v>
      </c>
      <c r="T47" s="188"/>
      <c r="U47" s="188"/>
      <c r="V47" s="186">
        <f>IF(S47="","",P47/S47)</f>
        <v>14.257011355539435</v>
      </c>
      <c r="W47" s="186"/>
      <c r="X47" s="186"/>
      <c r="Y47" s="186">
        <f>IF(V47="","",J47/V47)</f>
        <v>55.109726744709597</v>
      </c>
      <c r="Z47" s="186"/>
      <c r="AA47" s="186"/>
      <c r="AB47" s="186">
        <f>IF(B47=$F$13,SUM($Y$40:$AA$54)/10,"")</f>
        <v>68.334884288776124</v>
      </c>
      <c r="AC47" s="186"/>
      <c r="AD47" s="186"/>
      <c r="AE47" s="187">
        <f>IF(B47=$F$13,IF(B47=1,SQRT(AB47)/5,IF(B47=2,SQRT(AB47)/5.4,IF(B47&gt;=3,SQRT(AB47)/5.7,""))),"")</f>
        <v>1.450261693929594</v>
      </c>
      <c r="AF47" s="187"/>
      <c r="AG47" s="187"/>
      <c r="AM47" s="55"/>
      <c r="AY47" s="56"/>
      <c r="AZ47" s="56"/>
      <c r="BA47" s="56"/>
      <c r="BB47" s="56">
        <v>15.5783</v>
      </c>
    </row>
    <row r="48" spans="2:54" ht="16.5" customHeight="1" x14ac:dyDescent="0.3">
      <c r="B48" s="193">
        <f t="shared" si="12"/>
        <v>7</v>
      </c>
      <c r="C48" s="193"/>
      <c r="D48" s="187">
        <f t="shared" si="13"/>
        <v>3.5</v>
      </c>
      <c r="E48" s="187"/>
      <c r="F48" s="187"/>
      <c r="G48" s="186">
        <f t="shared" si="14"/>
        <v>624.4</v>
      </c>
      <c r="H48" s="186"/>
      <c r="I48" s="186"/>
      <c r="J48" s="186">
        <f>IF(G48="","",SUM(G$40:G48))</f>
        <v>1410.1</v>
      </c>
      <c r="K48" s="186"/>
      <c r="L48" s="186"/>
      <c r="M48" s="186">
        <f t="shared" si="15"/>
        <v>143.79018319201765</v>
      </c>
      <c r="N48" s="186"/>
      <c r="O48" s="186"/>
      <c r="P48" s="186">
        <f>IF(P29="","",P29)</f>
        <v>327.60000000000002</v>
      </c>
      <c r="Q48" s="186"/>
      <c r="R48" s="186"/>
      <c r="S48" s="188">
        <f t="shared" ref="S48:S54" si="21">+BB48</f>
        <v>14.861499999999999</v>
      </c>
      <c r="T48" s="188"/>
      <c r="U48" s="188"/>
      <c r="V48" s="186">
        <f t="shared" ref="V48:V54" si="22">IF(S48="","",P48/S48)</f>
        <v>22.043535309356393</v>
      </c>
      <c r="W48" s="186"/>
      <c r="X48" s="186"/>
      <c r="Y48" s="186">
        <f t="shared" ref="Y48:Y54" si="23">IF(V48="","",J48/V48)</f>
        <v>63.968867979242965</v>
      </c>
      <c r="Z48" s="186"/>
      <c r="AA48" s="186"/>
      <c r="AB48" s="186" t="str">
        <f t="shared" ref="AB48:AB54" si="24">IF(B48=$F$13,SUM($Y$40:$AA$54)/10,"")</f>
        <v/>
      </c>
      <c r="AC48" s="186"/>
      <c r="AD48" s="186"/>
      <c r="AE48" s="187" t="str">
        <f t="shared" si="20"/>
        <v/>
      </c>
      <c r="AF48" s="187"/>
      <c r="AG48" s="187"/>
      <c r="AM48" s="55"/>
      <c r="AY48" s="56"/>
      <c r="AZ48" s="56"/>
      <c r="BA48" s="56"/>
      <c r="BB48" s="56">
        <v>14.861499999999999</v>
      </c>
    </row>
    <row r="49" spans="2:54" ht="16.5" customHeight="1" x14ac:dyDescent="0.3">
      <c r="B49" s="193">
        <f>+B30</f>
        <v>6</v>
      </c>
      <c r="C49" s="193"/>
      <c r="D49" s="187">
        <f t="shared" si="13"/>
        <v>3.5</v>
      </c>
      <c r="E49" s="187"/>
      <c r="F49" s="187"/>
      <c r="G49" s="186">
        <f t="shared" si="14"/>
        <v>638.70000000000005</v>
      </c>
      <c r="H49" s="186"/>
      <c r="I49" s="186"/>
      <c r="J49" s="186">
        <f>IF(G49="","",SUM(G$40:G49))</f>
        <v>2048.8000000000002</v>
      </c>
      <c r="K49" s="186"/>
      <c r="L49" s="186"/>
      <c r="M49" s="186">
        <f t="shared" si="15"/>
        <v>208.91945771491797</v>
      </c>
      <c r="N49" s="186"/>
      <c r="O49" s="186"/>
      <c r="P49" s="186">
        <f t="shared" si="16"/>
        <v>416.3</v>
      </c>
      <c r="Q49" s="186"/>
      <c r="R49" s="186"/>
      <c r="S49" s="188">
        <f t="shared" si="21"/>
        <v>13.728</v>
      </c>
      <c r="T49" s="188"/>
      <c r="U49" s="188"/>
      <c r="V49" s="186">
        <f t="shared" si="22"/>
        <v>30.324883449883451</v>
      </c>
      <c r="W49" s="186"/>
      <c r="X49" s="186"/>
      <c r="Y49" s="186">
        <f t="shared" si="23"/>
        <v>67.56167763631997</v>
      </c>
      <c r="Z49" s="186"/>
      <c r="AA49" s="186"/>
      <c r="AB49" s="186" t="str">
        <f t="shared" si="24"/>
        <v/>
      </c>
      <c r="AC49" s="186"/>
      <c r="AD49" s="186"/>
      <c r="AE49" s="187" t="str">
        <f t="shared" si="20"/>
        <v/>
      </c>
      <c r="AF49" s="187"/>
      <c r="AG49" s="187"/>
      <c r="AM49" s="55"/>
      <c r="AY49" s="56"/>
      <c r="AZ49" s="56"/>
      <c r="BA49" s="56"/>
      <c r="BB49" s="56">
        <v>13.728</v>
      </c>
    </row>
    <row r="50" spans="2:54" ht="16.5" customHeight="1" x14ac:dyDescent="0.3">
      <c r="B50" s="193">
        <f>IF($F$13&gt;=5,5,"")</f>
        <v>5</v>
      </c>
      <c r="C50" s="193"/>
      <c r="D50" s="187">
        <f t="shared" si="13"/>
        <v>3.5</v>
      </c>
      <c r="E50" s="187"/>
      <c r="F50" s="187"/>
      <c r="G50" s="186">
        <f t="shared" si="14"/>
        <v>645.70000000000005</v>
      </c>
      <c r="H50" s="186"/>
      <c r="I50" s="186"/>
      <c r="J50" s="186">
        <f>IF(G50="","",SUM(G$40:G50))</f>
        <v>2694.5</v>
      </c>
      <c r="K50" s="186"/>
      <c r="L50" s="186"/>
      <c r="M50" s="186">
        <f t="shared" si="15"/>
        <v>274.7625335869028</v>
      </c>
      <c r="N50" s="186"/>
      <c r="O50" s="186"/>
      <c r="P50" s="186">
        <f t="shared" si="16"/>
        <v>490.9</v>
      </c>
      <c r="Q50" s="186"/>
      <c r="R50" s="186"/>
      <c r="S50" s="188">
        <f t="shared" si="21"/>
        <v>13.347799999999999</v>
      </c>
      <c r="T50" s="188"/>
      <c r="U50" s="188"/>
      <c r="V50" s="186">
        <f t="shared" si="22"/>
        <v>36.777596308005812</v>
      </c>
      <c r="W50" s="186"/>
      <c r="X50" s="186"/>
      <c r="Y50" s="186">
        <f t="shared" si="23"/>
        <v>73.264711957628847</v>
      </c>
      <c r="Z50" s="186"/>
      <c r="AA50" s="186"/>
      <c r="AB50" s="186" t="str">
        <f t="shared" si="24"/>
        <v/>
      </c>
      <c r="AC50" s="186"/>
      <c r="AD50" s="186"/>
      <c r="AE50" s="187" t="str">
        <f t="shared" si="20"/>
        <v/>
      </c>
      <c r="AF50" s="187"/>
      <c r="AG50" s="187"/>
      <c r="AM50" s="55"/>
      <c r="AY50" s="56"/>
      <c r="AZ50" s="56"/>
      <c r="BA50" s="56"/>
      <c r="BB50" s="56">
        <v>13.347799999999999</v>
      </c>
    </row>
    <row r="51" spans="2:54" ht="16.5" customHeight="1" x14ac:dyDescent="0.3">
      <c r="B51" s="193">
        <f>IF($F$13&gt;=4,4,"")</f>
        <v>4</v>
      </c>
      <c r="C51" s="193"/>
      <c r="D51" s="187">
        <f t="shared" si="13"/>
        <v>3.5</v>
      </c>
      <c r="E51" s="187"/>
      <c r="F51" s="187"/>
      <c r="G51" s="186">
        <f t="shared" si="14"/>
        <v>652.29999999999995</v>
      </c>
      <c r="H51" s="186"/>
      <c r="I51" s="186"/>
      <c r="J51" s="186">
        <f>IF(G51="","",SUM(G$40:G51))</f>
        <v>3346.8</v>
      </c>
      <c r="K51" s="186"/>
      <c r="L51" s="186"/>
      <c r="M51" s="186">
        <f t="shared" si="15"/>
        <v>341.27862215945305</v>
      </c>
      <c r="N51" s="186"/>
      <c r="O51" s="186"/>
      <c r="P51" s="186">
        <f t="shared" si="16"/>
        <v>552.6</v>
      </c>
      <c r="Q51" s="186"/>
      <c r="R51" s="186"/>
      <c r="S51" s="188">
        <f t="shared" si="21"/>
        <v>12.6417</v>
      </c>
      <c r="T51" s="188"/>
      <c r="U51" s="188"/>
      <c r="V51" s="186">
        <f t="shared" si="22"/>
        <v>43.712475379102493</v>
      </c>
      <c r="W51" s="186"/>
      <c r="X51" s="186"/>
      <c r="Y51" s="186">
        <f t="shared" si="23"/>
        <v>76.563955048859938</v>
      </c>
      <c r="Z51" s="186"/>
      <c r="AA51" s="186"/>
      <c r="AB51" s="186" t="str">
        <f t="shared" si="24"/>
        <v/>
      </c>
      <c r="AC51" s="186"/>
      <c r="AD51" s="186"/>
      <c r="AE51" s="187" t="str">
        <f t="shared" si="20"/>
        <v/>
      </c>
      <c r="AF51" s="187"/>
      <c r="AG51" s="187"/>
      <c r="AM51" s="55"/>
      <c r="AY51" s="56"/>
      <c r="AZ51" s="56"/>
      <c r="BA51" s="56"/>
      <c r="BB51" s="56">
        <v>12.6417</v>
      </c>
    </row>
    <row r="52" spans="2:54" ht="16.5" customHeight="1" x14ac:dyDescent="0.3">
      <c r="B52" s="193">
        <f>IF($F$13&gt;=3,3,"")</f>
        <v>3</v>
      </c>
      <c r="C52" s="193"/>
      <c r="D52" s="187">
        <f t="shared" si="13"/>
        <v>3.5</v>
      </c>
      <c r="E52" s="187"/>
      <c r="F52" s="187"/>
      <c r="G52" s="186">
        <f t="shared" si="14"/>
        <v>678.1</v>
      </c>
      <c r="H52" s="186"/>
      <c r="I52" s="186"/>
      <c r="J52" s="186">
        <f>IF(G52="","",SUM(G$40:G52))</f>
        <v>4024.9</v>
      </c>
      <c r="K52" s="186"/>
      <c r="L52" s="186"/>
      <c r="M52" s="186">
        <f t="shared" si="15"/>
        <v>410.42557856148636</v>
      </c>
      <c r="N52" s="186"/>
      <c r="O52" s="186"/>
      <c r="P52" s="186">
        <f t="shared" si="16"/>
        <v>603.4</v>
      </c>
      <c r="Q52" s="186"/>
      <c r="R52" s="186"/>
      <c r="S52" s="188">
        <f t="shared" si="21"/>
        <v>11.837999999999999</v>
      </c>
      <c r="T52" s="188"/>
      <c r="U52" s="188"/>
      <c r="V52" s="186">
        <f t="shared" si="22"/>
        <v>50.971447879709409</v>
      </c>
      <c r="W52" s="186"/>
      <c r="X52" s="186"/>
      <c r="Y52" s="186">
        <f t="shared" si="23"/>
        <v>78.963815379516078</v>
      </c>
      <c r="Z52" s="186"/>
      <c r="AA52" s="186"/>
      <c r="AB52" s="186" t="str">
        <f t="shared" si="24"/>
        <v/>
      </c>
      <c r="AC52" s="186"/>
      <c r="AD52" s="186"/>
      <c r="AE52" s="187" t="str">
        <f t="shared" si="20"/>
        <v/>
      </c>
      <c r="AF52" s="187"/>
      <c r="AG52" s="187"/>
      <c r="AM52" s="55"/>
      <c r="AY52" s="56"/>
      <c r="AZ52" s="56"/>
      <c r="BA52" s="56"/>
      <c r="BB52" s="56">
        <v>11.837999999999999</v>
      </c>
    </row>
    <row r="53" spans="2:54" ht="16.5" customHeight="1" x14ac:dyDescent="0.3">
      <c r="B53" s="193">
        <f>IF($F$13&gt;=2,2,"")</f>
        <v>2</v>
      </c>
      <c r="C53" s="193"/>
      <c r="D53" s="187">
        <f t="shared" si="13"/>
        <v>3.5</v>
      </c>
      <c r="E53" s="187"/>
      <c r="F53" s="187"/>
      <c r="G53" s="186">
        <f t="shared" si="14"/>
        <v>687.3</v>
      </c>
      <c r="H53" s="186"/>
      <c r="I53" s="186"/>
      <c r="J53" s="186">
        <f>IF(G53="","",SUM(G$40:G53))</f>
        <v>4712.2</v>
      </c>
      <c r="K53" s="186"/>
      <c r="L53" s="186"/>
      <c r="M53" s="186">
        <f t="shared" si="15"/>
        <v>480.51067387945938</v>
      </c>
      <c r="N53" s="186"/>
      <c r="O53" s="186"/>
      <c r="P53" s="186">
        <f t="shared" si="16"/>
        <v>641.79999999999995</v>
      </c>
      <c r="Q53" s="186"/>
      <c r="R53" s="186"/>
      <c r="S53" s="188">
        <f t="shared" si="21"/>
        <v>12.218299999999999</v>
      </c>
      <c r="T53" s="188"/>
      <c r="U53" s="188"/>
      <c r="V53" s="186">
        <f t="shared" si="22"/>
        <v>52.527765728456494</v>
      </c>
      <c r="W53" s="186"/>
      <c r="X53" s="186"/>
      <c r="Y53" s="186">
        <f t="shared" si="23"/>
        <v>89.70874612028669</v>
      </c>
      <c r="Z53" s="186"/>
      <c r="AA53" s="186"/>
      <c r="AB53" s="186" t="str">
        <f t="shared" si="24"/>
        <v/>
      </c>
      <c r="AC53" s="186"/>
      <c r="AD53" s="186"/>
      <c r="AE53" s="187" t="str">
        <f t="shared" si="20"/>
        <v/>
      </c>
      <c r="AF53" s="187"/>
      <c r="AG53" s="187"/>
      <c r="AM53" s="55"/>
      <c r="AY53" s="56"/>
      <c r="AZ53" s="56"/>
      <c r="BA53" s="56"/>
      <c r="BB53" s="56">
        <v>12.218299999999999</v>
      </c>
    </row>
    <row r="54" spans="2:54" ht="16.5" customHeight="1" x14ac:dyDescent="0.3">
      <c r="B54" s="193">
        <f>IF($F$13&gt;=1,1,"")</f>
        <v>1</v>
      </c>
      <c r="C54" s="193"/>
      <c r="D54" s="187">
        <f t="shared" si="13"/>
        <v>5.3</v>
      </c>
      <c r="E54" s="187"/>
      <c r="F54" s="187"/>
      <c r="G54" s="186">
        <f t="shared" si="14"/>
        <v>782.7</v>
      </c>
      <c r="H54" s="186"/>
      <c r="I54" s="186"/>
      <c r="J54" s="186">
        <f>IF(G54="","",SUM(G$40:G54))</f>
        <v>5494.9</v>
      </c>
      <c r="K54" s="186"/>
      <c r="L54" s="186"/>
      <c r="M54" s="186">
        <f t="shared" si="15"/>
        <v>560.3238618692418</v>
      </c>
      <c r="N54" s="186"/>
      <c r="O54" s="186"/>
      <c r="P54" s="186">
        <f t="shared" si="16"/>
        <v>669.9</v>
      </c>
      <c r="Q54" s="186"/>
      <c r="R54" s="186"/>
      <c r="S54" s="188">
        <f t="shared" si="21"/>
        <v>21.7258</v>
      </c>
      <c r="T54" s="188"/>
      <c r="U54" s="188"/>
      <c r="V54" s="186">
        <f t="shared" si="22"/>
        <v>30.834307597418736</v>
      </c>
      <c r="W54" s="186"/>
      <c r="X54" s="186"/>
      <c r="Y54" s="186">
        <f t="shared" si="23"/>
        <v>178.20734202119718</v>
      </c>
      <c r="Z54" s="186"/>
      <c r="AA54" s="186"/>
      <c r="AB54" s="186" t="str">
        <f t="shared" si="24"/>
        <v/>
      </c>
      <c r="AC54" s="186"/>
      <c r="AD54" s="186"/>
      <c r="AE54" s="187" t="str">
        <f t="shared" si="20"/>
        <v/>
      </c>
      <c r="AF54" s="187"/>
      <c r="AG54" s="187"/>
      <c r="AM54" s="55"/>
      <c r="AY54" s="56"/>
      <c r="AZ54" s="56"/>
      <c r="BA54" s="56"/>
      <c r="BB54" s="56">
        <v>21.7258</v>
      </c>
    </row>
  </sheetData>
  <mergeCells count="416">
    <mergeCell ref="M20:O20"/>
    <mergeCell ref="R16:S16"/>
    <mergeCell ref="AG12:AI12"/>
    <mergeCell ref="AD16:AF16"/>
    <mergeCell ref="AG16:AI16"/>
    <mergeCell ref="T14:U14"/>
    <mergeCell ref="T15:U15"/>
    <mergeCell ref="V15:X15"/>
    <mergeCell ref="Y15:AA15"/>
    <mergeCell ref="AB15:AC15"/>
    <mergeCell ref="AD15:AF15"/>
    <mergeCell ref="AG17:AI17"/>
    <mergeCell ref="T16:U16"/>
    <mergeCell ref="V16:X16"/>
    <mergeCell ref="Y16:AA16"/>
    <mergeCell ref="AB16:AC16"/>
    <mergeCell ref="T17:U17"/>
    <mergeCell ref="V17:X17"/>
    <mergeCell ref="Y17:AA17"/>
    <mergeCell ref="AB17:AC17"/>
    <mergeCell ref="Y19:AA19"/>
    <mergeCell ref="AG14:AI14"/>
    <mergeCell ref="AE19:AG19"/>
    <mergeCell ref="Y20:AA20"/>
    <mergeCell ref="AE22:AG22"/>
    <mergeCell ref="AB23:AD23"/>
    <mergeCell ref="AE23:AG23"/>
    <mergeCell ref="AE24:AG24"/>
    <mergeCell ref="AB25:AD25"/>
    <mergeCell ref="AE25:AG25"/>
    <mergeCell ref="AB26:AD26"/>
    <mergeCell ref="AE26:AG26"/>
    <mergeCell ref="AB21:AD21"/>
    <mergeCell ref="B25:C25"/>
    <mergeCell ref="D25:F25"/>
    <mergeCell ref="B21:C21"/>
    <mergeCell ref="B22:C22"/>
    <mergeCell ref="AD17:AF17"/>
    <mergeCell ref="B23:C23"/>
    <mergeCell ref="B28:C28"/>
    <mergeCell ref="D27:F27"/>
    <mergeCell ref="D28:F28"/>
    <mergeCell ref="V21:X21"/>
    <mergeCell ref="V19:X19"/>
    <mergeCell ref="V20:X20"/>
    <mergeCell ref="S19:U19"/>
    <mergeCell ref="S20:U20"/>
    <mergeCell ref="V23:X23"/>
    <mergeCell ref="V24:X24"/>
    <mergeCell ref="V25:X25"/>
    <mergeCell ref="V26:X26"/>
    <mergeCell ref="V22:X22"/>
    <mergeCell ref="AB19:AD19"/>
    <mergeCell ref="AB24:AD24"/>
    <mergeCell ref="AB27:AD27"/>
    <mergeCell ref="AE21:AG21"/>
    <mergeCell ref="AB22:AD22"/>
    <mergeCell ref="B26:C26"/>
    <mergeCell ref="G22:I22"/>
    <mergeCell ref="D30:F30"/>
    <mergeCell ref="J21:L21"/>
    <mergeCell ref="G21:I21"/>
    <mergeCell ref="B35:C35"/>
    <mergeCell ref="D19:F19"/>
    <mergeCell ref="D20:F20"/>
    <mergeCell ref="B33:C33"/>
    <mergeCell ref="B34:C34"/>
    <mergeCell ref="D21:F21"/>
    <mergeCell ref="D22:F22"/>
    <mergeCell ref="B31:C31"/>
    <mergeCell ref="B32:C32"/>
    <mergeCell ref="B27:C27"/>
    <mergeCell ref="D31:F31"/>
    <mergeCell ref="D32:F32"/>
    <mergeCell ref="D23:F23"/>
    <mergeCell ref="D24:F24"/>
    <mergeCell ref="G30:I30"/>
    <mergeCell ref="G31:I31"/>
    <mergeCell ref="G32:I32"/>
    <mergeCell ref="B24:C24"/>
    <mergeCell ref="B19:C20"/>
    <mergeCell ref="S21:U21"/>
    <mergeCell ref="S22:U22"/>
    <mergeCell ref="G23:I23"/>
    <mergeCell ref="G24:I24"/>
    <mergeCell ref="G25:I25"/>
    <mergeCell ref="G26:I26"/>
    <mergeCell ref="S27:U27"/>
    <mergeCell ref="J23:L23"/>
    <mergeCell ref="J24:L24"/>
    <mergeCell ref="P22:R22"/>
    <mergeCell ref="J22:L22"/>
    <mergeCell ref="M21:O21"/>
    <mergeCell ref="M22:O22"/>
    <mergeCell ref="M26:O26"/>
    <mergeCell ref="P23:R23"/>
    <mergeCell ref="J25:L25"/>
    <mergeCell ref="M25:O25"/>
    <mergeCell ref="P24:R24"/>
    <mergeCell ref="P25:R25"/>
    <mergeCell ref="P26:R26"/>
    <mergeCell ref="M23:O23"/>
    <mergeCell ref="M24:O24"/>
    <mergeCell ref="D26:F26"/>
    <mergeCell ref="S23:U23"/>
    <mergeCell ref="S24:U24"/>
    <mergeCell ref="S25:U25"/>
    <mergeCell ref="S26:U26"/>
    <mergeCell ref="P27:R27"/>
    <mergeCell ref="M28:O28"/>
    <mergeCell ref="M27:O27"/>
    <mergeCell ref="J26:L26"/>
    <mergeCell ref="J27:L27"/>
    <mergeCell ref="AB40:AD40"/>
    <mergeCell ref="V32:X32"/>
    <mergeCell ref="V27:X27"/>
    <mergeCell ref="V28:X28"/>
    <mergeCell ref="V29:X29"/>
    <mergeCell ref="V30:X30"/>
    <mergeCell ref="D29:F29"/>
    <mergeCell ref="G27:I27"/>
    <mergeCell ref="G28:I28"/>
    <mergeCell ref="G29:I29"/>
    <mergeCell ref="D38:F38"/>
    <mergeCell ref="G38:I38"/>
    <mergeCell ref="AB31:AD31"/>
    <mergeCell ref="J40:L40"/>
    <mergeCell ref="M40:O40"/>
    <mergeCell ref="P40:R40"/>
    <mergeCell ref="Y22:AA22"/>
    <mergeCell ref="Y23:AA23"/>
    <mergeCell ref="Y25:AA25"/>
    <mergeCell ref="Y26:AA26"/>
    <mergeCell ref="S31:U31"/>
    <mergeCell ref="S32:U32"/>
    <mergeCell ref="S33:U33"/>
    <mergeCell ref="S29:U29"/>
    <mergeCell ref="S30:U30"/>
    <mergeCell ref="S28:U28"/>
    <mergeCell ref="AB20:AD20"/>
    <mergeCell ref="AE20:AG20"/>
    <mergeCell ref="B41:C41"/>
    <mergeCell ref="D41:F41"/>
    <mergeCell ref="G41:I41"/>
    <mergeCell ref="J41:L41"/>
    <mergeCell ref="M41:O41"/>
    <mergeCell ref="P41:R41"/>
    <mergeCell ref="S40:U40"/>
    <mergeCell ref="V40:X40"/>
    <mergeCell ref="Y40:AA40"/>
    <mergeCell ref="V33:X33"/>
    <mergeCell ref="V34:X34"/>
    <mergeCell ref="S35:U35"/>
    <mergeCell ref="V39:X39"/>
    <mergeCell ref="Y39:AA39"/>
    <mergeCell ref="Y35:AA35"/>
    <mergeCell ref="S38:U38"/>
    <mergeCell ref="Y21:AA21"/>
    <mergeCell ref="AE40:AG40"/>
    <mergeCell ref="V35:X35"/>
    <mergeCell ref="B40:C40"/>
    <mergeCell ref="D40:F40"/>
    <mergeCell ref="G40:I40"/>
    <mergeCell ref="AE38:AG38"/>
    <mergeCell ref="D35:F35"/>
    <mergeCell ref="AB39:AD39"/>
    <mergeCell ref="AE39:AG39"/>
    <mergeCell ref="AB38:AD38"/>
    <mergeCell ref="D39:F39"/>
    <mergeCell ref="G39:I39"/>
    <mergeCell ref="J39:L39"/>
    <mergeCell ref="M39:O39"/>
    <mergeCell ref="P39:R39"/>
    <mergeCell ref="S39:U39"/>
    <mergeCell ref="V38:X38"/>
    <mergeCell ref="Y38:AA38"/>
    <mergeCell ref="M38:O38"/>
    <mergeCell ref="P38:R38"/>
    <mergeCell ref="AB35:AD35"/>
    <mergeCell ref="B38:C39"/>
    <mergeCell ref="G35:I35"/>
    <mergeCell ref="G33:I33"/>
    <mergeCell ref="G34:I34"/>
    <mergeCell ref="J28:L28"/>
    <mergeCell ref="J29:L29"/>
    <mergeCell ref="P31:R31"/>
    <mergeCell ref="J30:L30"/>
    <mergeCell ref="P28:R28"/>
    <mergeCell ref="P29:R29"/>
    <mergeCell ref="P30:R30"/>
    <mergeCell ref="M29:O29"/>
    <mergeCell ref="J35:L35"/>
    <mergeCell ref="P32:R32"/>
    <mergeCell ref="P34:R34"/>
    <mergeCell ref="D34:F34"/>
    <mergeCell ref="D33:F33"/>
    <mergeCell ref="J32:L32"/>
    <mergeCell ref="J34:L34"/>
    <mergeCell ref="P35:R35"/>
    <mergeCell ref="M35:O35"/>
    <mergeCell ref="B29:C29"/>
    <mergeCell ref="B30:C30"/>
    <mergeCell ref="AE32:AG32"/>
    <mergeCell ref="Y30:AA30"/>
    <mergeCell ref="AB30:AD30"/>
    <mergeCell ref="AE30:AG30"/>
    <mergeCell ref="Y31:AA31"/>
    <mergeCell ref="AB32:AD32"/>
    <mergeCell ref="Y34:AA34"/>
    <mergeCell ref="AE31:AG31"/>
    <mergeCell ref="J31:L31"/>
    <mergeCell ref="J33:L33"/>
    <mergeCell ref="P33:R33"/>
    <mergeCell ref="M30:O30"/>
    <mergeCell ref="M31:O31"/>
    <mergeCell ref="M32:O32"/>
    <mergeCell ref="AB34:AD34"/>
    <mergeCell ref="M34:O34"/>
    <mergeCell ref="M33:O33"/>
    <mergeCell ref="AB14:AC14"/>
    <mergeCell ref="AG15:AI15"/>
    <mergeCell ref="Y33:AA33"/>
    <mergeCell ref="AB33:AD33"/>
    <mergeCell ref="AE33:AG33"/>
    <mergeCell ref="P21:R21"/>
    <mergeCell ref="Y32:AA32"/>
    <mergeCell ref="AE35:AG35"/>
    <mergeCell ref="V13:X13"/>
    <mergeCell ref="Y14:AA14"/>
    <mergeCell ref="V14:X14"/>
    <mergeCell ref="Y13:AA13"/>
    <mergeCell ref="AD13:AF13"/>
    <mergeCell ref="AD14:AF14"/>
    <mergeCell ref="AB13:AC13"/>
    <mergeCell ref="AE28:AG28"/>
    <mergeCell ref="Y29:AA29"/>
    <mergeCell ref="AB29:AD29"/>
    <mergeCell ref="AE29:AG29"/>
    <mergeCell ref="S34:U34"/>
    <mergeCell ref="Y24:AA24"/>
    <mergeCell ref="Y27:AA27"/>
    <mergeCell ref="V31:X31"/>
    <mergeCell ref="Y28:AA28"/>
    <mergeCell ref="G6:G7"/>
    <mergeCell ref="H6:H7"/>
    <mergeCell ref="G9:H10"/>
    <mergeCell ref="M19:O19"/>
    <mergeCell ref="I14:K14"/>
    <mergeCell ref="M14:N14"/>
    <mergeCell ref="O14:P14"/>
    <mergeCell ref="D14:H14"/>
    <mergeCell ref="F8:F9"/>
    <mergeCell ref="D8:E9"/>
    <mergeCell ref="D13:E13"/>
    <mergeCell ref="L13:N13"/>
    <mergeCell ref="O13:P13"/>
    <mergeCell ref="J19:L19"/>
    <mergeCell ref="P19:R19"/>
    <mergeCell ref="R13:S13"/>
    <mergeCell ref="R14:S14"/>
    <mergeCell ref="J20:L20"/>
    <mergeCell ref="G19:I19"/>
    <mergeCell ref="Y41:AA41"/>
    <mergeCell ref="AB41:AD41"/>
    <mergeCell ref="AE41:AG41"/>
    <mergeCell ref="B42:C42"/>
    <mergeCell ref="D42:F42"/>
    <mergeCell ref="G42:I42"/>
    <mergeCell ref="J42:L42"/>
    <mergeCell ref="M42:O42"/>
    <mergeCell ref="P42:R42"/>
    <mergeCell ref="S42:U42"/>
    <mergeCell ref="V42:X42"/>
    <mergeCell ref="Y42:AA42"/>
    <mergeCell ref="AB42:AD42"/>
    <mergeCell ref="AE42:AG42"/>
    <mergeCell ref="S41:U41"/>
    <mergeCell ref="V41:X41"/>
    <mergeCell ref="AE27:AG27"/>
    <mergeCell ref="AB28:AD28"/>
    <mergeCell ref="G20:I20"/>
    <mergeCell ref="P20:R20"/>
    <mergeCell ref="J38:L38"/>
    <mergeCell ref="AE34:AG34"/>
    <mergeCell ref="AB43:AD43"/>
    <mergeCell ref="AE43:AG43"/>
    <mergeCell ref="B44:C44"/>
    <mergeCell ref="D44:F44"/>
    <mergeCell ref="G44:I44"/>
    <mergeCell ref="J44:L44"/>
    <mergeCell ref="M44:O44"/>
    <mergeCell ref="P44:R44"/>
    <mergeCell ref="S44:U44"/>
    <mergeCell ref="V44:X44"/>
    <mergeCell ref="Y44:AA44"/>
    <mergeCell ref="AB44:AD44"/>
    <mergeCell ref="AE44:AG44"/>
    <mergeCell ref="B43:C43"/>
    <mergeCell ref="D43:F43"/>
    <mergeCell ref="G43:I43"/>
    <mergeCell ref="J43:L43"/>
    <mergeCell ref="M43:O43"/>
    <mergeCell ref="P43:R43"/>
    <mergeCell ref="S43:U43"/>
    <mergeCell ref="V43:X43"/>
    <mergeCell ref="Y43:AA43"/>
    <mergeCell ref="AB45:AD45"/>
    <mergeCell ref="AE45:AG45"/>
    <mergeCell ref="B46:C46"/>
    <mergeCell ref="D46:F46"/>
    <mergeCell ref="G46:I46"/>
    <mergeCell ref="J46:L46"/>
    <mergeCell ref="M46:O46"/>
    <mergeCell ref="P46:R46"/>
    <mergeCell ref="S46:U46"/>
    <mergeCell ref="V46:X46"/>
    <mergeCell ref="Y46:AA46"/>
    <mergeCell ref="AB46:AD46"/>
    <mergeCell ref="AE46:AG46"/>
    <mergeCell ref="B45:C45"/>
    <mergeCell ref="D45:F45"/>
    <mergeCell ref="G45:I45"/>
    <mergeCell ref="J45:L45"/>
    <mergeCell ref="M45:O45"/>
    <mergeCell ref="P45:R45"/>
    <mergeCell ref="S45:U45"/>
    <mergeCell ref="V45:X45"/>
    <mergeCell ref="Y45:AA45"/>
    <mergeCell ref="AB47:AD47"/>
    <mergeCell ref="AE47:AG47"/>
    <mergeCell ref="B48:C48"/>
    <mergeCell ref="D48:F48"/>
    <mergeCell ref="G48:I48"/>
    <mergeCell ref="J48:L48"/>
    <mergeCell ref="M48:O48"/>
    <mergeCell ref="P48:R48"/>
    <mergeCell ref="S48:U48"/>
    <mergeCell ref="V48:X48"/>
    <mergeCell ref="Y48:AA48"/>
    <mergeCell ref="AB48:AD48"/>
    <mergeCell ref="AE48:AG48"/>
    <mergeCell ref="B47:C47"/>
    <mergeCell ref="D47:F47"/>
    <mergeCell ref="G47:I47"/>
    <mergeCell ref="J47:L47"/>
    <mergeCell ref="M47:O47"/>
    <mergeCell ref="P47:R47"/>
    <mergeCell ref="S47:U47"/>
    <mergeCell ref="V47:X47"/>
    <mergeCell ref="Y47:AA47"/>
    <mergeCell ref="AB49:AD49"/>
    <mergeCell ref="AE49:AG49"/>
    <mergeCell ref="B50:C50"/>
    <mergeCell ref="D50:F50"/>
    <mergeCell ref="G50:I50"/>
    <mergeCell ref="J50:L50"/>
    <mergeCell ref="M50:O50"/>
    <mergeCell ref="P50:R50"/>
    <mergeCell ref="S50:U50"/>
    <mergeCell ref="V50:X50"/>
    <mergeCell ref="Y50:AA50"/>
    <mergeCell ref="AB50:AD50"/>
    <mergeCell ref="AE50:AG50"/>
    <mergeCell ref="B49:C49"/>
    <mergeCell ref="D49:F49"/>
    <mergeCell ref="G49:I49"/>
    <mergeCell ref="J49:L49"/>
    <mergeCell ref="M49:O49"/>
    <mergeCell ref="P49:R49"/>
    <mergeCell ref="S49:U49"/>
    <mergeCell ref="V49:X49"/>
    <mergeCell ref="Y49:AA49"/>
    <mergeCell ref="AB51:AD51"/>
    <mergeCell ref="AE51:AG51"/>
    <mergeCell ref="B52:C52"/>
    <mergeCell ref="D52:F52"/>
    <mergeCell ref="G52:I52"/>
    <mergeCell ref="J52:L52"/>
    <mergeCell ref="Y52:AA52"/>
    <mergeCell ref="AE52:AG52"/>
    <mergeCell ref="M52:O52"/>
    <mergeCell ref="P52:R52"/>
    <mergeCell ref="S52:U52"/>
    <mergeCell ref="V52:X52"/>
    <mergeCell ref="B51:C51"/>
    <mergeCell ref="D51:F51"/>
    <mergeCell ref="G51:I51"/>
    <mergeCell ref="J51:L51"/>
    <mergeCell ref="M51:O51"/>
    <mergeCell ref="P51:R51"/>
    <mergeCell ref="S51:U51"/>
    <mergeCell ref="V51:X51"/>
    <mergeCell ref="Y51:AA51"/>
    <mergeCell ref="B53:C53"/>
    <mergeCell ref="D53:F53"/>
    <mergeCell ref="G53:I53"/>
    <mergeCell ref="J53:L53"/>
    <mergeCell ref="M53:O53"/>
    <mergeCell ref="P53:R53"/>
    <mergeCell ref="S53:U53"/>
    <mergeCell ref="B54:C54"/>
    <mergeCell ref="D54:F54"/>
    <mergeCell ref="G54:I54"/>
    <mergeCell ref="J54:L54"/>
    <mergeCell ref="M54:O54"/>
    <mergeCell ref="P54:R54"/>
    <mergeCell ref="S54:U54"/>
    <mergeCell ref="V54:X54"/>
    <mergeCell ref="Y54:AA54"/>
    <mergeCell ref="AB54:AD54"/>
    <mergeCell ref="AE54:AG54"/>
    <mergeCell ref="V53:X53"/>
    <mergeCell ref="Y53:AA53"/>
    <mergeCell ref="AB53:AD53"/>
    <mergeCell ref="AE53:AG53"/>
    <mergeCell ref="AB52:AD52"/>
  </mergeCells>
  <phoneticPr fontId="2"/>
  <conditionalFormatting sqref="AG14:AI17">
    <cfRule type="cellIs" dxfId="0" priority="1" stopIfTrue="1" operator="lessThan">
      <formula>0.75</formula>
    </cfRule>
  </conditionalFormatting>
  <pageMargins left="0.78740157480314965" right="0.59055118110236227" top="0.78740157480314965" bottom="0.78740157480314965" header="0.39370078740157483" footer="0.39370078740157483"/>
  <pageSetup paperSize="9" scale="83"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3BE642BA265BDA43BB094034578B5F14" ma:contentTypeVersion="5" ma:contentTypeDescription="新しいドキュメントを作成します。" ma:contentTypeScope="" ma:versionID="20ddacb6bb3004c9161e1a4938978784">
  <xsd:schema xmlns:xsd="http://www.w3.org/2001/XMLSchema" xmlns:xs="http://www.w3.org/2001/XMLSchema" xmlns:p="http://schemas.microsoft.com/office/2006/metadata/properties" xmlns:ns3="d088c5ac-4040-4be6-b551-8b86cd02a23c" xmlns:ns4="be8e2999-58de-494b-abd7-314b380c6a72" targetNamespace="http://schemas.microsoft.com/office/2006/metadata/properties" ma:root="true" ma:fieldsID="eed6b2fa5b00c014121aa4133057cadc" ns3:_="" ns4:_="">
    <xsd:import namespace="d088c5ac-4040-4be6-b551-8b86cd02a23c"/>
    <xsd:import namespace="be8e2999-58de-494b-abd7-314b380c6a7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088c5ac-4040-4be6-b551-8b86cd02a23c" elementFormDefault="qualified">
    <xsd:import namespace="http://schemas.microsoft.com/office/2006/documentManagement/types"/>
    <xsd:import namespace="http://schemas.microsoft.com/office/infopath/2007/PartnerControls"/>
    <xsd:element name="SharedWithUsers" ma:index="8"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共有相手の詳細情報" ma:internalName="SharedWithDetails" ma:readOnly="true">
      <xsd:simpleType>
        <xsd:restriction base="dms:Note">
          <xsd:maxLength value="255"/>
        </xsd:restriction>
      </xsd:simpleType>
    </xsd:element>
    <xsd:element name="SharingHintHash" ma:index="10" nillable="true" ma:displayName="共有のヒントのハッシュ"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8e2999-58de-494b-abd7-314b380c6a7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6EFA1B1-C642-459C-A79A-41DEBDF4DEF4}">
  <ds:schemaRefs>
    <ds:schemaRef ds:uri="http://purl.org/dc/dcmitype/"/>
    <ds:schemaRef ds:uri="http://schemas.microsoft.com/office/infopath/2007/PartnerControls"/>
    <ds:schemaRef ds:uri="be8e2999-58de-494b-abd7-314b380c6a72"/>
    <ds:schemaRef ds:uri="http://schemas.microsoft.com/office/2006/documentManagement/types"/>
    <ds:schemaRef ds:uri="http://schemas.microsoft.com/office/2006/metadata/properties"/>
    <ds:schemaRef ds:uri="http://www.w3.org/XML/1998/namespace"/>
    <ds:schemaRef ds:uri="http://purl.org/dc/elements/1.1/"/>
    <ds:schemaRef ds:uri="http://schemas.openxmlformats.org/package/2006/metadata/core-properties"/>
    <ds:schemaRef ds:uri="d088c5ac-4040-4be6-b551-8b86cd02a23c"/>
    <ds:schemaRef ds:uri="http://purl.org/dc/terms/"/>
  </ds:schemaRefs>
</ds:datastoreItem>
</file>

<file path=customXml/itemProps2.xml><?xml version="1.0" encoding="utf-8"?>
<ds:datastoreItem xmlns:ds="http://schemas.openxmlformats.org/officeDocument/2006/customXml" ds:itemID="{11F95378-C277-4C06-AED7-FB0671E34F2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088c5ac-4040-4be6-b551-8b86cd02a23c"/>
    <ds:schemaRef ds:uri="be8e2999-58de-494b-abd7-314b380c6a7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79303C7-EE77-4434-8B01-14A0EABAFD2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ready</vt:lpstr>
      <vt:lpstr>gravity</vt:lpstr>
      <vt:lpstr>jacobi2</vt:lpstr>
      <vt:lpstr>jacobi</vt:lpstr>
      <vt:lpstr>限界耐力１</vt:lpstr>
      <vt:lpstr>限界耐力　原本 (2)</vt:lpstr>
      <vt:lpstr>転倒</vt:lpstr>
      <vt:lpstr>Sheet2</vt:lpstr>
      <vt:lpstr>重力式 (2)</vt:lpstr>
      <vt:lpstr>重力式</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Makoto Matsushita</dc:creator>
  <cp:keywords/>
  <dc:description/>
  <cp:lastModifiedBy>Administrator</cp:lastModifiedBy>
  <cp:revision/>
  <cp:lastPrinted>2019-05-27T08:27:48Z</cp:lastPrinted>
  <dcterms:created xsi:type="dcterms:W3CDTF">2009-09-11T02:32:46Z</dcterms:created>
  <dcterms:modified xsi:type="dcterms:W3CDTF">2022-03-08T07:50:49Z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0x0101003BE642BA265BDA43BB094034578B5F14</vt:lpwstr>
  </property>
</Properties>
</file>