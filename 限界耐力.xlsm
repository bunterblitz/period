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mc:AlternateContent xmlns:mc="http://schemas.openxmlformats.org/markup-compatibility/2006">
    <mc:Choice Requires="x15">
      <x15ac:absPath xmlns:x15ac="http://schemas.microsoft.com/office/spreadsheetml/2010/11/ac" url="C:\Users\00025134\OneDrive - DAIWA HOUSE INDUSTRY CO., LTD\excel2\限界耐力\"/>
    </mc:Choice>
  </mc:AlternateContent>
  <xr:revisionPtr revIDLastSave="1" documentId="10_ncr:100000_{F21BC139-340D-4974-A794-2523E53CBB90}" xr6:coauthVersionLast="36" xr6:coauthVersionMax="36" xr10:uidLastSave="{8BB1FEF9-B47D-4791-95C8-187AE9F97326}"/>
  <bookViews>
    <workbookView xWindow="-120" yWindow="-120" windowWidth="20736" windowHeight="11160" xr2:uid="{00000000-000D-0000-FFFF-FFFF00000000}"/>
  </bookViews>
  <sheets>
    <sheet name="ready" sheetId="7" r:id="rId1"/>
    <sheet name="固有周期" sheetId="13" r:id="rId2"/>
    <sheet name="必要損傷限界耐力" sheetId="18" r:id="rId3"/>
    <sheet name="損傷限界GS" sheetId="14" r:id="rId4"/>
    <sheet name="安全限界GS" sheetId="15" r:id="rId5"/>
    <sheet name="teigen" sheetId="16" r:id="rId6"/>
    <sheet name="gensui" sheetId="17" r:id="rId7"/>
    <sheet name="gravity" sheetId="12" r:id="rId8"/>
    <sheet name="jacobi" sheetId="10" r:id="rId9"/>
    <sheet name="限界耐力　原本 (2)" sheetId="5" r:id="rId10"/>
    <sheet name="転倒" sheetId="3" r:id="rId11"/>
    <sheet name="重力式" sheetId="1" r:id="rId12"/>
  </sheets>
  <functionGroups builtInGroupCount="19"/>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S54" i="1" l="1"/>
  <c r="D54" i="1"/>
  <c r="B54" i="1"/>
  <c r="AE54" i="1" s="1"/>
  <c r="AB53" i="1"/>
  <c r="S53" i="1"/>
  <c r="D53" i="1"/>
  <c r="B53" i="1"/>
  <c r="AE53" i="1" s="1"/>
  <c r="AE52" i="1"/>
  <c r="S52" i="1"/>
  <c r="V52" i="1" s="1"/>
  <c r="D52" i="1"/>
  <c r="B52" i="1"/>
  <c r="AB52" i="1" s="1"/>
  <c r="AB51" i="1"/>
  <c r="S51" i="1"/>
  <c r="D51" i="1"/>
  <c r="B51" i="1"/>
  <c r="AE51" i="1" s="1"/>
  <c r="S50" i="1"/>
  <c r="V50" i="1" s="1"/>
  <c r="P50" i="1"/>
  <c r="D50" i="1"/>
  <c r="B50" i="1"/>
  <c r="AE50" i="1" s="1"/>
  <c r="V49" i="1"/>
  <c r="S49" i="1"/>
  <c r="P49" i="1"/>
  <c r="D49" i="1"/>
  <c r="S48" i="1"/>
  <c r="C36" i="5" s="1"/>
  <c r="D48" i="1"/>
  <c r="S47" i="1"/>
  <c r="V47" i="1" s="1"/>
  <c r="P47" i="1"/>
  <c r="D47" i="1"/>
  <c r="V46" i="1"/>
  <c r="Y46" i="1" s="1"/>
  <c r="P46" i="1"/>
  <c r="J46" i="1"/>
  <c r="M46" i="1" s="1"/>
  <c r="G46" i="1"/>
  <c r="D46" i="1"/>
  <c r="B46" i="1"/>
  <c r="AE46" i="1" s="1"/>
  <c r="V45" i="1"/>
  <c r="Y45" i="1" s="1"/>
  <c r="P45" i="1"/>
  <c r="G45" i="1"/>
  <c r="J45" i="1" s="1"/>
  <c r="M45" i="1" s="1"/>
  <c r="D45" i="1"/>
  <c r="V44" i="1"/>
  <c r="Y44" i="1" s="1"/>
  <c r="P44" i="1"/>
  <c r="J44" i="1"/>
  <c r="M44" i="1" s="1"/>
  <c r="G44" i="1"/>
  <c r="D44" i="1"/>
  <c r="V43" i="1"/>
  <c r="Y43" i="1" s="1"/>
  <c r="P43" i="1"/>
  <c r="G43" i="1"/>
  <c r="J43" i="1" s="1"/>
  <c r="M43" i="1" s="1"/>
  <c r="D43" i="1"/>
  <c r="Y42" i="1"/>
  <c r="V42" i="1"/>
  <c r="P42" i="1"/>
  <c r="G42" i="1"/>
  <c r="J42" i="1" s="1"/>
  <c r="M42" i="1" s="1"/>
  <c r="D42" i="1"/>
  <c r="V41" i="1"/>
  <c r="Y41" i="1" s="1"/>
  <c r="P41" i="1"/>
  <c r="G41" i="1"/>
  <c r="J41" i="1" s="1"/>
  <c r="M41" i="1" s="1"/>
  <c r="D41" i="1"/>
  <c r="Y40" i="1"/>
  <c r="V40" i="1"/>
  <c r="P40" i="1"/>
  <c r="J40" i="1"/>
  <c r="M40" i="1" s="1"/>
  <c r="G40" i="1"/>
  <c r="D40" i="1"/>
  <c r="AE35" i="1"/>
  <c r="AB35" i="1"/>
  <c r="S35" i="1"/>
  <c r="V35" i="1" s="1"/>
  <c r="P35" i="1"/>
  <c r="P54" i="1" s="1"/>
  <c r="V54" i="1" s="1"/>
  <c r="G35" i="1"/>
  <c r="G54" i="1" s="1"/>
  <c r="B35" i="1"/>
  <c r="AE34" i="1"/>
  <c r="AB34" i="1"/>
  <c r="V34" i="1"/>
  <c r="S34" i="1"/>
  <c r="P34" i="1"/>
  <c r="P53" i="1" s="1"/>
  <c r="G34" i="1"/>
  <c r="G53" i="1" s="1"/>
  <c r="B34" i="1"/>
  <c r="AE33" i="1"/>
  <c r="V33" i="1"/>
  <c r="S33" i="1"/>
  <c r="P33" i="1"/>
  <c r="P52" i="1" s="1"/>
  <c r="G33" i="1"/>
  <c r="J33" i="1" s="1"/>
  <c r="M33" i="1" s="1"/>
  <c r="B33" i="1"/>
  <c r="AB33" i="1" s="1"/>
  <c r="AE32" i="1"/>
  <c r="AB32" i="1"/>
  <c r="S32" i="1"/>
  <c r="V32" i="1" s="1"/>
  <c r="P32" i="1"/>
  <c r="P51" i="1" s="1"/>
  <c r="V51" i="1" s="1"/>
  <c r="G32" i="1"/>
  <c r="G51" i="1" s="1"/>
  <c r="B32" i="1"/>
  <c r="AE31" i="1"/>
  <c r="S31" i="1"/>
  <c r="C10" i="5" s="1"/>
  <c r="P31" i="1"/>
  <c r="G31" i="1"/>
  <c r="G50" i="1" s="1"/>
  <c r="B31" i="1"/>
  <c r="AB31" i="1" s="1"/>
  <c r="V30" i="1"/>
  <c r="S30" i="1"/>
  <c r="P30" i="1"/>
  <c r="G30" i="1"/>
  <c r="G49" i="1" s="1"/>
  <c r="B30" i="1"/>
  <c r="AE30" i="1" s="1"/>
  <c r="AE29" i="1"/>
  <c r="AB29" i="1"/>
  <c r="S29" i="1"/>
  <c r="V29" i="1" s="1"/>
  <c r="P29" i="1"/>
  <c r="P48" i="1" s="1"/>
  <c r="G29" i="1"/>
  <c r="J31" i="1" s="1"/>
  <c r="M31" i="1" s="1"/>
  <c r="B29" i="1"/>
  <c r="B48" i="1" s="1"/>
  <c r="V28" i="1"/>
  <c r="Y28" i="1" s="1"/>
  <c r="S28" i="1"/>
  <c r="P28" i="1"/>
  <c r="M28" i="1"/>
  <c r="J28" i="1"/>
  <c r="G28" i="1"/>
  <c r="G47" i="1" s="1"/>
  <c r="J47" i="1" s="1"/>
  <c r="M47" i="1" s="1"/>
  <c r="B28" i="1"/>
  <c r="B47" i="1" s="1"/>
  <c r="AE27" i="1"/>
  <c r="V27" i="1"/>
  <c r="Y27" i="1" s="1"/>
  <c r="J27" i="1"/>
  <c r="M27" i="1" s="1"/>
  <c r="B27" i="1"/>
  <c r="AB27" i="1" s="1"/>
  <c r="AE26" i="1"/>
  <c r="AB26" i="1"/>
  <c r="Y26" i="1"/>
  <c r="V26" i="1"/>
  <c r="J26" i="1"/>
  <c r="M26" i="1" s="1"/>
  <c r="B26" i="1"/>
  <c r="B45" i="1" s="1"/>
  <c r="V25" i="1"/>
  <c r="Y25" i="1" s="1"/>
  <c r="J25" i="1"/>
  <c r="M25" i="1" s="1"/>
  <c r="B25" i="1"/>
  <c r="AE25" i="1" s="1"/>
  <c r="V24" i="1"/>
  <c r="Y24" i="1" s="1"/>
  <c r="J24" i="1"/>
  <c r="M24" i="1" s="1"/>
  <c r="B24" i="1"/>
  <c r="B43" i="1" s="1"/>
  <c r="AE23" i="1"/>
  <c r="AB23" i="1"/>
  <c r="V23" i="1"/>
  <c r="Y23" i="1" s="1"/>
  <c r="M23" i="1"/>
  <c r="J23" i="1"/>
  <c r="B23" i="1"/>
  <c r="B42" i="1" s="1"/>
  <c r="AB22" i="1"/>
  <c r="V22" i="1"/>
  <c r="Y22" i="1" s="1"/>
  <c r="M22" i="1"/>
  <c r="J22" i="1"/>
  <c r="B22" i="1"/>
  <c r="B41" i="1" s="1"/>
  <c r="Y21" i="1"/>
  <c r="V21" i="1"/>
  <c r="M21" i="1"/>
  <c r="J21" i="1"/>
  <c r="B21" i="1"/>
  <c r="B40" i="1" s="1"/>
  <c r="AD17" i="1"/>
  <c r="AD16" i="1"/>
  <c r="I14" i="1"/>
  <c r="Y13" i="1" s="1"/>
  <c r="AD13" i="1" s="1"/>
  <c r="AG16" i="1" s="1"/>
  <c r="I50" i="3"/>
  <c r="I37" i="3"/>
  <c r="I36" i="3"/>
  <c r="I48" i="3" s="1"/>
  <c r="D33" i="3"/>
  <c r="E33" i="3" s="1"/>
  <c r="G33" i="3" s="1"/>
  <c r="M12" i="3"/>
  <c r="F8" i="3"/>
  <c r="I6" i="3"/>
  <c r="B1" i="3"/>
  <c r="C1" i="3" s="1"/>
  <c r="D1" i="3" s="1"/>
  <c r="E1" i="3" s="1"/>
  <c r="F1" i="3" s="1"/>
  <c r="G1" i="3" s="1"/>
  <c r="H1" i="3" s="1"/>
  <c r="I1" i="3" s="1"/>
  <c r="J1" i="3" s="1"/>
  <c r="K1" i="3" s="1"/>
  <c r="L1" i="3" s="1"/>
  <c r="C42" i="5"/>
  <c r="D42" i="5" s="1"/>
  <c r="C41" i="5"/>
  <c r="D41" i="5" s="1"/>
  <c r="C40" i="5"/>
  <c r="C39" i="5"/>
  <c r="C38" i="5"/>
  <c r="C37" i="5"/>
  <c r="B36" i="5"/>
  <c r="B37" i="5" s="1"/>
  <c r="B38" i="5" s="1"/>
  <c r="B39" i="5" s="1"/>
  <c r="B40" i="5" s="1"/>
  <c r="B41" i="5" s="1"/>
  <c r="B42" i="5" s="1"/>
  <c r="C35" i="5"/>
  <c r="F14" i="5"/>
  <c r="E14" i="5"/>
  <c r="E42" i="5" s="1"/>
  <c r="F42" i="5" s="1"/>
  <c r="C14" i="5"/>
  <c r="D14" i="5" s="1"/>
  <c r="G13" i="5"/>
  <c r="H13" i="5" s="1"/>
  <c r="E13" i="5"/>
  <c r="E41" i="5" s="1"/>
  <c r="F41" i="5" s="1"/>
  <c r="C13" i="5"/>
  <c r="F13" i="5" s="1"/>
  <c r="G12" i="5"/>
  <c r="H12" i="5" s="1"/>
  <c r="E12" i="5"/>
  <c r="F12" i="5" s="1"/>
  <c r="C12" i="5"/>
  <c r="G11" i="5"/>
  <c r="G39" i="5" s="1"/>
  <c r="H39" i="5" s="1"/>
  <c r="F11" i="5"/>
  <c r="E11" i="5"/>
  <c r="E39" i="5" s="1"/>
  <c r="F39" i="5" s="1"/>
  <c r="C11" i="5"/>
  <c r="G10" i="5"/>
  <c r="H10" i="5" s="1"/>
  <c r="E10" i="5"/>
  <c r="E38" i="5" s="1"/>
  <c r="F38" i="5" s="1"/>
  <c r="G9" i="5"/>
  <c r="H9" i="5" s="1"/>
  <c r="E9" i="5"/>
  <c r="E37" i="5" s="1"/>
  <c r="F37" i="5" s="1"/>
  <c r="C9" i="5"/>
  <c r="F9" i="5" s="1"/>
  <c r="E8" i="5"/>
  <c r="F8" i="5" s="1"/>
  <c r="C8" i="5"/>
  <c r="B8" i="5"/>
  <c r="B9" i="5" s="1"/>
  <c r="B10" i="5" s="1"/>
  <c r="B11" i="5" s="1"/>
  <c r="B12" i="5" s="1"/>
  <c r="B13" i="5" s="1"/>
  <c r="B14" i="5" s="1"/>
  <c r="G7" i="5"/>
  <c r="G35" i="5" s="1"/>
  <c r="H35" i="5" s="1"/>
  <c r="F7" i="5"/>
  <c r="E7" i="5"/>
  <c r="E35" i="5" s="1"/>
  <c r="F35" i="5" s="1"/>
  <c r="C7" i="5"/>
  <c r="C15" i="5" s="1"/>
  <c r="A2" i="10"/>
  <c r="E14" i="12"/>
  <c r="E13" i="12"/>
  <c r="E12" i="12"/>
  <c r="E11" i="12"/>
  <c r="Q35" i="7"/>
  <c r="V35" i="7" s="1"/>
  <c r="O35" i="7"/>
  <c r="Q34" i="7"/>
  <c r="V34" i="7" s="1"/>
  <c r="O34" i="7"/>
  <c r="Q33" i="7"/>
  <c r="V33" i="7" s="1"/>
  <c r="O33" i="7"/>
  <c r="Q32" i="7"/>
  <c r="V32" i="7" s="1"/>
  <c r="O32" i="7"/>
  <c r="Q31" i="7"/>
  <c r="S31" i="7" s="1"/>
  <c r="O31" i="7"/>
  <c r="Q30" i="7"/>
  <c r="V30" i="7" s="1"/>
  <c r="O30" i="7"/>
  <c r="Q29" i="7"/>
  <c r="V29" i="7" s="1"/>
  <c r="O29" i="7"/>
  <c r="Q28" i="7"/>
  <c r="S28" i="7" s="1"/>
  <c r="O28" i="7"/>
  <c r="Q27" i="7"/>
  <c r="V27" i="7" s="1"/>
  <c r="O27" i="7"/>
  <c r="Q26" i="7"/>
  <c r="S26" i="7" s="1"/>
  <c r="O26" i="7"/>
  <c r="Q25" i="7"/>
  <c r="V25" i="7" s="1"/>
  <c r="W25" i="7" s="1"/>
  <c r="O25" i="7"/>
  <c r="Z21" i="7"/>
  <c r="X21" i="7"/>
  <c r="S21" i="7" s="1"/>
  <c r="T21" i="7"/>
  <c r="P21" i="7"/>
  <c r="Z20" i="7"/>
  <c r="T20" i="7" s="1"/>
  <c r="X20" i="7"/>
  <c r="S20" i="7" s="1"/>
  <c r="P20" i="7"/>
  <c r="Z19" i="7"/>
  <c r="T19" i="7" s="1"/>
  <c r="X19" i="7"/>
  <c r="S19" i="7" s="1"/>
  <c r="P19" i="7"/>
  <c r="Z18" i="7"/>
  <c r="X18" i="7"/>
  <c r="T18" i="7"/>
  <c r="S18" i="7"/>
  <c r="P18" i="7"/>
  <c r="Z17" i="7"/>
  <c r="X17" i="7"/>
  <c r="T17" i="7"/>
  <c r="S17" i="7"/>
  <c r="P17" i="7"/>
  <c r="Z16" i="7"/>
  <c r="T16" i="7" s="1"/>
  <c r="X16" i="7"/>
  <c r="S16" i="7" s="1"/>
  <c r="P16" i="7"/>
  <c r="Z15" i="7"/>
  <c r="T15" i="7" s="1"/>
  <c r="X15" i="7"/>
  <c r="S15" i="7" s="1"/>
  <c r="P15" i="7"/>
  <c r="Z14" i="7"/>
  <c r="T14" i="7" s="1"/>
  <c r="X14" i="7"/>
  <c r="S14" i="7"/>
  <c r="P14" i="7"/>
  <c r="Z13" i="7"/>
  <c r="X13" i="7"/>
  <c r="T13" i="7"/>
  <c r="S13" i="7"/>
  <c r="P13" i="7"/>
  <c r="Z12" i="7"/>
  <c r="X12" i="7"/>
  <c r="S12" i="7" s="1"/>
  <c r="T12" i="7"/>
  <c r="P12" i="7"/>
  <c r="Z11" i="7"/>
  <c r="T11" i="7" s="1"/>
  <c r="X11" i="7"/>
  <c r="S11" i="7"/>
  <c r="P11" i="7"/>
  <c r="L14" i="12"/>
  <c r="L15" i="12"/>
  <c r="J49" i="1" l="1"/>
  <c r="M49" i="1" s="1"/>
  <c r="AE42" i="1"/>
  <c r="AB42" i="1"/>
  <c r="AE45" i="1"/>
  <c r="AB45" i="1"/>
  <c r="D40" i="5"/>
  <c r="AG17" i="1"/>
  <c r="AE40" i="1"/>
  <c r="AB40" i="1"/>
  <c r="AE43" i="1"/>
  <c r="AB43" i="1"/>
  <c r="G47" i="3"/>
  <c r="G49" i="3" s="1"/>
  <c r="G51" i="3" s="1"/>
  <c r="G53" i="3" s="1"/>
  <c r="I47" i="3"/>
  <c r="I49" i="3" s="1"/>
  <c r="I51" i="3" s="1"/>
  <c r="I53" i="3" s="1"/>
  <c r="AE41" i="1"/>
  <c r="AB41" i="1"/>
  <c r="F10" i="5"/>
  <c r="Y33" i="1"/>
  <c r="V53" i="1"/>
  <c r="J50" i="1"/>
  <c r="M50" i="1" s="1"/>
  <c r="AE48" i="1"/>
  <c r="AB48" i="1"/>
  <c r="J51" i="1"/>
  <c r="M51" i="1" s="1"/>
  <c r="Y47" i="1"/>
  <c r="H7" i="5"/>
  <c r="H11" i="5"/>
  <c r="J30" i="1"/>
  <c r="D13" i="5"/>
  <c r="G14" i="5"/>
  <c r="G38" i="5"/>
  <c r="H38" i="5" s="1"/>
  <c r="AE22" i="1"/>
  <c r="J29" i="1"/>
  <c r="M29" i="1" s="1"/>
  <c r="V31" i="1"/>
  <c r="Y31" i="1" s="1"/>
  <c r="J35" i="1"/>
  <c r="M35" i="1" s="1"/>
  <c r="B44" i="1"/>
  <c r="V48" i="1"/>
  <c r="Y48" i="1" s="1"/>
  <c r="AB50" i="1"/>
  <c r="G48" i="3"/>
  <c r="AB24" i="1"/>
  <c r="AE24" i="1"/>
  <c r="J34" i="1"/>
  <c r="M34" i="1" s="1"/>
  <c r="G37" i="5"/>
  <c r="H37" i="5" s="1"/>
  <c r="G41" i="5"/>
  <c r="H41" i="5" s="1"/>
  <c r="I41" i="5" s="1"/>
  <c r="J41" i="5" s="1"/>
  <c r="G52" i="1"/>
  <c r="J52" i="1" s="1"/>
  <c r="M52" i="1" s="1"/>
  <c r="E36" i="5"/>
  <c r="F36" i="5" s="1"/>
  <c r="E40" i="5"/>
  <c r="F40" i="5" s="1"/>
  <c r="AB21" i="1"/>
  <c r="AB30" i="1"/>
  <c r="AB46" i="1"/>
  <c r="B49" i="1"/>
  <c r="AE21" i="1"/>
  <c r="G8" i="5"/>
  <c r="G40" i="5"/>
  <c r="H40" i="5" s="1"/>
  <c r="J32" i="1"/>
  <c r="M32" i="1" s="1"/>
  <c r="G48" i="1"/>
  <c r="J48" i="1" s="1"/>
  <c r="M48" i="1" s="1"/>
  <c r="AB25" i="1"/>
  <c r="AB54" i="1"/>
  <c r="V31" i="7"/>
  <c r="S35" i="7"/>
  <c r="S27" i="7"/>
  <c r="S33" i="7"/>
  <c r="S29" i="7"/>
  <c r="S34" i="7"/>
  <c r="S32" i="7"/>
  <c r="S30" i="7"/>
  <c r="V28" i="7"/>
  <c r="V26" i="7"/>
  <c r="W26" i="7" s="1"/>
  <c r="W27" i="7" s="1"/>
  <c r="S25" i="7"/>
  <c r="T25" i="7" s="1"/>
  <c r="T26" i="7" s="1"/>
  <c r="AE44" i="1" l="1"/>
  <c r="AB44" i="1"/>
  <c r="Y51" i="1"/>
  <c r="J54" i="1"/>
  <c r="Y50" i="1"/>
  <c r="Y49" i="1"/>
  <c r="I40" i="5"/>
  <c r="J40" i="5" s="1"/>
  <c r="D39" i="5"/>
  <c r="J53" i="1"/>
  <c r="M53" i="1" s="1"/>
  <c r="Y29" i="1"/>
  <c r="AB28" i="1" s="1"/>
  <c r="AE28" i="1" s="1"/>
  <c r="Y14" i="1" s="1"/>
  <c r="AD14" i="1" s="1"/>
  <c r="AG14" i="1" s="1"/>
  <c r="Y35" i="1"/>
  <c r="Y32" i="1"/>
  <c r="H14" i="5"/>
  <c r="I14" i="5" s="1"/>
  <c r="J14" i="5" s="1"/>
  <c r="G42" i="5"/>
  <c r="H42" i="5" s="1"/>
  <c r="I42" i="5" s="1"/>
  <c r="J42" i="5" s="1"/>
  <c r="I13" i="5"/>
  <c r="J13" i="5" s="1"/>
  <c r="D12" i="5"/>
  <c r="Y52" i="1"/>
  <c r="H8" i="5"/>
  <c r="H15" i="5" s="1"/>
  <c r="G36" i="5"/>
  <c r="H36" i="5" s="1"/>
  <c r="H43" i="5" s="1"/>
  <c r="AE49" i="1"/>
  <c r="AB49" i="1"/>
  <c r="Y30" i="1"/>
  <c r="M30" i="1"/>
  <c r="Y34" i="1"/>
  <c r="W28" i="7"/>
  <c r="W29" i="7" s="1"/>
  <c r="W30" i="7" s="1"/>
  <c r="W31" i="7" s="1"/>
  <c r="W32" i="7" s="1"/>
  <c r="W33" i="7" s="1"/>
  <c r="W34" i="7" s="1"/>
  <c r="W35" i="7" s="1"/>
  <c r="T27" i="7"/>
  <c r="T28" i="7" s="1"/>
  <c r="T29" i="7" s="1"/>
  <c r="T30" i="7" s="1"/>
  <c r="T31" i="7" s="1"/>
  <c r="T32" i="7" s="1"/>
  <c r="T33" i="7" s="1"/>
  <c r="T34" i="7" s="1"/>
  <c r="T35" i="7" s="1"/>
  <c r="J12" i="5" l="1"/>
  <c r="D11" i="5"/>
  <c r="I12" i="5"/>
  <c r="I39" i="5"/>
  <c r="J39" i="5"/>
  <c r="D38" i="5"/>
  <c r="Y53" i="1"/>
  <c r="M54" i="1"/>
  <c r="Y54" i="1"/>
  <c r="AB47" i="1" l="1"/>
  <c r="AE47" i="1" s="1"/>
  <c r="Y15" i="1" s="1"/>
  <c r="AD15" i="1" s="1"/>
  <c r="AG15" i="1" s="1"/>
  <c r="I38" i="5"/>
  <c r="J38" i="5" s="1"/>
  <c r="D37" i="5"/>
  <c r="I11" i="5"/>
  <c r="J11" i="5" s="1"/>
  <c r="D10" i="5"/>
  <c r="J10" i="5" l="1"/>
  <c r="I10" i="5"/>
  <c r="D9" i="5"/>
  <c r="I37" i="5"/>
  <c r="J37" i="5" s="1"/>
  <c r="D36" i="5"/>
  <c r="J36" i="5" l="1"/>
  <c r="I36" i="5"/>
  <c r="D35" i="5"/>
  <c r="I9" i="5"/>
  <c r="J9" i="5" s="1"/>
  <c r="D8" i="5"/>
  <c r="I8" i="5" l="1"/>
  <c r="J8" i="5" s="1"/>
  <c r="D7" i="5"/>
  <c r="I35" i="5"/>
  <c r="I43" i="5" s="1"/>
  <c r="J35" i="5"/>
  <c r="J43" i="5" s="1"/>
  <c r="G47" i="5" l="1"/>
  <c r="I47" i="5" s="1"/>
  <c r="H54" i="5" s="1"/>
  <c r="I56" i="5" s="1"/>
  <c r="G52" i="5"/>
  <c r="I7" i="5"/>
  <c r="I15" i="5" s="1"/>
  <c r="J7" i="5"/>
  <c r="J15" i="5" s="1"/>
  <c r="G48" i="5"/>
  <c r="G51" i="5"/>
  <c r="I51" i="5" s="1"/>
  <c r="E54" i="5" s="1"/>
  <c r="G20" i="5" l="1"/>
  <c r="G23" i="5"/>
  <c r="I23" i="5" s="1"/>
  <c r="E26" i="5" s="1"/>
  <c r="G19" i="5"/>
  <c r="I19" i="5" s="1"/>
  <c r="G24" i="5"/>
  <c r="H26" i="5" l="1"/>
  <c r="I28" i="5" s="1"/>
</calcChain>
</file>

<file path=xl/sharedStrings.xml><?xml version="1.0" encoding="utf-8"?>
<sst xmlns="http://schemas.openxmlformats.org/spreadsheetml/2006/main" count="564" uniqueCount="317">
  <si>
    <t>重力式による固有周期</t>
    <rPh sb="0" eb="2">
      <t>ジュウリョク</t>
    </rPh>
    <rPh sb="2" eb="3">
      <t>シキ</t>
    </rPh>
    <rPh sb="6" eb="8">
      <t>コユウ</t>
    </rPh>
    <rPh sb="8" eb="10">
      <t>シュウキ</t>
    </rPh>
    <phoneticPr fontId="2"/>
  </si>
  <si>
    <t>固有周期Tは「2007年版　建築物の構造関係技術基準解説書」P.266に示す重力式によって算定する。</t>
    <rPh sb="0" eb="2">
      <t>コユウ</t>
    </rPh>
    <rPh sb="2" eb="4">
      <t>シュウキ</t>
    </rPh>
    <rPh sb="11" eb="13">
      <t>ネンバン</t>
    </rPh>
    <rPh sb="14" eb="17">
      <t>ケンチクブツ</t>
    </rPh>
    <rPh sb="18" eb="20">
      <t>コウゾウ</t>
    </rPh>
    <rPh sb="20" eb="22">
      <t>カンケイ</t>
    </rPh>
    <rPh sb="22" eb="24">
      <t>ギジュツ</t>
    </rPh>
    <rPh sb="24" eb="26">
      <t>キジュン</t>
    </rPh>
    <rPh sb="26" eb="29">
      <t>カイセツショ</t>
    </rPh>
    <rPh sb="36" eb="37">
      <t>シメ</t>
    </rPh>
    <rPh sb="38" eb="40">
      <t>ジュウリョク</t>
    </rPh>
    <rPh sb="40" eb="41">
      <t>シキ</t>
    </rPh>
    <rPh sb="45" eb="47">
      <t>サンテイ</t>
    </rPh>
    <phoneticPr fontId="2"/>
  </si>
  <si>
    <t>Ｔ＝√δ/Ｃ　　平屋：Ｃ＝5.0，２階建て：Ｃ＝5.4，３階建て以上：Ｃ＝5.7</t>
    <rPh sb="8" eb="10">
      <t>ヒラヤ</t>
    </rPh>
    <rPh sb="18" eb="19">
      <t>カイ</t>
    </rPh>
    <rPh sb="19" eb="20">
      <t>タ</t>
    </rPh>
    <rPh sb="29" eb="30">
      <t>カイ</t>
    </rPh>
    <rPh sb="30" eb="31">
      <t>タ</t>
    </rPh>
    <rPh sb="32" eb="34">
      <t>イジョウ</t>
    </rPh>
    <phoneticPr fontId="2"/>
  </si>
  <si>
    <t>n</t>
    <phoneticPr fontId="2"/>
  </si>
  <si>
    <t>∑</t>
    <phoneticPr fontId="2"/>
  </si>
  <si>
    <t>ｗj</t>
    <phoneticPr fontId="2"/>
  </si>
  <si>
    <t>δ＝</t>
    <phoneticPr fontId="2"/>
  </si>
  <si>
    <t>j=i</t>
    <phoneticPr fontId="2"/>
  </si>
  <si>
    <t>Ｋi</t>
    <phoneticPr fontId="2"/>
  </si>
  <si>
    <t>i=1</t>
    <phoneticPr fontId="2"/>
  </si>
  <si>
    <t>Rt/Rto</t>
    <phoneticPr fontId="2"/>
  </si>
  <si>
    <t>階数</t>
    <rPh sb="0" eb="2">
      <t>カイスウ</t>
    </rPh>
    <phoneticPr fontId="2"/>
  </si>
  <si>
    <t>Tc(秒)＝</t>
    <rPh sb="3" eb="4">
      <t>ビョウ</t>
    </rPh>
    <phoneticPr fontId="2"/>
  </si>
  <si>
    <t>略算式</t>
    <rPh sb="0" eb="3">
      <t>リャクサンシキ</t>
    </rPh>
    <phoneticPr fontId="2"/>
  </si>
  <si>
    <t>T(秒)＝</t>
    <rPh sb="2" eb="3">
      <t>ビョウ</t>
    </rPh>
    <phoneticPr fontId="2"/>
  </si>
  <si>
    <t>Rto＝</t>
    <phoneticPr fontId="2"/>
  </si>
  <si>
    <t>建物高さH(m)＝</t>
    <rPh sb="0" eb="2">
      <t>タテモノ</t>
    </rPh>
    <rPh sb="2" eb="3">
      <t>タカ</t>
    </rPh>
    <phoneticPr fontId="2"/>
  </si>
  <si>
    <t>α＝</t>
    <phoneticPr fontId="2"/>
  </si>
  <si>
    <t>重力式</t>
    <rPh sb="0" eb="2">
      <t>ジュウリョク</t>
    </rPh>
    <rPh sb="2" eb="3">
      <t>シキ</t>
    </rPh>
    <phoneticPr fontId="2"/>
  </si>
  <si>
    <t>Ｘ方向</t>
    <rPh sb="1" eb="3">
      <t>ホウコウ</t>
    </rPh>
    <phoneticPr fontId="2"/>
  </si>
  <si>
    <t>Rtx＝</t>
    <phoneticPr fontId="2"/>
  </si>
  <si>
    <t>Ｙ方向</t>
    <rPh sb="1" eb="3">
      <t>ホウコウ</t>
    </rPh>
    <phoneticPr fontId="2"/>
  </si>
  <si>
    <t>Rty＝</t>
    <phoneticPr fontId="2"/>
  </si>
  <si>
    <t>設計用</t>
    <rPh sb="0" eb="3">
      <t>セッケイヨウ</t>
    </rPh>
    <phoneticPr fontId="2"/>
  </si>
  <si>
    <t>階</t>
    <rPh sb="0" eb="1">
      <t>カイ</t>
    </rPh>
    <phoneticPr fontId="2"/>
  </si>
  <si>
    <t>階高</t>
    <rPh sb="0" eb="1">
      <t>カイ</t>
    </rPh>
    <rPh sb="1" eb="2">
      <t>タカ</t>
    </rPh>
    <phoneticPr fontId="2"/>
  </si>
  <si>
    <t>各階重量</t>
    <rPh sb="0" eb="2">
      <t>カクカイ</t>
    </rPh>
    <rPh sb="2" eb="4">
      <t>ジュウリョウ</t>
    </rPh>
    <phoneticPr fontId="2"/>
  </si>
  <si>
    <t>重量</t>
    <rPh sb="0" eb="2">
      <t>ジュウリョウ</t>
    </rPh>
    <phoneticPr fontId="2"/>
  </si>
  <si>
    <t>層せん断力</t>
    <rPh sb="0" eb="1">
      <t>ソウ</t>
    </rPh>
    <rPh sb="3" eb="4">
      <t>ダン</t>
    </rPh>
    <rPh sb="4" eb="5">
      <t>リョク</t>
    </rPh>
    <phoneticPr fontId="2"/>
  </si>
  <si>
    <t>層間変位</t>
    <rPh sb="0" eb="1">
      <t>ソウ</t>
    </rPh>
    <rPh sb="1" eb="2">
      <t>カン</t>
    </rPh>
    <rPh sb="2" eb="4">
      <t>ヘンイ</t>
    </rPh>
    <phoneticPr fontId="2"/>
  </si>
  <si>
    <t>バネ定数</t>
    <rPh sb="2" eb="4">
      <t>テイスウ</t>
    </rPh>
    <phoneticPr fontId="2"/>
  </si>
  <si>
    <t>変位</t>
    <rPh sb="0" eb="2">
      <t>ヘンイ</t>
    </rPh>
    <phoneticPr fontId="2"/>
  </si>
  <si>
    <t>頂部変位</t>
    <rPh sb="0" eb="1">
      <t>チョウ</t>
    </rPh>
    <rPh sb="1" eb="2">
      <t>ブ</t>
    </rPh>
    <rPh sb="2" eb="4">
      <t>ヘンイ</t>
    </rPh>
    <phoneticPr fontId="2"/>
  </si>
  <si>
    <t>固有周期</t>
    <rPh sb="0" eb="2">
      <t>コユウ</t>
    </rPh>
    <rPh sb="2" eb="4">
      <t>シュウキ</t>
    </rPh>
    <phoneticPr fontId="2"/>
  </si>
  <si>
    <t>(m)</t>
    <phoneticPr fontId="2"/>
  </si>
  <si>
    <t>wi(kN)</t>
    <phoneticPr fontId="2"/>
  </si>
  <si>
    <t>∑wi(kN)</t>
    <phoneticPr fontId="2"/>
  </si>
  <si>
    <t>∑wi(t)</t>
    <phoneticPr fontId="2"/>
  </si>
  <si>
    <t>Wi(kN)</t>
    <phoneticPr fontId="2"/>
  </si>
  <si>
    <t>⊿δ(mm)</t>
    <phoneticPr fontId="2"/>
  </si>
  <si>
    <t>Ki(kN/mm)</t>
    <phoneticPr fontId="2"/>
  </si>
  <si>
    <t>δi(mm)</t>
    <phoneticPr fontId="2"/>
  </si>
  <si>
    <t>δ(cm)</t>
    <phoneticPr fontId="2"/>
  </si>
  <si>
    <t>T(秒)</t>
    <rPh sb="2" eb="3">
      <t>ビョウ</t>
    </rPh>
    <phoneticPr fontId="2"/>
  </si>
  <si>
    <t>δi</t>
    <phoneticPr fontId="2"/>
  </si>
  <si>
    <t>δdi</t>
    <phoneticPr fontId="2"/>
  </si>
  <si>
    <t>hi</t>
    <phoneticPr fontId="2"/>
  </si>
  <si>
    <t>δi/hi</t>
    <phoneticPr fontId="2"/>
  </si>
  <si>
    <t>wi</t>
    <phoneticPr fontId="2"/>
  </si>
  <si>
    <t>mi</t>
    <phoneticPr fontId="2"/>
  </si>
  <si>
    <t>mi･δdi</t>
    <phoneticPr fontId="2"/>
  </si>
  <si>
    <t>mi･δdi^2</t>
    <phoneticPr fontId="2"/>
  </si>
  <si>
    <t>(mm)</t>
    <phoneticPr fontId="2"/>
  </si>
  <si>
    <t>(rad)</t>
    <phoneticPr fontId="2"/>
  </si>
  <si>
    <t>(kN)</t>
    <phoneticPr fontId="2"/>
  </si>
  <si>
    <t>(t)</t>
    <phoneticPr fontId="2"/>
  </si>
  <si>
    <t>Qd=</t>
    <phoneticPr fontId="2"/>
  </si>
  <si>
    <t>有効質量</t>
    <rPh sb="0" eb="2">
      <t>ユウコウ</t>
    </rPh>
    <rPh sb="2" eb="4">
      <t>シツリョウ</t>
    </rPh>
    <phoneticPr fontId="2"/>
  </si>
  <si>
    <t>Mud＝</t>
    <phoneticPr fontId="2"/>
  </si>
  <si>
    <t>(Σmi・δdi)^2</t>
    <phoneticPr fontId="2"/>
  </si>
  <si>
    <t>=</t>
    <phoneticPr fontId="2"/>
  </si>
  <si>
    <t>Σmi・δdi^2</t>
    <phoneticPr fontId="2"/>
  </si>
  <si>
    <t>代表変位</t>
    <rPh sb="0" eb="2">
      <t>ダイヒョウ</t>
    </rPh>
    <rPh sb="2" eb="4">
      <t>ヘンイ</t>
    </rPh>
    <phoneticPr fontId="2"/>
  </si>
  <si>
    <t>Δd=</t>
    <phoneticPr fontId="2"/>
  </si>
  <si>
    <t>Σmi・δdi</t>
    <phoneticPr fontId="2"/>
  </si>
  <si>
    <t>k=Δd/Qd=</t>
    <phoneticPr fontId="2"/>
  </si>
  <si>
    <t>(Mud・k)^0.5=</t>
    <phoneticPr fontId="2"/>
  </si>
  <si>
    <t>Td=2π(Mud・Δd/Qd)^0.5=</t>
    <phoneticPr fontId="2"/>
  </si>
  <si>
    <t>・塔状建物による転倒モーメントおよび圧壊に対する検討</t>
    <rPh sb="1" eb="2">
      <t>トウ</t>
    </rPh>
    <rPh sb="2" eb="3">
      <t>ジョウ</t>
    </rPh>
    <rPh sb="3" eb="5">
      <t>タテモノ</t>
    </rPh>
    <rPh sb="8" eb="10">
      <t>テントウ</t>
    </rPh>
    <rPh sb="18" eb="20">
      <t>アッカイ</t>
    </rPh>
    <rPh sb="21" eb="22">
      <t>タイ</t>
    </rPh>
    <rPh sb="24" eb="26">
      <t>ケントウ</t>
    </rPh>
    <phoneticPr fontId="5"/>
  </si>
  <si>
    <t>Z</t>
    <phoneticPr fontId="5"/>
  </si>
  <si>
    <t>塔状比が4を超えるため、別途検討としC0=0.3としたときの転倒に対する基礎の検討および基礎の圧壊の検討により安全性を確かめる。</t>
    <rPh sb="0" eb="1">
      <t>トウ</t>
    </rPh>
    <rPh sb="1" eb="2">
      <t>ジョウ</t>
    </rPh>
    <rPh sb="2" eb="3">
      <t>ヒ</t>
    </rPh>
    <rPh sb="6" eb="7">
      <t>コ</t>
    </rPh>
    <rPh sb="12" eb="14">
      <t>ベット</t>
    </rPh>
    <rPh sb="14" eb="16">
      <t>ケントウ</t>
    </rPh>
    <rPh sb="30" eb="32">
      <t>テントウ</t>
    </rPh>
    <rPh sb="33" eb="34">
      <t>タイ</t>
    </rPh>
    <rPh sb="36" eb="38">
      <t>キソ</t>
    </rPh>
    <rPh sb="39" eb="41">
      <t>ケントウ</t>
    </rPh>
    <rPh sb="44" eb="46">
      <t>キソ</t>
    </rPh>
    <rPh sb="47" eb="49">
      <t>アッカイ</t>
    </rPh>
    <rPh sb="50" eb="52">
      <t>ケントウ</t>
    </rPh>
    <rPh sb="55" eb="58">
      <t>アンゼンセイ</t>
    </rPh>
    <rPh sb="59" eb="60">
      <t>タシ</t>
    </rPh>
    <phoneticPr fontId="5"/>
  </si>
  <si>
    <t>Z=</t>
    <phoneticPr fontId="2"/>
  </si>
  <si>
    <t>T=</t>
    <phoneticPr fontId="5"/>
  </si>
  <si>
    <t>Z・Rt・C0=</t>
    <phoneticPr fontId="5"/>
  </si>
  <si>
    <t>Rt=</t>
    <phoneticPr fontId="5"/>
  </si>
  <si>
    <t>Tc=</t>
    <phoneticPr fontId="5"/>
  </si>
  <si>
    <t>C0=</t>
    <phoneticPr fontId="5"/>
  </si>
  <si>
    <t>2T/(1+3T)=</t>
    <phoneticPr fontId="5"/>
  </si>
  <si>
    <t>wi</t>
    <phoneticPr fontId="5"/>
  </si>
  <si>
    <t>Σwi</t>
    <phoneticPr fontId="5"/>
  </si>
  <si>
    <t>αi</t>
    <phoneticPr fontId="5"/>
  </si>
  <si>
    <t>Ai</t>
    <phoneticPr fontId="5"/>
  </si>
  <si>
    <t>Ci</t>
    <phoneticPr fontId="5"/>
  </si>
  <si>
    <t>Qi</t>
    <phoneticPr fontId="5"/>
  </si>
  <si>
    <t>1.5Qi</t>
    <phoneticPr fontId="2"/>
  </si>
  <si>
    <t>h</t>
    <phoneticPr fontId="5"/>
  </si>
  <si>
    <t>M</t>
    <phoneticPr fontId="5"/>
  </si>
  <si>
    <t>(C0=0.3)</t>
    <phoneticPr fontId="2"/>
  </si>
  <si>
    <t>(kNm)</t>
    <phoneticPr fontId="2"/>
  </si>
  <si>
    <t>Df</t>
    <phoneticPr fontId="2"/>
  </si>
  <si>
    <t>X方向 B</t>
    <rPh sb="1" eb="3">
      <t>ホウコウ</t>
    </rPh>
    <phoneticPr fontId="5"/>
  </si>
  <si>
    <t>基礎重心</t>
    <rPh sb="0" eb="2">
      <t>キソ</t>
    </rPh>
    <rPh sb="2" eb="4">
      <t>ジュウシン</t>
    </rPh>
    <phoneticPr fontId="5"/>
  </si>
  <si>
    <t>基礎重心間</t>
    <rPh sb="0" eb="2">
      <t>キソ</t>
    </rPh>
    <rPh sb="2" eb="4">
      <t>ジュウシン</t>
    </rPh>
    <rPh sb="4" eb="5">
      <t>アイダ</t>
    </rPh>
    <phoneticPr fontId="5"/>
  </si>
  <si>
    <t>建物形状</t>
    <rPh sb="0" eb="2">
      <t>タテモノ</t>
    </rPh>
    <rPh sb="2" eb="4">
      <t>ケイジョウ</t>
    </rPh>
    <phoneticPr fontId="5"/>
  </si>
  <si>
    <t>B(m)</t>
    <phoneticPr fontId="5"/>
  </si>
  <si>
    <t>a(m)</t>
    <phoneticPr fontId="5"/>
  </si>
  <si>
    <t>B'</t>
    <phoneticPr fontId="5"/>
  </si>
  <si>
    <t>ΣM/B'</t>
    <phoneticPr fontId="5"/>
  </si>
  <si>
    <t>A</t>
    <phoneticPr fontId="5"/>
  </si>
  <si>
    <t>B</t>
    <phoneticPr fontId="5"/>
  </si>
  <si>
    <t>C</t>
    <phoneticPr fontId="5"/>
  </si>
  <si>
    <t>Σ</t>
    <phoneticPr fontId="5"/>
  </si>
  <si>
    <t>引抜き側軸力</t>
    <rPh sb="0" eb="2">
      <t>ヒキヌ</t>
    </rPh>
    <rPh sb="3" eb="4">
      <t>ガワ</t>
    </rPh>
    <rPh sb="4" eb="6">
      <t>ジクリョク</t>
    </rPh>
    <phoneticPr fontId="5"/>
  </si>
  <si>
    <t>１通り</t>
    <rPh sb="1" eb="2">
      <t>トオ</t>
    </rPh>
    <phoneticPr fontId="5"/>
  </si>
  <si>
    <t>NL</t>
    <phoneticPr fontId="5"/>
  </si>
  <si>
    <t>圧縮側軸力</t>
    <rPh sb="0" eb="2">
      <t>アッシュク</t>
    </rPh>
    <rPh sb="2" eb="3">
      <t>ガワ</t>
    </rPh>
    <rPh sb="3" eb="5">
      <t>ジクリョク</t>
    </rPh>
    <phoneticPr fontId="5"/>
  </si>
  <si>
    <t>２通り</t>
    <rPh sb="1" eb="2">
      <t>トオ</t>
    </rPh>
    <phoneticPr fontId="5"/>
  </si>
  <si>
    <t>引張側</t>
    <rPh sb="0" eb="2">
      <t>インチョウ</t>
    </rPh>
    <rPh sb="2" eb="3">
      <t>ガワ</t>
    </rPh>
    <phoneticPr fontId="5"/>
  </si>
  <si>
    <t>圧縮側</t>
    <rPh sb="0" eb="2">
      <t>アッシュク</t>
    </rPh>
    <rPh sb="2" eb="3">
      <t>ガワ</t>
    </rPh>
    <phoneticPr fontId="5"/>
  </si>
  <si>
    <t>転倒軸力</t>
    <rPh sb="0" eb="2">
      <t>テントウ</t>
    </rPh>
    <rPh sb="2" eb="4">
      <t>ジクリョク</t>
    </rPh>
    <phoneticPr fontId="5"/>
  </si>
  <si>
    <t>Nm</t>
    <phoneticPr fontId="5"/>
  </si>
  <si>
    <t>軸力</t>
    <rPh sb="0" eb="2">
      <t>ジクリョク</t>
    </rPh>
    <phoneticPr fontId="5"/>
  </si>
  <si>
    <t>杭負担軸力</t>
    <rPh sb="0" eb="1">
      <t>クイ</t>
    </rPh>
    <rPh sb="1" eb="3">
      <t>フタン</t>
    </rPh>
    <rPh sb="3" eb="5">
      <t>ジクリョク</t>
    </rPh>
    <phoneticPr fontId="5"/>
  </si>
  <si>
    <t>N+Nm</t>
    <phoneticPr fontId="5"/>
  </si>
  <si>
    <t>杭本数</t>
    <rPh sb="0" eb="1">
      <t>クイ</t>
    </rPh>
    <rPh sb="1" eb="3">
      <t>ホンスウ</t>
    </rPh>
    <phoneticPr fontId="5"/>
  </si>
  <si>
    <t>ｎ</t>
    <phoneticPr fontId="5"/>
  </si>
  <si>
    <t>杭軸力</t>
    <rPh sb="0" eb="1">
      <t>クイ</t>
    </rPh>
    <rPh sb="1" eb="3">
      <t>ジクリョク</t>
    </rPh>
    <phoneticPr fontId="5"/>
  </si>
  <si>
    <t>(N+NL)/n</t>
    <phoneticPr fontId="5"/>
  </si>
  <si>
    <t>杭支持力</t>
    <rPh sb="0" eb="1">
      <t>クイ</t>
    </rPh>
    <rPh sb="1" eb="4">
      <t>シジリョク</t>
    </rPh>
    <phoneticPr fontId="5"/>
  </si>
  <si>
    <t>判定</t>
    <rPh sb="0" eb="2">
      <t>ハンテイ</t>
    </rPh>
    <phoneticPr fontId="5"/>
  </si>
  <si>
    <t>用途係数 I =</t>
  </si>
  <si>
    <t>hi</t>
  </si>
  <si>
    <t>wi</t>
  </si>
  <si>
    <t>qi</t>
    <phoneticPr fontId="2"/>
  </si>
  <si>
    <t>基準せん断力係数　Co =</t>
    <rPh sb="0" eb="2">
      <t>キジュン</t>
    </rPh>
    <rPh sb="4" eb="6">
      <t>ダンリョク</t>
    </rPh>
    <rPh sb="6" eb="8">
      <t>ケイスウ</t>
    </rPh>
    <phoneticPr fontId="2"/>
  </si>
  <si>
    <t>地盤種別係数 Tc =</t>
    <phoneticPr fontId="2"/>
  </si>
  <si>
    <t>一次固有周期 T =</t>
    <rPh sb="0" eb="2">
      <t>イチジ</t>
    </rPh>
    <rPh sb="2" eb="4">
      <t>コユウ</t>
    </rPh>
    <rPh sb="4" eb="6">
      <t>シュウキ</t>
    </rPh>
    <phoneticPr fontId="2"/>
  </si>
  <si>
    <t>振動特性係数 Rt =</t>
    <rPh sb="0" eb="2">
      <t>シンドウ</t>
    </rPh>
    <rPh sb="2" eb="4">
      <t>トクセイ</t>
    </rPh>
    <rPh sb="4" eb="6">
      <t>ケイスウ</t>
    </rPh>
    <phoneticPr fontId="2"/>
  </si>
  <si>
    <t>③</t>
  </si>
  <si>
    <t>⑦　固有ベクトル * m^-0.5</t>
  </si>
  <si>
    <t>⑧ 固有ベクトル</t>
  </si>
  <si>
    <t>F</t>
    <phoneticPr fontId="2"/>
  </si>
  <si>
    <t>Wi</t>
    <phoneticPr fontId="2"/>
  </si>
  <si>
    <t>Ki</t>
    <phoneticPr fontId="2"/>
  </si>
  <si>
    <t>δx</t>
    <phoneticPr fontId="2"/>
  </si>
  <si>
    <t>δy</t>
    <phoneticPr fontId="2"/>
  </si>
  <si>
    <t>X方向</t>
    <rPh sb="1" eb="3">
      <t>ホウコウ</t>
    </rPh>
    <phoneticPr fontId="2"/>
  </si>
  <si>
    <t>Y方向</t>
    <rPh sb="1" eb="3">
      <t>ホウコウ</t>
    </rPh>
    <phoneticPr fontId="2"/>
  </si>
  <si>
    <t>T=</t>
    <phoneticPr fontId="2"/>
  </si>
  <si>
    <t>Qi(kN)</t>
    <phoneticPr fontId="2"/>
  </si>
  <si>
    <t>ki=qi/δx</t>
    <phoneticPr fontId="2"/>
  </si>
  <si>
    <t>ki=qi/δy</t>
    <phoneticPr fontId="2"/>
  </si>
  <si>
    <t>階</t>
    <rPh sb="0" eb="1">
      <t>カイ</t>
    </rPh>
    <phoneticPr fontId="2"/>
  </si>
  <si>
    <t>地域係数 Z =</t>
    <phoneticPr fontId="2"/>
  </si>
  <si>
    <t>階数 S =</t>
    <rPh sb="0" eb="1">
      <t>カイ</t>
    </rPh>
    <rPh sb="1" eb="2">
      <t>スウ</t>
    </rPh>
    <phoneticPr fontId="2"/>
  </si>
  <si>
    <t>建物の高さ h =</t>
    <rPh sb="0" eb="2">
      <t>タテモノ</t>
    </rPh>
    <rPh sb="3" eb="4">
      <t>タカ</t>
    </rPh>
    <phoneticPr fontId="2"/>
  </si>
  <si>
    <t>Rt=</t>
    <phoneticPr fontId="2"/>
  </si>
  <si>
    <t>有効質量　Mud=(Σmi*δdi)^2/(Σ(mi*δdi^2)=0t</t>
  </si>
  <si>
    <t>地震力　Qdx=</t>
    <rPh sb="0" eb="2">
      <t>ジシン</t>
    </rPh>
    <rPh sb="2" eb="3">
      <t>リョク</t>
    </rPh>
    <phoneticPr fontId="2"/>
  </si>
  <si>
    <t>kN</t>
    <phoneticPr fontId="2"/>
  </si>
  <si>
    <t>地震力　Qdy=</t>
    <rPh sb="0" eb="2">
      <t>ジシン</t>
    </rPh>
    <rPh sb="2" eb="3">
      <t>リョク</t>
    </rPh>
    <phoneticPr fontId="2"/>
  </si>
  <si>
    <t>①</t>
    <phoneticPr fontId="2"/>
  </si>
  <si>
    <t>④</t>
    <phoneticPr fontId="2"/>
  </si>
  <si>
    <t>⑤</t>
    <phoneticPr fontId="2"/>
  </si>
  <si>
    <t>②</t>
    <phoneticPr fontId="2"/>
  </si>
  <si>
    <t>⑥</t>
    <phoneticPr fontId="2"/>
  </si>
  <si>
    <t>befor ⑥</t>
    <phoneticPr fontId="2"/>
  </si>
  <si>
    <t>固有ベクトル</t>
    <phoneticPr fontId="2"/>
  </si>
  <si>
    <t>刺激係数</t>
    <phoneticPr fontId="2"/>
  </si>
  <si>
    <t>刺激係数*固有ベクトル</t>
    <phoneticPr fontId="2"/>
  </si>
  <si>
    <t>ω^2</t>
    <phoneticPr fontId="2"/>
  </si>
  <si>
    <t>ω:固有円振動数</t>
    <phoneticPr fontId="2"/>
  </si>
  <si>
    <t>Ts:固有周期</t>
    <phoneticPr fontId="2"/>
  </si>
  <si>
    <t>Rt</t>
    <phoneticPr fontId="2"/>
  </si>
  <si>
    <t>T</t>
    <phoneticPr fontId="2"/>
  </si>
  <si>
    <t>0.75Rt</t>
    <phoneticPr fontId="2"/>
  </si>
  <si>
    <t>ｍi</t>
    <phoneticPr fontId="2"/>
  </si>
  <si>
    <t>mi*δdi</t>
    <phoneticPr fontId="2"/>
  </si>
  <si>
    <t>mi*δdi^2</t>
    <phoneticPr fontId="2"/>
  </si>
  <si>
    <t>設計用Rt</t>
    <rPh sb="0" eb="2">
      <t>セッケイ</t>
    </rPh>
    <rPh sb="2" eb="3">
      <t>ヨウ</t>
    </rPh>
    <phoneticPr fontId="2"/>
  </si>
  <si>
    <t>L</t>
    <phoneticPr fontId="17"/>
  </si>
  <si>
    <t>損傷限界</t>
    <rPh sb="0" eb="2">
      <t>ソンショウ</t>
    </rPh>
    <rPh sb="2" eb="4">
      <t>ゲンカイ</t>
    </rPh>
    <phoneticPr fontId="17"/>
  </si>
  <si>
    <t>弾性せん断剛性</t>
    <rPh sb="0" eb="2">
      <t>ダンセイ</t>
    </rPh>
    <rPh sb="4" eb="5">
      <t>ダン</t>
    </rPh>
    <rPh sb="5" eb="7">
      <t>ゴウセイ</t>
    </rPh>
    <phoneticPr fontId="17"/>
  </si>
  <si>
    <t>せん断剛性</t>
    <rPh sb="2" eb="3">
      <t>ダン</t>
    </rPh>
    <rPh sb="3" eb="5">
      <t>ゴウセイ</t>
    </rPh>
    <phoneticPr fontId="17"/>
  </si>
  <si>
    <t>せん断ばね剛性</t>
    <rPh sb="2" eb="3">
      <t>ダン</t>
    </rPh>
    <rPh sb="5" eb="7">
      <t>ゴウセイ</t>
    </rPh>
    <phoneticPr fontId="17"/>
  </si>
  <si>
    <t>層番号i</t>
    <rPh sb="0" eb="1">
      <t>ソウ</t>
    </rPh>
    <rPh sb="1" eb="3">
      <t>バンゴウ</t>
    </rPh>
    <phoneticPr fontId="17"/>
  </si>
  <si>
    <t>層厚　Hi</t>
    <rPh sb="0" eb="2">
      <t>ソウアツ</t>
    </rPh>
    <phoneticPr fontId="17"/>
  </si>
  <si>
    <t>湿潤密度pi</t>
    <rPh sb="0" eb="2">
      <t>シツジュン</t>
    </rPh>
    <rPh sb="2" eb="4">
      <t>ミツド</t>
    </rPh>
    <phoneticPr fontId="17"/>
  </si>
  <si>
    <t>P波速度Vp</t>
    <rPh sb="1" eb="2">
      <t>ナミ</t>
    </rPh>
    <rPh sb="2" eb="4">
      <t>ソクド</t>
    </rPh>
    <phoneticPr fontId="17"/>
  </si>
  <si>
    <t>S波速度Vs</t>
    <rPh sb="1" eb="2">
      <t>ナミ</t>
    </rPh>
    <rPh sb="2" eb="4">
      <t>ソクド</t>
    </rPh>
    <phoneticPr fontId="17"/>
  </si>
  <si>
    <t>土質</t>
    <rPh sb="0" eb="2">
      <t>ドシツ</t>
    </rPh>
    <phoneticPr fontId="17"/>
  </si>
  <si>
    <t>G01</t>
    <phoneticPr fontId="17"/>
  </si>
  <si>
    <t>低減係数 R</t>
    <rPh sb="0" eb="2">
      <t>テイゲン</t>
    </rPh>
    <rPh sb="2" eb="4">
      <t>ケイスウ</t>
    </rPh>
    <phoneticPr fontId="17"/>
  </si>
  <si>
    <t>Gi</t>
    <phoneticPr fontId="17"/>
  </si>
  <si>
    <t>Ki</t>
    <phoneticPr fontId="17"/>
  </si>
  <si>
    <t>mi</t>
    <phoneticPr fontId="17"/>
  </si>
  <si>
    <t>pe</t>
    <phoneticPr fontId="17"/>
  </si>
  <si>
    <t>Vse</t>
    <phoneticPr fontId="17"/>
  </si>
  <si>
    <t>α</t>
    <phoneticPr fontId="17"/>
  </si>
  <si>
    <t>h(0.8h)</t>
    <phoneticPr fontId="17"/>
  </si>
  <si>
    <t>Gs1</t>
    <phoneticPr fontId="17"/>
  </si>
  <si>
    <t>Gs2</t>
    <phoneticPr fontId="17"/>
  </si>
  <si>
    <t>Gb</t>
    <phoneticPr fontId="17"/>
  </si>
  <si>
    <t>T1</t>
    <phoneticPr fontId="17"/>
  </si>
  <si>
    <t>T2</t>
    <phoneticPr fontId="17"/>
  </si>
  <si>
    <t>粘性土</t>
    <rPh sb="0" eb="3">
      <t>ネンセイド</t>
    </rPh>
    <phoneticPr fontId="17"/>
  </si>
  <si>
    <t>粘性土</t>
    <rPh sb="0" eb="2">
      <t>ネンセイ</t>
    </rPh>
    <rPh sb="2" eb="3">
      <t>ツチ</t>
    </rPh>
    <phoneticPr fontId="17"/>
  </si>
  <si>
    <t>3.967T</t>
    <phoneticPr fontId="17"/>
  </si>
  <si>
    <t>砂質土</t>
    <rPh sb="0" eb="3">
      <t>サシツド</t>
    </rPh>
    <phoneticPr fontId="17"/>
  </si>
  <si>
    <t>0.298 &lt; T ≦ 0.893</t>
    <phoneticPr fontId="17"/>
  </si>
  <si>
    <t>1.688T + 0.678</t>
    <phoneticPr fontId="17"/>
  </si>
  <si>
    <t>0.893 &lt; T ≦ 1.34</t>
    <phoneticPr fontId="17"/>
  </si>
  <si>
    <t>1.116 &lt; T    0.893</t>
    <phoneticPr fontId="17"/>
  </si>
  <si>
    <t>1.835T + 0.817</t>
    <phoneticPr fontId="17"/>
  </si>
  <si>
    <t>pe</t>
  </si>
  <si>
    <t>Vse</t>
  </si>
  <si>
    <t>α</t>
  </si>
  <si>
    <t>h</t>
  </si>
  <si>
    <t>Gs1</t>
  </si>
  <si>
    <t>Gs2</t>
  </si>
  <si>
    <t>Gb</t>
  </si>
  <si>
    <t>T1</t>
  </si>
  <si>
    <t>T2</t>
  </si>
  <si>
    <t>i</t>
  </si>
  <si>
    <t>Ui</t>
  </si>
  <si>
    <t>ui</t>
  </si>
  <si>
    <t>γi</t>
  </si>
  <si>
    <t>低減係数</t>
  </si>
  <si>
    <t>安全限界</t>
    <rPh sb="0" eb="2">
      <t>アンゼン</t>
    </rPh>
    <rPh sb="2" eb="4">
      <t>ゲンカイ</t>
    </rPh>
    <phoneticPr fontId="17"/>
  </si>
  <si>
    <t xml:space="preserve">     ≦ 0.396</t>
    <phoneticPr fontId="17"/>
  </si>
  <si>
    <t>2.39T</t>
    <phoneticPr fontId="17"/>
  </si>
  <si>
    <t>0.396 &lt; T ≦ 1.189</t>
    <phoneticPr fontId="17"/>
  </si>
  <si>
    <t>1.414T + 0.387</t>
    <phoneticPr fontId="17"/>
  </si>
  <si>
    <t>1.189 &lt; T ≦ 1.784</t>
    <phoneticPr fontId="17"/>
  </si>
  <si>
    <t>1.486 &lt; T    1.189</t>
    <phoneticPr fontId="17"/>
  </si>
  <si>
    <t>2.319T + 0.768</t>
    <phoneticPr fontId="17"/>
  </si>
  <si>
    <t>i</t>
    <phoneticPr fontId="17"/>
  </si>
  <si>
    <t>Ui</t>
    <phoneticPr fontId="17"/>
  </si>
  <si>
    <t>ui</t>
    <phoneticPr fontId="17"/>
  </si>
  <si>
    <t>γi</t>
    <phoneticPr fontId="17"/>
  </si>
  <si>
    <t>低減係数</t>
    <phoneticPr fontId="17"/>
  </si>
  <si>
    <t>hi</t>
    <phoneticPr fontId="17"/>
  </si>
  <si>
    <t>wi</t>
    <phoneticPr fontId="17"/>
  </si>
  <si>
    <t>低減係数</t>
    <rPh sb="0" eb="2">
      <t>テイゲン</t>
    </rPh>
    <rPh sb="2" eb="4">
      <t>ケイスウ</t>
    </rPh>
    <phoneticPr fontId="17"/>
  </si>
  <si>
    <t>せん断ひずみ</t>
    <rPh sb="2" eb="3">
      <t>ダン</t>
    </rPh>
    <phoneticPr fontId="17"/>
  </si>
  <si>
    <t>減衰定数</t>
    <rPh sb="0" eb="2">
      <t>ゲンスイ</t>
    </rPh>
    <rPh sb="2" eb="4">
      <t>テイスウ</t>
    </rPh>
    <phoneticPr fontId="17"/>
  </si>
  <si>
    <t>Td&lt;0.16</t>
    <phoneticPr fontId="2"/>
  </si>
  <si>
    <t>0.16≦Td＜0.64</t>
    <phoneticPr fontId="2"/>
  </si>
  <si>
    <t>0.64≦Td</t>
    <phoneticPr fontId="2"/>
  </si>
  <si>
    <t>Pdi=（0.64+6Td）mi Bdi Z Gs</t>
    <phoneticPr fontId="2"/>
  </si>
  <si>
    <t>Pdi=1.024 mi Bdi Z Gs / Td</t>
    <phoneticPr fontId="2"/>
  </si>
  <si>
    <t>Pdi=1.7 mi Bdi Z Gs  / Td</t>
    <phoneticPr fontId="2"/>
  </si>
  <si>
    <t>Mud  X</t>
    <phoneticPr fontId="2"/>
  </si>
  <si>
    <t>Mud  Y</t>
    <phoneticPr fontId="2"/>
  </si>
  <si>
    <t>階数</t>
    <rPh sb="0" eb="2">
      <t>カイスウ</t>
    </rPh>
    <phoneticPr fontId="2"/>
  </si>
  <si>
    <t>5以上</t>
    <rPh sb="1" eb="3">
      <t>イジョウ</t>
    </rPh>
    <phoneticPr fontId="2"/>
  </si>
  <si>
    <t>0.16以下</t>
    <rPh sb="4" eb="6">
      <t>イカ</t>
    </rPh>
    <phoneticPr fontId="2"/>
  </si>
  <si>
    <t>0.16を超える</t>
    <rPh sb="5" eb="6">
      <t>コ</t>
    </rPh>
    <phoneticPr fontId="2"/>
  </si>
  <si>
    <t>1-0.2/0.16td</t>
    <phoneticPr fontId="2"/>
  </si>
  <si>
    <t>1-0.15/0.16td</t>
    <phoneticPr fontId="2"/>
  </si>
  <si>
    <t>1-0.1/0.16td</t>
    <phoneticPr fontId="2"/>
  </si>
  <si>
    <t>1-0.05/0.16td</t>
    <phoneticPr fontId="2"/>
  </si>
  <si>
    <t>有効質量比</t>
    <rPh sb="0" eb="2">
      <t>ユウコウ</t>
    </rPh>
    <rPh sb="2" eb="4">
      <t>シツリョウ</t>
    </rPh>
    <rPh sb="4" eb="5">
      <t>ヒ</t>
    </rPh>
    <phoneticPr fontId="2"/>
  </si>
  <si>
    <t>0.75未満</t>
    <rPh sb="4" eb="6">
      <t>ミマン</t>
    </rPh>
    <phoneticPr fontId="2"/>
  </si>
  <si>
    <t>0.75以上</t>
    <rPh sb="4" eb="6">
      <t>イジョウ</t>
    </rPh>
    <phoneticPr fontId="2"/>
  </si>
  <si>
    <t>0.75*Σmi/Mud</t>
    <phoneticPr fontId="2"/>
  </si>
  <si>
    <t>階数=</t>
    <phoneticPr fontId="2"/>
  </si>
  <si>
    <t>地域係数 Z =</t>
  </si>
  <si>
    <t>F</t>
    <phoneticPr fontId="2"/>
  </si>
  <si>
    <t>wi</t>
    <phoneticPr fontId="2"/>
  </si>
  <si>
    <t>ΣWi</t>
    <phoneticPr fontId="2"/>
  </si>
  <si>
    <t>αi</t>
    <phoneticPr fontId="2"/>
  </si>
  <si>
    <t>Ai</t>
    <phoneticPr fontId="2"/>
  </si>
  <si>
    <t>Ci</t>
    <phoneticPr fontId="2"/>
  </si>
  <si>
    <t>qi</t>
    <phoneticPr fontId="2"/>
  </si>
  <si>
    <t>hi</t>
    <phoneticPr fontId="2"/>
  </si>
  <si>
    <t>1/ 333</t>
  </si>
  <si>
    <t>1/ 422</t>
  </si>
  <si>
    <t>1/ 380</t>
  </si>
  <si>
    <t>1/ 345</t>
  </si>
  <si>
    <t>1/ 475</t>
  </si>
  <si>
    <t>1/ 562</t>
  </si>
  <si>
    <t>Σ</t>
  </si>
  <si>
    <t>有効質量　Mud=(Σmi*δdi)^2/(Σ(mi*δdi^2)=75311.8/19.57=3847.4t</t>
  </si>
  <si>
    <t>代表変位　Δd=(Σmi*δdi^2)/(Σmi*δdi)=19.57/274.4=0.071m</t>
  </si>
  <si>
    <t>Td=2π(Mud・Δd/Qd)^0.5=1.216sec</t>
  </si>
  <si>
    <t>1/385</t>
  </si>
  <si>
    <t>1/422</t>
  </si>
  <si>
    <t>1/345</t>
  </si>
  <si>
    <t>1/317</t>
  </si>
  <si>
    <t>1/380</t>
  </si>
  <si>
    <t>1/375</t>
  </si>
  <si>
    <t>有効質量　Mud=(Σmi*δdi)^2/(Σ(mi*δdi^2)=98628.0/24.63=4005.1t</t>
  </si>
  <si>
    <t>代表変位　Δd=(Σmi*δdi^2)/(Σmi*δdi)=24.63/314.1=0.078m</t>
  </si>
  <si>
    <t>Td=2π(Mud・Δd/Qd)^0.5=1.301sec</t>
  </si>
  <si>
    <t>変位δ</t>
    <rPh sb="0" eb="2">
      <t>ヘンイ</t>
    </rPh>
    <phoneticPr fontId="2"/>
  </si>
  <si>
    <t>δ(i+i-1)</t>
    <phoneticPr fontId="2"/>
  </si>
  <si>
    <t>hi/di</t>
    <phoneticPr fontId="2"/>
  </si>
  <si>
    <t>δd(m)</t>
    <phoneticPr fontId="2"/>
  </si>
  <si>
    <t>X方向</t>
    <rPh sb="1" eb="3">
      <t>ホウコウ</t>
    </rPh>
    <phoneticPr fontId="2"/>
  </si>
  <si>
    <t>Y方向</t>
    <rPh sb="1" eb="3">
      <t>ホウコウ</t>
    </rPh>
    <phoneticPr fontId="2"/>
  </si>
  <si>
    <t>略算</t>
    <rPh sb="0" eb="2">
      <t>リャクサン</t>
    </rPh>
    <phoneticPr fontId="2"/>
  </si>
  <si>
    <t>Mud X</t>
    <phoneticPr fontId="2"/>
  </si>
  <si>
    <t>Myd Y</t>
    <phoneticPr fontId="2"/>
  </si>
  <si>
    <t xml:space="preserve">     T≦ 0.298</t>
    <phoneticPr fontId="17"/>
  </si>
  <si>
    <t xml:space="preserve">     T≦ 0.298</t>
    <phoneticPr fontId="2"/>
  </si>
  <si>
    <t>0.298 &lt; T ≦ 0.893</t>
    <phoneticPr fontId="2"/>
  </si>
  <si>
    <t>1.116 &lt; T    0.893</t>
    <phoneticPr fontId="2"/>
  </si>
  <si>
    <t>sM</t>
    <phoneticPr fontId="2"/>
  </si>
  <si>
    <t>Mud/sM</t>
    <phoneticPr fontId="2"/>
  </si>
  <si>
    <t>Td x</t>
    <phoneticPr fontId="2"/>
  </si>
  <si>
    <t>Td y</t>
    <phoneticPr fontId="2"/>
  </si>
  <si>
    <t>Z</t>
    <phoneticPr fontId="2"/>
  </si>
  <si>
    <t>0.893 &lt; T ≦ 1.339</t>
    <phoneticPr fontId="2"/>
  </si>
  <si>
    <t>3.968T</t>
    <phoneticPr fontId="2"/>
  </si>
  <si>
    <t>1.689T + 0.679</t>
    <phoneticPr fontId="2"/>
  </si>
  <si>
    <t>1.834T + 0.817</t>
    <phoneticPr fontId="2"/>
  </si>
  <si>
    <t>Gs X</t>
    <phoneticPr fontId="2"/>
  </si>
  <si>
    <t>Gs Y</t>
    <phoneticPr fontId="2"/>
  </si>
  <si>
    <t>p</t>
    <phoneticPr fontId="2"/>
  </si>
  <si>
    <t>q</t>
    <phoneticPr fontId="2"/>
  </si>
  <si>
    <t>bsi</t>
    <phoneticPr fontId="2"/>
  </si>
  <si>
    <t>Bsi</t>
    <phoneticPr fontId="2"/>
  </si>
  <si>
    <t>Psi</t>
    <phoneticPr fontId="2"/>
  </si>
  <si>
    <t>mi</t>
    <phoneticPr fontId="2"/>
  </si>
  <si>
    <t>smi</t>
    <phoneticPr fontId="2"/>
  </si>
  <si>
    <t>Qun</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</si>
</sst>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00_ "/>
    <numFmt numFmtId="177" formatCode="0.0_ "/>
    <numFmt numFmtId="178" formatCode="0.0000_ "/>
    <numFmt numFmtId="179" formatCode="0.00_ "/>
    <numFmt numFmtId="180" formatCode="&quot;(&quot;0#.###&quot;)&quot;"/>
    <numFmt numFmtId="181" formatCode="0_ "/>
    <numFmt numFmtId="182" formatCode="0.000"/>
    <numFmt numFmtId="183" formatCode="0.0"/>
    <numFmt numFmtId="184" formatCode="&quot;1/&quot;#"/>
    <numFmt numFmtId="185" formatCode="0.0000"/>
    <numFmt numFmtId="186" formatCode="&quot;=  &quot;#"/>
    <numFmt numFmtId="187" formatCode="0.0_);[Red]\(0.0\)"/>
    <numFmt numFmtId="188" formatCode="#,##0.000_);[Red]\(#,##0.000\)"/>
    <numFmt numFmtId="189" formatCode="0.000_);[Red]\(0.000\)"/>
    <numFmt numFmtId="190" formatCode="0.00000"/>
    <numFmt numFmtId="191" formatCode="0.000000000000000000_ "/>
    <numFmt numFmtId="192" formatCode="#,###"/>
  </numFmts>
  <fonts count="19" x14ac:knownFonts="1">
    <font>
      <sz val="10"/>
      <name val="ＭＳ ゴシック"/>
      <family val="3"/>
      <charset val="128"/>
    </font>
    <font>
      <sz val="10"/>
      <name val="ＭＳ ゴシック"/>
      <family val="3"/>
      <charset val="128"/>
    </font>
    <font>
      <sz val="6"/>
      <name val="ＭＳ ゴシック"/>
      <family val="3"/>
      <charset val="128"/>
    </font>
    <font>
      <sz val="8"/>
      <name val="ＭＳ ゴシック"/>
      <family val="3"/>
      <charset val="128"/>
    </font>
    <font>
      <sz val="10"/>
      <color indexed="12"/>
      <name val="ＭＳ ゴシック"/>
      <family val="3"/>
      <charset val="128"/>
    </font>
    <font>
      <sz val="6"/>
      <name val="ＭＳ Ｐゴシック"/>
      <family val="3"/>
      <charset val="128"/>
    </font>
    <font>
      <sz val="10"/>
      <name val="ＭＳ Ｐ明朝"/>
      <family val="1"/>
      <charset val="128"/>
    </font>
    <font>
      <sz val="10"/>
      <color theme="8"/>
      <name val="ＭＳ ゴシック"/>
      <family val="3"/>
      <charset val="128"/>
    </font>
    <font>
      <sz val="10"/>
      <color theme="1"/>
      <name val="ＭＳ Ｐ明朝"/>
      <family val="1"/>
      <charset val="128"/>
    </font>
    <font>
      <sz val="10"/>
      <color theme="8"/>
      <name val="ＭＳ Ｐ明朝"/>
      <family val="1"/>
      <charset val="128"/>
    </font>
    <font>
      <sz val="10"/>
      <color rgb="FF000000"/>
      <name val="ＭＳ ゴシック"/>
      <family val="3"/>
      <charset val="128"/>
    </font>
    <font>
      <sz val="10"/>
      <color rgb="FF00B0F0"/>
      <name val="ＭＳ ゴシック"/>
      <family val="3"/>
      <charset val="128"/>
    </font>
    <font>
      <sz val="10"/>
      <color theme="8" tint="-0.249977111117893"/>
      <name val="ＭＳ ゴシック"/>
      <family val="3"/>
      <charset val="128"/>
    </font>
    <font>
      <sz val="10"/>
      <name val="Meiryo UI"/>
      <family val="3"/>
      <charset val="128"/>
    </font>
    <font>
      <sz val="10"/>
      <color rgb="FF0070C0"/>
      <name val="Meiryo UI"/>
      <family val="3"/>
      <charset val="128"/>
    </font>
    <font>
      <sz val="10"/>
      <color theme="8" tint="-0.249977111117893"/>
      <name val="Meiryo UI"/>
      <family val="3"/>
      <charset val="128"/>
    </font>
    <font>
      <sz val="11"/>
      <color theme="1"/>
      <name val="ＭＳ Ｐゴシック"/>
      <family val="3"/>
      <charset val="128"/>
      <scheme val="minor"/>
    </font>
    <font>
      <sz val="6"/>
      <name val="游ゴシック"/>
      <family val="3"/>
      <charset val="128"/>
    </font>
    <font>
      <sz val="11"/>
      <color theme="1"/>
      <name val="Meiryo UI"/>
      <family val="3"/>
      <charset val="128"/>
    </font>
  </fonts>
  <fills count="2">
    <fill>
      <patternFill patternType="none"/>
    </fill>
    <fill>
      <patternFill patternType="gray125"/>
    </fill>
  </fills>
  <borders count="13">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s>
  <cellStyleXfs count="4">
    <xf numFmtId="0" fontId="0" fillId="0" borderId="0">
      <alignment vertical="center"/>
    </xf>
    <xf numFmtId="38" fontId="1" fillId="0" borderId="0" applyFont="0" applyFill="0" applyBorder="0" applyAlignment="0" applyProtection="0">
      <alignment vertical="center"/>
    </xf>
    <xf numFmtId="0" fontId="1" fillId="0" borderId="0">
      <alignment vertical="center"/>
    </xf>
    <xf numFmtId="0" fontId="16" fillId="0" borderId="0">
      <alignment vertical="center"/>
    </xf>
  </cellStyleXfs>
  <cellXfs count="215">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lignment vertical="center"/>
    </xf>
    <xf numFmtId="0" fontId="0" fillId="0" borderId="1" xfId="0" applyBorder="1">
      <alignment vertical="center"/>
    </xf>
    <xf numFmtId="177" fontId="0" fillId="0" borderId="0" xfId="0" applyNumberFormat="1" applyAlignment="1">
      <alignment vertical="center" shrinkToFit="1"/>
    </xf>
    <xf numFmtId="178" fontId="0" fillId="0" borderId="0" xfId="0" applyNumberFormat="1" applyAlignment="1">
      <alignment vertical="center" shrinkToFit="1"/>
    </xf>
    <xf numFmtId="0" fontId="4" fillId="0" borderId="0" xfId="0" applyFont="1">
      <alignment vertical="center"/>
    </xf>
    <xf numFmtId="2" fontId="0" fillId="0" borderId="0" xfId="0" applyNumberFormat="1">
      <alignment vertical="center"/>
    </xf>
    <xf numFmtId="182" fontId="0" fillId="0" borderId="0" xfId="0" applyNumberFormat="1">
      <alignment vertical="center"/>
    </xf>
    <xf numFmtId="176" fontId="0" fillId="0" borderId="0" xfId="0" applyNumberFormat="1" applyAlignment="1">
      <alignment horizontal="right" vertical="center"/>
    </xf>
    <xf numFmtId="183" fontId="0" fillId="0" borderId="0" xfId="0" applyNumberFormat="1">
      <alignment vertical="center"/>
    </xf>
    <xf numFmtId="184" fontId="0" fillId="0" borderId="0" xfId="0" applyNumberFormat="1">
      <alignment vertical="center"/>
    </xf>
    <xf numFmtId="2" fontId="0" fillId="0" borderId="0" xfId="0" applyNumberFormat="1" applyAlignment="1">
      <alignment horizontal="center" vertical="center"/>
    </xf>
    <xf numFmtId="0" fontId="0" fillId="0" borderId="0" xfId="0" applyAlignment="1">
      <alignment horizontal="right" vertical="center"/>
    </xf>
    <xf numFmtId="2" fontId="0" fillId="0" borderId="1" xfId="0" applyNumberFormat="1" applyBorder="1" applyAlignment="1">
      <alignment horizontal="center" vertical="center"/>
    </xf>
    <xf numFmtId="183" fontId="0" fillId="0" borderId="1" xfId="0" applyNumberFormat="1" applyBorder="1" applyAlignment="1">
      <alignment horizontal="center" vertical="center"/>
    </xf>
    <xf numFmtId="176" fontId="0" fillId="0" borderId="0" xfId="0" applyNumberFormat="1" applyAlignment="1">
      <alignment horizontal="center" vertical="center"/>
    </xf>
    <xf numFmtId="184" fontId="0" fillId="0" borderId="0" xfId="0" applyNumberFormat="1" applyAlignment="1">
      <alignment horizontal="center" vertical="center"/>
    </xf>
    <xf numFmtId="182" fontId="0" fillId="0" borderId="0" xfId="0" applyNumberFormat="1" applyAlignment="1">
      <alignment horizontal="left" vertical="center"/>
    </xf>
    <xf numFmtId="185" fontId="7" fillId="0" borderId="0" xfId="0" applyNumberFormat="1" applyFont="1">
      <alignment vertical="center"/>
    </xf>
    <xf numFmtId="182" fontId="7" fillId="0" borderId="0" xfId="0" applyNumberFormat="1" applyFont="1">
      <alignment vertical="center"/>
    </xf>
    <xf numFmtId="183" fontId="7" fillId="0" borderId="0" xfId="0" applyNumberFormat="1" applyFont="1">
      <alignment vertical="center"/>
    </xf>
    <xf numFmtId="0" fontId="8" fillId="0" borderId="0" xfId="0" applyFont="1">
      <alignment vertical="center"/>
    </xf>
    <xf numFmtId="0" fontId="8" fillId="0" borderId="0" xfId="0" applyFont="1" applyAlignment="1">
      <alignment horizontal="right" vertical="center"/>
    </xf>
    <xf numFmtId="0" fontId="8" fillId="0" borderId="0" xfId="0" applyFont="1" applyAlignment="1">
      <alignment horizontal="left" vertical="center"/>
    </xf>
    <xf numFmtId="182" fontId="8" fillId="0" borderId="0" xfId="0" applyNumberFormat="1" applyFont="1" applyAlignment="1">
      <alignment horizontal="left" vertical="center"/>
    </xf>
    <xf numFmtId="2" fontId="8" fillId="0" borderId="0" xfId="0" applyNumberFormat="1" applyFont="1" applyAlignment="1">
      <alignment horizontal="left" vertical="center"/>
    </xf>
    <xf numFmtId="183" fontId="8" fillId="0" borderId="0" xfId="0" applyNumberFormat="1" applyFont="1">
      <alignment vertical="center"/>
    </xf>
    <xf numFmtId="182" fontId="8" fillId="0" borderId="0" xfId="0" applyNumberFormat="1" applyFont="1">
      <alignment vertical="center"/>
    </xf>
    <xf numFmtId="0" fontId="8" fillId="0" borderId="0" xfId="0" applyFont="1" applyAlignment="1">
      <alignment horizontal="center" vertical="center"/>
    </xf>
    <xf numFmtId="0" fontId="8" fillId="0" borderId="0" xfId="0" applyFont="1" applyAlignment="1">
      <alignment horizontal="center" vertical="center" shrinkToFit="1"/>
    </xf>
    <xf numFmtId="2" fontId="8" fillId="0" borderId="0" xfId="0" applyNumberFormat="1" applyFont="1" applyAlignment="1">
      <alignment horizontal="center" vertical="center"/>
    </xf>
    <xf numFmtId="183" fontId="8" fillId="0" borderId="0" xfId="0" applyNumberFormat="1" applyFont="1" applyAlignment="1">
      <alignment horizontal="center" vertical="center"/>
    </xf>
    <xf numFmtId="1" fontId="8" fillId="0" borderId="0" xfId="0" applyNumberFormat="1" applyFont="1" applyAlignment="1">
      <alignment horizontal="center" vertical="center"/>
    </xf>
    <xf numFmtId="1" fontId="8" fillId="0" borderId="0" xfId="0" applyNumberFormat="1" applyFont="1">
      <alignment vertical="center"/>
    </xf>
    <xf numFmtId="0" fontId="8" fillId="0" borderId="2" xfId="0" applyFont="1" applyBorder="1">
      <alignment vertical="center"/>
    </xf>
    <xf numFmtId="0" fontId="8" fillId="0" borderId="3" xfId="0" applyFont="1" applyBorder="1">
      <alignment vertical="center"/>
    </xf>
    <xf numFmtId="0" fontId="8" fillId="0" borderId="4" xfId="0" applyFont="1" applyBorder="1">
      <alignment vertical="center"/>
    </xf>
    <xf numFmtId="0" fontId="8" fillId="0" borderId="3" xfId="0" applyFont="1" applyBorder="1" applyAlignment="1">
      <alignment horizontal="right" vertical="center"/>
    </xf>
    <xf numFmtId="183" fontId="8" fillId="0" borderId="4" xfId="0" applyNumberFormat="1" applyFont="1" applyBorder="1">
      <alignment vertical="center"/>
    </xf>
    <xf numFmtId="1" fontId="8" fillId="0" borderId="4" xfId="0" applyNumberFormat="1" applyFont="1" applyBorder="1">
      <alignment vertical="center"/>
    </xf>
    <xf numFmtId="183" fontId="8" fillId="0" borderId="2" xfId="0" applyNumberFormat="1" applyFont="1" applyBorder="1">
      <alignment vertical="center"/>
    </xf>
    <xf numFmtId="0" fontId="8" fillId="0" borderId="4" xfId="0" applyFont="1" applyBorder="1" applyAlignment="1">
      <alignment horizontal="left" vertical="center"/>
    </xf>
    <xf numFmtId="0" fontId="9" fillId="0" borderId="0" xfId="0" applyFont="1" applyAlignment="1">
      <alignment horizontal="left" vertical="center"/>
    </xf>
    <xf numFmtId="183" fontId="9" fillId="0" borderId="0" xfId="0" applyNumberFormat="1" applyFont="1">
      <alignment vertical="center"/>
    </xf>
    <xf numFmtId="2" fontId="9" fillId="0" borderId="0" xfId="0" applyNumberFormat="1" applyFont="1">
      <alignment vertical="center"/>
    </xf>
    <xf numFmtId="182" fontId="8" fillId="0" borderId="0" xfId="0" applyNumberFormat="1"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right" vertical="center"/>
    </xf>
    <xf numFmtId="182" fontId="6" fillId="0" borderId="0" xfId="0" applyNumberFormat="1" applyFont="1" applyAlignment="1">
      <alignment horizontal="center" vertical="center"/>
    </xf>
    <xf numFmtId="183" fontId="6" fillId="0" borderId="0" xfId="0" applyNumberFormat="1" applyFont="1" applyAlignment="1">
      <alignment horizontal="right" vertical="center"/>
    </xf>
    <xf numFmtId="0" fontId="9" fillId="0" borderId="0" xfId="0" applyFont="1" applyAlignment="1">
      <alignment horizontal="center" vertical="center"/>
    </xf>
    <xf numFmtId="183" fontId="6" fillId="0" borderId="0" xfId="0" applyNumberFormat="1" applyFont="1">
      <alignment vertical="center"/>
    </xf>
    <xf numFmtId="183" fontId="8" fillId="0" borderId="0" xfId="0" applyNumberFormat="1" applyFont="1" applyAlignment="1">
      <alignment horizontal="right" vertical="center"/>
    </xf>
    <xf numFmtId="177" fontId="0" fillId="0" borderId="0" xfId="0" applyNumberFormat="1">
      <alignment vertical="center"/>
    </xf>
    <xf numFmtId="0" fontId="1" fillId="0" borderId="0" xfId="2">
      <alignment vertical="center"/>
    </xf>
    <xf numFmtId="178" fontId="1" fillId="0" borderId="0" xfId="2" applyNumberFormat="1">
      <alignment vertical="center"/>
    </xf>
    <xf numFmtId="0" fontId="0" fillId="0" borderId="0" xfId="0" applyAlignment="1">
      <alignment vertical="center" shrinkToFit="1"/>
    </xf>
    <xf numFmtId="0" fontId="0" fillId="0" borderId="0" xfId="0" applyAlignment="1">
      <alignment horizontal="center" vertical="center" shrinkToFit="1"/>
    </xf>
    <xf numFmtId="176" fontId="0" fillId="0" borderId="0" xfId="0" applyNumberFormat="1" applyAlignment="1">
      <alignment vertical="center" shrinkToFit="1"/>
    </xf>
    <xf numFmtId="0" fontId="0" fillId="0" borderId="0" xfId="0" applyAlignment="1">
      <alignment horizontal="right" vertical="center" shrinkToFit="1"/>
    </xf>
    <xf numFmtId="179" fontId="0" fillId="0" borderId="0" xfId="0" applyNumberFormat="1" applyAlignment="1">
      <alignment vertical="center" shrinkToFit="1"/>
    </xf>
    <xf numFmtId="0" fontId="0" fillId="0" borderId="0" xfId="0" applyAlignment="1">
      <alignment horizontal="center" vertical="center"/>
    </xf>
    <xf numFmtId="182" fontId="0" fillId="0" borderId="0" xfId="0" applyNumberFormat="1" applyAlignment="1">
      <alignment horizontal="center" vertical="center"/>
    </xf>
    <xf numFmtId="0" fontId="8" fillId="0" borderId="0" xfId="0" applyFont="1" applyAlignment="1">
      <alignment horizontal="left" vertical="center" wrapText="1"/>
    </xf>
    <xf numFmtId="0" fontId="8" fillId="0" borderId="2" xfId="0" applyFont="1" applyBorder="1" applyAlignment="1">
      <alignment horizontal="center" vertical="center"/>
    </xf>
    <xf numFmtId="0" fontId="8" fillId="0" borderId="4" xfId="0" applyFont="1" applyBorder="1" applyAlignment="1">
      <alignment horizontal="center" vertical="center"/>
    </xf>
    <xf numFmtId="0" fontId="0" fillId="0" borderId="0" xfId="0" applyAlignment="1">
      <alignment horizontal="center" vertical="center"/>
    </xf>
    <xf numFmtId="176" fontId="0" fillId="0" borderId="0" xfId="0" applyNumberFormat="1">
      <alignment vertical="center"/>
    </xf>
    <xf numFmtId="176" fontId="0" fillId="0" borderId="6" xfId="0" applyNumberFormat="1" applyBorder="1" applyAlignment="1">
      <alignment horizontal="center" vertical="center"/>
    </xf>
    <xf numFmtId="177" fontId="0" fillId="0" borderId="6" xfId="0" applyNumberFormat="1" applyBorder="1" applyAlignment="1">
      <alignment horizontal="center" vertical="center"/>
    </xf>
    <xf numFmtId="187" fontId="0" fillId="0" borderId="0" xfId="0" applyNumberFormat="1">
      <alignment vertical="center"/>
    </xf>
    <xf numFmtId="0" fontId="0" fillId="0" borderId="6" xfId="0" applyBorder="1" applyAlignment="1">
      <alignment horizontal="center" vertical="center" shrinkToFit="1"/>
    </xf>
    <xf numFmtId="0" fontId="0" fillId="0" borderId="6" xfId="0" applyBorder="1" applyAlignment="1">
      <alignment horizontal="center" vertical="center"/>
    </xf>
    <xf numFmtId="176" fontId="0" fillId="0" borderId="9" xfId="0" applyNumberFormat="1" applyBorder="1" applyAlignment="1">
      <alignment horizontal="center" vertical="center"/>
    </xf>
    <xf numFmtId="177" fontId="0" fillId="0" borderId="9" xfId="0" applyNumberFormat="1" applyBorder="1" applyAlignment="1">
      <alignment horizontal="center" vertical="center"/>
    </xf>
    <xf numFmtId="177" fontId="0" fillId="0" borderId="9" xfId="0" applyNumberFormat="1" applyBorder="1" applyAlignment="1">
      <alignment horizontal="center" vertical="center" shrinkToFit="1"/>
    </xf>
    <xf numFmtId="0" fontId="0" fillId="0" borderId="9" xfId="0" applyBorder="1" applyAlignment="1">
      <alignment horizontal="center" vertical="center" shrinkToFit="1"/>
    </xf>
    <xf numFmtId="0" fontId="0" fillId="0" borderId="0" xfId="0" applyBorder="1">
      <alignment vertical="center"/>
    </xf>
    <xf numFmtId="176" fontId="0" fillId="0" borderId="0" xfId="0" applyNumberFormat="1" applyBorder="1">
      <alignment vertical="center"/>
    </xf>
    <xf numFmtId="177" fontId="0" fillId="0" borderId="0" xfId="0" applyNumberFormat="1" applyBorder="1">
      <alignment vertical="center"/>
    </xf>
    <xf numFmtId="187" fontId="0" fillId="0" borderId="0" xfId="0" applyNumberFormat="1" applyBorder="1">
      <alignment vertical="center"/>
    </xf>
    <xf numFmtId="177" fontId="0" fillId="0" borderId="0" xfId="0" applyNumberFormat="1" applyBorder="1" applyAlignment="1">
      <alignment horizontal="right" vertical="center"/>
    </xf>
    <xf numFmtId="0" fontId="0" fillId="0" borderId="0" xfId="0" applyNumberFormat="1" applyBorder="1">
      <alignment vertical="center"/>
    </xf>
    <xf numFmtId="177" fontId="0" fillId="0" borderId="0" xfId="0" applyNumberFormat="1" applyBorder="1" applyAlignment="1">
      <alignment vertical="center" shrinkToFit="1"/>
    </xf>
    <xf numFmtId="0" fontId="0" fillId="0" borderId="0" xfId="0" applyBorder="1" applyAlignment="1">
      <alignment vertical="center" shrinkToFit="1"/>
    </xf>
    <xf numFmtId="0" fontId="0" fillId="0" borderId="9" xfId="0" applyBorder="1" applyAlignment="1">
      <alignment horizontal="center" vertical="center"/>
    </xf>
    <xf numFmtId="176" fontId="0" fillId="0" borderId="0" xfId="0" applyNumberFormat="1" applyBorder="1" applyAlignment="1">
      <alignment horizontal="center" vertical="center"/>
    </xf>
    <xf numFmtId="177" fontId="0" fillId="0" borderId="0" xfId="0" applyNumberFormat="1" applyBorder="1" applyAlignment="1">
      <alignment horizontal="center" vertical="center"/>
    </xf>
    <xf numFmtId="177" fontId="0" fillId="0" borderId="0" xfId="0" applyNumberFormat="1" applyBorder="1" applyAlignment="1">
      <alignment horizontal="center" vertical="center" shrinkToFit="1"/>
    </xf>
    <xf numFmtId="0" fontId="0" fillId="0" borderId="0" xfId="0" applyBorder="1" applyAlignment="1">
      <alignment horizontal="center" vertical="center" shrinkToFit="1"/>
    </xf>
    <xf numFmtId="0" fontId="0" fillId="0" borderId="10" xfId="0" applyBorder="1">
      <alignment vertical="center"/>
    </xf>
    <xf numFmtId="0" fontId="0" fillId="0" borderId="11" xfId="0" applyBorder="1">
      <alignment vertical="center"/>
    </xf>
    <xf numFmtId="176" fontId="0" fillId="0" borderId="11" xfId="0" applyNumberFormat="1" applyBorder="1">
      <alignment vertical="center"/>
    </xf>
    <xf numFmtId="177" fontId="0" fillId="0" borderId="11" xfId="0" applyNumberFormat="1" applyBorder="1">
      <alignment vertical="center"/>
    </xf>
    <xf numFmtId="187" fontId="0" fillId="0" borderId="11" xfId="0" applyNumberFormat="1" applyBorder="1">
      <alignment vertical="center"/>
    </xf>
    <xf numFmtId="0" fontId="0" fillId="0" borderId="12" xfId="0" applyBorder="1">
      <alignment vertical="center"/>
    </xf>
    <xf numFmtId="176" fontId="0" fillId="0" borderId="12" xfId="0" applyNumberFormat="1" applyBorder="1">
      <alignment vertical="center"/>
    </xf>
    <xf numFmtId="177" fontId="0" fillId="0" borderId="12" xfId="0" applyNumberFormat="1" applyBorder="1">
      <alignment vertical="center"/>
    </xf>
    <xf numFmtId="187" fontId="0" fillId="0" borderId="12" xfId="0" applyNumberFormat="1" applyBorder="1">
      <alignment vertical="center"/>
    </xf>
    <xf numFmtId="177" fontId="0" fillId="0" borderId="6" xfId="0" applyNumberFormat="1" applyBorder="1" applyAlignment="1">
      <alignment horizontal="center" vertical="center" shrinkToFit="1"/>
    </xf>
    <xf numFmtId="176" fontId="0" fillId="0" borderId="10" xfId="0" applyNumberFormat="1" applyBorder="1">
      <alignment vertical="center"/>
    </xf>
    <xf numFmtId="177" fontId="0" fillId="0" borderId="10" xfId="0" applyNumberFormat="1" applyBorder="1">
      <alignment vertical="center"/>
    </xf>
    <xf numFmtId="187" fontId="0" fillId="0" borderId="10" xfId="0" applyNumberFormat="1" applyBorder="1">
      <alignment vertical="center"/>
    </xf>
    <xf numFmtId="187" fontId="0" fillId="0" borderId="6" xfId="0" applyNumberFormat="1" applyBorder="1" applyAlignment="1">
      <alignment horizontal="center" vertical="center" shrinkToFit="1"/>
    </xf>
    <xf numFmtId="187" fontId="0" fillId="0" borderId="9" xfId="0" applyNumberFormat="1" applyBorder="1" applyAlignment="1">
      <alignment horizontal="center" vertical="center" shrinkToFit="1"/>
    </xf>
    <xf numFmtId="187" fontId="0" fillId="0" borderId="0" xfId="0" applyNumberFormat="1" applyBorder="1" applyAlignment="1">
      <alignment vertical="center" shrinkToFit="1"/>
    </xf>
    <xf numFmtId="188" fontId="0" fillId="0" borderId="0" xfId="0" applyNumberFormat="1" applyBorder="1" applyAlignment="1">
      <alignment horizontal="center" vertical="center"/>
    </xf>
    <xf numFmtId="188" fontId="0" fillId="0" borderId="0" xfId="0" applyNumberFormat="1" applyBorder="1">
      <alignment vertical="center"/>
    </xf>
    <xf numFmtId="188" fontId="0" fillId="0" borderId="6" xfId="0" applyNumberFormat="1" applyBorder="1" applyAlignment="1">
      <alignment horizontal="center" vertical="center" shrinkToFit="1"/>
    </xf>
    <xf numFmtId="188" fontId="0" fillId="0" borderId="9" xfId="0" applyNumberFormat="1" applyBorder="1" applyAlignment="1">
      <alignment horizontal="center" vertical="center" shrinkToFit="1"/>
    </xf>
    <xf numFmtId="188" fontId="0" fillId="0" borderId="10" xfId="0" applyNumberFormat="1" applyBorder="1">
      <alignment vertical="center"/>
    </xf>
    <xf numFmtId="188" fontId="0" fillId="0" borderId="11" xfId="0" applyNumberFormat="1" applyBorder="1">
      <alignment vertical="center"/>
    </xf>
    <xf numFmtId="188" fontId="0" fillId="0" borderId="12" xfId="0" applyNumberFormat="1" applyBorder="1">
      <alignment vertical="center"/>
    </xf>
    <xf numFmtId="188" fontId="0" fillId="0" borderId="0" xfId="0" applyNumberFormat="1" applyBorder="1" applyAlignment="1">
      <alignment vertical="center" shrinkToFit="1"/>
    </xf>
    <xf numFmtId="188" fontId="0" fillId="0" borderId="0" xfId="0" applyNumberFormat="1">
      <alignment vertical="center"/>
    </xf>
    <xf numFmtId="187" fontId="0" fillId="0" borderId="0" xfId="0" applyNumberFormat="1" applyBorder="1" applyAlignment="1">
      <alignment horizontal="right" vertical="center"/>
    </xf>
    <xf numFmtId="188" fontId="0" fillId="0" borderId="0" xfId="0" applyNumberFormat="1" applyBorder="1" applyAlignment="1">
      <alignment horizontal="left" vertical="center"/>
    </xf>
    <xf numFmtId="182" fontId="0" fillId="0" borderId="0" xfId="0" applyNumberFormat="1" applyBorder="1">
      <alignment vertical="center"/>
    </xf>
    <xf numFmtId="0" fontId="0" fillId="0" borderId="0" xfId="0" applyBorder="1" applyAlignment="1">
      <alignment horizontal="right" vertical="center" shrinkToFit="1"/>
    </xf>
    <xf numFmtId="189" fontId="0" fillId="0" borderId="0" xfId="0" applyNumberFormat="1" applyBorder="1" applyAlignment="1">
      <alignment horizontal="left" vertical="center"/>
    </xf>
    <xf numFmtId="0" fontId="0" fillId="0" borderId="0" xfId="0" applyNumberFormat="1" applyBorder="1" applyAlignment="1">
      <alignment horizontal="left" vertical="center"/>
    </xf>
    <xf numFmtId="182" fontId="0" fillId="0" borderId="0" xfId="0" applyNumberFormat="1" applyBorder="1" applyAlignment="1">
      <alignment horizontal="left" vertical="center"/>
    </xf>
    <xf numFmtId="179" fontId="0" fillId="0" borderId="0" xfId="0" applyNumberFormat="1" applyBorder="1" applyAlignment="1">
      <alignment horizontal="left" vertical="center"/>
    </xf>
    <xf numFmtId="0" fontId="0" fillId="0" borderId="0" xfId="0" applyBorder="1" applyAlignment="1">
      <alignment horizontal="center" vertical="center"/>
    </xf>
    <xf numFmtId="0" fontId="0" fillId="0" borderId="1" xfId="0" applyBorder="1" applyAlignment="1">
      <alignment vertical="center"/>
    </xf>
    <xf numFmtId="185" fontId="0" fillId="0" borderId="0" xfId="0" applyNumberFormat="1">
      <alignment vertical="center"/>
    </xf>
    <xf numFmtId="181" fontId="0" fillId="0" borderId="0" xfId="1" applyNumberFormat="1" applyFont="1" applyAlignment="1">
      <alignment vertical="center"/>
    </xf>
    <xf numFmtId="0" fontId="0" fillId="0" borderId="0" xfId="0" applyAlignment="1">
      <alignment vertical="center"/>
    </xf>
    <xf numFmtId="186" fontId="0" fillId="0" borderId="0" xfId="1" applyNumberFormat="1" applyFont="1" applyAlignment="1">
      <alignment vertical="center"/>
    </xf>
    <xf numFmtId="0" fontId="11" fillId="0" borderId="0" xfId="0" applyFont="1">
      <alignment vertical="center"/>
    </xf>
    <xf numFmtId="0" fontId="7" fillId="0" borderId="0" xfId="0" applyFont="1">
      <alignment vertical="center"/>
    </xf>
    <xf numFmtId="0" fontId="12" fillId="0" borderId="0" xfId="0" applyFont="1" applyAlignment="1">
      <alignment horizontal="right" vertical="center"/>
    </xf>
    <xf numFmtId="0" fontId="12" fillId="0" borderId="0" xfId="0" applyFont="1">
      <alignment vertical="center"/>
    </xf>
    <xf numFmtId="0" fontId="12" fillId="0" borderId="0" xfId="0" applyFont="1" applyAlignment="1">
      <alignment horizontal="center" vertical="center"/>
    </xf>
    <xf numFmtId="0" fontId="12" fillId="0" borderId="0" xfId="0" applyFont="1" applyAlignment="1">
      <alignment horizontal="center" vertical="center" shrinkToFit="1"/>
    </xf>
    <xf numFmtId="182" fontId="12" fillId="0" borderId="0" xfId="0" applyNumberFormat="1" applyFont="1">
      <alignment vertical="center"/>
    </xf>
    <xf numFmtId="0" fontId="12" fillId="0" borderId="0" xfId="2" applyFont="1">
      <alignment vertical="center"/>
    </xf>
    <xf numFmtId="0" fontId="0" fillId="0" borderId="6" xfId="0" applyBorder="1" applyAlignment="1">
      <alignment horizontal="center" vertical="center" shrinkToFit="1"/>
    </xf>
    <xf numFmtId="0" fontId="13" fillId="0" borderId="0" xfId="0" applyFont="1">
      <alignment vertical="center"/>
    </xf>
    <xf numFmtId="0" fontId="14" fillId="0" borderId="0" xfId="0" applyFont="1" applyFill="1" applyAlignment="1">
      <alignment horizontal="center" vertical="center"/>
    </xf>
    <xf numFmtId="176" fontId="14" fillId="0" borderId="0" xfId="0" applyNumberFormat="1" applyFont="1" applyFill="1" applyBorder="1" applyAlignment="1">
      <alignment horizontal="right" vertical="center"/>
    </xf>
    <xf numFmtId="177" fontId="15" fillId="0" borderId="0" xfId="0" applyNumberFormat="1" applyFont="1" applyBorder="1" applyAlignment="1">
      <alignment horizontal="right" vertical="center"/>
    </xf>
    <xf numFmtId="0" fontId="15" fillId="0" borderId="0" xfId="0" applyFont="1" applyAlignment="1">
      <alignment horizontal="right" vertical="center"/>
    </xf>
    <xf numFmtId="0" fontId="15" fillId="0" borderId="0" xfId="0" applyFont="1">
      <alignment vertical="center"/>
    </xf>
    <xf numFmtId="0" fontId="14" fillId="0" borderId="0" xfId="0" applyFont="1">
      <alignment vertical="center"/>
    </xf>
    <xf numFmtId="0" fontId="15" fillId="0" borderId="0" xfId="0" applyFont="1" applyAlignment="1">
      <alignment horizontal="center" vertical="center"/>
    </xf>
    <xf numFmtId="0" fontId="14" fillId="0" borderId="0" xfId="0" applyFont="1" applyFill="1" applyAlignment="1">
      <alignment horizontal="right" vertical="center"/>
    </xf>
    <xf numFmtId="0" fontId="14" fillId="0" borderId="0" xfId="0" applyFont="1" applyAlignment="1">
      <alignment horizontal="right" vertical="center"/>
    </xf>
    <xf numFmtId="182" fontId="13" fillId="0" borderId="0" xfId="0" applyNumberFormat="1" applyFont="1" applyFill="1" applyAlignment="1">
      <alignment horizontal="center" vertical="center"/>
    </xf>
    <xf numFmtId="0" fontId="14" fillId="0" borderId="0" xfId="0" applyFont="1" applyAlignment="1">
      <alignment horizontal="center" vertical="center"/>
    </xf>
    <xf numFmtId="0" fontId="13" fillId="0" borderId="0" xfId="0" applyFont="1" applyAlignment="1">
      <alignment horizontal="center" vertical="center"/>
    </xf>
    <xf numFmtId="0" fontId="13" fillId="0" borderId="0" xfId="0" applyFont="1" applyFill="1" applyAlignment="1">
      <alignment horizontal="center" vertical="center"/>
    </xf>
    <xf numFmtId="176" fontId="13" fillId="0" borderId="0" xfId="0" applyNumberFormat="1" applyFont="1" applyAlignment="1">
      <alignment horizontal="center" vertical="center"/>
    </xf>
    <xf numFmtId="184" fontId="13" fillId="0" borderId="0" xfId="0" applyNumberFormat="1" applyFont="1" applyAlignment="1">
      <alignment horizontal="center" vertical="center"/>
    </xf>
    <xf numFmtId="2" fontId="13" fillId="0" borderId="0" xfId="0" applyNumberFormat="1" applyFont="1">
      <alignment vertical="center"/>
    </xf>
    <xf numFmtId="182" fontId="15" fillId="0" borderId="0" xfId="0" applyNumberFormat="1" applyFont="1" applyFill="1" applyAlignment="1">
      <alignment horizontal="center" vertical="center"/>
    </xf>
    <xf numFmtId="176" fontId="15" fillId="0" borderId="0" xfId="0" applyNumberFormat="1" applyFont="1" applyAlignment="1">
      <alignment horizontal="center" vertical="center"/>
    </xf>
    <xf numFmtId="182" fontId="15" fillId="0" borderId="0" xfId="0" applyNumberFormat="1" applyFont="1" applyAlignment="1">
      <alignment horizontal="center" vertical="center"/>
    </xf>
    <xf numFmtId="184" fontId="15" fillId="0" borderId="0" xfId="0" applyNumberFormat="1" applyFont="1">
      <alignment vertical="center"/>
    </xf>
    <xf numFmtId="2" fontId="15" fillId="0" borderId="0" xfId="0" applyNumberFormat="1" applyFont="1">
      <alignment vertical="center"/>
    </xf>
    <xf numFmtId="0" fontId="15" fillId="0" borderId="0" xfId="0" applyFont="1" applyFill="1" applyAlignment="1">
      <alignment horizontal="center" vertical="center"/>
    </xf>
    <xf numFmtId="0" fontId="12" fillId="0" borderId="0" xfId="2" applyFont="1" applyFill="1">
      <alignment vertical="center"/>
    </xf>
    <xf numFmtId="0" fontId="16" fillId="0" borderId="0" xfId="3">
      <alignment vertical="center"/>
    </xf>
    <xf numFmtId="0" fontId="16" fillId="0" borderId="0" xfId="3" applyAlignment="1">
      <alignment horizontal="right" vertical="center"/>
    </xf>
    <xf numFmtId="0" fontId="16" fillId="0" borderId="0" xfId="3" applyAlignment="1">
      <alignment horizontal="left" vertical="center"/>
    </xf>
    <xf numFmtId="190" fontId="16" fillId="0" borderId="0" xfId="3" applyNumberFormat="1">
      <alignment vertical="center"/>
    </xf>
    <xf numFmtId="182" fontId="16" fillId="0" borderId="0" xfId="3" applyNumberFormat="1">
      <alignment vertical="center"/>
    </xf>
    <xf numFmtId="191" fontId="16" fillId="0" borderId="0" xfId="3" applyNumberFormat="1">
      <alignment vertical="center"/>
    </xf>
    <xf numFmtId="176" fontId="16" fillId="0" borderId="0" xfId="3" applyNumberFormat="1">
      <alignment vertical="center"/>
    </xf>
    <xf numFmtId="0" fontId="0" fillId="0" borderId="0" xfId="0" applyNumberFormat="1">
      <alignment vertical="center"/>
    </xf>
    <xf numFmtId="0" fontId="12" fillId="0" borderId="0" xfId="0" applyNumberFormat="1" applyFont="1">
      <alignment vertical="center"/>
    </xf>
    <xf numFmtId="0" fontId="13" fillId="0" borderId="0" xfId="0" applyFont="1" applyAlignment="1">
      <alignment horizontal="right" vertical="center"/>
    </xf>
    <xf numFmtId="0" fontId="13" fillId="0" borderId="0" xfId="0" applyFont="1" applyAlignment="1">
      <alignment horizontal="left" vertical="center"/>
    </xf>
    <xf numFmtId="192" fontId="13" fillId="0" borderId="0" xfId="0" applyNumberFormat="1" applyFont="1">
      <alignment vertical="center"/>
    </xf>
    <xf numFmtId="0" fontId="18" fillId="0" borderId="0" xfId="3" applyFont="1">
      <alignment vertical="center"/>
    </xf>
    <xf numFmtId="0" fontId="13" fillId="0" borderId="0" xfId="0" applyNumberFormat="1" applyFont="1">
      <alignment vertical="center"/>
    </xf>
    <xf numFmtId="0" fontId="0" fillId="0" borderId="0" xfId="0" applyAlignment="1">
      <alignment horizontal="center" vertical="center"/>
    </xf>
    <xf numFmtId="0" fontId="0" fillId="0" borderId="1" xfId="0" applyBorder="1" applyAlignment="1">
      <alignment horizontal="center" vertical="center"/>
    </xf>
    <xf numFmtId="186" fontId="0" fillId="0" borderId="0" xfId="1" applyNumberFormat="1" applyFont="1" applyAlignment="1">
      <alignment horizontal="center" vertical="center"/>
    </xf>
    <xf numFmtId="181" fontId="0" fillId="0" borderId="0" xfId="1" applyNumberFormat="1" applyFont="1" applyAlignment="1">
      <alignment horizontal="center" vertical="center"/>
    </xf>
    <xf numFmtId="0" fontId="0" fillId="0" borderId="0" xfId="0" applyAlignment="1">
      <alignment horizontal="left" vertical="center"/>
    </xf>
    <xf numFmtId="183" fontId="0" fillId="0" borderId="0" xfId="0" applyNumberFormat="1" applyAlignment="1">
      <alignment horizontal="center" vertical="center"/>
    </xf>
    <xf numFmtId="182" fontId="0" fillId="0" borderId="0" xfId="0" applyNumberFormat="1" applyAlignment="1">
      <alignment horizontal="center" vertical="center"/>
    </xf>
    <xf numFmtId="0" fontId="8" fillId="0" borderId="0" xfId="0" applyFont="1" applyAlignment="1">
      <alignment horizontal="left" vertical="center" wrapText="1"/>
    </xf>
    <xf numFmtId="0" fontId="8" fillId="0" borderId="2" xfId="0" applyFont="1" applyBorder="1" applyAlignment="1">
      <alignment horizontal="center" vertical="center"/>
    </xf>
    <xf numFmtId="0" fontId="8" fillId="0" borderId="4" xfId="0" applyFont="1" applyBorder="1" applyAlignment="1">
      <alignment horizontal="center" vertical="center"/>
    </xf>
    <xf numFmtId="183" fontId="8" fillId="0" borderId="2" xfId="0" applyNumberFormat="1" applyFont="1" applyBorder="1" applyAlignment="1">
      <alignment horizontal="center" vertical="center"/>
    </xf>
    <xf numFmtId="183" fontId="8" fillId="0" borderId="4" xfId="0" applyNumberFormat="1" applyFont="1" applyBorder="1" applyAlignment="1">
      <alignment horizontal="center" vertical="center"/>
    </xf>
    <xf numFmtId="177" fontId="0" fillId="0" borderId="5" xfId="0" applyNumberFormat="1" applyBorder="1" applyAlignment="1">
      <alignment vertical="center" shrinkToFit="1"/>
    </xf>
    <xf numFmtId="176" fontId="0" fillId="0" borderId="5" xfId="0" applyNumberFormat="1" applyBorder="1" applyAlignment="1">
      <alignment vertical="center" shrinkToFit="1"/>
    </xf>
    <xf numFmtId="0" fontId="0" fillId="0" borderId="5" xfId="0" applyBorder="1" applyAlignment="1">
      <alignment horizontal="center" vertical="center" shrinkToFit="1"/>
    </xf>
    <xf numFmtId="178" fontId="4" fillId="0" borderId="5" xfId="0" applyNumberFormat="1" applyFont="1" applyBorder="1" applyAlignment="1">
      <alignment vertical="center" shrinkToFit="1"/>
    </xf>
    <xf numFmtId="0" fontId="0" fillId="0" borderId="7" xfId="0" applyBorder="1" applyAlignment="1">
      <alignment horizontal="center" vertical="center" shrinkToFit="1"/>
    </xf>
    <xf numFmtId="0" fontId="0" fillId="0" borderId="6" xfId="0" applyBorder="1" applyAlignment="1">
      <alignment horizontal="center" vertical="center" shrinkToFit="1"/>
    </xf>
    <xf numFmtId="178" fontId="0" fillId="0" borderId="5" xfId="0" applyNumberFormat="1" applyBorder="1" applyAlignment="1">
      <alignment vertical="center" shrinkToFit="1"/>
    </xf>
    <xf numFmtId="0" fontId="0" fillId="0" borderId="0" xfId="0" applyAlignment="1">
      <alignment horizontal="right" vertical="center" shrinkToFit="1"/>
    </xf>
    <xf numFmtId="0" fontId="0" fillId="0" borderId="0" xfId="0" applyAlignment="1">
      <alignment vertical="center" shrinkToFit="1"/>
    </xf>
    <xf numFmtId="0" fontId="0" fillId="0" borderId="8" xfId="0" applyBorder="1" applyAlignment="1">
      <alignment horizontal="center" vertical="center" shrinkToFit="1"/>
    </xf>
    <xf numFmtId="0" fontId="0" fillId="0" borderId="0" xfId="0" applyAlignment="1">
      <alignment horizontal="center" vertical="center" shrinkToFit="1"/>
    </xf>
    <xf numFmtId="176" fontId="4" fillId="0" borderId="0" xfId="0" applyNumberFormat="1" applyFont="1" applyAlignment="1">
      <alignment vertical="center" shrinkToFit="1"/>
    </xf>
    <xf numFmtId="0" fontId="4" fillId="0" borderId="0" xfId="0" applyFont="1" applyAlignment="1">
      <alignment vertical="center" shrinkToFit="1"/>
    </xf>
    <xf numFmtId="179" fontId="0" fillId="0" borderId="0" xfId="0" applyNumberFormat="1" applyAlignment="1">
      <alignment vertical="center" shrinkToFit="1"/>
    </xf>
    <xf numFmtId="179" fontId="0" fillId="0" borderId="0" xfId="0" applyNumberFormat="1" applyAlignment="1">
      <alignment horizontal="right" vertical="center" shrinkToFit="1"/>
    </xf>
    <xf numFmtId="180" fontId="0" fillId="0" borderId="0" xfId="0" applyNumberFormat="1" applyAlignment="1">
      <alignment vertical="center" shrinkToFit="1"/>
    </xf>
    <xf numFmtId="176" fontId="0" fillId="0" borderId="0" xfId="0" applyNumberFormat="1" applyAlignment="1">
      <alignment vertical="center" shrinkToFit="1"/>
    </xf>
    <xf numFmtId="177" fontId="4" fillId="0" borderId="5" xfId="0" applyNumberFormat="1" applyFont="1" applyBorder="1" applyAlignment="1">
      <alignment vertical="center" shrinkToFit="1"/>
    </xf>
    <xf numFmtId="177" fontId="4" fillId="0" borderId="2" xfId="0" applyNumberFormat="1" applyFont="1" applyBorder="1" applyAlignment="1">
      <alignment vertical="center" shrinkToFit="1"/>
    </xf>
    <xf numFmtId="177" fontId="4" fillId="0" borderId="3" xfId="0" applyNumberFormat="1" applyFont="1" applyBorder="1" applyAlignment="1">
      <alignment vertical="center" shrinkToFit="1"/>
    </xf>
    <xf numFmtId="177" fontId="4" fillId="0" borderId="4" xfId="0" applyNumberFormat="1" applyFont="1" applyBorder="1" applyAlignment="1">
      <alignment vertical="center" shrinkToFit="1"/>
    </xf>
    <xf numFmtId="176" fontId="4" fillId="0" borderId="2" xfId="0" applyNumberFormat="1" applyFont="1" applyBorder="1" applyAlignment="1">
      <alignment vertical="center" shrinkToFit="1"/>
    </xf>
    <xf numFmtId="176" fontId="4" fillId="0" borderId="3" xfId="0" applyNumberFormat="1" applyFont="1" applyBorder="1" applyAlignment="1">
      <alignment vertical="center" shrinkToFit="1"/>
    </xf>
    <xf numFmtId="176" fontId="4" fillId="0" borderId="4" xfId="0" applyNumberFormat="1" applyFont="1" applyBorder="1" applyAlignment="1">
      <alignment vertical="center" shrinkToFit="1"/>
    </xf>
    <xf numFmtId="181" fontId="0" fillId="0" borderId="5" xfId="0" applyNumberFormat="1" applyBorder="1" applyAlignment="1">
      <alignment vertical="center" shrinkToFit="1"/>
    </xf>
  </cellXfs>
  <cellStyles count="4">
    <cellStyle name="桁区切り" xfId="1" builtinId="6"/>
    <cellStyle name="標準" xfId="0" builtinId="0"/>
    <cellStyle name="標準 2" xfId="2" xr:uid="{50D55138-5732-443B-AEA4-896256C8F0C4}"/>
    <cellStyle name="標準 3" xfId="3" xr:uid="{D22697D1-F917-4655-9988-851CAAC1CF74}"/>
  </cellStyles>
  <dxfs count="1">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checked="Checked" firstButton="1"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441960</xdr:colOff>
          <xdr:row>2</xdr:row>
          <xdr:rowOff>83820</xdr:rowOff>
        </xdr:from>
        <xdr:to>
          <xdr:col>8</xdr:col>
          <xdr:colOff>403860</xdr:colOff>
          <xdr:row>4</xdr:row>
          <xdr:rowOff>144780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335280</xdr:colOff>
          <xdr:row>2</xdr:row>
          <xdr:rowOff>38100</xdr:rowOff>
        </xdr:from>
        <xdr:to>
          <xdr:col>11</xdr:col>
          <xdr:colOff>297180</xdr:colOff>
          <xdr:row>4</xdr:row>
          <xdr:rowOff>99060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ready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68580</xdr:colOff>
          <xdr:row>3</xdr:row>
          <xdr:rowOff>22860</xdr:rowOff>
        </xdr:from>
        <xdr:to>
          <xdr:col>10</xdr:col>
          <xdr:colOff>640080</xdr:colOff>
          <xdr:row>4</xdr:row>
          <xdr:rowOff>121920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redy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365760</xdr:colOff>
          <xdr:row>11</xdr:row>
          <xdr:rowOff>160020</xdr:rowOff>
        </xdr:from>
        <xdr:to>
          <xdr:col>11</xdr:col>
          <xdr:colOff>381000</xdr:colOff>
          <xdr:row>13</xdr:row>
          <xdr:rowOff>38100</xdr:rowOff>
        </xdr:to>
        <xdr:sp macro="" textlink="">
          <xdr:nvSpPr>
            <xdr:cNvPr id="7172" name="Option 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57150</xdr:colOff>
      <xdr:row>5</xdr:row>
      <xdr:rowOff>104775</xdr:rowOff>
    </xdr:from>
    <xdr:ext cx="760914" cy="523875"/>
    <mc:AlternateContent xmlns:mc="http://schemas.openxmlformats.org/markup-compatibility/2006" xmlns:a14="http://schemas.microsoft.com/office/drawing/2010/main">
      <mc:Choice Requires="a14">
        <xdr:sp macro="" textlink="">
          <xdr:nvSpPr>
            <xdr:cNvPr id="4" name="テキスト ボックス 3">
              <a:extLst>
                <a:ext uri="{FF2B5EF4-FFF2-40B4-BE49-F238E27FC236}">
                  <a16:creationId xmlns:a16="http://schemas.microsoft.com/office/drawing/2014/main" id="{00000000-0008-0000-0700-000004000000}"/>
                </a:ext>
              </a:extLst>
            </xdr:cNvPr>
            <xdr:cNvSpPr txBox="1"/>
          </xdr:nvSpPr>
          <xdr:spPr>
            <a:xfrm>
              <a:off x="895350" y="866775"/>
              <a:ext cx="760914"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kumimoji="1" lang="ja-JP" altLang="en-US" sz="1100" i="1">
                        <a:latin typeface="Cambria Math" panose="02040503050406030204" pitchFamily="18" charset="0"/>
                      </a:rPr>
                      <m:t>𝛿</m:t>
                    </m:r>
                    <m:r>
                      <a:rPr kumimoji="1" lang="en-US" altLang="ja-JP" sz="1100" b="0" i="1">
                        <a:latin typeface="Cambria Math" panose="02040503050406030204" pitchFamily="18" charset="0"/>
                      </a:rPr>
                      <m:t>=</m:t>
                    </m:r>
                    <m:nary>
                      <m:naryPr>
                        <m:chr m:val="∑"/>
                        <m:ctrlPr>
                          <a:rPr kumimoji="1" lang="en-US" altLang="ja-JP" sz="1100" b="0" i="1">
                            <a:latin typeface="Cambria Math" panose="02040503050406030204" pitchFamily="18" charset="0"/>
                          </a:rPr>
                        </m:ctrlPr>
                      </m:naryPr>
                      <m:sub>
                        <m:r>
                          <m:rPr>
                            <m:brk m:alnAt="23"/>
                          </m:rPr>
                          <a:rPr kumimoji="1" lang="en-US" altLang="ja-JP" sz="1100" b="0" i="1">
                            <a:latin typeface="Cambria Math" panose="02040503050406030204" pitchFamily="18" charset="0"/>
                          </a:rPr>
                          <m:t>𝑖</m:t>
                        </m:r>
                        <m:r>
                          <a:rPr kumimoji="1" lang="en-US" altLang="ja-JP" sz="1100" b="0" i="1">
                            <a:latin typeface="Cambria Math" panose="02040503050406030204" pitchFamily="18" charset="0"/>
                          </a:rPr>
                          <m:t>=1</m:t>
                        </m:r>
                      </m:sub>
                      <m:sup>
                        <m:r>
                          <a:rPr kumimoji="1" lang="en-US" altLang="ja-JP" sz="1100" b="0" i="1">
                            <a:latin typeface="Cambria Math" panose="02040503050406030204" pitchFamily="18" charset="0"/>
                          </a:rPr>
                          <m:t>𝑛</m:t>
                        </m:r>
                      </m:sup>
                      <m:e>
                        <m:f>
                          <m:fPr>
                            <m:ctrlPr>
                              <a:rPr kumimoji="1" lang="en-US" altLang="ja-JP" sz="1100" b="0" i="1">
                                <a:solidFill>
                                  <a:schemeClr val="tx1"/>
                                </a:solidFill>
                                <a:effectLst/>
                                <a:latin typeface="Cambria Math" panose="02040503050406030204" pitchFamily="18" charset="0"/>
                                <a:ea typeface="+mn-ea"/>
                                <a:cs typeface="+mn-cs"/>
                              </a:rPr>
                            </m:ctrlPr>
                          </m:fPr>
                          <m:num>
                            <m:r>
                              <a:rPr kumimoji="1" lang="ja-JP" altLang="en-US" sz="1100" b="0" i="1">
                                <a:solidFill>
                                  <a:schemeClr val="tx1"/>
                                </a:solidFill>
                                <a:effectLst/>
                                <a:latin typeface="Cambria Math" panose="02040503050406030204" pitchFamily="18" charset="0"/>
                                <a:ea typeface="+mn-ea"/>
                                <a:cs typeface="+mn-cs"/>
                              </a:rPr>
                              <m:t>∑</m:t>
                            </m:r>
                            <m:r>
                              <a:rPr kumimoji="1" lang="en-US" altLang="ja-JP" sz="1100" b="0" i="1">
                                <a:solidFill>
                                  <a:schemeClr val="tx1"/>
                                </a:solidFill>
                                <a:effectLst/>
                                <a:latin typeface="Cambria Math" panose="02040503050406030204" pitchFamily="18" charset="0"/>
                                <a:ea typeface="+mn-ea"/>
                                <a:cs typeface="+mn-cs"/>
                              </a:rPr>
                              <m:t>𝑤𝑖</m:t>
                            </m:r>
                          </m:num>
                          <m:den>
                            <m:r>
                              <a:rPr kumimoji="1" lang="en-US" altLang="ja-JP" sz="1100" b="0" i="1">
                                <a:solidFill>
                                  <a:schemeClr val="tx1"/>
                                </a:solidFill>
                                <a:effectLst/>
                                <a:latin typeface="Cambria Math" panose="02040503050406030204" pitchFamily="18" charset="0"/>
                                <a:ea typeface="+mn-ea"/>
                                <a:cs typeface="+mn-cs"/>
                              </a:rPr>
                              <m:t>𝐾𝑖</m:t>
                            </m:r>
                          </m:den>
                        </m:f>
                      </m:e>
                    </m:nary>
                  </m:oMath>
                </m:oMathPara>
              </a14:m>
              <a:endParaRPr kumimoji="1" lang="ja-JP" altLang="en-US" sz="1100"/>
            </a:p>
          </xdr:txBody>
        </xdr:sp>
      </mc:Choice>
      <mc:Fallback xmlns="">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895350" y="866775"/>
              <a:ext cx="760914"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kumimoji="1" lang="ja-JP" altLang="en-US" sz="1100" i="0">
                  <a:latin typeface="Cambria Math" panose="02040503050406030204" pitchFamily="18" charset="0"/>
                </a:rPr>
                <a:t>𝛿</a:t>
              </a:r>
              <a:r>
                <a:rPr kumimoji="1" lang="en-US" altLang="ja-JP" sz="1100" b="0" i="0">
                  <a:latin typeface="Cambria Math" panose="02040503050406030204" pitchFamily="18" charset="0"/>
                </a:rPr>
                <a:t>=∑_(𝑖=1)^𝑛</a:t>
              </a:r>
              <a:r>
                <a:rPr kumimoji="1" lang="en-US" altLang="ja-JP" sz="1100" b="0" i="0">
                  <a:solidFill>
                    <a:schemeClr val="tx1"/>
                  </a:solidFill>
                  <a:effectLst/>
                  <a:latin typeface="Cambria Math" panose="02040503050406030204" pitchFamily="18" charset="0"/>
                  <a:ea typeface="+mn-ea"/>
                  <a:cs typeface="+mn-cs"/>
                </a:rPr>
                <a:t>▒(</a:t>
              </a:r>
              <a:r>
                <a:rPr kumimoji="1" lang="ja-JP" altLang="en-US" sz="1100" b="0" i="0">
                  <a:solidFill>
                    <a:schemeClr val="tx1"/>
                  </a:solidFill>
                  <a:effectLst/>
                  <a:latin typeface="Cambria Math" panose="02040503050406030204" pitchFamily="18" charset="0"/>
                  <a:ea typeface="+mn-ea"/>
                  <a:cs typeface="+mn-cs"/>
                </a:rPr>
                <a:t>∑</a:t>
              </a:r>
              <a:r>
                <a:rPr kumimoji="1" lang="en-US" altLang="ja-JP" sz="1100" b="0" i="0">
                  <a:solidFill>
                    <a:schemeClr val="tx1"/>
                  </a:solidFill>
                  <a:effectLst/>
                  <a:latin typeface="Cambria Math" panose="02040503050406030204" pitchFamily="18" charset="0"/>
                  <a:ea typeface="+mn-ea"/>
                  <a:cs typeface="+mn-cs"/>
                </a:rPr>
                <a:t>𝑤𝑖)/𝐾𝑖</a:t>
              </a:r>
              <a:endParaRPr kumimoji="1" lang="ja-JP" altLang="en-US" sz="1100"/>
            </a:p>
          </xdr:txBody>
        </xdr:sp>
      </mc:Fallback>
    </mc:AlternateContent>
    <xdr:clientData/>
  </xdr:oneCellAnchor>
  <mc:AlternateContent xmlns:mc="http://schemas.openxmlformats.org/markup-compatibility/2006">
    <mc:Choice xmlns:a14="http://schemas.microsoft.com/office/drawing/2010/main" Requires="a14">
      <xdr:twoCellAnchor>
        <xdr:from>
          <xdr:col>9</xdr:col>
          <xdr:colOff>114300</xdr:colOff>
          <xdr:row>5</xdr:row>
          <xdr:rowOff>38100</xdr:rowOff>
        </xdr:from>
        <xdr:to>
          <xdr:col>9</xdr:col>
          <xdr:colOff>556260</xdr:colOff>
          <xdr:row>6</xdr:row>
          <xdr:rowOff>121920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gr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68580</xdr:colOff>
          <xdr:row>5</xdr:row>
          <xdr:rowOff>30480</xdr:rowOff>
        </xdr:from>
        <xdr:to>
          <xdr:col>10</xdr:col>
          <xdr:colOff>502920</xdr:colOff>
          <xdr:row>6</xdr:row>
          <xdr:rowOff>114300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700-00000510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5</xdr:row>
          <xdr:rowOff>30480</xdr:rowOff>
        </xdr:from>
        <xdr:to>
          <xdr:col>11</xdr:col>
          <xdr:colOff>518160</xdr:colOff>
          <xdr:row>6</xdr:row>
          <xdr:rowOff>114300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700-00000610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121920</xdr:colOff>
          <xdr:row>16</xdr:row>
          <xdr:rowOff>68580</xdr:rowOff>
        </xdr:from>
        <xdr:to>
          <xdr:col>0</xdr:col>
          <xdr:colOff>601980</xdr:colOff>
          <xdr:row>18</xdr:row>
          <xdr:rowOff>60960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800-00000108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6</xdr:row>
          <xdr:rowOff>7620</xdr:rowOff>
        </xdr:from>
        <xdr:to>
          <xdr:col>0</xdr:col>
          <xdr:colOff>632460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800-00000208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3</xdr:row>
          <xdr:rowOff>38100</xdr:rowOff>
        </xdr:from>
        <xdr:to>
          <xdr:col>0</xdr:col>
          <xdr:colOff>609600</xdr:colOff>
          <xdr:row>5</xdr:row>
          <xdr:rowOff>30480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800-00000308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ready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9</xdr:row>
          <xdr:rowOff>0</xdr:rowOff>
        </xdr:from>
        <xdr:to>
          <xdr:col>0</xdr:col>
          <xdr:colOff>632460</xdr:colOff>
          <xdr:row>10</xdr:row>
          <xdr:rowOff>144780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800-00000508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jocobi</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1.x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5"/>
  <sheetViews>
    <sheetView tabSelected="1" workbookViewId="0">
      <selection activeCell="L27" sqref="L27"/>
    </sheetView>
  </sheetViews>
  <sheetFormatPr defaultRowHeight="11.7" x14ac:dyDescent="0.3"/>
  <cols>
    <col min="15" max="15" width="14.1171875" bestFit="1" customWidth="1"/>
  </cols>
  <sheetData>
    <row r="1" spans="1:26" x14ac:dyDescent="0.3">
      <c r="A1">
        <v>1</v>
      </c>
      <c r="B1">
        <v>2</v>
      </c>
      <c r="C1">
        <v>3</v>
      </c>
      <c r="D1">
        <v>4</v>
      </c>
      <c r="E1">
        <v>5</v>
      </c>
      <c r="F1">
        <v>6</v>
      </c>
      <c r="G1">
        <v>7</v>
      </c>
      <c r="H1">
        <v>8</v>
      </c>
      <c r="I1">
        <v>9</v>
      </c>
      <c r="J1">
        <v>10</v>
      </c>
      <c r="K1">
        <v>11</v>
      </c>
      <c r="L1">
        <v>12</v>
      </c>
      <c r="M1">
        <v>13</v>
      </c>
      <c r="N1">
        <v>14</v>
      </c>
      <c r="O1">
        <v>15</v>
      </c>
      <c r="P1">
        <v>16</v>
      </c>
      <c r="Q1">
        <v>17</v>
      </c>
      <c r="R1">
        <v>18</v>
      </c>
      <c r="S1">
        <v>19</v>
      </c>
      <c r="T1">
        <v>20</v>
      </c>
      <c r="U1">
        <v>21</v>
      </c>
      <c r="V1">
        <v>43.699996948242188</v>
      </c>
      <c r="W1">
        <v>23</v>
      </c>
      <c r="X1">
        <v>24</v>
      </c>
      <c r="Y1">
        <v>25</v>
      </c>
      <c r="Z1">
        <v>26</v>
      </c>
    </row>
    <row r="2" spans="1:26" x14ac:dyDescent="0.3">
      <c r="B2" s="131"/>
      <c r="C2" s="133" t="s">
        <v>256</v>
      </c>
      <c r="D2" s="132">
        <v>11</v>
      </c>
      <c r="E2" s="132"/>
      <c r="F2" s="132"/>
    </row>
    <row r="3" spans="1:26" x14ac:dyDescent="0.3">
      <c r="B3" s="131"/>
      <c r="C3" s="133" t="s">
        <v>257</v>
      </c>
      <c r="D3" s="132">
        <v>1</v>
      </c>
      <c r="E3" s="132"/>
      <c r="F3" s="133" t="s">
        <v>120</v>
      </c>
      <c r="G3" s="131"/>
    </row>
    <row r="4" spans="1:26" x14ac:dyDescent="0.3">
      <c r="B4" s="131"/>
      <c r="C4" s="133" t="s">
        <v>124</v>
      </c>
      <c r="D4" s="132">
        <v>0.2</v>
      </c>
      <c r="E4" s="132"/>
      <c r="F4" s="134"/>
    </row>
    <row r="5" spans="1:26" x14ac:dyDescent="0.3">
      <c r="B5" s="131"/>
      <c r="C5" s="133" t="s">
        <v>125</v>
      </c>
      <c r="D5" s="132">
        <v>0.6</v>
      </c>
      <c r="E5" s="132"/>
      <c r="F5" s="134"/>
    </row>
    <row r="6" spans="1:26" x14ac:dyDescent="0.3">
      <c r="B6" s="131"/>
      <c r="C6" s="133" t="s">
        <v>126</v>
      </c>
      <c r="D6">
        <v>1.3109999895095825</v>
      </c>
      <c r="F6" s="133"/>
      <c r="G6">
        <v>43.700000762939453</v>
      </c>
    </row>
    <row r="7" spans="1:26" x14ac:dyDescent="0.3">
      <c r="B7" s="131"/>
      <c r="C7" s="133" t="s">
        <v>127</v>
      </c>
      <c r="D7">
        <v>0.73226548118134493</v>
      </c>
      <c r="F7" s="133"/>
      <c r="G7">
        <v>7324.6931414302062</v>
      </c>
    </row>
    <row r="8" spans="1:26" x14ac:dyDescent="0.3">
      <c r="F8" s="133"/>
    </row>
    <row r="9" spans="1:26" x14ac:dyDescent="0.3">
      <c r="A9" s="134"/>
      <c r="B9" s="134"/>
      <c r="C9" s="134"/>
      <c r="D9" s="134"/>
      <c r="E9" s="134"/>
      <c r="F9" s="134"/>
      <c r="G9" s="134"/>
      <c r="H9" s="134">
        <v>8</v>
      </c>
      <c r="I9" s="134">
        <v>9</v>
      </c>
      <c r="J9" s="134">
        <v>10</v>
      </c>
      <c r="K9" s="134">
        <v>11</v>
      </c>
      <c r="L9" s="134">
        <v>12</v>
      </c>
      <c r="M9" s="134">
        <v>13</v>
      </c>
      <c r="N9" s="134">
        <v>14</v>
      </c>
      <c r="O9" s="134">
        <v>15</v>
      </c>
      <c r="P9" s="134">
        <v>16</v>
      </c>
      <c r="Q9" s="134">
        <v>17</v>
      </c>
      <c r="R9" s="134">
        <v>18</v>
      </c>
      <c r="S9" s="134">
        <v>19</v>
      </c>
      <c r="T9" s="134">
        <v>20</v>
      </c>
    </row>
    <row r="10" spans="1:26" x14ac:dyDescent="0.3">
      <c r="A10" s="134"/>
      <c r="B10" s="134"/>
      <c r="C10" s="135"/>
      <c r="D10" s="135"/>
      <c r="E10" s="135"/>
      <c r="F10" s="135"/>
      <c r="G10" s="134"/>
      <c r="H10" s="135" t="s">
        <v>123</v>
      </c>
      <c r="I10" s="135" t="s">
        <v>134</v>
      </c>
      <c r="J10" s="136" t="s">
        <v>140</v>
      </c>
      <c r="K10" s="134"/>
      <c r="L10" s="135" t="s">
        <v>135</v>
      </c>
      <c r="M10" s="136" t="s">
        <v>141</v>
      </c>
      <c r="N10" s="134"/>
      <c r="O10" s="135" t="s">
        <v>121</v>
      </c>
      <c r="P10" s="135" t="s">
        <v>122</v>
      </c>
      <c r="Q10" s="135" t="s">
        <v>123</v>
      </c>
      <c r="R10" s="134"/>
      <c r="S10" s="135" t="s">
        <v>134</v>
      </c>
      <c r="T10" s="135" t="s">
        <v>135</v>
      </c>
    </row>
    <row r="11" spans="1:26" x14ac:dyDescent="0.3">
      <c r="C11">
        <v>11</v>
      </c>
      <c r="D11">
        <v>5</v>
      </c>
      <c r="E11">
        <v>2461.46923828125</v>
      </c>
      <c r="F11">
        <v>251.00001525878906</v>
      </c>
      <c r="G11">
        <v>222.1</v>
      </c>
      <c r="I11">
        <v>15</v>
      </c>
      <c r="J11">
        <v>14.806666666666667</v>
      </c>
      <c r="L11">
        <v>13.000000000000011</v>
      </c>
      <c r="M11">
        <v>17.084615384615372</v>
      </c>
      <c r="O11" s="172">
        <v>5</v>
      </c>
      <c r="P11" s="138">
        <f>V11*9.80665</f>
        <v>2461.4691499999999</v>
      </c>
      <c r="Q11" s="138">
        <v>222.1</v>
      </c>
      <c r="R11" s="134"/>
      <c r="S11" s="138">
        <f>+X11*1000</f>
        <v>15</v>
      </c>
      <c r="T11" s="138">
        <f>+Z11*1000</f>
        <v>13.000000000000011</v>
      </c>
      <c r="V11" s="163">
        <v>251</v>
      </c>
      <c r="W11" s="163">
        <v>0.109</v>
      </c>
      <c r="X11">
        <f>+W11-W12</f>
        <v>1.4999999999999999E-2</v>
      </c>
      <c r="Y11" s="163">
        <v>0.11700000000000001</v>
      </c>
      <c r="Z11">
        <f>+Y11-Y12</f>
        <v>1.3000000000000012E-2</v>
      </c>
    </row>
    <row r="12" spans="1:26" x14ac:dyDescent="0.3">
      <c r="C12">
        <v>10</v>
      </c>
      <c r="D12">
        <v>3.8</v>
      </c>
      <c r="E12">
        <v>6276.255859375</v>
      </c>
      <c r="F12">
        <v>640</v>
      </c>
      <c r="G12">
        <v>327.60000000000002</v>
      </c>
      <c r="I12">
        <v>8.9999999999999947</v>
      </c>
      <c r="J12">
        <v>36.400000000000027</v>
      </c>
      <c r="L12">
        <v>8.9999999999999947</v>
      </c>
      <c r="M12">
        <v>36.400000000000027</v>
      </c>
      <c r="O12" s="172">
        <v>3.8</v>
      </c>
      <c r="P12" s="138">
        <f t="shared" ref="P12:P21" si="0">V12*9.80665</f>
        <v>6276.2559999999994</v>
      </c>
      <c r="Q12" s="138">
        <v>327.60000000000002</v>
      </c>
      <c r="R12" s="134"/>
      <c r="S12" s="138">
        <f t="shared" ref="S12:S21" si="1">+X12*1000</f>
        <v>8.9999999999999947</v>
      </c>
      <c r="T12" s="138">
        <f t="shared" ref="T12:T21" si="2">+Z12*1000</f>
        <v>8.9999999999999947</v>
      </c>
      <c r="V12" s="163">
        <v>640</v>
      </c>
      <c r="W12" s="163">
        <v>9.4E-2</v>
      </c>
      <c r="X12">
        <f t="shared" ref="X12:X21" si="3">+W12-W13</f>
        <v>8.9999999999999941E-3</v>
      </c>
      <c r="Y12" s="163">
        <v>0.104</v>
      </c>
      <c r="Z12">
        <f t="shared" ref="Z12:Z21" si="4">+Y12-Y13</f>
        <v>8.9999999999999941E-3</v>
      </c>
    </row>
    <row r="13" spans="1:26" x14ac:dyDescent="0.3">
      <c r="C13">
        <v>9</v>
      </c>
      <c r="D13">
        <v>3.8</v>
      </c>
      <c r="E13">
        <v>4452.21923828125</v>
      </c>
      <c r="F13">
        <v>454</v>
      </c>
      <c r="G13">
        <v>416.3</v>
      </c>
      <c r="I13">
        <v>10.000000000000009</v>
      </c>
      <c r="J13">
        <v>41.629999999999967</v>
      </c>
      <c r="L13">
        <v>10.999999999999996</v>
      </c>
      <c r="M13">
        <v>37.845454545454558</v>
      </c>
      <c r="O13" s="172">
        <v>3.8</v>
      </c>
      <c r="P13" s="138">
        <f t="shared" si="0"/>
        <v>4452.2190999999993</v>
      </c>
      <c r="Q13" s="138">
        <v>416.3</v>
      </c>
      <c r="R13" s="134"/>
      <c r="S13" s="138">
        <f t="shared" si="1"/>
        <v>10.000000000000009</v>
      </c>
      <c r="T13" s="138">
        <f t="shared" si="2"/>
        <v>10.999999999999996</v>
      </c>
      <c r="V13" s="163">
        <v>454</v>
      </c>
      <c r="W13" s="163">
        <v>8.5000000000000006E-2</v>
      </c>
      <c r="X13">
        <f t="shared" si="3"/>
        <v>1.0000000000000009E-2</v>
      </c>
      <c r="Y13" s="163">
        <v>9.5000000000000001E-2</v>
      </c>
      <c r="Z13">
        <f t="shared" si="4"/>
        <v>1.0999999999999996E-2</v>
      </c>
    </row>
    <row r="14" spans="1:26" x14ac:dyDescent="0.3">
      <c r="C14">
        <v>8</v>
      </c>
      <c r="D14">
        <v>3.8</v>
      </c>
      <c r="E14">
        <v>4462.02587890625</v>
      </c>
      <c r="F14">
        <v>455</v>
      </c>
      <c r="G14">
        <v>490.9</v>
      </c>
      <c r="I14">
        <v>10.999999999999996</v>
      </c>
      <c r="J14">
        <v>44.627272727272739</v>
      </c>
      <c r="L14">
        <v>12.000000000000011</v>
      </c>
      <c r="M14">
        <v>40.908333333333296</v>
      </c>
      <c r="O14" s="172">
        <v>3.8</v>
      </c>
      <c r="P14" s="138">
        <f t="shared" si="0"/>
        <v>4462.0257499999998</v>
      </c>
      <c r="Q14" s="138">
        <v>490.9</v>
      </c>
      <c r="R14" s="134"/>
      <c r="S14" s="138">
        <f t="shared" si="1"/>
        <v>10.999999999999996</v>
      </c>
      <c r="T14" s="138">
        <f t="shared" si="2"/>
        <v>12.000000000000011</v>
      </c>
      <c r="V14" s="163">
        <v>455</v>
      </c>
      <c r="W14" s="163">
        <v>7.4999999999999997E-2</v>
      </c>
      <c r="X14">
        <f t="shared" si="3"/>
        <v>1.0999999999999996E-2</v>
      </c>
      <c r="Y14" s="163">
        <v>8.4000000000000005E-2</v>
      </c>
      <c r="Z14">
        <f t="shared" si="4"/>
        <v>1.2000000000000011E-2</v>
      </c>
    </row>
    <row r="15" spans="1:26" x14ac:dyDescent="0.3">
      <c r="C15">
        <v>7</v>
      </c>
      <c r="D15">
        <v>3.8</v>
      </c>
      <c r="E15">
        <v>4511.05908203125</v>
      </c>
      <c r="F15">
        <v>460</v>
      </c>
      <c r="G15">
        <v>552.6</v>
      </c>
      <c r="I15">
        <v>11.000000000000004</v>
      </c>
      <c r="J15">
        <v>50.23636363636362</v>
      </c>
      <c r="L15">
        <v>10.999999999999996</v>
      </c>
      <c r="M15">
        <v>50.236363636363656</v>
      </c>
      <c r="O15" s="172">
        <v>3.8</v>
      </c>
      <c r="P15" s="138">
        <f t="shared" si="0"/>
        <v>4511.0589999999993</v>
      </c>
      <c r="Q15" s="138">
        <v>552.6</v>
      </c>
      <c r="R15" s="134"/>
      <c r="S15" s="138">
        <f t="shared" si="1"/>
        <v>11.000000000000004</v>
      </c>
      <c r="T15" s="138">
        <f t="shared" si="2"/>
        <v>10.999999999999996</v>
      </c>
      <c r="V15" s="163">
        <v>460</v>
      </c>
      <c r="W15" s="163">
        <v>6.4000000000000001E-2</v>
      </c>
      <c r="X15">
        <f t="shared" si="3"/>
        <v>1.1000000000000003E-2</v>
      </c>
      <c r="Y15" s="163">
        <v>7.1999999999999995E-2</v>
      </c>
      <c r="Z15">
        <f t="shared" si="4"/>
        <v>1.0999999999999996E-2</v>
      </c>
    </row>
    <row r="16" spans="1:26" x14ac:dyDescent="0.3">
      <c r="C16">
        <v>6</v>
      </c>
      <c r="D16">
        <v>3.8</v>
      </c>
      <c r="E16">
        <v>4579.70556640625</v>
      </c>
      <c r="F16">
        <v>467</v>
      </c>
      <c r="G16">
        <v>603.4</v>
      </c>
      <c r="I16">
        <v>9.0000000000000018</v>
      </c>
      <c r="J16">
        <v>67.044444444444423</v>
      </c>
      <c r="L16">
        <v>10.000000000000002</v>
      </c>
      <c r="M16">
        <v>60.339999999999989</v>
      </c>
      <c r="O16" s="172">
        <v>3.8</v>
      </c>
      <c r="P16" s="138">
        <f t="shared" si="0"/>
        <v>4579.7055499999997</v>
      </c>
      <c r="Q16" s="138">
        <v>603.4</v>
      </c>
      <c r="R16" s="134"/>
      <c r="S16" s="138">
        <f t="shared" si="1"/>
        <v>9.0000000000000018</v>
      </c>
      <c r="T16" s="138">
        <f t="shared" si="2"/>
        <v>10.000000000000002</v>
      </c>
      <c r="V16" s="163">
        <v>467</v>
      </c>
      <c r="W16" s="163">
        <v>5.2999999999999999E-2</v>
      </c>
      <c r="X16">
        <f t="shared" si="3"/>
        <v>9.0000000000000011E-3</v>
      </c>
      <c r="Y16" s="163">
        <v>6.0999999999999999E-2</v>
      </c>
      <c r="Z16">
        <f t="shared" si="4"/>
        <v>1.0000000000000002E-2</v>
      </c>
    </row>
    <row r="17" spans="3:26" x14ac:dyDescent="0.3">
      <c r="C17">
        <v>5</v>
      </c>
      <c r="D17">
        <v>3.8</v>
      </c>
      <c r="E17">
        <v>4599.31884765625</v>
      </c>
      <c r="F17">
        <v>469</v>
      </c>
      <c r="G17">
        <v>641.79999999999995</v>
      </c>
      <c r="I17">
        <v>9.9999999999999947</v>
      </c>
      <c r="J17">
        <v>64.180000000000035</v>
      </c>
      <c r="L17">
        <v>8.9999999999999947</v>
      </c>
      <c r="M17">
        <v>71.311111111111146</v>
      </c>
      <c r="O17" s="172">
        <v>3.8</v>
      </c>
      <c r="P17" s="138">
        <f t="shared" si="0"/>
        <v>4599.3188499999997</v>
      </c>
      <c r="Q17" s="138">
        <v>641.79999999999995</v>
      </c>
      <c r="R17" s="134"/>
      <c r="S17" s="138">
        <f t="shared" si="1"/>
        <v>9.9999999999999947</v>
      </c>
      <c r="T17" s="138">
        <f t="shared" si="2"/>
        <v>8.9999999999999947</v>
      </c>
      <c r="V17" s="163">
        <v>469</v>
      </c>
      <c r="W17" s="163">
        <v>4.3999999999999997E-2</v>
      </c>
      <c r="X17">
        <f t="shared" si="3"/>
        <v>9.999999999999995E-3</v>
      </c>
      <c r="Y17" s="163">
        <v>5.0999999999999997E-2</v>
      </c>
      <c r="Z17">
        <f t="shared" si="4"/>
        <v>8.9999999999999941E-3</v>
      </c>
    </row>
    <row r="18" spans="3:26" x14ac:dyDescent="0.3">
      <c r="C18">
        <v>4</v>
      </c>
      <c r="D18">
        <v>3.8</v>
      </c>
      <c r="E18">
        <v>4618.93212890625</v>
      </c>
      <c r="F18">
        <v>471</v>
      </c>
      <c r="G18">
        <v>669.9</v>
      </c>
      <c r="I18">
        <v>9.0000000000000018</v>
      </c>
      <c r="J18">
        <v>74.433333333333323</v>
      </c>
      <c r="L18">
        <v>10.000000000000002</v>
      </c>
      <c r="M18">
        <v>66.989999999999981</v>
      </c>
      <c r="O18" s="172">
        <v>3.8</v>
      </c>
      <c r="P18" s="138">
        <f t="shared" si="0"/>
        <v>4618.9321499999996</v>
      </c>
      <c r="Q18" s="138">
        <v>669.9</v>
      </c>
      <c r="R18" s="137"/>
      <c r="S18" s="138">
        <f t="shared" si="1"/>
        <v>9.0000000000000018</v>
      </c>
      <c r="T18" s="138">
        <f t="shared" si="2"/>
        <v>10.000000000000002</v>
      </c>
      <c r="V18" s="163">
        <v>471</v>
      </c>
      <c r="W18" s="163">
        <v>3.4000000000000002E-2</v>
      </c>
      <c r="X18">
        <f t="shared" si="3"/>
        <v>9.0000000000000011E-3</v>
      </c>
      <c r="Y18" s="163">
        <v>4.2000000000000003E-2</v>
      </c>
      <c r="Z18">
        <f>+Y18-Y19</f>
        <v>1.0000000000000002E-2</v>
      </c>
    </row>
    <row r="19" spans="3:26" x14ac:dyDescent="0.3">
      <c r="C19">
        <v>3</v>
      </c>
      <c r="D19">
        <v>3.8</v>
      </c>
      <c r="E19">
        <v>4658.15869140625</v>
      </c>
      <c r="F19">
        <v>475</v>
      </c>
      <c r="G19">
        <v>669.9</v>
      </c>
      <c r="I19">
        <v>9.0000000000000018</v>
      </c>
      <c r="J19">
        <v>74.433333333333323</v>
      </c>
      <c r="L19">
        <v>10.000000000000002</v>
      </c>
      <c r="M19">
        <v>66.989999999999981</v>
      </c>
      <c r="O19" s="172">
        <v>3.8</v>
      </c>
      <c r="P19" s="138">
        <f t="shared" si="0"/>
        <v>4658.1587499999996</v>
      </c>
      <c r="Q19" s="138">
        <v>669.9</v>
      </c>
      <c r="S19" s="138">
        <f t="shared" si="1"/>
        <v>9.0000000000000018</v>
      </c>
      <c r="T19" s="138">
        <f t="shared" si="2"/>
        <v>10.000000000000002</v>
      </c>
      <c r="V19" s="163">
        <v>475</v>
      </c>
      <c r="W19" s="163">
        <v>2.5000000000000001E-2</v>
      </c>
      <c r="X19">
        <f t="shared" si="3"/>
        <v>9.0000000000000011E-3</v>
      </c>
      <c r="Y19" s="163">
        <v>3.2000000000000001E-2</v>
      </c>
      <c r="Z19">
        <f>+Y19-Y20</f>
        <v>1.0000000000000002E-2</v>
      </c>
    </row>
    <row r="20" spans="3:26" x14ac:dyDescent="0.3">
      <c r="C20">
        <v>2</v>
      </c>
      <c r="D20">
        <v>3.8</v>
      </c>
      <c r="E20">
        <v>4677.77197265625</v>
      </c>
      <c r="F20">
        <v>477</v>
      </c>
      <c r="G20">
        <v>669.9</v>
      </c>
      <c r="I20">
        <v>8</v>
      </c>
      <c r="J20">
        <v>83.737499999999997</v>
      </c>
      <c r="L20">
        <v>9.9999999999999982</v>
      </c>
      <c r="M20">
        <v>66.990000000000009</v>
      </c>
      <c r="O20" s="172">
        <v>3.8</v>
      </c>
      <c r="P20" s="138">
        <f t="shared" si="0"/>
        <v>4677.7720499999996</v>
      </c>
      <c r="Q20" s="138">
        <v>669.9</v>
      </c>
      <c r="S20" s="138">
        <f t="shared" si="1"/>
        <v>8</v>
      </c>
      <c r="T20" s="138">
        <f t="shared" si="2"/>
        <v>9.9999999999999982</v>
      </c>
      <c r="V20" s="163">
        <v>477</v>
      </c>
      <c r="W20" s="163">
        <v>1.6E-2</v>
      </c>
      <c r="X20">
        <f t="shared" si="3"/>
        <v>8.0000000000000002E-3</v>
      </c>
      <c r="Y20" s="163">
        <v>2.1999999999999999E-2</v>
      </c>
      <c r="Z20">
        <f t="shared" si="4"/>
        <v>9.9999999999999985E-3</v>
      </c>
    </row>
    <row r="21" spans="3:26" x14ac:dyDescent="0.3">
      <c r="C21">
        <v>1</v>
      </c>
      <c r="D21">
        <v>4.5</v>
      </c>
      <c r="E21">
        <v>4716.99853515625</v>
      </c>
      <c r="F21">
        <v>481</v>
      </c>
      <c r="G21">
        <v>669.9</v>
      </c>
      <c r="I21">
        <v>8</v>
      </c>
      <c r="J21">
        <v>83.737499999999997</v>
      </c>
      <c r="L21">
        <v>12</v>
      </c>
      <c r="M21">
        <v>55.824999999999996</v>
      </c>
      <c r="O21" s="172">
        <v>4.5</v>
      </c>
      <c r="P21" s="138">
        <f t="shared" si="0"/>
        <v>4716.9986499999995</v>
      </c>
      <c r="Q21" s="138">
        <v>669.9</v>
      </c>
      <c r="S21" s="138">
        <f t="shared" si="1"/>
        <v>8</v>
      </c>
      <c r="T21" s="138">
        <f t="shared" si="2"/>
        <v>12</v>
      </c>
      <c r="V21" s="163">
        <v>481</v>
      </c>
      <c r="W21" s="163">
        <v>8.0000000000000002E-3</v>
      </c>
      <c r="X21">
        <f t="shared" si="3"/>
        <v>8.0000000000000002E-3</v>
      </c>
      <c r="Y21" s="163">
        <v>1.2E-2</v>
      </c>
      <c r="Z21">
        <f t="shared" si="4"/>
        <v>1.2E-2</v>
      </c>
    </row>
    <row r="22" spans="3:26" x14ac:dyDescent="0.3">
      <c r="D22">
        <v>43.700000762939453</v>
      </c>
      <c r="E22">
        <v>50013.91796875</v>
      </c>
      <c r="F22">
        <v>5100</v>
      </c>
      <c r="O22" s="171"/>
    </row>
    <row r="24" spans="3:26" x14ac:dyDescent="0.3">
      <c r="C24" t="s">
        <v>258</v>
      </c>
      <c r="D24" t="s">
        <v>265</v>
      </c>
      <c r="E24" t="s">
        <v>259</v>
      </c>
      <c r="F24" t="s">
        <v>260</v>
      </c>
      <c r="G24" t="s">
        <v>261</v>
      </c>
      <c r="H24" t="s">
        <v>262</v>
      </c>
      <c r="I24" t="s">
        <v>263</v>
      </c>
      <c r="J24" t="s">
        <v>264</v>
      </c>
      <c r="O24" s="134"/>
    </row>
    <row r="25" spans="3:26" x14ac:dyDescent="0.3">
      <c r="C25">
        <v>11</v>
      </c>
      <c r="D25">
        <v>5</v>
      </c>
      <c r="E25">
        <v>2461.5</v>
      </c>
      <c r="F25">
        <v>2461.5</v>
      </c>
      <c r="G25">
        <v>4.9200000000000001E-2</v>
      </c>
      <c r="H25">
        <v>3.3696999999999999</v>
      </c>
      <c r="I25">
        <v>0.49349999999999999</v>
      </c>
      <c r="J25">
        <v>1215</v>
      </c>
      <c r="O25">
        <f>H25-M25</f>
        <v>3.3696999999999999</v>
      </c>
      <c r="Q25">
        <f>M25*E25</f>
        <v>0</v>
      </c>
      <c r="R25">
        <v>0.14099999999999999</v>
      </c>
      <c r="S25">
        <f>+Q25*R25</f>
        <v>0</v>
      </c>
      <c r="T25">
        <f>+S25</f>
        <v>0</v>
      </c>
      <c r="U25">
        <v>0.129</v>
      </c>
      <c r="V25">
        <f>Q25*U25</f>
        <v>0</v>
      </c>
      <c r="W25">
        <f>+V25</f>
        <v>0</v>
      </c>
    </row>
    <row r="26" spans="3:26" x14ac:dyDescent="0.3">
      <c r="C26">
        <v>10</v>
      </c>
      <c r="D26">
        <v>3.8</v>
      </c>
      <c r="E26">
        <v>6276.2998046875</v>
      </c>
      <c r="F26">
        <v>8737.7001953125</v>
      </c>
      <c r="G26">
        <v>0.17469999999999999</v>
      </c>
      <c r="H26">
        <v>2.1787999999999998</v>
      </c>
      <c r="I26">
        <v>0.31909999999999999</v>
      </c>
      <c r="J26">
        <v>2788</v>
      </c>
      <c r="O26">
        <f t="shared" ref="O26:O35" si="5">H26-M26</f>
        <v>2.1787999999999998</v>
      </c>
      <c r="Q26">
        <f t="shared" ref="Q26:Q35" si="6">M26*E26</f>
        <v>0</v>
      </c>
      <c r="R26">
        <v>0.14099999999999999</v>
      </c>
      <c r="S26">
        <f t="shared" ref="S26:S35" si="7">+Q26*R26</f>
        <v>0</v>
      </c>
      <c r="T26">
        <f>+S26+T25</f>
        <v>0</v>
      </c>
      <c r="U26">
        <v>0.129</v>
      </c>
      <c r="V26">
        <f t="shared" ref="V26:V35" si="8">Q26*U26</f>
        <v>0</v>
      </c>
      <c r="W26">
        <f>+V26+W25</f>
        <v>0</v>
      </c>
    </row>
    <row r="27" spans="3:26" x14ac:dyDescent="0.3">
      <c r="C27">
        <v>9</v>
      </c>
      <c r="D27">
        <v>3.8</v>
      </c>
      <c r="E27">
        <v>4452.2001953125</v>
      </c>
      <c r="F27">
        <v>13189.900390625</v>
      </c>
      <c r="G27">
        <v>0.26369999999999999</v>
      </c>
      <c r="H27">
        <v>1.8948</v>
      </c>
      <c r="I27">
        <v>0.27750000000000002</v>
      </c>
      <c r="J27">
        <v>3660</v>
      </c>
      <c r="O27">
        <f t="shared" si="5"/>
        <v>1.8948</v>
      </c>
      <c r="Q27">
        <f t="shared" si="6"/>
        <v>0</v>
      </c>
      <c r="R27">
        <v>0.14099999999999999</v>
      </c>
      <c r="S27">
        <f t="shared" si="7"/>
        <v>0</v>
      </c>
      <c r="T27">
        <f t="shared" ref="T27:T35" si="9">+S27+T26</f>
        <v>0</v>
      </c>
      <c r="U27">
        <v>0.129</v>
      </c>
      <c r="V27">
        <f t="shared" si="8"/>
        <v>0</v>
      </c>
      <c r="W27">
        <f t="shared" ref="W27:W35" si="10">+V27+W26</f>
        <v>0</v>
      </c>
    </row>
    <row r="28" spans="3:26" x14ac:dyDescent="0.3">
      <c r="C28">
        <v>8</v>
      </c>
      <c r="D28">
        <v>3.8</v>
      </c>
      <c r="E28">
        <v>4462</v>
      </c>
      <c r="F28">
        <v>17652</v>
      </c>
      <c r="G28">
        <v>0.35289999999999999</v>
      </c>
      <c r="H28">
        <v>1.7071000000000001</v>
      </c>
      <c r="I28">
        <v>0.25</v>
      </c>
      <c r="J28">
        <v>4413</v>
      </c>
      <c r="O28">
        <f t="shared" si="5"/>
        <v>1.7071000000000001</v>
      </c>
      <c r="Q28">
        <f t="shared" si="6"/>
        <v>0</v>
      </c>
      <c r="R28">
        <v>0.14099999999999999</v>
      </c>
      <c r="S28">
        <f t="shared" si="7"/>
        <v>0</v>
      </c>
      <c r="T28">
        <f t="shared" si="9"/>
        <v>0</v>
      </c>
      <c r="U28">
        <v>0.129</v>
      </c>
      <c r="V28">
        <f t="shared" si="8"/>
        <v>0</v>
      </c>
      <c r="W28">
        <f t="shared" si="10"/>
        <v>0</v>
      </c>
    </row>
    <row r="29" spans="3:26" x14ac:dyDescent="0.3">
      <c r="C29">
        <v>7</v>
      </c>
      <c r="D29">
        <v>3.8</v>
      </c>
      <c r="E29">
        <v>4511.10009765625</v>
      </c>
      <c r="F29">
        <v>22163</v>
      </c>
      <c r="G29">
        <v>0.44309999999999999</v>
      </c>
      <c r="H29">
        <v>1.5629</v>
      </c>
      <c r="I29">
        <v>0.22889999999999999</v>
      </c>
      <c r="J29">
        <v>5073</v>
      </c>
      <c r="O29">
        <f t="shared" si="5"/>
        <v>1.5629</v>
      </c>
      <c r="Q29">
        <f t="shared" si="6"/>
        <v>0</v>
      </c>
      <c r="R29">
        <v>0.14099999999999999</v>
      </c>
      <c r="S29">
        <f t="shared" si="7"/>
        <v>0</v>
      </c>
      <c r="T29">
        <f t="shared" si="9"/>
        <v>0</v>
      </c>
      <c r="U29">
        <v>0.129</v>
      </c>
      <c r="V29">
        <f t="shared" si="8"/>
        <v>0</v>
      </c>
      <c r="W29">
        <f t="shared" si="10"/>
        <v>0</v>
      </c>
    </row>
    <row r="30" spans="3:26" x14ac:dyDescent="0.3">
      <c r="C30">
        <v>6</v>
      </c>
      <c r="D30">
        <v>3.8</v>
      </c>
      <c r="E30">
        <v>4579.7001953125</v>
      </c>
      <c r="F30">
        <v>26742.69921875</v>
      </c>
      <c r="G30">
        <v>0.53469999999999995</v>
      </c>
      <c r="H30">
        <v>1.4427000000000001</v>
      </c>
      <c r="I30">
        <v>0.21129999999999999</v>
      </c>
      <c r="J30">
        <v>5650</v>
      </c>
      <c r="O30">
        <f t="shared" si="5"/>
        <v>1.4427000000000001</v>
      </c>
      <c r="Q30">
        <f t="shared" si="6"/>
        <v>0</v>
      </c>
      <c r="R30">
        <v>0.14099999999999999</v>
      </c>
      <c r="S30">
        <f t="shared" si="7"/>
        <v>0</v>
      </c>
      <c r="T30">
        <f t="shared" si="9"/>
        <v>0</v>
      </c>
      <c r="U30">
        <v>0.129</v>
      </c>
      <c r="V30">
        <f t="shared" si="8"/>
        <v>0</v>
      </c>
      <c r="W30">
        <f t="shared" si="10"/>
        <v>0</v>
      </c>
    </row>
    <row r="31" spans="3:26" x14ac:dyDescent="0.3">
      <c r="C31">
        <v>5</v>
      </c>
      <c r="D31">
        <v>3.8</v>
      </c>
      <c r="E31">
        <v>4599.2998046875</v>
      </c>
      <c r="F31">
        <v>31342.099609375</v>
      </c>
      <c r="G31">
        <v>0.62670000000000003</v>
      </c>
      <c r="H31">
        <v>1.3383</v>
      </c>
      <c r="I31">
        <v>0.19600000000000001</v>
      </c>
      <c r="J31">
        <v>6143</v>
      </c>
      <c r="O31">
        <f t="shared" si="5"/>
        <v>1.3383</v>
      </c>
      <c r="Q31">
        <f t="shared" si="6"/>
        <v>0</v>
      </c>
      <c r="R31">
        <v>0.14099999999999999</v>
      </c>
      <c r="S31">
        <f t="shared" si="7"/>
        <v>0</v>
      </c>
      <c r="T31">
        <f t="shared" si="9"/>
        <v>0</v>
      </c>
      <c r="U31">
        <v>0.129</v>
      </c>
      <c r="V31">
        <f t="shared" si="8"/>
        <v>0</v>
      </c>
      <c r="W31">
        <f t="shared" si="10"/>
        <v>0</v>
      </c>
    </row>
    <row r="32" spans="3:26" x14ac:dyDescent="0.3">
      <c r="C32">
        <v>4</v>
      </c>
      <c r="D32">
        <v>3.8</v>
      </c>
      <c r="E32">
        <v>4618.89990234375</v>
      </c>
      <c r="F32">
        <v>35961</v>
      </c>
      <c r="G32">
        <v>0.71899999999999997</v>
      </c>
      <c r="H32">
        <v>1.2446999999999999</v>
      </c>
      <c r="I32">
        <v>0.18229999999999999</v>
      </c>
      <c r="J32">
        <v>6555</v>
      </c>
      <c r="O32">
        <f t="shared" si="5"/>
        <v>1.2446999999999999</v>
      </c>
      <c r="Q32">
        <f t="shared" si="6"/>
        <v>0</v>
      </c>
      <c r="R32">
        <v>0.14099999999999999</v>
      </c>
      <c r="S32">
        <f t="shared" si="7"/>
        <v>0</v>
      </c>
      <c r="T32">
        <f t="shared" si="9"/>
        <v>0</v>
      </c>
      <c r="U32">
        <v>0.129</v>
      </c>
      <c r="V32">
        <f t="shared" si="8"/>
        <v>0</v>
      </c>
      <c r="W32">
        <f t="shared" si="10"/>
        <v>0</v>
      </c>
    </row>
    <row r="33" spans="3:23" x14ac:dyDescent="0.3">
      <c r="C33">
        <v>3</v>
      </c>
      <c r="D33">
        <v>3.8</v>
      </c>
      <c r="E33">
        <v>4658.2001953125</v>
      </c>
      <c r="F33">
        <v>40619.1015625</v>
      </c>
      <c r="G33">
        <v>0.81220000000000003</v>
      </c>
      <c r="H33">
        <v>1.1580999999999999</v>
      </c>
      <c r="I33">
        <v>0.1696</v>
      </c>
      <c r="J33">
        <v>6889</v>
      </c>
      <c r="O33">
        <f t="shared" si="5"/>
        <v>1.1580999999999999</v>
      </c>
      <c r="Q33">
        <f t="shared" si="6"/>
        <v>0</v>
      </c>
      <c r="R33">
        <v>0.14099999999999999</v>
      </c>
      <c r="S33">
        <f t="shared" si="7"/>
        <v>0</v>
      </c>
      <c r="T33">
        <f t="shared" si="9"/>
        <v>0</v>
      </c>
      <c r="U33">
        <v>0.129</v>
      </c>
      <c r="V33">
        <f t="shared" si="8"/>
        <v>0</v>
      </c>
      <c r="W33">
        <f t="shared" si="10"/>
        <v>0</v>
      </c>
    </row>
    <row r="34" spans="3:23" x14ac:dyDescent="0.3">
      <c r="C34">
        <v>2</v>
      </c>
      <c r="D34">
        <v>3.8</v>
      </c>
      <c r="E34">
        <v>4677.7998046875</v>
      </c>
      <c r="F34">
        <v>45296.8984375</v>
      </c>
      <c r="G34">
        <v>0.90569999999999995</v>
      </c>
      <c r="H34">
        <v>1.0770999999999999</v>
      </c>
      <c r="I34">
        <v>0.15770000000000001</v>
      </c>
      <c r="J34">
        <v>7145</v>
      </c>
      <c r="O34">
        <f t="shared" si="5"/>
        <v>1.0770999999999999</v>
      </c>
      <c r="Q34">
        <f t="shared" si="6"/>
        <v>0</v>
      </c>
      <c r="R34">
        <v>0.14099999999999999</v>
      </c>
      <c r="S34">
        <f t="shared" si="7"/>
        <v>0</v>
      </c>
      <c r="T34">
        <f t="shared" si="9"/>
        <v>0</v>
      </c>
      <c r="U34">
        <v>0.129</v>
      </c>
      <c r="V34">
        <f t="shared" si="8"/>
        <v>0</v>
      </c>
      <c r="W34">
        <f t="shared" si="10"/>
        <v>0</v>
      </c>
    </row>
    <row r="35" spans="3:23" x14ac:dyDescent="0.3">
      <c r="C35">
        <v>1</v>
      </c>
      <c r="D35">
        <v>4.5</v>
      </c>
      <c r="E35">
        <v>4717</v>
      </c>
      <c r="F35">
        <v>50013.8984375</v>
      </c>
      <c r="G35">
        <v>1</v>
      </c>
      <c r="H35">
        <v>1</v>
      </c>
      <c r="I35">
        <v>0.14649999999999999</v>
      </c>
      <c r="J35">
        <v>7325</v>
      </c>
      <c r="O35">
        <f t="shared" si="5"/>
        <v>1</v>
      </c>
      <c r="Q35">
        <f t="shared" si="6"/>
        <v>0</v>
      </c>
      <c r="R35">
        <v>0.14099999999999999</v>
      </c>
      <c r="S35">
        <f t="shared" si="7"/>
        <v>0</v>
      </c>
      <c r="T35">
        <f t="shared" si="9"/>
        <v>0</v>
      </c>
      <c r="U35">
        <v>0.129</v>
      </c>
      <c r="V35">
        <f t="shared" si="8"/>
        <v>0</v>
      </c>
      <c r="W35">
        <f t="shared" si="10"/>
        <v>0</v>
      </c>
    </row>
  </sheetData>
  <phoneticPr fontId="2"/>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rEQ">
                <anchor moveWithCells="1" sizeWithCells="1">
                  <from>
                    <xdr:col>7</xdr:col>
                    <xdr:colOff>441960</xdr:colOff>
                    <xdr:row>2</xdr:row>
                    <xdr:rowOff>83820</xdr:rowOff>
                  </from>
                  <to>
                    <xdr:col>8</xdr:col>
                    <xdr:colOff>403860</xdr:colOff>
                    <xdr:row>4</xdr:row>
                    <xdr:rowOff>144780</xdr:rowOff>
                  </to>
                </anchor>
              </controlPr>
            </control>
          </mc:Choice>
        </mc:AlternateContent>
        <mc:AlternateContent xmlns:mc="http://schemas.openxmlformats.org/markup-compatibility/2006">
          <mc:Choice Requires="x14">
            <control shapeId="1029" r:id="rId5" name="Button 5">
              <controlPr defaultSize="0" print="0" autoFill="0" autoPict="0" macro="[0]!eq_ready">
                <anchor moveWithCells="1" sizeWithCells="1">
                  <from>
                    <xdr:col>10</xdr:col>
                    <xdr:colOff>335280</xdr:colOff>
                    <xdr:row>2</xdr:row>
                    <xdr:rowOff>38100</xdr:rowOff>
                  </from>
                  <to>
                    <xdr:col>11</xdr:col>
                    <xdr:colOff>297180</xdr:colOff>
                    <xdr:row>4</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EFD48-6BF7-45EC-B66F-791543175D0D}">
  <sheetPr codeName="Sheet6"/>
  <dimension ref="A1:L100"/>
  <sheetViews>
    <sheetView workbookViewId="0">
      <selection activeCell="K29" sqref="K29"/>
    </sheetView>
  </sheetViews>
  <sheetFormatPr defaultColWidth="9.1171875" defaultRowHeight="13.5" x14ac:dyDescent="0.3"/>
  <cols>
    <col min="1" max="1" width="4.64453125" style="140" customWidth="1"/>
    <col min="2" max="2" width="9.64453125" style="141" customWidth="1"/>
    <col min="3" max="3" width="9.64453125" style="148" customWidth="1"/>
    <col min="4" max="4" width="9.64453125" style="140" customWidth="1"/>
    <col min="5" max="5" width="9.64453125" style="146" customWidth="1"/>
    <col min="6" max="6" width="9.64453125" style="140" customWidth="1"/>
    <col min="7" max="7" width="9.64453125" style="146" customWidth="1"/>
    <col min="8" max="9" width="9.64453125" style="140" customWidth="1"/>
    <col min="10" max="12" width="10.64453125" style="140" customWidth="1"/>
    <col min="13" max="16384" width="9.1171875" style="140"/>
  </cols>
  <sheetData>
    <row r="1" spans="1:12" x14ac:dyDescent="0.3">
      <c r="A1" s="140">
        <v>1</v>
      </c>
      <c r="B1" s="141">
        <v>2</v>
      </c>
      <c r="C1" s="140">
        <v>3</v>
      </c>
      <c r="D1" s="141">
        <v>4</v>
      </c>
      <c r="E1" s="140">
        <v>5</v>
      </c>
      <c r="F1" s="141">
        <v>6</v>
      </c>
      <c r="G1" s="140">
        <v>7</v>
      </c>
      <c r="H1" s="141">
        <v>8</v>
      </c>
      <c r="I1" s="140">
        <v>9</v>
      </c>
      <c r="J1" s="141">
        <v>10</v>
      </c>
      <c r="K1" s="140">
        <v>11</v>
      </c>
    </row>
    <row r="2" spans="1:12" x14ac:dyDescent="0.3">
      <c r="G2" s="146">
        <v>1</v>
      </c>
    </row>
    <row r="4" spans="1:12" x14ac:dyDescent="0.3">
      <c r="C4" s="142"/>
      <c r="D4" s="143" t="s">
        <v>145</v>
      </c>
      <c r="E4" s="140">
        <v>43.7</v>
      </c>
      <c r="G4" s="140"/>
      <c r="H4" s="144" t="s">
        <v>148</v>
      </c>
      <c r="I4" s="140">
        <v>7324.6931414302062</v>
      </c>
      <c r="J4" s="145" t="s">
        <v>149</v>
      </c>
    </row>
    <row r="5" spans="1:12" x14ac:dyDescent="0.3">
      <c r="C5" s="142"/>
      <c r="D5" s="143" t="s">
        <v>144</v>
      </c>
      <c r="E5" s="140">
        <v>11</v>
      </c>
      <c r="H5" s="144" t="s">
        <v>150</v>
      </c>
      <c r="I5" s="140">
        <v>7324.6931414302062</v>
      </c>
      <c r="J5" s="145"/>
    </row>
    <row r="6" spans="1:12" x14ac:dyDescent="0.3">
      <c r="C6" s="142"/>
      <c r="D6" s="143" t="s">
        <v>143</v>
      </c>
      <c r="E6" s="140">
        <v>1</v>
      </c>
      <c r="J6" s="145" t="s">
        <v>149</v>
      </c>
    </row>
    <row r="7" spans="1:12" x14ac:dyDescent="0.3">
      <c r="C7" s="142"/>
      <c r="D7" s="143" t="s">
        <v>124</v>
      </c>
      <c r="E7" s="140">
        <v>0.2</v>
      </c>
    </row>
    <row r="8" spans="1:12" x14ac:dyDescent="0.3">
      <c r="C8" s="142"/>
      <c r="D8" s="143" t="s">
        <v>125</v>
      </c>
      <c r="E8" s="140">
        <v>0.60000002384185791</v>
      </c>
      <c r="F8" s="145"/>
      <c r="H8" s="147" t="s">
        <v>164</v>
      </c>
      <c r="I8" s="147" t="s">
        <v>163</v>
      </c>
      <c r="J8" s="147" t="s">
        <v>169</v>
      </c>
    </row>
    <row r="9" spans="1:12" x14ac:dyDescent="0.3">
      <c r="G9" s="149" t="s">
        <v>289</v>
      </c>
      <c r="H9" s="140">
        <v>1.216</v>
      </c>
      <c r="I9" s="140">
        <v>0.78899997472763062</v>
      </c>
      <c r="L9" s="145"/>
    </row>
    <row r="10" spans="1:12" x14ac:dyDescent="0.3">
      <c r="C10" s="146" t="s">
        <v>292</v>
      </c>
      <c r="D10" s="140">
        <v>3847.4</v>
      </c>
      <c r="E10" s="140"/>
      <c r="F10" s="141"/>
      <c r="G10" s="144" t="s">
        <v>290</v>
      </c>
      <c r="H10" s="140">
        <v>1.3009999999999999</v>
      </c>
      <c r="I10" s="140">
        <v>0.73799997568130493</v>
      </c>
    </row>
    <row r="11" spans="1:12" x14ac:dyDescent="0.3">
      <c r="C11" s="146" t="s">
        <v>293</v>
      </c>
      <c r="D11" s="140">
        <v>4005.1</v>
      </c>
      <c r="E11" s="151"/>
      <c r="F11" s="152"/>
      <c r="G11" s="149" t="s">
        <v>291</v>
      </c>
      <c r="H11" s="140">
        <v>1.3109999895095825</v>
      </c>
      <c r="I11" s="140">
        <v>0.73199999332427979</v>
      </c>
      <c r="J11" s="140">
        <v>0.54900000000000004</v>
      </c>
      <c r="K11" s="147" t="s">
        <v>165</v>
      </c>
    </row>
    <row r="12" spans="1:12" x14ac:dyDescent="0.3">
      <c r="B12" s="153"/>
      <c r="C12" s="150"/>
      <c r="D12" s="154"/>
      <c r="E12" s="154"/>
      <c r="F12" s="155"/>
      <c r="G12" s="152"/>
      <c r="I12" s="156"/>
      <c r="J12" s="156"/>
    </row>
    <row r="13" spans="1:12" x14ac:dyDescent="0.3">
      <c r="B13" s="162" t="s">
        <v>11</v>
      </c>
      <c r="C13" s="157" t="s">
        <v>285</v>
      </c>
      <c r="D13" s="158" t="s">
        <v>286</v>
      </c>
      <c r="E13" s="159" t="s">
        <v>46</v>
      </c>
      <c r="F13" s="159" t="s">
        <v>287</v>
      </c>
      <c r="G13" s="147" t="s">
        <v>48</v>
      </c>
      <c r="H13" s="147" t="s">
        <v>166</v>
      </c>
      <c r="I13" s="158" t="s">
        <v>167</v>
      </c>
      <c r="J13" s="158" t="s">
        <v>168</v>
      </c>
    </row>
    <row r="14" spans="1:12" x14ac:dyDescent="0.3">
      <c r="B14" s="153"/>
      <c r="C14" s="157" t="s">
        <v>52</v>
      </c>
      <c r="D14" s="158" t="s">
        <v>288</v>
      </c>
      <c r="E14" s="159" t="s">
        <v>34</v>
      </c>
      <c r="F14" s="160"/>
      <c r="G14" s="147" t="s">
        <v>54</v>
      </c>
      <c r="H14" s="147" t="s">
        <v>55</v>
      </c>
      <c r="I14" s="161"/>
      <c r="J14" s="161"/>
    </row>
    <row r="15" spans="1:12" x14ac:dyDescent="0.3">
      <c r="B15" s="140">
        <v>11</v>
      </c>
      <c r="C15" s="140">
        <v>15</v>
      </c>
      <c r="D15" s="140">
        <v>0.109</v>
      </c>
      <c r="E15" s="140">
        <v>5</v>
      </c>
      <c r="F15" s="140" t="s">
        <v>266</v>
      </c>
      <c r="G15" s="140">
        <v>2461</v>
      </c>
      <c r="H15" s="140">
        <v>251</v>
      </c>
      <c r="I15" s="140">
        <v>27.359000000000002</v>
      </c>
      <c r="J15" s="140">
        <v>2.9820000000000002</v>
      </c>
    </row>
    <row r="16" spans="1:12" x14ac:dyDescent="0.3">
      <c r="B16" s="140">
        <v>10</v>
      </c>
      <c r="C16" s="140">
        <v>9</v>
      </c>
      <c r="D16" s="140">
        <v>9.4E-2</v>
      </c>
      <c r="E16" s="140">
        <v>3.8</v>
      </c>
      <c r="F16" s="140" t="s">
        <v>267</v>
      </c>
      <c r="G16" s="140">
        <v>6276</v>
      </c>
      <c r="H16" s="140">
        <v>640</v>
      </c>
      <c r="I16" s="140">
        <v>60.16</v>
      </c>
      <c r="J16" s="140">
        <v>5.6550000000000002</v>
      </c>
    </row>
    <row r="17" spans="2:10" x14ac:dyDescent="0.3">
      <c r="B17" s="140">
        <v>9</v>
      </c>
      <c r="C17" s="140">
        <v>10</v>
      </c>
      <c r="D17" s="140">
        <v>8.5000000000000006E-2</v>
      </c>
      <c r="E17" s="140">
        <v>3.8</v>
      </c>
      <c r="F17" s="140" t="s">
        <v>268</v>
      </c>
      <c r="G17" s="140">
        <v>4452</v>
      </c>
      <c r="H17" s="140">
        <v>454</v>
      </c>
      <c r="I17" s="140">
        <v>38.590000000000003</v>
      </c>
      <c r="J17" s="140">
        <v>3.28</v>
      </c>
    </row>
    <row r="18" spans="2:10" x14ac:dyDescent="0.3">
      <c r="B18" s="140">
        <v>8</v>
      </c>
      <c r="C18" s="140">
        <v>11</v>
      </c>
      <c r="D18" s="140">
        <v>7.4999999999999997E-2</v>
      </c>
      <c r="E18" s="140">
        <v>3.8</v>
      </c>
      <c r="F18" s="140" t="s">
        <v>269</v>
      </c>
      <c r="G18" s="140">
        <v>4462</v>
      </c>
      <c r="H18" s="140">
        <v>455</v>
      </c>
      <c r="I18" s="140">
        <v>34.125</v>
      </c>
      <c r="J18" s="140">
        <v>2.5590000000000002</v>
      </c>
    </row>
    <row r="19" spans="2:10" x14ac:dyDescent="0.3">
      <c r="B19" s="140">
        <v>7</v>
      </c>
      <c r="C19" s="140">
        <v>11</v>
      </c>
      <c r="D19" s="140">
        <v>6.4000000000000001E-2</v>
      </c>
      <c r="E19" s="140">
        <v>3.8</v>
      </c>
      <c r="F19" s="140" t="s">
        <v>269</v>
      </c>
      <c r="G19" s="140">
        <v>4511</v>
      </c>
      <c r="H19" s="140">
        <v>460</v>
      </c>
      <c r="I19" s="140">
        <v>29.44</v>
      </c>
      <c r="J19" s="140">
        <v>1.8839999999999999</v>
      </c>
    </row>
    <row r="20" spans="2:10" x14ac:dyDescent="0.3">
      <c r="B20" s="140">
        <v>6</v>
      </c>
      <c r="C20" s="140">
        <v>9</v>
      </c>
      <c r="D20" s="140">
        <v>5.2999999999999999E-2</v>
      </c>
      <c r="E20" s="140">
        <v>3.8</v>
      </c>
      <c r="F20" s="140" t="s">
        <v>267</v>
      </c>
      <c r="G20" s="140">
        <v>4580</v>
      </c>
      <c r="H20" s="140">
        <v>467</v>
      </c>
      <c r="I20" s="140">
        <v>24.751000000000001</v>
      </c>
      <c r="J20" s="140">
        <v>1.3120000000000001</v>
      </c>
    </row>
    <row r="21" spans="2:10" x14ac:dyDescent="0.3">
      <c r="B21" s="140">
        <v>5</v>
      </c>
      <c r="C21" s="140">
        <v>10</v>
      </c>
      <c r="D21" s="140">
        <v>4.3999999999999997E-2</v>
      </c>
      <c r="E21" s="140">
        <v>3.8</v>
      </c>
      <c r="F21" s="140" t="s">
        <v>268</v>
      </c>
      <c r="G21" s="140">
        <v>4599</v>
      </c>
      <c r="H21" s="140">
        <v>469</v>
      </c>
      <c r="I21" s="140">
        <v>20.635999999999999</v>
      </c>
      <c r="J21" s="140">
        <v>0.90800000000000003</v>
      </c>
    </row>
    <row r="22" spans="2:10" x14ac:dyDescent="0.3">
      <c r="B22" s="140">
        <v>4</v>
      </c>
      <c r="C22" s="140">
        <v>9</v>
      </c>
      <c r="D22" s="140">
        <v>3.4000000000000002E-2</v>
      </c>
      <c r="E22" s="140">
        <v>3.8</v>
      </c>
      <c r="F22" s="140" t="s">
        <v>267</v>
      </c>
      <c r="G22" s="140">
        <v>4619</v>
      </c>
      <c r="H22" s="140">
        <v>471</v>
      </c>
      <c r="I22" s="140">
        <v>16.013999999999999</v>
      </c>
      <c r="J22" s="140">
        <v>0.54400000000000004</v>
      </c>
    </row>
    <row r="23" spans="2:10" x14ac:dyDescent="0.3">
      <c r="B23" s="140">
        <v>3</v>
      </c>
      <c r="C23" s="140">
        <v>9</v>
      </c>
      <c r="D23" s="140">
        <v>2.5000000000000001E-2</v>
      </c>
      <c r="E23" s="140">
        <v>3.8</v>
      </c>
      <c r="F23" s="140" t="s">
        <v>267</v>
      </c>
      <c r="G23" s="140">
        <v>4658</v>
      </c>
      <c r="H23" s="140">
        <v>475</v>
      </c>
      <c r="I23" s="140">
        <v>11.875</v>
      </c>
      <c r="J23" s="140">
        <v>0.29699999999999999</v>
      </c>
    </row>
    <row r="24" spans="2:10" x14ac:dyDescent="0.3">
      <c r="B24" s="140">
        <v>2</v>
      </c>
      <c r="C24" s="140">
        <v>8</v>
      </c>
      <c r="D24" s="140">
        <v>1.6E-2</v>
      </c>
      <c r="E24" s="140">
        <v>3.8</v>
      </c>
      <c r="F24" s="140" t="s">
        <v>270</v>
      </c>
      <c r="G24" s="140">
        <v>4678</v>
      </c>
      <c r="H24" s="140">
        <v>477</v>
      </c>
      <c r="I24" s="140">
        <v>7.6319999999999997</v>
      </c>
      <c r="J24" s="140">
        <v>0.122</v>
      </c>
    </row>
    <row r="25" spans="2:10" x14ac:dyDescent="0.3">
      <c r="B25" s="140">
        <v>1</v>
      </c>
      <c r="C25" s="140">
        <v>8</v>
      </c>
      <c r="D25" s="140">
        <v>8.0000000000000002E-3</v>
      </c>
      <c r="E25" s="140">
        <v>4.5</v>
      </c>
      <c r="F25" s="140" t="s">
        <v>271</v>
      </c>
      <c r="G25" s="140">
        <v>4717</v>
      </c>
      <c r="H25" s="140">
        <v>481</v>
      </c>
      <c r="I25" s="140">
        <v>3.8479999999999999</v>
      </c>
      <c r="J25" s="140">
        <v>3.1E-2</v>
      </c>
    </row>
    <row r="26" spans="2:10" x14ac:dyDescent="0.3">
      <c r="B26" s="140"/>
      <c r="C26" s="140"/>
      <c r="E26" s="140"/>
      <c r="G26" s="140" t="s">
        <v>272</v>
      </c>
      <c r="H26" s="140">
        <v>5100</v>
      </c>
      <c r="I26" s="140">
        <v>274.43</v>
      </c>
      <c r="J26" s="140">
        <v>19.574999999999999</v>
      </c>
    </row>
    <row r="27" spans="2:10" x14ac:dyDescent="0.3">
      <c r="B27" s="140"/>
      <c r="C27" s="140"/>
      <c r="E27" s="140"/>
      <c r="G27" s="140"/>
    </row>
    <row r="28" spans="2:10" x14ac:dyDescent="0.3">
      <c r="B28" s="140"/>
      <c r="C28" s="140"/>
      <c r="E28" s="140"/>
      <c r="G28" s="140"/>
    </row>
    <row r="29" spans="2:10" x14ac:dyDescent="0.3">
      <c r="B29" s="140"/>
      <c r="C29" s="140" t="s">
        <v>273</v>
      </c>
      <c r="E29" s="140"/>
      <c r="G29" s="140"/>
    </row>
    <row r="30" spans="2:10" x14ac:dyDescent="0.3">
      <c r="B30" s="140"/>
      <c r="C30" s="140"/>
      <c r="E30" s="140"/>
      <c r="G30" s="140"/>
    </row>
    <row r="31" spans="2:10" x14ac:dyDescent="0.3">
      <c r="B31" s="140"/>
      <c r="C31" s="140" t="s">
        <v>274</v>
      </c>
      <c r="E31" s="140"/>
      <c r="G31" s="140"/>
    </row>
    <row r="32" spans="2:10" x14ac:dyDescent="0.3">
      <c r="B32" s="140"/>
      <c r="C32" s="140"/>
      <c r="E32" s="140"/>
      <c r="G32" s="140"/>
    </row>
    <row r="33" spans="2:10" x14ac:dyDescent="0.3">
      <c r="B33" s="140"/>
      <c r="C33" s="140" t="s">
        <v>275</v>
      </c>
      <c r="E33" s="140"/>
      <c r="G33" s="140"/>
    </row>
    <row r="34" spans="2:10" x14ac:dyDescent="0.3">
      <c r="B34" s="140"/>
      <c r="C34" s="140"/>
      <c r="E34" s="140"/>
      <c r="G34" s="140"/>
    </row>
    <row r="35" spans="2:10" x14ac:dyDescent="0.3">
      <c r="B35" s="162" t="s">
        <v>11</v>
      </c>
      <c r="C35" s="157" t="s">
        <v>285</v>
      </c>
      <c r="D35" s="158" t="s">
        <v>286</v>
      </c>
      <c r="E35" s="159" t="s">
        <v>46</v>
      </c>
      <c r="F35" s="159" t="s">
        <v>287</v>
      </c>
      <c r="G35" s="147" t="s">
        <v>48</v>
      </c>
      <c r="H35" s="147" t="s">
        <v>166</v>
      </c>
      <c r="I35" s="158" t="s">
        <v>167</v>
      </c>
      <c r="J35" s="158" t="s">
        <v>168</v>
      </c>
    </row>
    <row r="36" spans="2:10" x14ac:dyDescent="0.3">
      <c r="B36" s="153"/>
      <c r="C36" s="157" t="s">
        <v>52</v>
      </c>
      <c r="D36" s="158" t="s">
        <v>288</v>
      </c>
      <c r="E36" s="159" t="s">
        <v>34</v>
      </c>
      <c r="F36" s="160"/>
      <c r="G36" s="147" t="s">
        <v>54</v>
      </c>
      <c r="H36" s="147" t="s">
        <v>55</v>
      </c>
      <c r="I36" s="161"/>
      <c r="J36" s="161"/>
    </row>
    <row r="37" spans="2:10" x14ac:dyDescent="0.3">
      <c r="B37" s="140">
        <v>11</v>
      </c>
      <c r="C37" s="140">
        <v>13</v>
      </c>
      <c r="D37" s="140">
        <v>0.11700000000000001</v>
      </c>
      <c r="E37" s="140">
        <v>5</v>
      </c>
      <c r="F37" s="140" t="s">
        <v>276</v>
      </c>
      <c r="G37" s="140">
        <v>2461</v>
      </c>
      <c r="H37" s="140">
        <v>251</v>
      </c>
      <c r="I37" s="140">
        <v>29.367000000000001</v>
      </c>
      <c r="J37" s="140">
        <v>3.4359000000000002</v>
      </c>
    </row>
    <row r="38" spans="2:10" x14ac:dyDescent="0.3">
      <c r="B38" s="140">
        <v>10</v>
      </c>
      <c r="C38" s="140">
        <v>9</v>
      </c>
      <c r="D38" s="140">
        <v>0.104</v>
      </c>
      <c r="E38" s="140">
        <v>3.8</v>
      </c>
      <c r="F38" s="140" t="s">
        <v>277</v>
      </c>
      <c r="G38" s="140">
        <v>6276</v>
      </c>
      <c r="H38" s="140">
        <v>640</v>
      </c>
      <c r="I38" s="140">
        <v>66.56</v>
      </c>
      <c r="J38" s="140">
        <v>6.9222000000000001</v>
      </c>
    </row>
    <row r="39" spans="2:10" x14ac:dyDescent="0.3">
      <c r="B39" s="140">
        <v>9</v>
      </c>
      <c r="C39" s="140">
        <v>11</v>
      </c>
      <c r="D39" s="140">
        <v>9.5000000000000001E-2</v>
      </c>
      <c r="E39" s="140">
        <v>3.8</v>
      </c>
      <c r="F39" s="140" t="s">
        <v>278</v>
      </c>
      <c r="G39" s="140">
        <v>4452</v>
      </c>
      <c r="H39" s="140">
        <v>454</v>
      </c>
      <c r="I39" s="140">
        <v>43.13</v>
      </c>
      <c r="J39" s="140">
        <v>4.0974000000000004</v>
      </c>
    </row>
    <row r="40" spans="2:10" x14ac:dyDescent="0.3">
      <c r="B40" s="140">
        <v>8</v>
      </c>
      <c r="C40" s="140">
        <v>12</v>
      </c>
      <c r="D40" s="140">
        <v>8.4000000000000005E-2</v>
      </c>
      <c r="E40" s="140">
        <v>3.8</v>
      </c>
      <c r="F40" s="140" t="s">
        <v>279</v>
      </c>
      <c r="G40" s="140">
        <v>4462</v>
      </c>
      <c r="H40" s="140">
        <v>455</v>
      </c>
      <c r="I40" s="140">
        <v>38.22</v>
      </c>
      <c r="J40" s="140">
        <v>3.2105000000000001</v>
      </c>
    </row>
    <row r="41" spans="2:10" x14ac:dyDescent="0.3">
      <c r="B41" s="140">
        <v>7</v>
      </c>
      <c r="C41" s="140">
        <v>11</v>
      </c>
      <c r="D41" s="140">
        <v>7.1999999999999995E-2</v>
      </c>
      <c r="E41" s="140">
        <v>3.8</v>
      </c>
      <c r="F41" s="140" t="s">
        <v>278</v>
      </c>
      <c r="G41" s="140">
        <v>4511</v>
      </c>
      <c r="H41" s="140">
        <v>460</v>
      </c>
      <c r="I41" s="140">
        <v>33.119999999999997</v>
      </c>
      <c r="J41" s="140">
        <v>2.3845999999999998</v>
      </c>
    </row>
    <row r="42" spans="2:10" x14ac:dyDescent="0.3">
      <c r="B42" s="140">
        <v>6</v>
      </c>
      <c r="C42" s="140">
        <v>10</v>
      </c>
      <c r="D42" s="140">
        <v>6.0999999999999999E-2</v>
      </c>
      <c r="E42" s="140">
        <v>3.8</v>
      </c>
      <c r="F42" s="140" t="s">
        <v>280</v>
      </c>
      <c r="G42" s="140">
        <v>4580</v>
      </c>
      <c r="H42" s="140">
        <v>467</v>
      </c>
      <c r="I42" s="140">
        <v>28.486999999999998</v>
      </c>
      <c r="J42" s="140">
        <v>1.7377</v>
      </c>
    </row>
    <row r="43" spans="2:10" x14ac:dyDescent="0.3">
      <c r="B43" s="140">
        <v>5</v>
      </c>
      <c r="C43" s="140">
        <v>9</v>
      </c>
      <c r="D43" s="140">
        <v>5.0999999999999997E-2</v>
      </c>
      <c r="E43" s="140">
        <v>3.8</v>
      </c>
      <c r="F43" s="140" t="s">
        <v>277</v>
      </c>
      <c r="G43" s="140">
        <v>4599</v>
      </c>
      <c r="H43" s="140">
        <v>469</v>
      </c>
      <c r="I43" s="140">
        <v>23.919</v>
      </c>
      <c r="J43" s="140">
        <v>1.2199</v>
      </c>
    </row>
    <row r="44" spans="2:10" x14ac:dyDescent="0.3">
      <c r="B44" s="140">
        <v>4</v>
      </c>
      <c r="C44" s="140">
        <v>10</v>
      </c>
      <c r="D44" s="140">
        <v>4.2000000000000003E-2</v>
      </c>
      <c r="E44" s="140">
        <v>3.8</v>
      </c>
      <c r="F44" s="140" t="s">
        <v>280</v>
      </c>
      <c r="G44" s="140">
        <v>4619</v>
      </c>
      <c r="H44" s="140">
        <v>471</v>
      </c>
      <c r="I44" s="140">
        <v>19.782</v>
      </c>
      <c r="J44" s="140">
        <v>0.83079999999999998</v>
      </c>
    </row>
    <row r="45" spans="2:10" x14ac:dyDescent="0.3">
      <c r="B45" s="140">
        <v>3</v>
      </c>
      <c r="C45" s="140">
        <v>10</v>
      </c>
      <c r="D45" s="140">
        <v>3.2000000000000001E-2</v>
      </c>
      <c r="E45" s="140">
        <v>3.8</v>
      </c>
      <c r="F45" s="140" t="s">
        <v>280</v>
      </c>
      <c r="G45" s="140">
        <v>4658</v>
      </c>
      <c r="H45" s="140">
        <v>475</v>
      </c>
      <c r="I45" s="140">
        <v>15.2</v>
      </c>
      <c r="J45" s="140">
        <v>0.4864</v>
      </c>
    </row>
    <row r="46" spans="2:10" x14ac:dyDescent="0.3">
      <c r="B46" s="140">
        <v>2</v>
      </c>
      <c r="C46" s="140">
        <v>10</v>
      </c>
      <c r="D46" s="140">
        <v>2.1999999999999999E-2</v>
      </c>
      <c r="E46" s="140">
        <v>3.8</v>
      </c>
      <c r="F46" s="140" t="s">
        <v>280</v>
      </c>
      <c r="G46" s="140">
        <v>4678</v>
      </c>
      <c r="H46" s="140">
        <v>477</v>
      </c>
      <c r="I46" s="140">
        <v>10.494</v>
      </c>
      <c r="J46" s="140">
        <v>0.23089999999999999</v>
      </c>
    </row>
    <row r="47" spans="2:10" x14ac:dyDescent="0.3">
      <c r="B47" s="140">
        <v>1</v>
      </c>
      <c r="C47" s="140">
        <v>12</v>
      </c>
      <c r="D47" s="140">
        <v>1.2E-2</v>
      </c>
      <c r="E47" s="140">
        <v>4.5</v>
      </c>
      <c r="F47" s="140" t="s">
        <v>281</v>
      </c>
      <c r="G47" s="140">
        <v>4717</v>
      </c>
      <c r="H47" s="140">
        <v>481</v>
      </c>
      <c r="I47" s="140">
        <v>5.7720000000000002</v>
      </c>
      <c r="J47" s="140">
        <v>6.93E-2</v>
      </c>
    </row>
    <row r="48" spans="2:10" x14ac:dyDescent="0.3">
      <c r="B48" s="140"/>
      <c r="C48" s="140"/>
      <c r="E48" s="140"/>
      <c r="G48" s="140" t="s">
        <v>272</v>
      </c>
      <c r="H48" s="140">
        <v>5100</v>
      </c>
      <c r="I48" s="140">
        <v>314.05099999999999</v>
      </c>
      <c r="J48" s="140">
        <v>24.625599999999999</v>
      </c>
    </row>
    <row r="49" spans="2:7" x14ac:dyDescent="0.3">
      <c r="B49" s="140"/>
      <c r="C49" s="140"/>
      <c r="E49" s="140"/>
      <c r="G49" s="140"/>
    </row>
    <row r="50" spans="2:7" x14ac:dyDescent="0.3">
      <c r="B50" s="140"/>
      <c r="C50" s="140"/>
      <c r="E50" s="140"/>
      <c r="G50" s="140"/>
    </row>
    <row r="51" spans="2:7" x14ac:dyDescent="0.3">
      <c r="B51" s="140"/>
      <c r="C51" s="140" t="s">
        <v>282</v>
      </c>
      <c r="E51" s="140"/>
      <c r="G51" s="140"/>
    </row>
    <row r="52" spans="2:7" x14ac:dyDescent="0.3">
      <c r="B52" s="140"/>
      <c r="C52" s="140"/>
      <c r="E52" s="140"/>
      <c r="G52" s="140"/>
    </row>
    <row r="53" spans="2:7" x14ac:dyDescent="0.3">
      <c r="B53" s="140"/>
      <c r="C53" s="140" t="s">
        <v>283</v>
      </c>
      <c r="E53" s="140"/>
      <c r="G53" s="140"/>
    </row>
    <row r="54" spans="2:7" x14ac:dyDescent="0.3">
      <c r="B54" s="140"/>
      <c r="C54" s="140"/>
      <c r="E54" s="140"/>
      <c r="G54" s="140"/>
    </row>
    <row r="55" spans="2:7" x14ac:dyDescent="0.3">
      <c r="B55" s="140"/>
      <c r="C55" s="140" t="s">
        <v>284</v>
      </c>
      <c r="E55" s="140"/>
      <c r="G55" s="140"/>
    </row>
    <row r="56" spans="2:7" x14ac:dyDescent="0.3">
      <c r="B56" s="140"/>
      <c r="C56" s="140"/>
      <c r="E56" s="140"/>
      <c r="G56" s="140"/>
    </row>
    <row r="57" spans="2:7" x14ac:dyDescent="0.3">
      <c r="B57" s="140"/>
      <c r="C57" s="140"/>
      <c r="E57" s="140"/>
      <c r="G57" s="140"/>
    </row>
    <row r="58" spans="2:7" x14ac:dyDescent="0.3">
      <c r="B58" s="140"/>
      <c r="C58" s="140"/>
      <c r="E58" s="140"/>
      <c r="G58" s="140"/>
    </row>
    <row r="59" spans="2:7" x14ac:dyDescent="0.3">
      <c r="B59" s="140"/>
      <c r="C59" s="140"/>
      <c r="E59" s="140"/>
      <c r="G59" s="140"/>
    </row>
    <row r="60" spans="2:7" x14ac:dyDescent="0.3">
      <c r="B60" s="140"/>
      <c r="C60" s="140"/>
      <c r="E60" s="140"/>
      <c r="G60" s="140"/>
    </row>
    <row r="61" spans="2:7" x14ac:dyDescent="0.3">
      <c r="B61" s="140"/>
      <c r="C61" s="140"/>
      <c r="E61" s="140"/>
      <c r="G61" s="140"/>
    </row>
    <row r="62" spans="2:7" x14ac:dyDescent="0.3">
      <c r="B62" s="140"/>
      <c r="C62" s="140"/>
      <c r="E62" s="140"/>
      <c r="G62" s="140"/>
    </row>
    <row r="63" spans="2:7" x14ac:dyDescent="0.3">
      <c r="B63" s="140"/>
      <c r="C63" s="140"/>
      <c r="E63" s="140"/>
      <c r="G63" s="140"/>
    </row>
    <row r="64" spans="2:7" x14ac:dyDescent="0.3">
      <c r="B64" s="140"/>
      <c r="C64" s="140"/>
      <c r="E64" s="140"/>
      <c r="G64" s="140"/>
    </row>
    <row r="65" spans="2:7" x14ac:dyDescent="0.3">
      <c r="B65" s="140"/>
      <c r="C65" s="140"/>
      <c r="E65" s="140"/>
      <c r="G65" s="140"/>
    </row>
    <row r="66" spans="2:7" x14ac:dyDescent="0.3">
      <c r="B66" s="140"/>
      <c r="C66" s="140"/>
      <c r="E66" s="140"/>
      <c r="G66" s="140"/>
    </row>
    <row r="67" spans="2:7" x14ac:dyDescent="0.3">
      <c r="B67" s="140"/>
      <c r="C67" s="140"/>
      <c r="E67" s="140"/>
      <c r="G67" s="140"/>
    </row>
    <row r="68" spans="2:7" x14ac:dyDescent="0.3">
      <c r="B68" s="140"/>
      <c r="C68" s="140"/>
      <c r="E68" s="140"/>
      <c r="G68" s="140"/>
    </row>
    <row r="69" spans="2:7" x14ac:dyDescent="0.3">
      <c r="B69" s="140"/>
      <c r="C69" s="140"/>
      <c r="E69" s="140"/>
      <c r="G69" s="140"/>
    </row>
    <row r="70" spans="2:7" x14ac:dyDescent="0.3">
      <c r="B70" s="140"/>
      <c r="C70" s="140"/>
      <c r="E70" s="140"/>
      <c r="G70" s="140"/>
    </row>
    <row r="71" spans="2:7" x14ac:dyDescent="0.3">
      <c r="B71" s="140"/>
      <c r="C71" s="140"/>
      <c r="E71" s="140"/>
      <c r="G71" s="140"/>
    </row>
    <row r="72" spans="2:7" x14ac:dyDescent="0.3">
      <c r="B72" s="140"/>
      <c r="C72" s="140"/>
      <c r="E72" s="140"/>
      <c r="G72" s="140"/>
    </row>
    <row r="73" spans="2:7" x14ac:dyDescent="0.3">
      <c r="B73" s="140"/>
      <c r="C73" s="140"/>
      <c r="E73" s="140"/>
      <c r="G73" s="140"/>
    </row>
    <row r="74" spans="2:7" x14ac:dyDescent="0.3">
      <c r="B74" s="140"/>
      <c r="C74" s="140"/>
      <c r="E74" s="140"/>
      <c r="G74" s="140"/>
    </row>
    <row r="75" spans="2:7" x14ac:dyDescent="0.3">
      <c r="B75" s="140"/>
      <c r="C75" s="140"/>
      <c r="E75" s="140"/>
      <c r="G75" s="140"/>
    </row>
    <row r="76" spans="2:7" x14ac:dyDescent="0.3">
      <c r="B76" s="140"/>
      <c r="C76" s="140"/>
      <c r="E76" s="140"/>
      <c r="G76" s="140"/>
    </row>
    <row r="77" spans="2:7" x14ac:dyDescent="0.3">
      <c r="B77" s="140"/>
      <c r="C77" s="140"/>
      <c r="E77" s="140"/>
      <c r="G77" s="140"/>
    </row>
    <row r="78" spans="2:7" x14ac:dyDescent="0.3">
      <c r="B78" s="140"/>
      <c r="C78" s="140"/>
      <c r="E78" s="140"/>
      <c r="G78" s="140"/>
    </row>
    <row r="79" spans="2:7" x14ac:dyDescent="0.3">
      <c r="B79" s="140"/>
      <c r="C79" s="140"/>
      <c r="E79" s="140"/>
      <c r="G79" s="140"/>
    </row>
    <row r="80" spans="2:7" x14ac:dyDescent="0.3">
      <c r="B80" s="140"/>
      <c r="C80" s="140"/>
      <c r="E80" s="140"/>
      <c r="G80" s="140"/>
    </row>
    <row r="81" spans="2:7" x14ac:dyDescent="0.3">
      <c r="B81" s="140"/>
      <c r="C81" s="140"/>
      <c r="E81" s="140"/>
      <c r="G81" s="140"/>
    </row>
    <row r="82" spans="2:7" x14ac:dyDescent="0.3">
      <c r="B82" s="140"/>
      <c r="C82" s="140"/>
      <c r="E82" s="140"/>
      <c r="G82" s="140"/>
    </row>
    <row r="83" spans="2:7" x14ac:dyDescent="0.3">
      <c r="B83" s="140"/>
      <c r="C83" s="140"/>
      <c r="E83" s="140"/>
      <c r="G83" s="140"/>
    </row>
    <row r="84" spans="2:7" x14ac:dyDescent="0.3">
      <c r="B84" s="140"/>
      <c r="C84" s="140"/>
      <c r="E84" s="140"/>
      <c r="G84" s="140"/>
    </row>
    <row r="85" spans="2:7" x14ac:dyDescent="0.3">
      <c r="B85" s="140"/>
      <c r="C85" s="140"/>
      <c r="E85" s="140"/>
      <c r="G85" s="140"/>
    </row>
    <row r="86" spans="2:7" x14ac:dyDescent="0.3">
      <c r="B86" s="140"/>
      <c r="C86" s="140"/>
      <c r="E86" s="140"/>
      <c r="G86" s="140"/>
    </row>
    <row r="87" spans="2:7" x14ac:dyDescent="0.3">
      <c r="B87" s="140"/>
      <c r="C87" s="140"/>
      <c r="E87" s="140"/>
      <c r="G87" s="140"/>
    </row>
    <row r="88" spans="2:7" x14ac:dyDescent="0.3">
      <c r="B88" s="140"/>
      <c r="C88" s="140"/>
      <c r="E88" s="140"/>
      <c r="G88" s="140"/>
    </row>
    <row r="89" spans="2:7" x14ac:dyDescent="0.3">
      <c r="B89" s="140"/>
      <c r="C89" s="140"/>
      <c r="E89" s="140"/>
      <c r="G89" s="140"/>
    </row>
    <row r="90" spans="2:7" x14ac:dyDescent="0.3">
      <c r="B90" s="140"/>
      <c r="C90" s="140"/>
      <c r="E90" s="140"/>
      <c r="G90" s="140"/>
    </row>
    <row r="91" spans="2:7" x14ac:dyDescent="0.3">
      <c r="B91" s="140"/>
      <c r="C91" s="140"/>
      <c r="E91" s="140"/>
      <c r="G91" s="140"/>
    </row>
    <row r="92" spans="2:7" x14ac:dyDescent="0.3">
      <c r="B92" s="140"/>
      <c r="C92" s="140"/>
      <c r="E92" s="140"/>
      <c r="G92" s="140"/>
    </row>
    <row r="93" spans="2:7" x14ac:dyDescent="0.3">
      <c r="B93" s="140"/>
      <c r="C93" s="140"/>
      <c r="E93" s="140"/>
      <c r="G93" s="140"/>
    </row>
    <row r="94" spans="2:7" x14ac:dyDescent="0.3">
      <c r="B94" s="140"/>
      <c r="C94" s="140"/>
      <c r="E94" s="140"/>
      <c r="G94" s="140"/>
    </row>
    <row r="95" spans="2:7" x14ac:dyDescent="0.3">
      <c r="B95" s="140"/>
      <c r="C95" s="140"/>
      <c r="E95" s="140"/>
      <c r="G95" s="140"/>
    </row>
    <row r="96" spans="2:7" x14ac:dyDescent="0.3">
      <c r="B96" s="140"/>
      <c r="C96" s="140"/>
      <c r="E96" s="140"/>
      <c r="G96" s="140"/>
    </row>
    <row r="97" spans="2:7" x14ac:dyDescent="0.3">
      <c r="B97" s="140"/>
      <c r="C97" s="140"/>
      <c r="E97" s="140"/>
      <c r="G97" s="140"/>
    </row>
    <row r="98" spans="2:7" x14ac:dyDescent="0.3">
      <c r="B98" s="140"/>
      <c r="C98" s="140"/>
      <c r="E98" s="140"/>
      <c r="G98" s="140"/>
    </row>
    <row r="99" spans="2:7" x14ac:dyDescent="0.3">
      <c r="B99" s="140"/>
      <c r="C99" s="140"/>
      <c r="E99" s="140"/>
      <c r="G99" s="140"/>
    </row>
    <row r="100" spans="2:7" x14ac:dyDescent="0.3">
      <c r="B100" s="140"/>
      <c r="C100" s="140"/>
      <c r="E100" s="140"/>
      <c r="G100" s="140"/>
    </row>
  </sheetData>
  <phoneticPr fontId="2"/>
  <pageMargins left="0.25" right="0.25" top="0.75" bottom="0.75" header="0.3" footer="0.3"/>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naki_ready">
                <anchor moveWithCells="1" sizeWithCells="1">
                  <from>
                    <xdr:col>10</xdr:col>
                    <xdr:colOff>68580</xdr:colOff>
                    <xdr:row>3</xdr:row>
                    <xdr:rowOff>22860</xdr:rowOff>
                  </from>
                  <to>
                    <xdr:col>10</xdr:col>
                    <xdr:colOff>640080</xdr:colOff>
                    <xdr:row>4</xdr:row>
                    <xdr:rowOff>121920</xdr:rowOff>
                  </to>
                </anchor>
              </controlPr>
            </control>
          </mc:Choice>
        </mc:AlternateContent>
        <mc:AlternateContent xmlns:mc="http://schemas.openxmlformats.org/markup-compatibility/2006">
          <mc:Choice Requires="x14">
            <control shapeId="7172" r:id="rId5" name="Option Button 4">
              <controlPr defaultSize="0" autoFill="0" autoLine="0" autoPict="0" macro="[0]!clearGenkai">
                <anchor moveWithCells="1">
                  <from>
                    <xdr:col>10</xdr:col>
                    <xdr:colOff>365760</xdr:colOff>
                    <xdr:row>11</xdr:row>
                    <xdr:rowOff>160020</xdr:rowOff>
                  </from>
                  <to>
                    <xdr:col>11</xdr:col>
                    <xdr:colOff>381000</xdr:colOff>
                    <xdr:row>13</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E4182-5A82-4699-9196-EC8217F4542A}">
  <sheetPr codeName="Sheet2"/>
  <dimension ref="A1:AQ31"/>
  <sheetViews>
    <sheetView workbookViewId="0">
      <selection activeCell="H36" sqref="H36"/>
    </sheetView>
  </sheetViews>
  <sheetFormatPr defaultColWidth="9.1171875" defaultRowHeight="13.5" x14ac:dyDescent="0.3"/>
  <cols>
    <col min="1" max="12" width="9.1171875" style="140"/>
    <col min="13" max="22" width="8.64453125" style="140" customWidth="1"/>
    <col min="23" max="16384" width="9.1171875" style="140"/>
  </cols>
  <sheetData>
    <row r="1" spans="1:22" x14ac:dyDescent="0.3">
      <c r="A1" s="140">
        <v>1</v>
      </c>
      <c r="B1" s="140">
        <v>2</v>
      </c>
      <c r="C1" s="140">
        <v>3</v>
      </c>
      <c r="D1" s="140">
        <v>4</v>
      </c>
      <c r="E1" s="140">
        <v>5</v>
      </c>
      <c r="F1" s="140">
        <v>6</v>
      </c>
      <c r="G1" s="140">
        <v>7</v>
      </c>
      <c r="H1" s="140">
        <v>8</v>
      </c>
      <c r="I1" s="140">
        <v>9</v>
      </c>
      <c r="J1" s="140">
        <v>10</v>
      </c>
      <c r="K1" s="140">
        <v>11</v>
      </c>
      <c r="L1" s="140">
        <v>12</v>
      </c>
      <c r="M1" s="140">
        <v>13</v>
      </c>
      <c r="N1" s="140">
        <v>14</v>
      </c>
      <c r="O1" s="140">
        <v>15</v>
      </c>
      <c r="P1" s="140">
        <v>16</v>
      </c>
      <c r="Q1" s="140">
        <v>17</v>
      </c>
      <c r="R1" s="140">
        <v>18</v>
      </c>
      <c r="S1" s="140">
        <v>19</v>
      </c>
      <c r="T1" s="140">
        <v>20</v>
      </c>
      <c r="U1" s="140">
        <v>21</v>
      </c>
      <c r="V1" s="140">
        <v>22</v>
      </c>
    </row>
    <row r="2" spans="1:22" x14ac:dyDescent="0.3">
      <c r="B2" s="140" t="s">
        <v>258</v>
      </c>
      <c r="C2" s="140">
        <v>11</v>
      </c>
      <c r="D2" s="173" t="s">
        <v>298</v>
      </c>
      <c r="E2" s="140">
        <v>5100</v>
      </c>
      <c r="F2" s="173" t="s">
        <v>302</v>
      </c>
      <c r="G2" s="140">
        <v>1</v>
      </c>
    </row>
    <row r="3" spans="1:22" x14ac:dyDescent="0.3">
      <c r="B3" s="140" t="s">
        <v>242</v>
      </c>
      <c r="C3" s="140">
        <v>3847.4</v>
      </c>
      <c r="D3" s="173" t="s">
        <v>299</v>
      </c>
      <c r="E3" s="140">
        <v>0.75439215686274508</v>
      </c>
      <c r="F3" s="173" t="s">
        <v>300</v>
      </c>
      <c r="G3" s="140">
        <v>1.216</v>
      </c>
      <c r="I3" s="140" t="s">
        <v>307</v>
      </c>
      <c r="J3" s="140">
        <v>2.1859999999999999</v>
      </c>
    </row>
    <row r="4" spans="1:22" ht="15" x14ac:dyDescent="0.3">
      <c r="B4" s="140" t="s">
        <v>243</v>
      </c>
      <c r="C4" s="140">
        <v>4005.1</v>
      </c>
      <c r="D4" s="173" t="s">
        <v>299</v>
      </c>
      <c r="E4" s="140">
        <v>0.78531372549019607</v>
      </c>
      <c r="F4" s="173" t="s">
        <v>301</v>
      </c>
      <c r="G4" s="140">
        <v>1.3009999999999999</v>
      </c>
      <c r="I4" s="140" t="s">
        <v>308</v>
      </c>
      <c r="J4" s="140">
        <v>2.1859999999999999</v>
      </c>
      <c r="N4" s="176" t="s">
        <v>186</v>
      </c>
      <c r="O4" s="176" t="s">
        <v>187</v>
      </c>
      <c r="P4" s="176" t="s">
        <v>188</v>
      </c>
      <c r="Q4" s="176" t="s">
        <v>189</v>
      </c>
      <c r="R4" s="176" t="s">
        <v>190</v>
      </c>
      <c r="S4" s="176" t="s">
        <v>191</v>
      </c>
      <c r="T4" s="176" t="s">
        <v>192</v>
      </c>
      <c r="U4" s="176" t="s">
        <v>193</v>
      </c>
      <c r="V4" s="176" t="s">
        <v>194</v>
      </c>
    </row>
    <row r="5" spans="1:22" x14ac:dyDescent="0.3">
      <c r="B5" s="140" t="s">
        <v>258</v>
      </c>
      <c r="C5" s="140" t="s">
        <v>309</v>
      </c>
      <c r="D5" s="140" t="s">
        <v>310</v>
      </c>
      <c r="E5" s="140" t="s">
        <v>314</v>
      </c>
      <c r="F5" s="140" t="s">
        <v>315</v>
      </c>
      <c r="G5" s="140" t="s">
        <v>311</v>
      </c>
      <c r="H5" s="140" t="s">
        <v>312</v>
      </c>
      <c r="I5" s="140" t="s">
        <v>313</v>
      </c>
      <c r="J5" s="140" t="s">
        <v>316</v>
      </c>
      <c r="M5" s="140">
        <v>5</v>
      </c>
      <c r="N5" s="140">
        <v>1.76</v>
      </c>
      <c r="O5" s="140">
        <v>107.5</v>
      </c>
      <c r="P5" s="140">
        <v>0.26300000000000001</v>
      </c>
      <c r="Q5" s="140">
        <v>0.124</v>
      </c>
      <c r="R5" s="140">
        <v>2.1859999999999999</v>
      </c>
      <c r="S5" s="140">
        <v>1.181</v>
      </c>
      <c r="T5" s="140">
        <v>0.42599999999999999</v>
      </c>
      <c r="U5" s="140">
        <v>1.1160000562667847</v>
      </c>
      <c r="V5" s="140">
        <v>0.37200000882148743</v>
      </c>
    </row>
    <row r="6" spans="1:22" x14ac:dyDescent="0.3">
      <c r="B6" s="140">
        <v>11</v>
      </c>
      <c r="C6" s="140">
        <v>1</v>
      </c>
      <c r="D6" s="140">
        <v>1</v>
      </c>
      <c r="E6" s="140">
        <v>251.00001525878906</v>
      </c>
      <c r="F6" s="140">
        <v>251.00001525878906</v>
      </c>
      <c r="G6" s="140">
        <v>3.3697466755935688</v>
      </c>
      <c r="H6" s="140">
        <v>2.5421104626820972</v>
      </c>
      <c r="I6" s="140">
        <v>1175</v>
      </c>
      <c r="J6" s="175">
        <v>1175</v>
      </c>
    </row>
    <row r="7" spans="1:22" x14ac:dyDescent="0.3">
      <c r="B7" s="140">
        <v>10</v>
      </c>
      <c r="C7" s="140">
        <v>1</v>
      </c>
      <c r="D7" s="140">
        <v>1</v>
      </c>
      <c r="E7" s="140">
        <v>640</v>
      </c>
      <c r="F7" s="140">
        <v>891</v>
      </c>
      <c r="G7" s="140">
        <v>1.7117122544037957</v>
      </c>
      <c r="H7" s="140">
        <v>1.2913022995280712</v>
      </c>
      <c r="I7" s="140">
        <v>1521</v>
      </c>
      <c r="J7" s="140">
        <v>2696</v>
      </c>
    </row>
    <row r="8" spans="1:22" x14ac:dyDescent="0.3">
      <c r="B8" s="140">
        <v>9</v>
      </c>
      <c r="C8" s="140">
        <v>1</v>
      </c>
      <c r="D8" s="140">
        <v>1</v>
      </c>
      <c r="E8" s="140">
        <v>454</v>
      </c>
      <c r="F8" s="140">
        <v>1345</v>
      </c>
      <c r="G8" s="140">
        <v>1.3375605270072652</v>
      </c>
      <c r="H8" s="140">
        <v>1.0090451709034809</v>
      </c>
      <c r="I8" s="140">
        <v>843</v>
      </c>
      <c r="J8" s="140">
        <v>3539</v>
      </c>
      <c r="O8" s="173"/>
      <c r="P8" s="173" t="s">
        <v>295</v>
      </c>
      <c r="Q8" s="140" t="s">
        <v>304</v>
      </c>
      <c r="S8" s="140">
        <v>1.5</v>
      </c>
    </row>
    <row r="9" spans="1:22" x14ac:dyDescent="0.3">
      <c r="B9" s="140">
        <v>8</v>
      </c>
      <c r="C9" s="140">
        <v>1</v>
      </c>
      <c r="D9" s="140">
        <v>1</v>
      </c>
      <c r="E9" s="140">
        <v>455</v>
      </c>
      <c r="F9" s="140">
        <v>1800</v>
      </c>
      <c r="G9" s="140">
        <v>1.1521012343397561</v>
      </c>
      <c r="H9" s="140">
        <v>0.86913613509779952</v>
      </c>
      <c r="I9" s="140">
        <v>728</v>
      </c>
      <c r="J9" s="140">
        <v>4267</v>
      </c>
      <c r="O9" s="173"/>
      <c r="P9" s="173" t="s">
        <v>296</v>
      </c>
      <c r="Q9" s="140" t="s">
        <v>305</v>
      </c>
      <c r="S9" s="140">
        <v>1.5</v>
      </c>
    </row>
    <row r="10" spans="1:22" x14ac:dyDescent="0.3">
      <c r="B10" s="140">
        <v>7</v>
      </c>
      <c r="C10" s="140">
        <v>1</v>
      </c>
      <c r="D10" s="140">
        <v>1</v>
      </c>
      <c r="E10" s="140">
        <v>460</v>
      </c>
      <c r="F10" s="140">
        <v>2260</v>
      </c>
      <c r="G10" s="140">
        <v>0.99878539154244372</v>
      </c>
      <c r="H10" s="140">
        <v>0.75347586576870551</v>
      </c>
      <c r="I10" s="140">
        <v>638</v>
      </c>
      <c r="J10" s="140">
        <v>4905</v>
      </c>
      <c r="O10" s="173"/>
      <c r="P10" s="173" t="s">
        <v>303</v>
      </c>
      <c r="Q10" s="140">
        <v>2.1859999999999999</v>
      </c>
      <c r="S10" s="140">
        <v>1.5</v>
      </c>
    </row>
    <row r="11" spans="1:22" x14ac:dyDescent="0.3">
      <c r="B11" s="140">
        <v>6</v>
      </c>
      <c r="C11" s="140">
        <v>1</v>
      </c>
      <c r="D11" s="140">
        <v>1</v>
      </c>
      <c r="E11" s="140">
        <v>467</v>
      </c>
      <c r="F11" s="140">
        <v>2727</v>
      </c>
      <c r="G11" s="140">
        <v>0.86075015481536299</v>
      </c>
      <c r="H11" s="140">
        <v>0.64934316581110341</v>
      </c>
      <c r="I11" s="140">
        <v>558</v>
      </c>
      <c r="J11" s="140">
        <v>5463</v>
      </c>
      <c r="O11" s="173"/>
      <c r="P11" s="173" t="s">
        <v>297</v>
      </c>
      <c r="Q11" s="140" t="s">
        <v>306</v>
      </c>
      <c r="S11" s="140">
        <v>1.35</v>
      </c>
    </row>
    <row r="12" spans="1:22" x14ac:dyDescent="0.3">
      <c r="B12" s="140">
        <v>5</v>
      </c>
      <c r="C12" s="140">
        <v>1</v>
      </c>
      <c r="D12" s="140">
        <v>1</v>
      </c>
      <c r="E12" s="140">
        <v>469</v>
      </c>
      <c r="F12" s="140">
        <v>3196</v>
      </c>
      <c r="G12" s="140">
        <v>0.73173400649820397</v>
      </c>
      <c r="H12" s="140">
        <v>0.55201439541199804</v>
      </c>
      <c r="I12" s="140">
        <v>477</v>
      </c>
      <c r="J12" s="177">
        <v>5940</v>
      </c>
      <c r="O12" s="173"/>
    </row>
    <row r="13" spans="1:22" x14ac:dyDescent="0.3">
      <c r="B13" s="140">
        <v>4</v>
      </c>
      <c r="C13" s="140">
        <v>1</v>
      </c>
      <c r="D13" s="140">
        <v>1</v>
      </c>
      <c r="E13" s="140">
        <v>471</v>
      </c>
      <c r="F13" s="140">
        <v>3667</v>
      </c>
      <c r="G13" s="140">
        <v>0.60892103376747686</v>
      </c>
      <c r="H13" s="140">
        <v>0.45936525202293932</v>
      </c>
      <c r="I13" s="140">
        <v>398</v>
      </c>
      <c r="J13" s="140">
        <v>6338</v>
      </c>
      <c r="O13" s="173"/>
    </row>
    <row r="14" spans="1:22" x14ac:dyDescent="0.3">
      <c r="B14" s="140">
        <v>3</v>
      </c>
      <c r="C14" s="140">
        <v>1</v>
      </c>
      <c r="D14" s="140">
        <v>1</v>
      </c>
      <c r="E14" s="140">
        <v>475</v>
      </c>
      <c r="F14" s="140">
        <v>4142</v>
      </c>
      <c r="G14" s="140">
        <v>0.4900204446847688</v>
      </c>
      <c r="H14" s="140">
        <v>0.36966758017258422</v>
      </c>
      <c r="I14" s="140">
        <v>323</v>
      </c>
      <c r="J14" s="140">
        <v>6662</v>
      </c>
      <c r="O14" s="152" t="s">
        <v>244</v>
      </c>
      <c r="P14" s="140" t="s">
        <v>246</v>
      </c>
      <c r="R14" s="140" t="s">
        <v>247</v>
      </c>
    </row>
    <row r="15" spans="1:22" x14ac:dyDescent="0.3">
      <c r="B15" s="140">
        <v>2</v>
      </c>
      <c r="C15" s="140">
        <v>1</v>
      </c>
      <c r="D15" s="140">
        <v>1</v>
      </c>
      <c r="E15" s="140">
        <v>477</v>
      </c>
      <c r="F15" s="140">
        <v>4619</v>
      </c>
      <c r="G15" s="140">
        <v>0.3737917146544496</v>
      </c>
      <c r="H15" s="140">
        <v>0.28198553783559399</v>
      </c>
      <c r="I15" s="140">
        <v>248</v>
      </c>
      <c r="J15" s="140">
        <v>6909</v>
      </c>
      <c r="O15" s="152">
        <v>1</v>
      </c>
      <c r="P15" s="140" t="s">
        <v>248</v>
      </c>
      <c r="R15" s="140">
        <v>0.8</v>
      </c>
    </row>
    <row r="16" spans="1:22" x14ac:dyDescent="0.3">
      <c r="B16" s="140">
        <v>1</v>
      </c>
      <c r="C16" s="140">
        <v>1</v>
      </c>
      <c r="D16" s="140">
        <v>1</v>
      </c>
      <c r="E16" s="140">
        <v>481</v>
      </c>
      <c r="F16" s="140">
        <v>5100</v>
      </c>
      <c r="G16" s="140">
        <v>0.25942650121903799</v>
      </c>
      <c r="H16" s="140">
        <v>0.19570931780198564</v>
      </c>
      <c r="I16" s="140">
        <v>173</v>
      </c>
      <c r="J16" s="140">
        <v>7082</v>
      </c>
      <c r="O16" s="152">
        <v>2</v>
      </c>
      <c r="P16" s="140" t="s">
        <v>249</v>
      </c>
      <c r="R16" s="140">
        <v>0.85</v>
      </c>
    </row>
    <row r="17" spans="2:43" x14ac:dyDescent="0.3">
      <c r="O17" s="152">
        <v>3</v>
      </c>
      <c r="P17" s="140" t="s">
        <v>250</v>
      </c>
      <c r="R17" s="140">
        <v>0.9</v>
      </c>
    </row>
    <row r="18" spans="2:43" x14ac:dyDescent="0.3">
      <c r="O18" s="152">
        <v>4</v>
      </c>
      <c r="P18" s="140" t="s">
        <v>251</v>
      </c>
      <c r="R18" s="140">
        <v>0.95</v>
      </c>
    </row>
    <row r="19" spans="2:43" x14ac:dyDescent="0.3">
      <c r="O19" s="152" t="s">
        <v>245</v>
      </c>
      <c r="P19" s="140">
        <v>1</v>
      </c>
      <c r="R19" s="140">
        <v>1</v>
      </c>
    </row>
    <row r="20" spans="2:43" x14ac:dyDescent="0.3">
      <c r="B20" s="140">
        <v>11</v>
      </c>
      <c r="C20" s="140">
        <v>1</v>
      </c>
      <c r="D20" s="140">
        <v>1</v>
      </c>
      <c r="E20" s="140">
        <v>251.00001525878906</v>
      </c>
      <c r="F20" s="140">
        <v>251.00001525878906</v>
      </c>
      <c r="G20" s="140">
        <v>3.3697466755935688</v>
      </c>
      <c r="H20" s="140">
        <v>2.6463083157685885</v>
      </c>
      <c r="I20" s="140">
        <v>1142.8441162109375</v>
      </c>
      <c r="J20" s="140">
        <v>1142.800048828125</v>
      </c>
      <c r="AQ20" s="140">
        <v>1</v>
      </c>
    </row>
    <row r="21" spans="2:43" x14ac:dyDescent="0.3">
      <c r="B21" s="140">
        <v>10</v>
      </c>
      <c r="C21" s="140">
        <v>1</v>
      </c>
      <c r="D21" s="140">
        <v>1</v>
      </c>
      <c r="E21" s="140">
        <v>640</v>
      </c>
      <c r="F21" s="140">
        <v>891</v>
      </c>
      <c r="G21" s="140">
        <v>1.7117122544037957</v>
      </c>
      <c r="H21" s="140">
        <v>1.3442311274730672</v>
      </c>
      <c r="I21" s="140">
        <v>1480.2215576171875</v>
      </c>
      <c r="J21" s="140">
        <v>2623.10009765625</v>
      </c>
      <c r="O21" s="173" t="s">
        <v>252</v>
      </c>
      <c r="P21" s="140" t="s">
        <v>253</v>
      </c>
      <c r="Q21" s="140" t="s">
        <v>255</v>
      </c>
      <c r="AQ21" s="140">
        <v>1</v>
      </c>
    </row>
    <row r="22" spans="2:43" x14ac:dyDescent="0.3">
      <c r="B22" s="140">
        <v>9</v>
      </c>
      <c r="C22" s="140">
        <v>1</v>
      </c>
      <c r="D22" s="140">
        <v>1</v>
      </c>
      <c r="E22" s="140">
        <v>454</v>
      </c>
      <c r="F22" s="140">
        <v>1345</v>
      </c>
      <c r="G22" s="140">
        <v>1.3375605270072652</v>
      </c>
      <c r="H22" s="140">
        <v>1.0504046405327054</v>
      </c>
      <c r="I22" s="140">
        <v>820.5126953125</v>
      </c>
      <c r="J22" s="140">
        <v>3443.60009765625</v>
      </c>
      <c r="P22" s="140" t="s">
        <v>254</v>
      </c>
      <c r="Q22" s="140">
        <v>1</v>
      </c>
      <c r="AQ22" s="140">
        <v>1</v>
      </c>
    </row>
    <row r="23" spans="2:43" x14ac:dyDescent="0.3">
      <c r="B23" s="140">
        <v>8</v>
      </c>
      <c r="C23" s="140">
        <v>1</v>
      </c>
      <c r="D23" s="140">
        <v>1</v>
      </c>
      <c r="E23" s="140">
        <v>455</v>
      </c>
      <c r="F23" s="140">
        <v>1800</v>
      </c>
      <c r="G23" s="140">
        <v>1.1521012343397561</v>
      </c>
      <c r="H23" s="140">
        <v>0.90476091248120727</v>
      </c>
      <c r="I23" s="140">
        <v>708.30133056640625</v>
      </c>
      <c r="J23" s="140">
        <v>4151.89990234375</v>
      </c>
      <c r="AQ23" s="140">
        <v>1</v>
      </c>
    </row>
    <row r="24" spans="2:43" x14ac:dyDescent="0.3">
      <c r="B24" s="140">
        <v>7</v>
      </c>
      <c r="C24" s="140">
        <v>1</v>
      </c>
      <c r="D24" s="140">
        <v>1</v>
      </c>
      <c r="E24" s="140">
        <v>460</v>
      </c>
      <c r="F24" s="140">
        <v>2260</v>
      </c>
      <c r="G24" s="140">
        <v>0.99878539154244372</v>
      </c>
      <c r="H24" s="140">
        <v>0.78435987679738062</v>
      </c>
      <c r="I24" s="140">
        <v>620.7918701171875</v>
      </c>
      <c r="J24" s="140">
        <v>4772.7001953125</v>
      </c>
      <c r="O24" s="140" t="s">
        <v>236</v>
      </c>
      <c r="Q24" s="140" t="s">
        <v>239</v>
      </c>
      <c r="AQ24" s="140">
        <v>1</v>
      </c>
    </row>
    <row r="25" spans="2:43" x14ac:dyDescent="0.3">
      <c r="B25" s="140">
        <v>6</v>
      </c>
      <c r="C25" s="140">
        <v>1</v>
      </c>
      <c r="D25" s="140">
        <v>1</v>
      </c>
      <c r="E25" s="140">
        <v>467</v>
      </c>
      <c r="F25" s="140">
        <v>2727</v>
      </c>
      <c r="G25" s="140">
        <v>0.86075015481536299</v>
      </c>
      <c r="H25" s="140">
        <v>0.67595891079431569</v>
      </c>
      <c r="I25" s="140">
        <v>543.13775634765625</v>
      </c>
      <c r="J25" s="140">
        <v>5315.7998046875</v>
      </c>
      <c r="O25" s="140" t="s">
        <v>237</v>
      </c>
      <c r="Q25" s="140" t="s">
        <v>240</v>
      </c>
      <c r="AQ25" s="140">
        <v>1</v>
      </c>
    </row>
    <row r="26" spans="2:43" x14ac:dyDescent="0.3">
      <c r="B26" s="140">
        <v>5</v>
      </c>
      <c r="C26" s="140">
        <v>1</v>
      </c>
      <c r="D26" s="140">
        <v>1</v>
      </c>
      <c r="E26" s="140">
        <v>469</v>
      </c>
      <c r="F26" s="140">
        <v>3196</v>
      </c>
      <c r="G26" s="140">
        <v>0.73173400649820397</v>
      </c>
      <c r="H26" s="140">
        <v>0.57464075871097187</v>
      </c>
      <c r="I26" s="140">
        <v>463.705322265625</v>
      </c>
      <c r="J26" s="140">
        <v>5779.5</v>
      </c>
      <c r="O26" s="140" t="s">
        <v>238</v>
      </c>
      <c r="Q26" s="140" t="s">
        <v>241</v>
      </c>
      <c r="AQ26" s="140">
        <v>1</v>
      </c>
    </row>
    <row r="27" spans="2:43" x14ac:dyDescent="0.3">
      <c r="B27" s="140">
        <v>4</v>
      </c>
      <c r="C27" s="140">
        <v>1</v>
      </c>
      <c r="D27" s="140">
        <v>1</v>
      </c>
      <c r="E27" s="140">
        <v>471</v>
      </c>
      <c r="F27" s="140">
        <v>3667</v>
      </c>
      <c r="G27" s="140">
        <v>0.60892103376747686</v>
      </c>
      <c r="H27" s="140">
        <v>0.47819404555727874</v>
      </c>
      <c r="I27" s="140">
        <v>387.52337646484375</v>
      </c>
      <c r="J27" s="140">
        <v>6167</v>
      </c>
      <c r="AQ27" s="140">
        <v>1</v>
      </c>
    </row>
    <row r="28" spans="2:43" x14ac:dyDescent="0.3">
      <c r="B28" s="140">
        <v>3</v>
      </c>
      <c r="C28" s="140">
        <v>1</v>
      </c>
      <c r="D28" s="140">
        <v>1</v>
      </c>
      <c r="E28" s="140">
        <v>475</v>
      </c>
      <c r="F28" s="140">
        <v>4142</v>
      </c>
      <c r="G28" s="140">
        <v>0.4900204446847688</v>
      </c>
      <c r="H28" s="140">
        <v>0.38481978098175834</v>
      </c>
      <c r="I28" s="140">
        <v>314.50228881835938</v>
      </c>
      <c r="J28" s="140">
        <v>6481.5</v>
      </c>
      <c r="Z28" s="173"/>
      <c r="AA28" s="174"/>
      <c r="AQ28" s="140">
        <v>1</v>
      </c>
    </row>
    <row r="29" spans="2:43" x14ac:dyDescent="0.3">
      <c r="B29" s="140">
        <v>2</v>
      </c>
      <c r="C29" s="140">
        <v>1</v>
      </c>
      <c r="D29" s="140">
        <v>1</v>
      </c>
      <c r="E29" s="140">
        <v>477</v>
      </c>
      <c r="F29" s="140">
        <v>4619</v>
      </c>
      <c r="G29" s="140">
        <v>0.3737917146544496</v>
      </c>
      <c r="H29" s="140">
        <v>0.29354376399265414</v>
      </c>
      <c r="I29" s="140">
        <v>240.91511535644531</v>
      </c>
      <c r="J29" s="140">
        <v>6722.5</v>
      </c>
      <c r="Z29" s="173"/>
      <c r="AA29" s="174"/>
      <c r="AQ29" s="140">
        <v>1</v>
      </c>
    </row>
    <row r="30" spans="2:43" x14ac:dyDescent="0.3">
      <c r="B30" s="140">
        <v>1</v>
      </c>
      <c r="C30" s="140">
        <v>1</v>
      </c>
      <c r="D30" s="140">
        <v>1</v>
      </c>
      <c r="E30" s="140">
        <v>481</v>
      </c>
      <c r="F30" s="140">
        <v>5100</v>
      </c>
      <c r="G30" s="140">
        <v>0.25942650121903799</v>
      </c>
      <c r="H30" s="140">
        <v>0.20373119216320962</v>
      </c>
      <c r="I30" s="140">
        <v>168.60693359375</v>
      </c>
      <c r="J30" s="175">
        <v>6891.10009765625</v>
      </c>
      <c r="Z30" s="173"/>
      <c r="AA30" s="174"/>
      <c r="AQ30" s="140">
        <v>1</v>
      </c>
    </row>
    <row r="31" spans="2:43" x14ac:dyDescent="0.3">
      <c r="Z31" s="173"/>
      <c r="AA31" s="174"/>
    </row>
  </sheetData>
  <phoneticPr fontId="2"/>
  <pageMargins left="0.25" right="0.25"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9A9FD-1CBA-4D88-9F5A-F61DB97C7B40}">
  <sheetPr codeName="Sheet7"/>
  <dimension ref="A1:GR250"/>
  <sheetViews>
    <sheetView topLeftCell="C1" zoomScaleNormal="100" workbookViewId="0">
      <selection activeCell="N4" sqref="N4:V4"/>
    </sheetView>
  </sheetViews>
  <sheetFormatPr defaultColWidth="17.87890625" defaultRowHeight="12.9" x14ac:dyDescent="0.3"/>
  <cols>
    <col min="1" max="1" width="5.3515625" style="164" customWidth="1"/>
    <col min="2" max="54" width="11" style="164" customWidth="1"/>
    <col min="55" max="256" width="17.87890625" style="164"/>
    <col min="257" max="257" width="5.3515625" style="164" customWidth="1"/>
    <col min="258" max="310" width="11" style="164" customWidth="1"/>
    <col min="311" max="512" width="17.87890625" style="164"/>
    <col min="513" max="513" width="5.3515625" style="164" customWidth="1"/>
    <col min="514" max="566" width="11" style="164" customWidth="1"/>
    <col min="567" max="768" width="17.87890625" style="164"/>
    <col min="769" max="769" width="5.3515625" style="164" customWidth="1"/>
    <col min="770" max="822" width="11" style="164" customWidth="1"/>
    <col min="823" max="1024" width="17.87890625" style="164"/>
    <col min="1025" max="1025" width="5.3515625" style="164" customWidth="1"/>
    <col min="1026" max="1078" width="11" style="164" customWidth="1"/>
    <col min="1079" max="1280" width="17.87890625" style="164"/>
    <col min="1281" max="1281" width="5.3515625" style="164" customWidth="1"/>
    <col min="1282" max="1334" width="11" style="164" customWidth="1"/>
    <col min="1335" max="1536" width="17.87890625" style="164"/>
    <col min="1537" max="1537" width="5.3515625" style="164" customWidth="1"/>
    <col min="1538" max="1590" width="11" style="164" customWidth="1"/>
    <col min="1591" max="1792" width="17.87890625" style="164"/>
    <col min="1793" max="1793" width="5.3515625" style="164" customWidth="1"/>
    <col min="1794" max="1846" width="11" style="164" customWidth="1"/>
    <col min="1847" max="2048" width="17.87890625" style="164"/>
    <col min="2049" max="2049" width="5.3515625" style="164" customWidth="1"/>
    <col min="2050" max="2102" width="11" style="164" customWidth="1"/>
    <col min="2103" max="2304" width="17.87890625" style="164"/>
    <col min="2305" max="2305" width="5.3515625" style="164" customWidth="1"/>
    <col min="2306" max="2358" width="11" style="164" customWidth="1"/>
    <col min="2359" max="2560" width="17.87890625" style="164"/>
    <col min="2561" max="2561" width="5.3515625" style="164" customWidth="1"/>
    <col min="2562" max="2614" width="11" style="164" customWidth="1"/>
    <col min="2615" max="2816" width="17.87890625" style="164"/>
    <col min="2817" max="2817" width="5.3515625" style="164" customWidth="1"/>
    <col min="2818" max="2870" width="11" style="164" customWidth="1"/>
    <col min="2871" max="3072" width="17.87890625" style="164"/>
    <col min="3073" max="3073" width="5.3515625" style="164" customWidth="1"/>
    <col min="3074" max="3126" width="11" style="164" customWidth="1"/>
    <col min="3127" max="3328" width="17.87890625" style="164"/>
    <col min="3329" max="3329" width="5.3515625" style="164" customWidth="1"/>
    <col min="3330" max="3382" width="11" style="164" customWidth="1"/>
    <col min="3383" max="3584" width="17.87890625" style="164"/>
    <col min="3585" max="3585" width="5.3515625" style="164" customWidth="1"/>
    <col min="3586" max="3638" width="11" style="164" customWidth="1"/>
    <col min="3639" max="3840" width="17.87890625" style="164"/>
    <col min="3841" max="3841" width="5.3515625" style="164" customWidth="1"/>
    <col min="3842" max="3894" width="11" style="164" customWidth="1"/>
    <col min="3895" max="4096" width="17.87890625" style="164"/>
    <col min="4097" max="4097" width="5.3515625" style="164" customWidth="1"/>
    <col min="4098" max="4150" width="11" style="164" customWidth="1"/>
    <col min="4151" max="4352" width="17.87890625" style="164"/>
    <col min="4353" max="4353" width="5.3515625" style="164" customWidth="1"/>
    <col min="4354" max="4406" width="11" style="164" customWidth="1"/>
    <col min="4407" max="4608" width="17.87890625" style="164"/>
    <col min="4609" max="4609" width="5.3515625" style="164" customWidth="1"/>
    <col min="4610" max="4662" width="11" style="164" customWidth="1"/>
    <col min="4663" max="4864" width="17.87890625" style="164"/>
    <col min="4865" max="4865" width="5.3515625" style="164" customWidth="1"/>
    <col min="4866" max="4918" width="11" style="164" customWidth="1"/>
    <col min="4919" max="5120" width="17.87890625" style="164"/>
    <col min="5121" max="5121" width="5.3515625" style="164" customWidth="1"/>
    <col min="5122" max="5174" width="11" style="164" customWidth="1"/>
    <col min="5175" max="5376" width="17.87890625" style="164"/>
    <col min="5377" max="5377" width="5.3515625" style="164" customWidth="1"/>
    <col min="5378" max="5430" width="11" style="164" customWidth="1"/>
    <col min="5431" max="5632" width="17.87890625" style="164"/>
    <col min="5633" max="5633" width="5.3515625" style="164" customWidth="1"/>
    <col min="5634" max="5686" width="11" style="164" customWidth="1"/>
    <col min="5687" max="5888" width="17.87890625" style="164"/>
    <col min="5889" max="5889" width="5.3515625" style="164" customWidth="1"/>
    <col min="5890" max="5942" width="11" style="164" customWidth="1"/>
    <col min="5943" max="6144" width="17.87890625" style="164"/>
    <col min="6145" max="6145" width="5.3515625" style="164" customWidth="1"/>
    <col min="6146" max="6198" width="11" style="164" customWidth="1"/>
    <col min="6199" max="6400" width="17.87890625" style="164"/>
    <col min="6401" max="6401" width="5.3515625" style="164" customWidth="1"/>
    <col min="6402" max="6454" width="11" style="164" customWidth="1"/>
    <col min="6455" max="6656" width="17.87890625" style="164"/>
    <col min="6657" max="6657" width="5.3515625" style="164" customWidth="1"/>
    <col min="6658" max="6710" width="11" style="164" customWidth="1"/>
    <col min="6711" max="6912" width="17.87890625" style="164"/>
    <col min="6913" max="6913" width="5.3515625" style="164" customWidth="1"/>
    <col min="6914" max="6966" width="11" style="164" customWidth="1"/>
    <col min="6967" max="7168" width="17.87890625" style="164"/>
    <col min="7169" max="7169" width="5.3515625" style="164" customWidth="1"/>
    <col min="7170" max="7222" width="11" style="164" customWidth="1"/>
    <col min="7223" max="7424" width="17.87890625" style="164"/>
    <col min="7425" max="7425" width="5.3515625" style="164" customWidth="1"/>
    <col min="7426" max="7478" width="11" style="164" customWidth="1"/>
    <col min="7479" max="7680" width="17.87890625" style="164"/>
    <col min="7681" max="7681" width="5.3515625" style="164" customWidth="1"/>
    <col min="7682" max="7734" width="11" style="164" customWidth="1"/>
    <col min="7735" max="7936" width="17.87890625" style="164"/>
    <col min="7937" max="7937" width="5.3515625" style="164" customWidth="1"/>
    <col min="7938" max="7990" width="11" style="164" customWidth="1"/>
    <col min="7991" max="8192" width="17.87890625" style="164"/>
    <col min="8193" max="8193" width="5.3515625" style="164" customWidth="1"/>
    <col min="8194" max="8246" width="11" style="164" customWidth="1"/>
    <col min="8247" max="8448" width="17.87890625" style="164"/>
    <col min="8449" max="8449" width="5.3515625" style="164" customWidth="1"/>
    <col min="8450" max="8502" width="11" style="164" customWidth="1"/>
    <col min="8503" max="8704" width="17.87890625" style="164"/>
    <col min="8705" max="8705" width="5.3515625" style="164" customWidth="1"/>
    <col min="8706" max="8758" width="11" style="164" customWidth="1"/>
    <col min="8759" max="8960" width="17.87890625" style="164"/>
    <col min="8961" max="8961" width="5.3515625" style="164" customWidth="1"/>
    <col min="8962" max="9014" width="11" style="164" customWidth="1"/>
    <col min="9015" max="9216" width="17.87890625" style="164"/>
    <col min="9217" max="9217" width="5.3515625" style="164" customWidth="1"/>
    <col min="9218" max="9270" width="11" style="164" customWidth="1"/>
    <col min="9271" max="9472" width="17.87890625" style="164"/>
    <col min="9473" max="9473" width="5.3515625" style="164" customWidth="1"/>
    <col min="9474" max="9526" width="11" style="164" customWidth="1"/>
    <col min="9527" max="9728" width="17.87890625" style="164"/>
    <col min="9729" max="9729" width="5.3515625" style="164" customWidth="1"/>
    <col min="9730" max="9782" width="11" style="164" customWidth="1"/>
    <col min="9783" max="9984" width="17.87890625" style="164"/>
    <col min="9985" max="9985" width="5.3515625" style="164" customWidth="1"/>
    <col min="9986" max="10038" width="11" style="164" customWidth="1"/>
    <col min="10039" max="10240" width="17.87890625" style="164"/>
    <col min="10241" max="10241" width="5.3515625" style="164" customWidth="1"/>
    <col min="10242" max="10294" width="11" style="164" customWidth="1"/>
    <col min="10295" max="10496" width="17.87890625" style="164"/>
    <col min="10497" max="10497" width="5.3515625" style="164" customWidth="1"/>
    <col min="10498" max="10550" width="11" style="164" customWidth="1"/>
    <col min="10551" max="10752" width="17.87890625" style="164"/>
    <col min="10753" max="10753" width="5.3515625" style="164" customWidth="1"/>
    <col min="10754" max="10806" width="11" style="164" customWidth="1"/>
    <col min="10807" max="11008" width="17.87890625" style="164"/>
    <col min="11009" max="11009" width="5.3515625" style="164" customWidth="1"/>
    <col min="11010" max="11062" width="11" style="164" customWidth="1"/>
    <col min="11063" max="11264" width="17.87890625" style="164"/>
    <col min="11265" max="11265" width="5.3515625" style="164" customWidth="1"/>
    <col min="11266" max="11318" width="11" style="164" customWidth="1"/>
    <col min="11319" max="11520" width="17.87890625" style="164"/>
    <col min="11521" max="11521" width="5.3515625" style="164" customWidth="1"/>
    <col min="11522" max="11574" width="11" style="164" customWidth="1"/>
    <col min="11575" max="11776" width="17.87890625" style="164"/>
    <col min="11777" max="11777" width="5.3515625" style="164" customWidth="1"/>
    <col min="11778" max="11830" width="11" style="164" customWidth="1"/>
    <col min="11831" max="12032" width="17.87890625" style="164"/>
    <col min="12033" max="12033" width="5.3515625" style="164" customWidth="1"/>
    <col min="12034" max="12086" width="11" style="164" customWidth="1"/>
    <col min="12087" max="12288" width="17.87890625" style="164"/>
    <col min="12289" max="12289" width="5.3515625" style="164" customWidth="1"/>
    <col min="12290" max="12342" width="11" style="164" customWidth="1"/>
    <col min="12343" max="12544" width="17.87890625" style="164"/>
    <col min="12545" max="12545" width="5.3515625" style="164" customWidth="1"/>
    <col min="12546" max="12598" width="11" style="164" customWidth="1"/>
    <col min="12599" max="12800" width="17.87890625" style="164"/>
    <col min="12801" max="12801" width="5.3515625" style="164" customWidth="1"/>
    <col min="12802" max="12854" width="11" style="164" customWidth="1"/>
    <col min="12855" max="13056" width="17.87890625" style="164"/>
    <col min="13057" max="13057" width="5.3515625" style="164" customWidth="1"/>
    <col min="13058" max="13110" width="11" style="164" customWidth="1"/>
    <col min="13111" max="13312" width="17.87890625" style="164"/>
    <col min="13313" max="13313" width="5.3515625" style="164" customWidth="1"/>
    <col min="13314" max="13366" width="11" style="164" customWidth="1"/>
    <col min="13367" max="13568" width="17.87890625" style="164"/>
    <col min="13569" max="13569" width="5.3515625" style="164" customWidth="1"/>
    <col min="13570" max="13622" width="11" style="164" customWidth="1"/>
    <col min="13623" max="13824" width="17.87890625" style="164"/>
    <col min="13825" max="13825" width="5.3515625" style="164" customWidth="1"/>
    <col min="13826" max="13878" width="11" style="164" customWidth="1"/>
    <col min="13879" max="14080" width="17.87890625" style="164"/>
    <col min="14081" max="14081" width="5.3515625" style="164" customWidth="1"/>
    <col min="14082" max="14134" width="11" style="164" customWidth="1"/>
    <col min="14135" max="14336" width="17.87890625" style="164"/>
    <col min="14337" max="14337" width="5.3515625" style="164" customWidth="1"/>
    <col min="14338" max="14390" width="11" style="164" customWidth="1"/>
    <col min="14391" max="14592" width="17.87890625" style="164"/>
    <col min="14593" max="14593" width="5.3515625" style="164" customWidth="1"/>
    <col min="14594" max="14646" width="11" style="164" customWidth="1"/>
    <col min="14647" max="14848" width="17.87890625" style="164"/>
    <col min="14849" max="14849" width="5.3515625" style="164" customWidth="1"/>
    <col min="14850" max="14902" width="11" style="164" customWidth="1"/>
    <col min="14903" max="15104" width="17.87890625" style="164"/>
    <col min="15105" max="15105" width="5.3515625" style="164" customWidth="1"/>
    <col min="15106" max="15158" width="11" style="164" customWidth="1"/>
    <col min="15159" max="15360" width="17.87890625" style="164"/>
    <col min="15361" max="15361" width="5.3515625" style="164" customWidth="1"/>
    <col min="15362" max="15414" width="11" style="164" customWidth="1"/>
    <col min="15415" max="15616" width="17.87890625" style="164"/>
    <col min="15617" max="15617" width="5.3515625" style="164" customWidth="1"/>
    <col min="15618" max="15670" width="11" style="164" customWidth="1"/>
    <col min="15671" max="15872" width="17.87890625" style="164"/>
    <col min="15873" max="15873" width="5.3515625" style="164" customWidth="1"/>
    <col min="15874" max="15926" width="11" style="164" customWidth="1"/>
    <col min="15927" max="16128" width="17.87890625" style="164"/>
    <col min="16129" max="16129" width="5.3515625" style="164" customWidth="1"/>
    <col min="16130" max="16182" width="11" style="164" customWidth="1"/>
    <col min="16183" max="16384" width="17.87890625" style="164"/>
  </cols>
  <sheetData>
    <row r="1" spans="1:200" x14ac:dyDescent="0.3">
      <c r="A1" s="164">
        <v>1</v>
      </c>
      <c r="B1" s="164">
        <v>2</v>
      </c>
      <c r="C1" s="164">
        <v>3</v>
      </c>
      <c r="D1" s="164">
        <v>4</v>
      </c>
      <c r="E1" s="164">
        <v>5</v>
      </c>
      <c r="F1" s="164">
        <v>6</v>
      </c>
      <c r="G1" s="164">
        <v>7</v>
      </c>
      <c r="H1" s="164">
        <v>8</v>
      </c>
      <c r="I1" s="164">
        <v>9</v>
      </c>
      <c r="J1" s="164">
        <v>10</v>
      </c>
      <c r="K1" s="164">
        <v>11</v>
      </c>
      <c r="L1" s="164">
        <v>12</v>
      </c>
      <c r="M1" s="164">
        <v>13</v>
      </c>
      <c r="N1" s="164">
        <v>14</v>
      </c>
      <c r="O1" s="164">
        <v>15</v>
      </c>
      <c r="P1" s="164">
        <v>16</v>
      </c>
      <c r="Q1" s="164">
        <v>17</v>
      </c>
    </row>
    <row r="2" spans="1:200" x14ac:dyDescent="0.3">
      <c r="B2" s="164" t="s">
        <v>170</v>
      </c>
      <c r="D2" s="164" t="s">
        <v>171</v>
      </c>
    </row>
    <row r="3" spans="1:200" x14ac:dyDescent="0.3">
      <c r="B3" s="164">
        <v>5</v>
      </c>
      <c r="H3" s="164" t="s">
        <v>172</v>
      </c>
      <c r="J3" s="164" t="s">
        <v>173</v>
      </c>
      <c r="K3" s="164" t="s">
        <v>174</v>
      </c>
    </row>
    <row r="4" spans="1:200" x14ac:dyDescent="0.3">
      <c r="B4" s="164" t="s">
        <v>175</v>
      </c>
      <c r="C4" s="164" t="s">
        <v>176</v>
      </c>
      <c r="D4" s="164" t="s">
        <v>177</v>
      </c>
      <c r="E4" s="164" t="s">
        <v>178</v>
      </c>
      <c r="F4" s="164" t="s">
        <v>179</v>
      </c>
      <c r="G4" s="164" t="s">
        <v>180</v>
      </c>
      <c r="H4" s="164" t="s">
        <v>181</v>
      </c>
      <c r="I4" s="164" t="s">
        <v>182</v>
      </c>
      <c r="J4" s="164" t="s">
        <v>183</v>
      </c>
      <c r="K4" s="164" t="s">
        <v>184</v>
      </c>
      <c r="L4" s="164" t="s">
        <v>185</v>
      </c>
      <c r="N4" s="164" t="s">
        <v>186</v>
      </c>
      <c r="O4" s="164" t="s">
        <v>187</v>
      </c>
      <c r="P4" s="164" t="s">
        <v>188</v>
      </c>
      <c r="Q4" s="164" t="s">
        <v>189</v>
      </c>
      <c r="R4" s="164" t="s">
        <v>190</v>
      </c>
      <c r="S4" s="164" t="s">
        <v>191</v>
      </c>
      <c r="T4" s="164" t="s">
        <v>192</v>
      </c>
      <c r="U4" s="164" t="s">
        <v>193</v>
      </c>
      <c r="V4" s="164" t="s">
        <v>194</v>
      </c>
    </row>
    <row r="5" spans="1:200" x14ac:dyDescent="0.3">
      <c r="B5" s="164">
        <v>1</v>
      </c>
      <c r="C5" s="164">
        <v>6</v>
      </c>
      <c r="D5" s="164">
        <v>1.6</v>
      </c>
      <c r="E5" s="164">
        <v>240</v>
      </c>
      <c r="F5" s="164">
        <v>100</v>
      </c>
      <c r="G5" s="164" t="s">
        <v>195</v>
      </c>
      <c r="H5" s="164">
        <v>16000</v>
      </c>
      <c r="I5" s="164">
        <v>1</v>
      </c>
      <c r="J5" s="164">
        <v>16000</v>
      </c>
      <c r="K5" s="164">
        <v>2667</v>
      </c>
      <c r="L5" s="164">
        <v>4.8000000000000007</v>
      </c>
      <c r="N5" s="164">
        <v>1.76</v>
      </c>
      <c r="O5" s="164">
        <v>107.5</v>
      </c>
      <c r="P5" s="164">
        <v>0.26300000000000001</v>
      </c>
      <c r="Q5" s="164">
        <v>0.124</v>
      </c>
      <c r="R5" s="164">
        <v>2.1859999999999999</v>
      </c>
      <c r="S5" s="164">
        <v>1.181</v>
      </c>
      <c r="T5" s="164">
        <v>0.42599999999999999</v>
      </c>
      <c r="U5" s="164">
        <v>1.1160000562667847</v>
      </c>
      <c r="V5" s="164">
        <v>0.37200000882148743</v>
      </c>
    </row>
    <row r="6" spans="1:200" x14ac:dyDescent="0.3">
      <c r="B6" s="164">
        <v>2</v>
      </c>
      <c r="C6" s="164">
        <v>10</v>
      </c>
      <c r="D6" s="164">
        <v>1.8</v>
      </c>
      <c r="E6" s="164">
        <v>340</v>
      </c>
      <c r="F6" s="164">
        <v>130</v>
      </c>
      <c r="G6" s="164" t="s">
        <v>196</v>
      </c>
      <c r="H6" s="164">
        <v>30420</v>
      </c>
      <c r="I6" s="164">
        <v>1</v>
      </c>
      <c r="J6" s="164">
        <v>30420</v>
      </c>
      <c r="K6" s="164">
        <v>3042</v>
      </c>
      <c r="L6" s="164">
        <v>13.8</v>
      </c>
      <c r="O6" s="165" t="s">
        <v>294</v>
      </c>
      <c r="P6" s="166" t="s">
        <v>197</v>
      </c>
      <c r="R6" s="164">
        <v>1.5</v>
      </c>
    </row>
    <row r="7" spans="1:200" x14ac:dyDescent="0.3">
      <c r="B7" s="164">
        <v>3</v>
      </c>
      <c r="C7" s="164">
        <v>6</v>
      </c>
      <c r="D7" s="164">
        <v>1.8</v>
      </c>
      <c r="E7" s="164">
        <v>360</v>
      </c>
      <c r="F7" s="164">
        <v>150</v>
      </c>
      <c r="G7" s="164" t="s">
        <v>198</v>
      </c>
      <c r="H7" s="164">
        <v>40500</v>
      </c>
      <c r="I7" s="164">
        <v>1</v>
      </c>
      <c r="J7" s="164">
        <v>40500</v>
      </c>
      <c r="K7" s="164">
        <v>6750</v>
      </c>
      <c r="L7" s="164">
        <v>14.4</v>
      </c>
      <c r="O7" s="165" t="s">
        <v>199</v>
      </c>
      <c r="P7" s="164" t="s">
        <v>200</v>
      </c>
      <c r="R7" s="164">
        <v>1.5</v>
      </c>
    </row>
    <row r="8" spans="1:200" x14ac:dyDescent="0.3">
      <c r="B8" s="164">
        <v>4</v>
      </c>
      <c r="C8" s="164">
        <v>8</v>
      </c>
      <c r="D8" s="164">
        <v>1.8</v>
      </c>
      <c r="E8" s="164">
        <v>400</v>
      </c>
      <c r="F8" s="164">
        <v>200</v>
      </c>
      <c r="G8" s="164" t="s">
        <v>198</v>
      </c>
      <c r="H8" s="164">
        <v>72000</v>
      </c>
      <c r="I8" s="164">
        <v>1</v>
      </c>
      <c r="J8" s="164">
        <v>72000</v>
      </c>
      <c r="K8" s="164">
        <v>9000</v>
      </c>
      <c r="L8" s="164">
        <v>12.600000000000001</v>
      </c>
      <c r="O8" s="165" t="s">
        <v>201</v>
      </c>
      <c r="P8" s="164">
        <v>2.1859999999999999</v>
      </c>
      <c r="R8" s="164">
        <v>1.5</v>
      </c>
    </row>
    <row r="9" spans="1:200" x14ac:dyDescent="0.3">
      <c r="B9" s="164">
        <v>5</v>
      </c>
      <c r="D9" s="164">
        <v>1.8</v>
      </c>
      <c r="E9" s="164">
        <v>1220</v>
      </c>
      <c r="F9" s="164">
        <v>400</v>
      </c>
      <c r="G9" s="164" t="s">
        <v>198</v>
      </c>
      <c r="H9" s="164">
        <v>288000</v>
      </c>
      <c r="I9" s="164">
        <v>1</v>
      </c>
      <c r="J9" s="164">
        <v>288000</v>
      </c>
      <c r="K9" s="164">
        <v>833146</v>
      </c>
      <c r="L9" s="164">
        <v>7.2</v>
      </c>
      <c r="O9" s="165" t="s">
        <v>202</v>
      </c>
      <c r="P9" s="164" t="s">
        <v>203</v>
      </c>
      <c r="R9" s="164">
        <v>1.35</v>
      </c>
    </row>
    <row r="10" spans="1:200" x14ac:dyDescent="0.3">
      <c r="A10" s="164">
        <v>1</v>
      </c>
    </row>
    <row r="11" spans="1:200" x14ac:dyDescent="0.3">
      <c r="B11" s="164" t="s">
        <v>204</v>
      </c>
      <c r="C11" s="164" t="s">
        <v>205</v>
      </c>
      <c r="D11" s="164" t="s">
        <v>206</v>
      </c>
      <c r="E11" s="164" t="s">
        <v>207</v>
      </c>
      <c r="F11" s="164" t="s">
        <v>208</v>
      </c>
      <c r="G11" s="164" t="s">
        <v>209</v>
      </c>
      <c r="H11" s="164" t="s">
        <v>210</v>
      </c>
      <c r="I11" s="164" t="s">
        <v>211</v>
      </c>
      <c r="J11" s="164" t="s">
        <v>212</v>
      </c>
      <c r="K11" s="164" t="s">
        <v>213</v>
      </c>
      <c r="L11" s="164" t="s">
        <v>214</v>
      </c>
      <c r="M11" s="164" t="s">
        <v>215</v>
      </c>
      <c r="N11" s="164" t="s">
        <v>216</v>
      </c>
      <c r="O11" s="164" t="s">
        <v>217</v>
      </c>
      <c r="P11" s="164" t="s">
        <v>121</v>
      </c>
      <c r="Q11" s="164" t="s">
        <v>122</v>
      </c>
    </row>
    <row r="12" spans="1:200" x14ac:dyDescent="0.3">
      <c r="B12">
        <v>1.7600000000000002</v>
      </c>
      <c r="C12">
        <v>146.69999999999999</v>
      </c>
      <c r="D12">
        <v>0.35899999999999999</v>
      </c>
      <c r="E12">
        <v>0.02</v>
      </c>
      <c r="F12">
        <v>2.5649999999999999</v>
      </c>
      <c r="G12">
        <v>2.2090000000000001</v>
      </c>
      <c r="H12">
        <v>8.1000000000000003E-2</v>
      </c>
      <c r="I12">
        <v>0.81800001859664917</v>
      </c>
      <c r="J12">
        <v>0.27300000190734863</v>
      </c>
      <c r="K12">
        <v>1</v>
      </c>
      <c r="L12">
        <v>1</v>
      </c>
      <c r="M12">
        <v>3.6153949971223051E-2</v>
      </c>
      <c r="N12">
        <v>5.1263470260626254E-4</v>
      </c>
      <c r="O12">
        <v>0.65407246598355762</v>
      </c>
      <c r="P12">
        <v>9.0389817286688878E-2</v>
      </c>
      <c r="Q12">
        <v>2.9855924826457131E-2</v>
      </c>
      <c r="R12"/>
      <c r="S12"/>
      <c r="T12">
        <v>2667</v>
      </c>
      <c r="U12">
        <v>4.8000000000000007</v>
      </c>
      <c r="V12">
        <v>1.7933328197770104E-2</v>
      </c>
      <c r="W12">
        <v>1</v>
      </c>
      <c r="X12">
        <v>4.8000000000000007</v>
      </c>
      <c r="Y12">
        <v>1.4443064953267037E-2</v>
      </c>
      <c r="Z12">
        <v>1</v>
      </c>
      <c r="AA12">
        <v>4.8000000000000007</v>
      </c>
      <c r="AB12">
        <v>1.3876899550954187E-2</v>
      </c>
      <c r="AC12">
        <v>1</v>
      </c>
      <c r="AD12">
        <v>4.8000000000000007</v>
      </c>
      <c r="AE12">
        <v>1.3774112628133106E-2</v>
      </c>
      <c r="AF12">
        <v>1</v>
      </c>
      <c r="AG12">
        <v>4.8000000000000007</v>
      </c>
      <c r="AH12">
        <v>1.3755738354843575E-2</v>
      </c>
      <c r="AI12">
        <v>1</v>
      </c>
      <c r="AJ12">
        <v>4.8000000000000007</v>
      </c>
      <c r="AK12">
        <v>1.3752522007184194E-2</v>
      </c>
      <c r="AL12">
        <v>1</v>
      </c>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row>
    <row r="13" spans="1:200" x14ac:dyDescent="0.3">
      <c r="B13"/>
      <c r="C13"/>
      <c r="D13"/>
      <c r="E13"/>
      <c r="F13"/>
      <c r="G13"/>
      <c r="H13"/>
      <c r="I13"/>
      <c r="J13"/>
      <c r="K13">
        <v>2</v>
      </c>
      <c r="L13">
        <v>0.86911491985775002</v>
      </c>
      <c r="M13">
        <v>3.1421937331780628E-2</v>
      </c>
      <c r="N13">
        <v>9.4338091161137554E-4</v>
      </c>
      <c r="O13">
        <v>0.52345619944549737</v>
      </c>
      <c r="P13">
        <v>0.12460285469668253</v>
      </c>
      <c r="Q13">
        <v>0.32038831598137557</v>
      </c>
      <c r="R13"/>
      <c r="S13"/>
      <c r="T13">
        <v>3042</v>
      </c>
      <c r="U13">
        <v>13.8</v>
      </c>
      <c r="V13">
        <v>1.6133328252701744E-2</v>
      </c>
      <c r="W13">
        <v>0.89962822710777246</v>
      </c>
      <c r="X13">
        <v>12.414869534087261</v>
      </c>
      <c r="Y13">
        <v>1.2643065008198676E-2</v>
      </c>
      <c r="Z13">
        <v>0.87537271687882301</v>
      </c>
      <c r="AA13">
        <v>12.080143492927759</v>
      </c>
      <c r="AB13">
        <v>1.2076899605885826E-2</v>
      </c>
      <c r="AC13">
        <v>0.87028803239088148</v>
      </c>
      <c r="AD13">
        <v>12.009974846994165</v>
      </c>
      <c r="AE13">
        <v>1.1974112683064744E-2</v>
      </c>
      <c r="AF13">
        <v>0.86932007936453704</v>
      </c>
      <c r="AG13">
        <v>11.996617095230611</v>
      </c>
      <c r="AH13">
        <v>1.1955738409775214E-2</v>
      </c>
      <c r="AI13">
        <v>0.86914552322561756</v>
      </c>
      <c r="AJ13">
        <v>11.994208220513523</v>
      </c>
      <c r="AK13">
        <v>1.1952522062115833E-2</v>
      </c>
      <c r="AL13">
        <v>0.86911491985775002</v>
      </c>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row>
    <row r="14" spans="1:200" x14ac:dyDescent="0.3">
      <c r="B14"/>
      <c r="C14"/>
      <c r="D14">
        <v>5.3929343223571777</v>
      </c>
      <c r="E14"/>
      <c r="F14"/>
      <c r="G14"/>
      <c r="H14"/>
      <c r="I14"/>
      <c r="J14">
        <v>9</v>
      </c>
      <c r="K14">
        <v>3</v>
      </c>
      <c r="L14">
        <v>0.46767738681140242</v>
      </c>
      <c r="M14">
        <v>1.6908384845451773E-2</v>
      </c>
      <c r="N14">
        <v>9.9276991235932146E-4</v>
      </c>
      <c r="O14">
        <v>0.33430141577532213</v>
      </c>
      <c r="P14">
        <v>0.18863849561796608</v>
      </c>
      <c r="Q14">
        <v>0.28343062725358836</v>
      </c>
      <c r="R14"/>
      <c r="S14"/>
      <c r="T14">
        <v>6750</v>
      </c>
      <c r="U14">
        <v>14.4</v>
      </c>
      <c r="V14">
        <v>1.0018929830611013E-2</v>
      </c>
      <c r="W14">
        <v>0.55867654459459481</v>
      </c>
      <c r="X14">
        <v>8.0449422421621648</v>
      </c>
      <c r="Y14">
        <v>6.9840020449878724E-3</v>
      </c>
      <c r="Z14">
        <v>0.48355401485666544</v>
      </c>
      <c r="AA14">
        <v>6.9631778139359826</v>
      </c>
      <c r="AB14">
        <v>6.5278715017018166E-3</v>
      </c>
      <c r="AC14">
        <v>0.47041282368098969</v>
      </c>
      <c r="AD14">
        <v>6.7739446610062517</v>
      </c>
      <c r="AE14">
        <v>6.4481511949009817E-3</v>
      </c>
      <c r="AF14">
        <v>0.46813550672809773</v>
      </c>
      <c r="AG14">
        <v>6.741151296884607</v>
      </c>
      <c r="AH14">
        <v>6.4341680300149875E-3</v>
      </c>
      <c r="AI14">
        <v>0.46774428707779492</v>
      </c>
      <c r="AJ14">
        <v>6.735517733920247</v>
      </c>
      <c r="AK14">
        <v>6.4317435543862064E-3</v>
      </c>
      <c r="AL14">
        <v>0.46767738681140242</v>
      </c>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row>
    <row r="15" spans="1:200" x14ac:dyDescent="0.3">
      <c r="B15"/>
      <c r="C15"/>
      <c r="D15">
        <v>3.7325985929406412E-2</v>
      </c>
      <c r="E15"/>
      <c r="F15"/>
      <c r="G15"/>
      <c r="H15"/>
      <c r="I15"/>
      <c r="J15"/>
      <c r="K15">
        <v>4</v>
      </c>
      <c r="L15">
        <v>0.21420494555577047</v>
      </c>
      <c r="M15">
        <v>7.7443548852118831E-3</v>
      </c>
      <c r="N15">
        <v>6.2250008969953784E-4</v>
      </c>
      <c r="O15">
        <v>0.42202497219314328</v>
      </c>
      <c r="P15">
        <v>0.12937486993567007</v>
      </c>
      <c r="Q15">
        <v>0.26414634831400852</v>
      </c>
      <c r="R15"/>
      <c r="S15"/>
      <c r="T15">
        <v>9000</v>
      </c>
      <c r="U15">
        <v>12.600000000000001</v>
      </c>
      <c r="V15">
        <v>5.1300409417221237E-3</v>
      </c>
      <c r="W15">
        <v>0.28606184446900446</v>
      </c>
      <c r="X15">
        <v>3.6043792403094566</v>
      </c>
      <c r="Y15">
        <v>3.2418077077657347E-3</v>
      </c>
      <c r="Z15">
        <v>0.224454277416542</v>
      </c>
      <c r="AA15">
        <v>2.8281238954484293</v>
      </c>
      <c r="AB15">
        <v>2.9955276043886706E-3</v>
      </c>
      <c r="AC15">
        <v>0.2158643285835917</v>
      </c>
      <c r="AD15">
        <v>2.7198905401532558</v>
      </c>
      <c r="AE15">
        <v>2.9542371937157342E-3</v>
      </c>
      <c r="AF15">
        <v>0.21447749655261392</v>
      </c>
      <c r="AG15">
        <v>2.7024164565629358</v>
      </c>
      <c r="AH15">
        <v>2.9470912311831028E-3</v>
      </c>
      <c r="AI15">
        <v>0.21424449601757609</v>
      </c>
      <c r="AJ15">
        <v>2.6994806498214592</v>
      </c>
      <c r="AK15">
        <v>2.9458582278034254E-3</v>
      </c>
      <c r="AL15">
        <v>0.21420494555577047</v>
      </c>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row>
    <row r="16" spans="1:200" x14ac:dyDescent="0.3">
      <c r="B16"/>
      <c r="C16"/>
      <c r="D16">
        <v>1.1720359581833613E-3</v>
      </c>
      <c r="E16"/>
      <c r="F16"/>
      <c r="G16"/>
      <c r="H16"/>
      <c r="I16"/>
      <c r="J16"/>
      <c r="K16">
        <v>5</v>
      </c>
      <c r="L16">
        <v>2.2906299241169477E-3</v>
      </c>
      <c r="M16">
        <v>8.2815319679110575E-5</v>
      </c>
      <c r="N16"/>
      <c r="O16"/>
      <c r="P16"/>
      <c r="Q16"/>
      <c r="R16"/>
      <c r="S16"/>
      <c r="T16">
        <v>833146</v>
      </c>
      <c r="U16">
        <v>7.2</v>
      </c>
      <c r="V16">
        <v>6.3374275055456242E-5</v>
      </c>
      <c r="W16">
        <v>3.5338825206654295E-3</v>
      </c>
      <c r="X16">
        <v>2.5443954148791092E-2</v>
      </c>
      <c r="Y16">
        <v>3.4675372592525676E-5</v>
      </c>
      <c r="Z16">
        <v>2.4008320051681323E-3</v>
      </c>
      <c r="AA16">
        <v>1.7285990437210554E-2</v>
      </c>
      <c r="AB16">
        <v>3.2033693020652153E-5</v>
      </c>
      <c r="AC16">
        <v>2.308418599055831E-3</v>
      </c>
      <c r="AD16">
        <v>1.6620613913201982E-2</v>
      </c>
      <c r="AE16">
        <v>3.1591632809770645E-5</v>
      </c>
      <c r="AF16">
        <v>2.2935512190633556E-3</v>
      </c>
      <c r="AG16">
        <v>1.6513568777256162E-2</v>
      </c>
      <c r="AH16">
        <v>3.1515136885529955E-5</v>
      </c>
      <c r="AI16">
        <v>2.2910538186002253E-3</v>
      </c>
      <c r="AJ16">
        <v>1.6495587493921621E-2</v>
      </c>
      <c r="AK16">
        <v>3.1501938441732982E-5</v>
      </c>
      <c r="AL16">
        <v>2.2906299241169477E-3</v>
      </c>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row>
    <row r="17" spans="2:200" x14ac:dyDescent="0.3">
      <c r="B17"/>
      <c r="C17"/>
      <c r="D17"/>
      <c r="E17"/>
      <c r="F17"/>
      <c r="G17"/>
      <c r="H17"/>
      <c r="I17"/>
      <c r="J17"/>
      <c r="K17"/>
      <c r="L17"/>
      <c r="M17"/>
      <c r="N17"/>
      <c r="O17"/>
      <c r="P17"/>
      <c r="Q17"/>
      <c r="R17"/>
      <c r="S17"/>
      <c r="T17"/>
      <c r="U17"/>
      <c r="V17"/>
      <c r="W17">
        <v>21.494452891633006</v>
      </c>
      <c r="X17"/>
      <c r="Y17"/>
      <c r="Z17">
        <v>19.376526623936225</v>
      </c>
      <c r="AA17"/>
      <c r="AB17"/>
      <c r="AC17">
        <v>19.025853526702576</v>
      </c>
      <c r="AD17"/>
      <c r="AE17"/>
      <c r="AF17">
        <v>18.96431779459169</v>
      </c>
      <c r="AG17"/>
      <c r="AH17"/>
      <c r="AI17">
        <v>18.953598983656516</v>
      </c>
      <c r="AJ17"/>
      <c r="AK17"/>
      <c r="AL17">
        <v>18.951750193149394</v>
      </c>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row>
    <row r="18" spans="2:200" x14ac:dyDescent="0.3">
      <c r="B18"/>
      <c r="C18"/>
      <c r="D18"/>
      <c r="E18"/>
      <c r="F18"/>
      <c r="G18"/>
      <c r="H18"/>
      <c r="I18"/>
      <c r="J18"/>
      <c r="K18"/>
      <c r="L18"/>
      <c r="M18"/>
      <c r="N18"/>
      <c r="O18"/>
      <c r="P18"/>
      <c r="Q18"/>
      <c r="R18"/>
      <c r="S18"/>
      <c r="T18"/>
      <c r="U18"/>
      <c r="V18"/>
      <c r="W18">
        <v>1610.8342543529525</v>
      </c>
      <c r="X18"/>
      <c r="Y18"/>
      <c r="Z18">
        <v>1410.0976791986432</v>
      </c>
      <c r="AA18"/>
      <c r="AB18"/>
      <c r="AC18">
        <v>1383.4962069733429</v>
      </c>
      <c r="AD18"/>
      <c r="AE18"/>
      <c r="AF18">
        <v>1378.9910201340317</v>
      </c>
      <c r="AG18"/>
      <c r="AH18"/>
      <c r="AI18">
        <v>1378.2107815615273</v>
      </c>
      <c r="AJ18"/>
      <c r="AK18"/>
      <c r="AL18">
        <v>1378.0763336655291</v>
      </c>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row>
    <row r="19" spans="2:200" x14ac:dyDescent="0.3">
      <c r="B19"/>
      <c r="C19"/>
      <c r="D19"/>
      <c r="E19"/>
      <c r="F19"/>
      <c r="G19"/>
      <c r="H19"/>
      <c r="I19"/>
      <c r="J19"/>
      <c r="K19"/>
      <c r="L19"/>
      <c r="M19"/>
      <c r="N19"/>
      <c r="O19"/>
      <c r="P19"/>
      <c r="Q19"/>
      <c r="R19"/>
      <c r="S19"/>
      <c r="T19"/>
      <c r="U19"/>
      <c r="V19"/>
      <c r="W19">
        <v>0.72580111026763916</v>
      </c>
      <c r="X19"/>
      <c r="Y19"/>
      <c r="Z19">
        <v>0.7365347146987915</v>
      </c>
      <c r="AA19"/>
      <c r="AB19"/>
      <c r="AC19">
        <v>0.73682260513305664</v>
      </c>
      <c r="AD19"/>
      <c r="AE19"/>
      <c r="AF19">
        <v>0.73683077096939087</v>
      </c>
      <c r="AG19"/>
      <c r="AH19"/>
      <c r="AI19">
        <v>0.73683100938796997</v>
      </c>
      <c r="AJ19"/>
      <c r="AK19"/>
      <c r="AL19">
        <v>0.73683100938796997</v>
      </c>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row>
    <row r="20" spans="2:200" x14ac:dyDescent="0.3">
      <c r="B20">
        <v>1.7600000000000002</v>
      </c>
      <c r="C20">
        <v>99.5</v>
      </c>
      <c r="D20">
        <v>0.24299999999999999</v>
      </c>
      <c r="E20">
        <v>0.14499999999999999</v>
      </c>
      <c r="F20">
        <v>2.1230000000000002</v>
      </c>
      <c r="G20">
        <v>1.079</v>
      </c>
      <c r="H20">
        <v>0.48399999999999999</v>
      </c>
      <c r="I20">
        <v>1.2059999704360962</v>
      </c>
      <c r="J20">
        <v>0.40200001001358032</v>
      </c>
      <c r="K20">
        <v>1</v>
      </c>
      <c r="L20">
        <v>1</v>
      </c>
      <c r="M20">
        <v>2.953168613009341E-2</v>
      </c>
      <c r="N20">
        <v>2.6892329450794501E-4</v>
      </c>
      <c r="O20">
        <v>0.785064460899359</v>
      </c>
      <c r="P20">
        <v>5.64061930114301E-2</v>
      </c>
      <c r="Q20">
        <v>5.373994746108118E-3</v>
      </c>
      <c r="R20"/>
      <c r="S20"/>
      <c r="T20">
        <v>1744</v>
      </c>
      <c r="U20">
        <v>4.8000000000000007</v>
      </c>
      <c r="V20">
        <v>3.0661915673978867E-2</v>
      </c>
      <c r="W20">
        <v>1</v>
      </c>
      <c r="X20">
        <v>4.8000000000000007</v>
      </c>
      <c r="Y20">
        <v>3.2464944277766646E-2</v>
      </c>
      <c r="Z20">
        <v>1</v>
      </c>
      <c r="AA20">
        <v>4.8000000000000007</v>
      </c>
      <c r="AB20">
        <v>3.270658662034201E-2</v>
      </c>
      <c r="AC20">
        <v>1</v>
      </c>
      <c r="AD20">
        <v>4.8000000000000007</v>
      </c>
      <c r="AE20">
        <v>3.2739237942076109E-2</v>
      </c>
      <c r="AF20">
        <v>1</v>
      </c>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row>
    <row r="21" spans="2:200" x14ac:dyDescent="0.3">
      <c r="B21"/>
      <c r="C21"/>
      <c r="D21"/>
      <c r="E21"/>
      <c r="F21"/>
      <c r="G21"/>
      <c r="H21"/>
      <c r="I21"/>
      <c r="J21"/>
      <c r="K21">
        <v>2</v>
      </c>
      <c r="L21">
        <v>0.91594218963842211</v>
      </c>
      <c r="M21">
        <v>2.7049317257712379E-2</v>
      </c>
      <c r="N21">
        <v>6.4211257308510001E-4</v>
      </c>
      <c r="O21">
        <v>0.60610285088191695</v>
      </c>
      <c r="P21">
        <v>0.10336900584680801</v>
      </c>
      <c r="Q21">
        <v>7.7697169196997845E-2</v>
      </c>
      <c r="R21"/>
      <c r="S21"/>
      <c r="T21">
        <v>1592</v>
      </c>
      <c r="U21">
        <v>11.99378589403695</v>
      </c>
      <c r="V21">
        <v>2.790992701966126E-2</v>
      </c>
      <c r="W21">
        <v>2</v>
      </c>
      <c r="X21">
        <v>12.561413219141674</v>
      </c>
      <c r="Y21">
        <v>2.9712955623449035E-2</v>
      </c>
      <c r="Z21">
        <v>0.91523199205974648</v>
      </c>
      <c r="AA21">
        <v>12.630201490424502</v>
      </c>
      <c r="AB21">
        <v>2.9954597966024402E-2</v>
      </c>
      <c r="AC21">
        <v>0.91585827386199958</v>
      </c>
      <c r="AD21">
        <v>12.638844179295594</v>
      </c>
      <c r="AE21">
        <v>2.9987249287758498E-2</v>
      </c>
      <c r="AF21">
        <v>0.91594218963842211</v>
      </c>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row>
    <row r="22" spans="2:200" x14ac:dyDescent="0.3">
      <c r="B22"/>
      <c r="C22"/>
      <c r="D22">
        <v>3.073347806930542</v>
      </c>
      <c r="E22"/>
      <c r="F22"/>
      <c r="G22"/>
      <c r="H22"/>
      <c r="I22"/>
      <c r="J22"/>
      <c r="K22">
        <v>3</v>
      </c>
      <c r="L22">
        <v>0.58143182924035997</v>
      </c>
      <c r="M22">
        <v>1.7170662287172379E-2</v>
      </c>
      <c r="N22">
        <v>1.1176127483010874E-3</v>
      </c>
      <c r="O22">
        <v>0.32088588692498804</v>
      </c>
      <c r="P22">
        <v>0.19241076970073154</v>
      </c>
      <c r="Q22">
        <v>0.12007994339677465</v>
      </c>
      <c r="R22"/>
      <c r="S22"/>
      <c r="T22">
        <v>2257</v>
      </c>
      <c r="U22">
        <v>6.7345543700841946</v>
      </c>
      <c r="V22">
        <v>1.736341008456212E-2</v>
      </c>
      <c r="W22">
        <v>0.56628588602171126</v>
      </c>
      <c r="X22">
        <v>8.1545167587126421</v>
      </c>
      <c r="Y22">
        <v>1.880996807268201E-2</v>
      </c>
      <c r="Z22">
        <v>0.57939320368905933</v>
      </c>
      <c r="AA22">
        <v>8.3432621331224546</v>
      </c>
      <c r="AB22">
        <v>1.900841130145433E-2</v>
      </c>
      <c r="AC22">
        <v>0.58117991712507111</v>
      </c>
      <c r="AD22">
        <v>8.3689908066010243</v>
      </c>
      <c r="AE22">
        <v>1.9035635004596711E-2</v>
      </c>
      <c r="AF22">
        <v>0.58143182924035997</v>
      </c>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row>
    <row r="23" spans="2:200" x14ac:dyDescent="0.3">
      <c r="B23"/>
      <c r="C23"/>
      <c r="D23">
        <v>3.8242700694181987E-2</v>
      </c>
      <c r="E23"/>
      <c r="F23"/>
      <c r="G23"/>
      <c r="H23"/>
      <c r="I23"/>
      <c r="J23"/>
      <c r="K23">
        <v>4</v>
      </c>
      <c r="L23">
        <v>0.23209771660327427</v>
      </c>
      <c r="M23">
        <v>6.8542369182392655E-3</v>
      </c>
      <c r="N23">
        <v>5.5437872733172763E-4</v>
      </c>
      <c r="O23">
        <v>0.44679229634062623</v>
      </c>
      <c r="P23">
        <v>0.15698166000649005</v>
      </c>
      <c r="Q23">
        <v>8.8413185567521271E-2</v>
      </c>
      <c r="R23"/>
      <c r="S23"/>
      <c r="T23">
        <v>3798</v>
      </c>
      <c r="U23">
        <v>2.6989823140027083</v>
      </c>
      <c r="V23">
        <v>6.9366523670303555E-3</v>
      </c>
      <c r="W23">
        <v>0.22623023430062861</v>
      </c>
      <c r="X23">
        <v>2.8505009521879208</v>
      </c>
      <c r="Y23">
        <v>7.5023952974660989E-3</v>
      </c>
      <c r="Z23">
        <v>0.23109219696409747</v>
      </c>
      <c r="AA23">
        <v>2.9117616817476284</v>
      </c>
      <c r="AB23">
        <v>7.5867105895626374E-3</v>
      </c>
      <c r="AC23">
        <v>0.23196277488779732</v>
      </c>
      <c r="AD23">
        <v>2.9227309635862464</v>
      </c>
      <c r="AE23">
        <v>7.5987023696871452E-3</v>
      </c>
      <c r="AF23">
        <v>0.23209771660327427</v>
      </c>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row>
    <row r="24" spans="2:200" x14ac:dyDescent="0.3">
      <c r="B24"/>
      <c r="C24"/>
      <c r="D24">
        <v>8.7110145640885775E-3</v>
      </c>
      <c r="E24"/>
      <c r="F24"/>
      <c r="G24"/>
      <c r="H24"/>
      <c r="I24"/>
      <c r="J24"/>
      <c r="K24">
        <v>5</v>
      </c>
      <c r="L24">
        <v>1.0535842814137313E-3</v>
      </c>
      <c r="M24">
        <v>3.1114120310310319E-5</v>
      </c>
      <c r="N24"/>
      <c r="O24"/>
      <c r="P24"/>
      <c r="Q24"/>
      <c r="R24"/>
      <c r="S24"/>
      <c r="T24">
        <v>833146</v>
      </c>
      <c r="U24">
        <v>1.6492535453642022E-2</v>
      </c>
      <c r="V24">
        <v>3.1499673437734849E-5</v>
      </c>
      <c r="W24">
        <v>1.0273224208383999E-3</v>
      </c>
      <c r="X24">
        <v>7.3967214300364797E-3</v>
      </c>
      <c r="Y24">
        <v>3.4056264355312767E-5</v>
      </c>
      <c r="Z24">
        <v>1.0490165658049789E-3</v>
      </c>
      <c r="AA24">
        <v>7.5529192737958479E-3</v>
      </c>
      <c r="AB24">
        <v>3.44390912747917E-5</v>
      </c>
      <c r="AC24">
        <v>1.0529711239684104E-3</v>
      </c>
      <c r="AD24">
        <v>7.5813920925725548E-3</v>
      </c>
      <c r="AE24">
        <v>3.4493546481235423E-5</v>
      </c>
      <c r="AF24">
        <v>1.0535842814137313E-3</v>
      </c>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row>
    <row r="25" spans="2:200" x14ac:dyDescent="0.3">
      <c r="B25"/>
      <c r="C25"/>
      <c r="D25"/>
      <c r="E25"/>
      <c r="F25"/>
      <c r="G25"/>
      <c r="H25"/>
      <c r="I25"/>
      <c r="J25"/>
      <c r="K25"/>
      <c r="L25"/>
      <c r="M25"/>
      <c r="N25"/>
      <c r="O25"/>
      <c r="P25"/>
      <c r="Q25"/>
      <c r="R25"/>
      <c r="S25"/>
      <c r="T25"/>
      <c r="U25"/>
      <c r="V25"/>
      <c r="W25">
        <v>21.496657747937331</v>
      </c>
      <c r="X25"/>
      <c r="Y25"/>
      <c r="Z25">
        <v>21.866487173933006</v>
      </c>
      <c r="AA25"/>
      <c r="AB25"/>
      <c r="AC25">
        <v>21.917252164612215</v>
      </c>
      <c r="AD25"/>
      <c r="AE25"/>
      <c r="AF25">
        <v>21.9243799082052</v>
      </c>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row>
    <row r="26" spans="2:200" x14ac:dyDescent="0.3">
      <c r="B26"/>
      <c r="C26"/>
      <c r="D26"/>
      <c r="E26"/>
      <c r="F26"/>
      <c r="G26"/>
      <c r="H26"/>
      <c r="I26"/>
      <c r="J26"/>
      <c r="K26"/>
      <c r="L26"/>
      <c r="M26"/>
      <c r="N26"/>
      <c r="O26"/>
      <c r="P26"/>
      <c r="Q26"/>
      <c r="R26"/>
      <c r="S26"/>
      <c r="T26"/>
      <c r="U26"/>
      <c r="V26"/>
      <c r="W26">
        <v>656.88916434594466</v>
      </c>
      <c r="X26"/>
      <c r="Y26"/>
      <c r="Z26">
        <v>667.79352031171038</v>
      </c>
      <c r="AA26"/>
      <c r="AB26"/>
      <c r="AC26">
        <v>669.33617136013163</v>
      </c>
      <c r="AD26"/>
      <c r="AE26"/>
      <c r="AF26">
        <v>669.55368418848502</v>
      </c>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row>
    <row r="27" spans="2:200" x14ac:dyDescent="0.3">
      <c r="B27"/>
      <c r="C27"/>
      <c r="D27"/>
      <c r="E27"/>
      <c r="F27"/>
      <c r="G27"/>
      <c r="H27"/>
      <c r="I27"/>
      <c r="J27"/>
      <c r="K27"/>
      <c r="L27"/>
      <c r="M27"/>
      <c r="N27"/>
      <c r="O27"/>
      <c r="P27"/>
      <c r="Q27"/>
      <c r="R27"/>
      <c r="S27"/>
      <c r="T27"/>
      <c r="U27"/>
      <c r="V27"/>
      <c r="W27">
        <v>1.1366304159164429</v>
      </c>
      <c r="X27"/>
      <c r="Y27"/>
      <c r="Z27">
        <v>1.1369680166244507</v>
      </c>
      <c r="AA27"/>
      <c r="AB27"/>
      <c r="AC27">
        <v>1.136974573135376</v>
      </c>
      <c r="AD27"/>
      <c r="AE27"/>
      <c r="AF27">
        <v>1.1369746923446655</v>
      </c>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row>
    <row r="28" spans="2:200" x14ac:dyDescent="0.3">
      <c r="B28">
        <v>1.7600000000000002</v>
      </c>
      <c r="C28">
        <v>104.1</v>
      </c>
      <c r="D28">
        <v>0.254</v>
      </c>
      <c r="E28">
        <v>0.155</v>
      </c>
      <c r="F28">
        <v>2.0059999999999998</v>
      </c>
      <c r="G28">
        <v>1.014</v>
      </c>
      <c r="H28">
        <v>0.49</v>
      </c>
      <c r="I28">
        <v>1.1529999971389771</v>
      </c>
      <c r="J28">
        <v>0.38400000333786011</v>
      </c>
      <c r="K28">
        <v>1</v>
      </c>
      <c r="L28">
        <v>1</v>
      </c>
      <c r="M28">
        <v>2.6650924646050032E-2</v>
      </c>
      <c r="N28">
        <v>2.1029363742736031E-4</v>
      </c>
      <c r="O28">
        <v>0.8266915174265741</v>
      </c>
      <c r="P28">
        <v>4.5852854736924853E-2</v>
      </c>
      <c r="Q28">
        <v>3.944319692403473E-3</v>
      </c>
      <c r="R28"/>
      <c r="S28"/>
      <c r="T28">
        <v>2094</v>
      </c>
      <c r="U28">
        <v>4.8000000000000007</v>
      </c>
      <c r="V28">
        <v>3.0850020557257697E-2</v>
      </c>
      <c r="W28">
        <v>1</v>
      </c>
      <c r="X28">
        <v>4.8000000000000007</v>
      </c>
      <c r="Y28">
        <v>3.1406291318233297E-2</v>
      </c>
      <c r="Z28">
        <v>1</v>
      </c>
      <c r="AA28">
        <v>4.8000000000000007</v>
      </c>
      <c r="AB28">
        <v>3.147860392382261E-2</v>
      </c>
      <c r="AC28">
        <v>1</v>
      </c>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row>
    <row r="29" spans="2:200" x14ac:dyDescent="0.3">
      <c r="B29"/>
      <c r="C29"/>
      <c r="D29"/>
      <c r="E29"/>
      <c r="F29"/>
      <c r="G29"/>
      <c r="H29"/>
      <c r="I29"/>
      <c r="J29"/>
      <c r="K29">
        <v>2</v>
      </c>
      <c r="L29">
        <v>0.9271630510546387</v>
      </c>
      <c r="M29">
        <v>2.4709752608259014E-2</v>
      </c>
      <c r="N29">
        <v>5.2508918816003276E-4</v>
      </c>
      <c r="O29">
        <v>0.6492152166175873</v>
      </c>
      <c r="P29">
        <v>9.1759810697603597E-2</v>
      </c>
      <c r="Q29">
        <v>6.0160990735279529E-2</v>
      </c>
      <c r="R29"/>
      <c r="S29"/>
      <c r="T29">
        <v>1844</v>
      </c>
      <c r="U29">
        <v>12.640002217010226</v>
      </c>
      <c r="V29">
        <v>2.855721509038698E-2</v>
      </c>
      <c r="W29">
        <v>0.92567896469905864</v>
      </c>
      <c r="X29">
        <v>12.77436971284701</v>
      </c>
      <c r="Y29">
        <v>2.9113485851362579E-2</v>
      </c>
      <c r="Z29">
        <v>0.92699534486137802</v>
      </c>
      <c r="AA29">
        <v>12.792535759087018</v>
      </c>
      <c r="AB29">
        <v>2.9185798456951892E-2</v>
      </c>
      <c r="AC29">
        <v>0.9271630510546387</v>
      </c>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row>
    <row r="30" spans="2:200" x14ac:dyDescent="0.3">
      <c r="B30"/>
      <c r="C30"/>
      <c r="D30">
        <v>3.280573844909668</v>
      </c>
      <c r="E30"/>
      <c r="F30"/>
      <c r="G30"/>
      <c r="H30"/>
      <c r="I30"/>
      <c r="J30"/>
      <c r="K30">
        <v>3</v>
      </c>
      <c r="L30">
        <v>0.62404804436164063</v>
      </c>
      <c r="M30">
        <v>1.6631457405796971E-2</v>
      </c>
      <c r="N30">
        <v>1.1251501314595137E-3</v>
      </c>
      <c r="O30">
        <v>0.32010953645967011</v>
      </c>
      <c r="P30">
        <v>0.1926293538123259</v>
      </c>
      <c r="Q30">
        <v>0.11682105707755627</v>
      </c>
      <c r="R30"/>
      <c r="S30"/>
      <c r="T30">
        <v>2166</v>
      </c>
      <c r="U30">
        <v>8.3726183410611839</v>
      </c>
      <c r="V30">
        <v>1.9098307239818257E-2</v>
      </c>
      <c r="W30">
        <v>0.61906951421221135</v>
      </c>
      <c r="X30">
        <v>8.914601004655843</v>
      </c>
      <c r="Y30">
        <v>1.9581701303565451E-2</v>
      </c>
      <c r="Z30">
        <v>0.62349613665453907</v>
      </c>
      <c r="AA30">
        <v>8.9783443678253629</v>
      </c>
      <c r="AB30">
        <v>1.9644161217896167E-2</v>
      </c>
      <c r="AC30">
        <v>0.62404804436164063</v>
      </c>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row>
    <row r="31" spans="2:200" x14ac:dyDescent="0.3">
      <c r="B31"/>
      <c r="C31"/>
      <c r="D31">
        <v>3.5253889717487497E-2</v>
      </c>
      <c r="E31"/>
      <c r="F31"/>
      <c r="G31"/>
      <c r="H31"/>
      <c r="I31"/>
      <c r="J31"/>
      <c r="K31">
        <v>4</v>
      </c>
      <c r="L31">
        <v>0.23434294589288043</v>
      </c>
      <c r="M31">
        <v>6.2454561923245364E-3</v>
      </c>
      <c r="N31">
        <v>5.050052674100315E-4</v>
      </c>
      <c r="O31">
        <v>0.46604794571008773</v>
      </c>
      <c r="P31">
        <v>0.15155057941510347</v>
      </c>
      <c r="Q31">
        <v>7.7671781584544297E-2</v>
      </c>
      <c r="R31"/>
      <c r="S31"/>
      <c r="T31">
        <v>4021</v>
      </c>
      <c r="U31">
        <v>2.924431229201256</v>
      </c>
      <c r="V31">
        <v>7.1810117429406076E-3</v>
      </c>
      <c r="W31">
        <v>0.23277170041467674</v>
      </c>
      <c r="X31">
        <v>2.932923425224927</v>
      </c>
      <c r="Y31">
        <v>7.3521451940478915E-3</v>
      </c>
      <c r="Z31">
        <v>0.23409784745196946</v>
      </c>
      <c r="AA31">
        <v>2.9496328778948153</v>
      </c>
      <c r="AB31">
        <v>7.3767887761037754E-3</v>
      </c>
      <c r="AC31">
        <v>0.23434294589288043</v>
      </c>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row>
    <row r="32" spans="2:200" x14ac:dyDescent="0.3">
      <c r="B32"/>
      <c r="C32"/>
      <c r="D32">
        <v>8.6029650714374642E-3</v>
      </c>
      <c r="E32"/>
      <c r="F32"/>
      <c r="G32"/>
      <c r="H32"/>
      <c r="I32"/>
      <c r="J32"/>
      <c r="K32">
        <v>5</v>
      </c>
      <c r="L32">
        <v>1.1259176811504003E-3</v>
      </c>
      <c r="M32">
        <v>3.0006747277994706E-5</v>
      </c>
      <c r="N32"/>
      <c r="O32"/>
      <c r="P32"/>
      <c r="Q32"/>
      <c r="R32"/>
      <c r="S32"/>
      <c r="T32">
        <v>833146</v>
      </c>
      <c r="U32">
        <v>7.5858068261788654E-3</v>
      </c>
      <c r="V32">
        <v>3.4501336538974016E-5</v>
      </c>
      <c r="W32">
        <v>1.1183570031967878E-3</v>
      </c>
      <c r="X32">
        <v>8.0521704230168724E-3</v>
      </c>
      <c r="Y32">
        <v>3.5323892282517594E-5</v>
      </c>
      <c r="Z32">
        <v>1.1247393690833494E-3</v>
      </c>
      <c r="AA32">
        <v>8.0981234574001165E-3</v>
      </c>
      <c r="AB32">
        <v>3.5442316735762249E-5</v>
      </c>
      <c r="AC32">
        <v>1.1259176811504003E-3</v>
      </c>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row>
    <row r="33" spans="2:200" x14ac:dyDescent="0.3">
      <c r="B33"/>
      <c r="C33"/>
      <c r="D33"/>
      <c r="E33"/>
      <c r="F33"/>
      <c r="G33"/>
      <c r="H33"/>
      <c r="I33"/>
      <c r="J33"/>
      <c r="K33"/>
      <c r="L33"/>
      <c r="M33"/>
      <c r="N33"/>
      <c r="O33"/>
      <c r="P33"/>
      <c r="Q33"/>
      <c r="R33"/>
      <c r="S33"/>
      <c r="T33"/>
      <c r="U33"/>
      <c r="V33"/>
      <c r="W33">
        <v>22.826433621896044</v>
      </c>
      <c r="X33"/>
      <c r="Y33"/>
      <c r="Z33">
        <v>22.947095940306536</v>
      </c>
      <c r="AA33"/>
      <c r="AB33"/>
      <c r="AC33">
        <v>22.962748601419328</v>
      </c>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row>
    <row r="34" spans="2:200" x14ac:dyDescent="0.3">
      <c r="B34"/>
      <c r="C34"/>
      <c r="D34"/>
      <c r="E34"/>
      <c r="F34"/>
      <c r="G34"/>
      <c r="H34"/>
      <c r="I34"/>
      <c r="J34"/>
      <c r="K34"/>
      <c r="L34"/>
      <c r="M34"/>
      <c r="N34"/>
      <c r="O34"/>
      <c r="P34"/>
      <c r="Q34"/>
      <c r="R34"/>
      <c r="S34"/>
      <c r="T34"/>
      <c r="U34"/>
      <c r="V34"/>
      <c r="W34">
        <v>724.93939032077742</v>
      </c>
      <c r="X34"/>
      <c r="Y34"/>
      <c r="Z34">
        <v>728.72153762540438</v>
      </c>
      <c r="AA34"/>
      <c r="AB34"/>
      <c r="AC34">
        <v>729.21782354140669</v>
      </c>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row>
    <row r="35" spans="2:200" x14ac:dyDescent="0.3">
      <c r="B35"/>
      <c r="C35"/>
      <c r="D35"/>
      <c r="E35"/>
      <c r="F35"/>
      <c r="G35"/>
      <c r="H35"/>
      <c r="I35"/>
      <c r="J35"/>
      <c r="K35"/>
      <c r="L35"/>
      <c r="M35"/>
      <c r="N35"/>
      <c r="O35"/>
      <c r="P35"/>
      <c r="Q35"/>
      <c r="R35"/>
      <c r="S35"/>
      <c r="T35"/>
      <c r="U35"/>
      <c r="V35"/>
      <c r="W35">
        <v>1.1149311065673828</v>
      </c>
      <c r="X35"/>
      <c r="Y35"/>
      <c r="Z35">
        <v>1.1149693727493286</v>
      </c>
      <c r="AA35"/>
      <c r="AB35"/>
      <c r="AC35">
        <v>1.1149699687957764</v>
      </c>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row>
    <row r="36" spans="2:200" x14ac:dyDescent="0.3">
      <c r="B36">
        <v>1.7600000000000002</v>
      </c>
      <c r="C36">
        <v>106.5</v>
      </c>
      <c r="D36">
        <v>0.26</v>
      </c>
      <c r="E36">
        <v>0.155</v>
      </c>
      <c r="F36">
        <v>1.988</v>
      </c>
      <c r="G36">
        <v>1.012</v>
      </c>
      <c r="H36">
        <v>0.48299999999999998</v>
      </c>
      <c r="I36">
        <v>1.1269999742507935</v>
      </c>
      <c r="J36">
        <v>0.37599998712539673</v>
      </c>
      <c r="K36">
        <v>1</v>
      </c>
      <c r="L36">
        <v>1</v>
      </c>
      <c r="M36">
        <v>2.6131951985245729E-2</v>
      </c>
      <c r="N36">
        <v>2.0128605135143407E-4</v>
      </c>
      <c r="O36">
        <v>0.83308690354048176</v>
      </c>
      <c r="P36">
        <v>4.4231489243258128E-2</v>
      </c>
      <c r="Q36">
        <v>3.8052690271422255E-3</v>
      </c>
      <c r="R36"/>
      <c r="S36"/>
      <c r="T36">
        <v>2205</v>
      </c>
      <c r="U36">
        <v>4.8000000000000007</v>
      </c>
      <c r="V36">
        <v>3.0465072123136479E-2</v>
      </c>
      <c r="W36">
        <v>1</v>
      </c>
      <c r="X36">
        <v>4.8000000000000007</v>
      </c>
      <c r="Y36">
        <v>3.0603467475202279E-2</v>
      </c>
      <c r="Z36">
        <v>1</v>
      </c>
      <c r="AA36">
        <v>4.8000000000000007</v>
      </c>
      <c r="AB36">
        <v>3.0623110074404693E-2</v>
      </c>
      <c r="AC36">
        <v>1</v>
      </c>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row>
    <row r="37" spans="2:200" x14ac:dyDescent="0.3">
      <c r="B37"/>
      <c r="C37"/>
      <c r="D37"/>
      <c r="E37"/>
      <c r="F37"/>
      <c r="G37"/>
      <c r="H37"/>
      <c r="I37"/>
      <c r="J37"/>
      <c r="K37">
        <v>2</v>
      </c>
      <c r="L37">
        <v>0.92889834290041151</v>
      </c>
      <c r="M37">
        <v>2.4273926895847876E-2</v>
      </c>
      <c r="N37">
        <v>4.9482169979723047E-4</v>
      </c>
      <c r="O37">
        <v>0.6614338010953017</v>
      </c>
      <c r="P37">
        <v>8.8378603975667658E-2</v>
      </c>
      <c r="Q37">
        <v>5.72253773177464E-2</v>
      </c>
      <c r="R37"/>
      <c r="S37"/>
      <c r="T37">
        <v>1975</v>
      </c>
      <c r="U37">
        <v>12.794850104554016</v>
      </c>
      <c r="V37">
        <v>2.8287718251303204E-2</v>
      </c>
      <c r="W37">
        <v>0.92852950214486119</v>
      </c>
      <c r="X37">
        <v>12.813707129599084</v>
      </c>
      <c r="Y37">
        <v>2.8426113603369003E-2</v>
      </c>
      <c r="Z37">
        <v>0.92885270685102705</v>
      </c>
      <c r="AA37">
        <v>12.818167354544174</v>
      </c>
      <c r="AB37">
        <v>2.8445756202571417E-2</v>
      </c>
      <c r="AC37">
        <v>0.92889834290041151</v>
      </c>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row>
    <row r="38" spans="2:200" x14ac:dyDescent="0.3">
      <c r="B38"/>
      <c r="C38"/>
      <c r="D38">
        <v>3.3899998664855957</v>
      </c>
      <c r="E38"/>
      <c r="F38"/>
      <c r="G38"/>
      <c r="H38"/>
      <c r="I38"/>
      <c r="J38"/>
      <c r="K38">
        <v>3</v>
      </c>
      <c r="L38">
        <v>0.63758288588288159</v>
      </c>
      <c r="M38">
        <v>1.666128536050587E-2</v>
      </c>
      <c r="N38">
        <v>1.1464884247499312E-3</v>
      </c>
      <c r="O38">
        <v>0.31791169225075711</v>
      </c>
      <c r="P38">
        <v>0.19324816431774799</v>
      </c>
      <c r="Q38">
        <v>0.12100060055476805</v>
      </c>
      <c r="R38"/>
      <c r="S38"/>
      <c r="T38">
        <v>2161</v>
      </c>
      <c r="U38">
        <v>8.9862918388076256</v>
      </c>
      <c r="V38">
        <v>1.9378539668975715E-2</v>
      </c>
      <c r="W38">
        <v>0.63609039199545581</v>
      </c>
      <c r="X38">
        <v>9.1597016447345645</v>
      </c>
      <c r="Y38">
        <v>1.9507386738296304E-2</v>
      </c>
      <c r="Z38">
        <v>0.63742406817472463</v>
      </c>
      <c r="AA38">
        <v>9.1789065817160349</v>
      </c>
      <c r="AB38">
        <v>1.952477089594809E-2</v>
      </c>
      <c r="AC38">
        <v>0.63758288588288159</v>
      </c>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row>
    <row r="39" spans="2:200" x14ac:dyDescent="0.3">
      <c r="B39"/>
      <c r="C39"/>
      <c r="D39">
        <v>3.450671978248062E-2</v>
      </c>
      <c r="E39"/>
      <c r="F39"/>
      <c r="G39"/>
      <c r="H39"/>
      <c r="I39"/>
      <c r="J39"/>
      <c r="K39">
        <v>4</v>
      </c>
      <c r="L39">
        <v>0.23260088987317046</v>
      </c>
      <c r="M39">
        <v>6.0783152858911197E-3</v>
      </c>
      <c r="N39">
        <v>4.9138854678740045E-4</v>
      </c>
      <c r="O39">
        <v>0.47221961207417379</v>
      </c>
      <c r="P39">
        <v>0.14979439655023605</v>
      </c>
      <c r="Q39">
        <v>7.6709019578456328E-2</v>
      </c>
      <c r="R39"/>
      <c r="S39"/>
      <c r="T39">
        <v>4194</v>
      </c>
      <c r="U39">
        <v>2.9527211182502939</v>
      </c>
      <c r="V39">
        <v>7.0766657398316736E-3</v>
      </c>
      <c r="W39">
        <v>0.23228783806020767</v>
      </c>
      <c r="X39">
        <v>2.926826759558617</v>
      </c>
      <c r="Y39">
        <v>7.1165308413943112E-3</v>
      </c>
      <c r="Z39">
        <v>0.23254001681870767</v>
      </c>
      <c r="AA39">
        <v>2.9300042119157168</v>
      </c>
      <c r="AB39">
        <v>7.1229626539905831E-3</v>
      </c>
      <c r="AC39">
        <v>0.23260088987317046</v>
      </c>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row>
    <row r="40" spans="2:200" x14ac:dyDescent="0.3">
      <c r="B40"/>
      <c r="C40"/>
      <c r="D40">
        <v>8.3747677972348909E-3</v>
      </c>
      <c r="E40"/>
      <c r="F40"/>
      <c r="G40"/>
      <c r="H40"/>
      <c r="I40"/>
      <c r="J40"/>
      <c r="K40">
        <v>5</v>
      </c>
      <c r="L40">
        <v>1.1654792770523265E-3</v>
      </c>
      <c r="M40">
        <v>3.0456248507730301E-5</v>
      </c>
      <c r="N40"/>
      <c r="O40"/>
      <c r="P40"/>
      <c r="Q40"/>
      <c r="R40"/>
      <c r="S40"/>
      <c r="T40">
        <v>833146</v>
      </c>
      <c r="U40">
        <v>8.1066073042828819E-3</v>
      </c>
      <c r="V40">
        <v>3.5458350596171254E-5</v>
      </c>
      <c r="W40">
        <v>1.1639017446882281E-3</v>
      </c>
      <c r="X40">
        <v>8.3800925617552435E-3</v>
      </c>
      <c r="Y40">
        <v>3.5658370799767474E-5</v>
      </c>
      <c r="Z40">
        <v>1.1651742021933018E-3</v>
      </c>
      <c r="AA40">
        <v>8.3892542557917737E-3</v>
      </c>
      <c r="AB40">
        <v>3.5690600190610996E-5</v>
      </c>
      <c r="AC40">
        <v>1.1654792770523265E-3</v>
      </c>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row>
    <row r="41" spans="2:200" x14ac:dyDescent="0.3">
      <c r="B41"/>
      <c r="C41"/>
      <c r="D41"/>
      <c r="E41"/>
      <c r="F41"/>
      <c r="G41"/>
      <c r="H41"/>
      <c r="I41"/>
      <c r="J41"/>
      <c r="K41"/>
      <c r="L41"/>
      <c r="M41"/>
      <c r="N41"/>
      <c r="O41"/>
      <c r="P41"/>
      <c r="Q41"/>
      <c r="R41"/>
      <c r="S41"/>
      <c r="T41"/>
      <c r="U41"/>
      <c r="V41"/>
      <c r="W41">
        <v>23.204179325396311</v>
      </c>
      <c r="X41"/>
      <c r="Y41"/>
      <c r="Z41">
        <v>23.238398422511416</v>
      </c>
      <c r="AA41"/>
      <c r="AB41"/>
      <c r="AC41">
        <v>23.242841069735277</v>
      </c>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row>
    <row r="42" spans="2:200" x14ac:dyDescent="0.3">
      <c r="B42"/>
      <c r="C42"/>
      <c r="D42"/>
      <c r="E42"/>
      <c r="F42"/>
      <c r="G42"/>
      <c r="H42"/>
      <c r="I42"/>
      <c r="J42"/>
      <c r="K42"/>
      <c r="L42"/>
      <c r="M42"/>
      <c r="N42"/>
      <c r="O42"/>
      <c r="P42"/>
      <c r="Q42"/>
      <c r="R42"/>
      <c r="S42"/>
      <c r="T42"/>
      <c r="U42"/>
      <c r="V42"/>
      <c r="W42">
        <v>757.66133553003874</v>
      </c>
      <c r="X42"/>
      <c r="Y42"/>
      <c r="Z42">
        <v>758.77351785748397</v>
      </c>
      <c r="AA42"/>
      <c r="AB42"/>
      <c r="AC42">
        <v>758.91850945280294</v>
      </c>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row>
    <row r="43" spans="2:200" x14ac:dyDescent="0.3">
      <c r="B43"/>
      <c r="C43"/>
      <c r="D43"/>
      <c r="E43"/>
      <c r="F43"/>
      <c r="G43"/>
      <c r="H43"/>
      <c r="I43"/>
      <c r="J43"/>
      <c r="K43"/>
      <c r="L43"/>
      <c r="M43"/>
      <c r="N43"/>
      <c r="O43"/>
      <c r="P43"/>
      <c r="Q43"/>
      <c r="R43"/>
      <c r="S43"/>
      <c r="T43"/>
      <c r="U43"/>
      <c r="V43"/>
      <c r="W43">
        <v>1.0995763540267944</v>
      </c>
      <c r="X43"/>
      <c r="Y43"/>
      <c r="Z43">
        <v>1.0995801687240601</v>
      </c>
      <c r="AA43"/>
      <c r="AB43"/>
      <c r="AC43">
        <v>1.0995801687240601</v>
      </c>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row>
    <row r="44" spans="2:200" x14ac:dyDescent="0.3">
      <c r="B44">
        <v>1.7600000000000002</v>
      </c>
      <c r="C44">
        <v>107.1</v>
      </c>
      <c r="D44">
        <v>0.26200000000000001</v>
      </c>
      <c r="E44">
        <v>0.155</v>
      </c>
      <c r="F44">
        <v>1.98</v>
      </c>
      <c r="G44">
        <v>1.008</v>
      </c>
      <c r="H44">
        <v>0.48199999999999998</v>
      </c>
      <c r="I44">
        <v>1.1210000514984131</v>
      </c>
      <c r="J44">
        <v>0.37400001287460327</v>
      </c>
      <c r="K44">
        <v>1</v>
      </c>
      <c r="L44">
        <v>1</v>
      </c>
      <c r="M44">
        <v>2.5927946036860806E-2</v>
      </c>
      <c r="N44">
        <v>1.9916268978012103E-4</v>
      </c>
      <c r="O44">
        <v>0.83472008678909593</v>
      </c>
      <c r="P44">
        <v>4.3807418649427832E-2</v>
      </c>
      <c r="Q44">
        <v>3.7542293212214253E-3</v>
      </c>
      <c r="R44"/>
      <c r="S44"/>
      <c r="T44">
        <v>2222</v>
      </c>
      <c r="U44">
        <v>4.8000000000000007</v>
      </c>
      <c r="V44">
        <v>3.0437253701486078E-2</v>
      </c>
      <c r="W44">
        <v>1</v>
      </c>
      <c r="X44">
        <v>4.8000000000000007</v>
      </c>
      <c r="Y44">
        <v>3.0472242365027484E-2</v>
      </c>
      <c r="Z44">
        <v>1</v>
      </c>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row>
    <row r="45" spans="2:200" x14ac:dyDescent="0.3">
      <c r="B45"/>
      <c r="C45"/>
      <c r="D45"/>
      <c r="E45"/>
      <c r="F45"/>
      <c r="G45"/>
      <c r="H45"/>
      <c r="I45"/>
      <c r="J45"/>
      <c r="K45">
        <v>2</v>
      </c>
      <c r="L45">
        <v>0.92909485286162052</v>
      </c>
      <c r="M45">
        <v>2.4089521208121228E-2</v>
      </c>
      <c r="N45">
        <v>4.8433608392986293E-4</v>
      </c>
      <c r="O45">
        <v>0.66636204055296444</v>
      </c>
      <c r="P45">
        <v>8.712033007158354E-2</v>
      </c>
      <c r="Q45">
        <v>5.5857634192245181E-2</v>
      </c>
      <c r="R45"/>
      <c r="S45"/>
      <c r="T45">
        <v>2012</v>
      </c>
      <c r="U45">
        <v>12.818797132025679</v>
      </c>
      <c r="V45">
        <v>2.8276614872957444E-2</v>
      </c>
      <c r="W45">
        <v>0.92901334497129273</v>
      </c>
      <c r="X45">
        <v>12.82038416060384</v>
      </c>
      <c r="Y45">
        <v>2.831160353649885E-2</v>
      </c>
      <c r="Z45">
        <v>0.92909485286162052</v>
      </c>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row>
    <row r="46" spans="2:200" x14ac:dyDescent="0.3">
      <c r="B46"/>
      <c r="C46"/>
      <c r="D46">
        <v>3.4167671203613281</v>
      </c>
      <c r="E46"/>
      <c r="F46"/>
      <c r="G46"/>
      <c r="H46"/>
      <c r="I46"/>
      <c r="J46"/>
      <c r="K46">
        <v>3</v>
      </c>
      <c r="L46">
        <v>0.64170901992450846</v>
      </c>
      <c r="M46">
        <v>1.6638196839969491E-2</v>
      </c>
      <c r="N46">
        <v>1.1535801345567238E-3</v>
      </c>
      <c r="O46">
        <v>0.31718124614065746</v>
      </c>
      <c r="P46">
        <v>0.19345382390214499</v>
      </c>
      <c r="Q46">
        <v>0.12166106185304795</v>
      </c>
      <c r="R46"/>
      <c r="S46"/>
      <c r="T46">
        <v>2146</v>
      </c>
      <c r="U46">
        <v>9.1811935567134952</v>
      </c>
      <c r="V46">
        <v>1.9520112869007407E-2</v>
      </c>
      <c r="W46">
        <v>0.64132306614950452</v>
      </c>
      <c r="X46">
        <v>9.2350521525528659</v>
      </c>
      <c r="Y46">
        <v>1.9554312782963872E-2</v>
      </c>
      <c r="Z46">
        <v>0.64170901992450846</v>
      </c>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row>
    <row r="47" spans="2:200" x14ac:dyDescent="0.3">
      <c r="B47"/>
      <c r="C47"/>
      <c r="D47">
        <v>3.4265332655437755E-2</v>
      </c>
      <c r="E47"/>
      <c r="F47"/>
      <c r="G47"/>
      <c r="H47"/>
      <c r="I47"/>
      <c r="J47"/>
      <c r="K47">
        <v>4</v>
      </c>
      <c r="L47">
        <v>0.23101578583051771</v>
      </c>
      <c r="M47">
        <v>5.9897648286766567E-3</v>
      </c>
      <c r="N47">
        <v>4.8419774046557385E-4</v>
      </c>
      <c r="O47">
        <v>0.47574310717186885</v>
      </c>
      <c r="P47">
        <v>0.14878768366518033</v>
      </c>
      <c r="Q47">
        <v>7.5466691633445118E-2</v>
      </c>
      <c r="R47"/>
      <c r="S47"/>
      <c r="T47">
        <v>4250</v>
      </c>
      <c r="U47">
        <v>2.930771212401948</v>
      </c>
      <c r="V47">
        <v>7.0312069910213387E-3</v>
      </c>
      <c r="W47">
        <v>0.23100661643064219</v>
      </c>
      <c r="X47">
        <v>2.9106833670260919</v>
      </c>
      <c r="Y47">
        <v>7.0395690159748177E-3</v>
      </c>
      <c r="Z47">
        <v>0.23101578583051771</v>
      </c>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row>
    <row r="48" spans="2:200" x14ac:dyDescent="0.3">
      <c r="B48"/>
      <c r="C48"/>
      <c r="D48">
        <v>8.3373866185769488E-3</v>
      </c>
      <c r="E48"/>
      <c r="F48"/>
      <c r="G48"/>
      <c r="H48"/>
      <c r="I48"/>
      <c r="J48"/>
      <c r="K48">
        <v>5</v>
      </c>
      <c r="L48">
        <v>1.1727895030052508E-3</v>
      </c>
      <c r="M48">
        <v>3.0408022946516948E-5</v>
      </c>
      <c r="N48"/>
      <c r="O48"/>
      <c r="P48"/>
      <c r="Q48"/>
      <c r="R48"/>
      <c r="S48"/>
      <c r="T48">
        <v>833146</v>
      </c>
      <c r="U48">
        <v>8.3914507947767513E-3</v>
      </c>
      <c r="V48">
        <v>3.569502432655263E-5</v>
      </c>
      <c r="W48">
        <v>1.1727412951454896E-3</v>
      </c>
      <c r="X48">
        <v>8.4437373250475251E-3</v>
      </c>
      <c r="Y48">
        <v>3.5737525978736131E-5</v>
      </c>
      <c r="Z48">
        <v>1.1727895030052508E-3</v>
      </c>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row>
    <row r="49" spans="2:200" x14ac:dyDescent="0.3">
      <c r="B49"/>
      <c r="C49"/>
      <c r="D49"/>
      <c r="E49"/>
      <c r="F49"/>
      <c r="G49"/>
      <c r="H49"/>
      <c r="I49"/>
      <c r="J49"/>
      <c r="K49"/>
      <c r="L49"/>
      <c r="M49"/>
      <c r="N49"/>
      <c r="O49"/>
      <c r="P49"/>
      <c r="Q49"/>
      <c r="R49"/>
      <c r="S49"/>
      <c r="T49"/>
      <c r="U49"/>
      <c r="V49"/>
      <c r="W49">
        <v>23.305356953822432</v>
      </c>
      <c r="X49"/>
      <c r="Y49"/>
      <c r="Z49">
        <v>23.314631102258222</v>
      </c>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row>
    <row r="50" spans="2:200" x14ac:dyDescent="0.3">
      <c r="B50"/>
      <c r="C50"/>
      <c r="D50"/>
      <c r="E50"/>
      <c r="F50"/>
      <c r="G50"/>
      <c r="H50"/>
      <c r="I50"/>
      <c r="J50"/>
      <c r="K50"/>
      <c r="L50"/>
      <c r="M50"/>
      <c r="N50"/>
      <c r="O50"/>
      <c r="P50"/>
      <c r="Q50"/>
      <c r="R50"/>
      <c r="S50"/>
      <c r="T50"/>
      <c r="U50"/>
      <c r="V50"/>
      <c r="W50">
        <v>764.64862786279082</v>
      </c>
      <c r="X50"/>
      <c r="Y50"/>
      <c r="Z50">
        <v>764.95239511354248</v>
      </c>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row>
    <row r="51" spans="2:200" x14ac:dyDescent="0.3">
      <c r="B51"/>
      <c r="C51"/>
      <c r="D51"/>
      <c r="E51"/>
      <c r="F51"/>
      <c r="G51"/>
      <c r="H51"/>
      <c r="I51"/>
      <c r="J51"/>
      <c r="K51"/>
      <c r="L51"/>
      <c r="M51"/>
      <c r="N51"/>
      <c r="O51"/>
      <c r="P51"/>
      <c r="Q51"/>
      <c r="R51"/>
      <c r="S51"/>
      <c r="T51"/>
      <c r="U51"/>
      <c r="V51"/>
      <c r="W51">
        <v>1.0969246625900269</v>
      </c>
      <c r="X51"/>
      <c r="Y51"/>
      <c r="Z51">
        <v>1.0969250202178955</v>
      </c>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row>
    <row r="52" spans="2:200" x14ac:dyDescent="0.3">
      <c r="B52">
        <v>1.7600000000000002</v>
      </c>
      <c r="C52">
        <v>107.3</v>
      </c>
      <c r="D52">
        <v>0.26200000000000001</v>
      </c>
      <c r="E52">
        <v>0.155</v>
      </c>
      <c r="F52">
        <v>1.9770000000000001</v>
      </c>
      <c r="G52">
        <v>1.008</v>
      </c>
      <c r="H52">
        <v>0.48099999999999998</v>
      </c>
      <c r="I52">
        <v>1.1180000305175781</v>
      </c>
      <c r="J52">
        <v>0.37299999594688416</v>
      </c>
      <c r="K52">
        <v>1</v>
      </c>
      <c r="L52">
        <v>1</v>
      </c>
      <c r="M52">
        <v>2.5856359424304549E-2</v>
      </c>
      <c r="N52">
        <v>1.9873514169523138E-4</v>
      </c>
      <c r="O52">
        <v>0.835087778142101</v>
      </c>
      <c r="P52">
        <v>4.3709082589903213E-2</v>
      </c>
      <c r="Q52">
        <v>3.7454562301031708E-3</v>
      </c>
      <c r="R52"/>
      <c r="S52"/>
      <c r="T52">
        <v>2226</v>
      </c>
      <c r="U52">
        <v>4.8000000000000007</v>
      </c>
      <c r="V52">
        <v>3.0385468153574475E-2</v>
      </c>
      <c r="W52">
        <v>1</v>
      </c>
      <c r="X52">
        <v>4.8000000000000007</v>
      </c>
      <c r="Y52">
        <v>3.0393902570598777E-2</v>
      </c>
      <c r="Z52">
        <v>1</v>
      </c>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row>
    <row r="53" spans="2:200" x14ac:dyDescent="0.3">
      <c r="B53"/>
      <c r="C53"/>
      <c r="D53"/>
      <c r="E53"/>
      <c r="F53"/>
      <c r="G53"/>
      <c r="H53"/>
      <c r="I53"/>
      <c r="J53"/>
      <c r="K53">
        <v>2</v>
      </c>
      <c r="L53">
        <v>0.92905117843819396</v>
      </c>
      <c r="M53">
        <v>2.4021881193271644E-2</v>
      </c>
      <c r="N53">
        <v>4.8066925164924569E-4</v>
      </c>
      <c r="O53">
        <v>0.66808545172485456</v>
      </c>
      <c r="P53">
        <v>8.6680310197909477E-2</v>
      </c>
      <c r="Q53">
        <v>5.542496565995679E-2</v>
      </c>
      <c r="R53"/>
      <c r="S53"/>
      <c r="T53">
        <v>2027</v>
      </c>
      <c r="U53">
        <v>12.821508969490363</v>
      </c>
      <c r="V53">
        <v>2.8229056583526143E-2</v>
      </c>
      <c r="W53">
        <v>0.92903148442046768</v>
      </c>
      <c r="X53">
        <v>12.820634485002454</v>
      </c>
      <c r="Y53">
        <v>2.8237491000550445E-2</v>
      </c>
      <c r="Z53">
        <v>0.92905117843819396</v>
      </c>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row>
    <row r="54" spans="2:200" x14ac:dyDescent="0.3">
      <c r="B54"/>
      <c r="C54"/>
      <c r="D54">
        <v>3.429081916809082</v>
      </c>
      <c r="E54"/>
      <c r="F54"/>
      <c r="G54"/>
      <c r="H54"/>
      <c r="I54"/>
      <c r="J54"/>
      <c r="K54">
        <v>3</v>
      </c>
      <c r="L54">
        <v>0.64305145811857867</v>
      </c>
      <c r="M54">
        <v>1.6626969629437095E-2</v>
      </c>
      <c r="N54">
        <v>1.1570282233529135E-3</v>
      </c>
      <c r="O54">
        <v>0.31682609299464992</v>
      </c>
      <c r="P54">
        <v>0.19355381847723449</v>
      </c>
      <c r="Q54">
        <v>0.12210823991527889</v>
      </c>
      <c r="R54"/>
      <c r="S54"/>
      <c r="T54">
        <v>2141</v>
      </c>
      <c r="U54">
        <v>9.2406098869129227</v>
      </c>
      <c r="V54">
        <v>1.9535977546427621E-2</v>
      </c>
      <c r="W54">
        <v>0.64293817846375534</v>
      </c>
      <c r="X54">
        <v>9.2583097698780765</v>
      </c>
      <c r="Y54">
        <v>1.9544843365937561E-2</v>
      </c>
      <c r="Z54">
        <v>0.64305145811857867</v>
      </c>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row>
    <row r="55" spans="2:200" x14ac:dyDescent="0.3">
      <c r="B55"/>
      <c r="C55"/>
      <c r="D55">
        <v>3.4172282576440359E-2</v>
      </c>
      <c r="E55"/>
      <c r="F55"/>
      <c r="G55"/>
      <c r="H55"/>
      <c r="I55"/>
      <c r="J55"/>
      <c r="K55">
        <v>4</v>
      </c>
      <c r="L55">
        <v>0.22999019346047708</v>
      </c>
      <c r="M55">
        <v>5.946709106179433E-3</v>
      </c>
      <c r="N55">
        <v>4.8069901189134724E-4</v>
      </c>
      <c r="O55">
        <v>0.47745748417323985</v>
      </c>
      <c r="P55">
        <v>0.14829786166478862</v>
      </c>
      <c r="Q55">
        <v>7.4935004547026146E-2</v>
      </c>
      <c r="R55"/>
      <c r="S55"/>
      <c r="T55">
        <v>4282</v>
      </c>
      <c r="U55">
        <v>2.9107989014645237</v>
      </c>
      <c r="V55">
        <v>6.9892924738649709E-3</v>
      </c>
      <c r="W55">
        <v>0.23002089151760419</v>
      </c>
      <c r="X55">
        <v>2.898263233121813</v>
      </c>
      <c r="Y55">
        <v>6.9902995322309045E-3</v>
      </c>
      <c r="Z55">
        <v>0.22999019346047708</v>
      </c>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row>
    <row r="56" spans="2:200" x14ac:dyDescent="0.3">
      <c r="B56"/>
      <c r="C56"/>
      <c r="D56">
        <v>8.3159231521358103E-3</v>
      </c>
      <c r="E56"/>
      <c r="F56"/>
      <c r="G56"/>
      <c r="H56"/>
      <c r="I56"/>
      <c r="J56"/>
      <c r="K56">
        <v>5</v>
      </c>
      <c r="L56">
        <v>1.1762512544754094E-3</v>
      </c>
      <c r="M56">
        <v>3.04135752090053E-5</v>
      </c>
      <c r="N56"/>
      <c r="O56"/>
      <c r="P56"/>
      <c r="Q56"/>
      <c r="R56"/>
      <c r="S56"/>
      <c r="T56">
        <v>833146</v>
      </c>
      <c r="U56">
        <v>8.4440844216378055E-3</v>
      </c>
      <c r="V56">
        <v>3.5745685926502281E-5</v>
      </c>
      <c r="W56">
        <v>1.1764072794875548E-3</v>
      </c>
      <c r="X56">
        <v>8.4701324123103942E-3</v>
      </c>
      <c r="Y56">
        <v>3.5750866027070181E-5</v>
      </c>
      <c r="Z56">
        <v>1.1762512544754094E-3</v>
      </c>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row>
    <row r="57" spans="2:200" x14ac:dyDescent="0.3">
      <c r="B57"/>
      <c r="C57"/>
      <c r="D57"/>
      <c r="E57"/>
      <c r="F57"/>
      <c r="G57"/>
      <c r="H57"/>
      <c r="I57"/>
      <c r="J57"/>
      <c r="K57"/>
      <c r="L57"/>
      <c r="M57"/>
      <c r="N57"/>
      <c r="O57"/>
      <c r="P57"/>
      <c r="Q57"/>
      <c r="R57"/>
      <c r="S57"/>
      <c r="T57"/>
      <c r="U57"/>
      <c r="V57"/>
      <c r="W57">
        <v>23.32996496297347</v>
      </c>
      <c r="X57"/>
      <c r="Y57"/>
      <c r="Z57">
        <v>23.332389756116612</v>
      </c>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row>
    <row r="58" spans="2:200" x14ac:dyDescent="0.3">
      <c r="B58"/>
      <c r="C58"/>
      <c r="D58"/>
      <c r="E58"/>
      <c r="F58"/>
      <c r="G58"/>
      <c r="H58"/>
      <c r="I58"/>
      <c r="J58"/>
      <c r="K58"/>
      <c r="L58"/>
      <c r="M58"/>
      <c r="N58"/>
      <c r="O58"/>
      <c r="P58"/>
      <c r="Q58"/>
      <c r="R58"/>
      <c r="S58"/>
      <c r="T58"/>
      <c r="U58"/>
      <c r="V58"/>
      <c r="W58">
        <v>767.54127077569228</v>
      </c>
      <c r="X58"/>
      <c r="Y58"/>
      <c r="Z58">
        <v>767.6209776220303</v>
      </c>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row>
    <row r="59" spans="2:200" x14ac:dyDescent="0.3">
      <c r="B59"/>
      <c r="C59"/>
      <c r="D59"/>
      <c r="E59"/>
      <c r="F59"/>
      <c r="G59"/>
      <c r="H59"/>
      <c r="I59"/>
      <c r="J59"/>
      <c r="K59"/>
      <c r="L59"/>
      <c r="M59"/>
      <c r="N59"/>
      <c r="O59"/>
      <c r="P59"/>
      <c r="Q59"/>
      <c r="R59"/>
      <c r="S59"/>
      <c r="T59"/>
      <c r="U59"/>
      <c r="V59"/>
      <c r="W59">
        <v>1.0954335927963257</v>
      </c>
      <c r="X59"/>
      <c r="Y59"/>
      <c r="Z59">
        <v>1.0954335927963257</v>
      </c>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row>
    <row r="60" spans="2:200" x14ac:dyDescent="0.3">
      <c r="B60">
        <v>1.7600000000000002</v>
      </c>
      <c r="C60">
        <v>107.4</v>
      </c>
      <c r="D60">
        <v>0.26300000000000001</v>
      </c>
      <c r="E60">
        <v>0.155</v>
      </c>
      <c r="F60">
        <v>1.976</v>
      </c>
      <c r="G60">
        <v>1.0069999999999999</v>
      </c>
      <c r="H60">
        <v>0.48099999999999998</v>
      </c>
      <c r="I60">
        <v>1.1169999837875366</v>
      </c>
      <c r="J60">
        <v>0.37200000882148743</v>
      </c>
      <c r="K60">
        <v>1</v>
      </c>
      <c r="L60">
        <v>1</v>
      </c>
      <c r="M60">
        <v>2.5828130932282978E-2</v>
      </c>
      <c r="N60">
        <v>1.9863646037278124E-4</v>
      </c>
      <c r="O60">
        <v>0.83517264407940806</v>
      </c>
      <c r="P60">
        <v>4.3686385885739684E-2</v>
      </c>
      <c r="Q60">
        <v>3.7433857867133638E-3</v>
      </c>
      <c r="R60"/>
      <c r="S60"/>
      <c r="T60">
        <v>2227</v>
      </c>
      <c r="U60">
        <v>4.8000000000000007</v>
      </c>
      <c r="V60">
        <v>3.0361009798767286E-2</v>
      </c>
      <c r="W60">
        <v>1</v>
      </c>
      <c r="X60">
        <v>4.8000000000000007</v>
      </c>
      <c r="Y60">
        <v>3.0362429279864791E-2</v>
      </c>
      <c r="Z60">
        <v>1</v>
      </c>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row>
    <row r="61" spans="2:200" x14ac:dyDescent="0.3">
      <c r="B61"/>
      <c r="C61"/>
      <c r="D61"/>
      <c r="E61"/>
      <c r="F61"/>
      <c r="G61"/>
      <c r="H61"/>
      <c r="I61"/>
      <c r="J61"/>
      <c r="K61">
        <v>2</v>
      </c>
      <c r="L61">
        <v>0.92900890384498647</v>
      </c>
      <c r="M61">
        <v>2.3994563605764997E-2</v>
      </c>
      <c r="N61">
        <v>4.7939260912430192E-4</v>
      </c>
      <c r="O61">
        <v>0.66868547371157816</v>
      </c>
      <c r="P61">
        <v>8.652711309491623E-2</v>
      </c>
      <c r="Q61">
        <v>5.5273527756966749E-2</v>
      </c>
      <c r="R61"/>
      <c r="S61"/>
      <c r="T61">
        <v>2032</v>
      </c>
      <c r="U61">
        <v>12.820906262447076</v>
      </c>
      <c r="V61">
        <v>2.8205547662260605E-2</v>
      </c>
      <c r="W61">
        <v>0.92900558476832362</v>
      </c>
      <c r="X61">
        <v>12.820277069802867</v>
      </c>
      <c r="Y61">
        <v>2.820696714335811E-2</v>
      </c>
      <c r="Z61">
        <v>0.92900890384498647</v>
      </c>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row>
    <row r="62" spans="2:200" x14ac:dyDescent="0.3">
      <c r="B62"/>
      <c r="C62"/>
      <c r="D62">
        <v>3.4340164661407471</v>
      </c>
      <c r="E62"/>
      <c r="F62"/>
      <c r="G62"/>
      <c r="H62"/>
      <c r="I62"/>
      <c r="J62"/>
      <c r="K62">
        <v>3</v>
      </c>
      <c r="L62">
        <v>0.64345704068689091</v>
      </c>
      <c r="M62">
        <v>1.6619292696160352E-2</v>
      </c>
      <c r="N62">
        <v>1.1585498756041439E-3</v>
      </c>
      <c r="O62">
        <v>0.31666936281277319</v>
      </c>
      <c r="P62">
        <v>0.19359794639252018</v>
      </c>
      <c r="Q62">
        <v>0.12229254308008271</v>
      </c>
      <c r="R62"/>
      <c r="S62"/>
      <c r="T62">
        <v>2139</v>
      </c>
      <c r="U62">
        <v>9.2599409969075328</v>
      </c>
      <c r="V62">
        <v>1.9535189817472997E-2</v>
      </c>
      <c r="W62">
        <v>0.64343017399461344</v>
      </c>
      <c r="X62">
        <v>9.2653945055224334</v>
      </c>
      <c r="Y62">
        <v>1.9536918892486807E-2</v>
      </c>
      <c r="Z62">
        <v>0.64345704068689091</v>
      </c>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row>
    <row r="63" spans="2:200" x14ac:dyDescent="0.3">
      <c r="B63"/>
      <c r="C63"/>
      <c r="D63">
        <v>3.4135415758398568E-2</v>
      </c>
      <c r="E63"/>
      <c r="F63"/>
      <c r="G63"/>
      <c r="H63"/>
      <c r="I63"/>
      <c r="J63"/>
      <c r="K63">
        <v>4</v>
      </c>
      <c r="L63">
        <v>0.2294005000848269</v>
      </c>
      <c r="M63">
        <v>5.9249861521221015E-3</v>
      </c>
      <c r="N63">
        <v>4.7893422130842577E-4</v>
      </c>
      <c r="O63">
        <v>0.47832223155887138</v>
      </c>
      <c r="P63">
        <v>0.14805079098317961</v>
      </c>
      <c r="Q63">
        <v>7.4653851655508863E-2</v>
      </c>
      <c r="R63"/>
      <c r="S63"/>
      <c r="T63">
        <v>4297</v>
      </c>
      <c r="U63">
        <v>2.8978764376020116</v>
      </c>
      <c r="V63">
        <v>6.965683239745263E-3</v>
      </c>
      <c r="W63">
        <v>0.22942857585810875</v>
      </c>
      <c r="X63">
        <v>2.8908000558121705</v>
      </c>
      <c r="Y63">
        <v>6.9651564605911738E-3</v>
      </c>
      <c r="Z63">
        <v>0.2294005000848269</v>
      </c>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row>
    <row r="64" spans="2:200" x14ac:dyDescent="0.3">
      <c r="B64"/>
      <c r="C64"/>
      <c r="D64">
        <v>8.3072848261155924E-3</v>
      </c>
      <c r="E64"/>
      <c r="F64"/>
      <c r="G64"/>
      <c r="H64"/>
      <c r="I64"/>
      <c r="J64"/>
      <c r="K64">
        <v>5</v>
      </c>
      <c r="L64">
        <v>1.1774417867679745E-3</v>
      </c>
      <c r="M64">
        <v>3.041112063378446E-5</v>
      </c>
      <c r="N64"/>
      <c r="O64"/>
      <c r="P64"/>
      <c r="Q64"/>
      <c r="R64"/>
      <c r="S64"/>
      <c r="T64">
        <v>833146</v>
      </c>
      <c r="U64">
        <v>8.4690090322229478E-3</v>
      </c>
      <c r="V64">
        <v>3.5752684539379106E-5</v>
      </c>
      <c r="W64">
        <v>1.1775854879777659E-3</v>
      </c>
      <c r="X64">
        <v>8.4786155134399157E-3</v>
      </c>
      <c r="Y64">
        <v>3.5749992981900264E-5</v>
      </c>
      <c r="Z64">
        <v>1.1774417867679745E-3</v>
      </c>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row>
    <row r="65" spans="2:200" x14ac:dyDescent="0.3">
      <c r="B65"/>
      <c r="C65"/>
      <c r="D65"/>
      <c r="E65"/>
      <c r="F65"/>
      <c r="G65"/>
      <c r="H65"/>
      <c r="I65"/>
      <c r="J65"/>
      <c r="K65"/>
      <c r="L65"/>
      <c r="M65"/>
      <c r="N65"/>
      <c r="O65"/>
      <c r="P65"/>
      <c r="Q65"/>
      <c r="R65"/>
      <c r="S65"/>
      <c r="T65"/>
      <c r="U65"/>
      <c r="V65"/>
      <c r="W65">
        <v>23.334985519131287</v>
      </c>
      <c r="X65"/>
      <c r="Y65"/>
      <c r="Z65">
        <v>23.335406178249773</v>
      </c>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row>
    <row r="66" spans="2:200" x14ac:dyDescent="0.3">
      <c r="B66"/>
      <c r="C66"/>
      <c r="D66"/>
      <c r="E66"/>
      <c r="F66"/>
      <c r="G66"/>
      <c r="H66"/>
      <c r="I66"/>
      <c r="J66"/>
      <c r="K66"/>
      <c r="L66"/>
      <c r="M66"/>
      <c r="N66"/>
      <c r="O66"/>
      <c r="P66"/>
      <c r="Q66"/>
      <c r="R66"/>
      <c r="S66"/>
      <c r="T66"/>
      <c r="U66"/>
      <c r="V66"/>
      <c r="W66">
        <v>768.53516538488111</v>
      </c>
      <c r="X66"/>
      <c r="Y66"/>
      <c r="Z66">
        <v>768.54900978133992</v>
      </c>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row>
    <row r="67" spans="2:200" x14ac:dyDescent="0.3">
      <c r="B67"/>
      <c r="C67"/>
      <c r="D67"/>
      <c r="E67"/>
      <c r="F67"/>
      <c r="G67"/>
      <c r="H67"/>
      <c r="I67"/>
      <c r="J67"/>
      <c r="K67"/>
      <c r="L67"/>
      <c r="M67"/>
      <c r="N67"/>
      <c r="O67"/>
      <c r="P67"/>
      <c r="Q67"/>
      <c r="R67"/>
      <c r="S67"/>
      <c r="T67"/>
      <c r="U67"/>
      <c r="V67"/>
      <c r="W67">
        <v>1.094842791557312</v>
      </c>
      <c r="X67"/>
      <c r="Y67"/>
      <c r="Z67">
        <v>1.094842791557312</v>
      </c>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row>
    <row r="68" spans="2:200" x14ac:dyDescent="0.3">
      <c r="B68">
        <v>1.7600000000000002</v>
      </c>
      <c r="C68">
        <v>107.5</v>
      </c>
      <c r="D68">
        <v>0.26300000000000001</v>
      </c>
      <c r="E68">
        <v>0.155</v>
      </c>
      <c r="F68">
        <v>1.976</v>
      </c>
      <c r="G68">
        <v>1.0069999999999999</v>
      </c>
      <c r="H68">
        <v>0.48099999999999998</v>
      </c>
      <c r="I68">
        <v>1.1160000562667847</v>
      </c>
      <c r="J68">
        <v>0.37200000882148743</v>
      </c>
      <c r="K68">
        <v>1</v>
      </c>
      <c r="L68">
        <v>1</v>
      </c>
      <c r="M68">
        <v>2.5817371937374919E-2</v>
      </c>
      <c r="N68">
        <v>1.9862772922966265E-4</v>
      </c>
      <c r="O68">
        <v>0.83518015286249014</v>
      </c>
      <c r="P68">
        <v>4.3684377722822409E-2</v>
      </c>
      <c r="Q68">
        <v>3.7434370987541846E-3</v>
      </c>
      <c r="R68"/>
      <c r="S68"/>
      <c r="T68">
        <v>2227</v>
      </c>
      <c r="U68">
        <v>4.8000000000000007</v>
      </c>
      <c r="V68">
        <v>3.0348367921994211E-2</v>
      </c>
      <c r="W68">
        <v>1</v>
      </c>
      <c r="X68">
        <v>4.8000000000000007</v>
      </c>
      <c r="Y68">
        <v>3.0348031318457393E-2</v>
      </c>
      <c r="Z68">
        <v>1</v>
      </c>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row>
    <row r="69" spans="2:200" x14ac:dyDescent="0.3">
      <c r="B69"/>
      <c r="C69"/>
      <c r="D69"/>
      <c r="E69"/>
      <c r="F69"/>
      <c r="G69"/>
      <c r="H69"/>
      <c r="I69"/>
      <c r="J69"/>
      <c r="K69">
        <v>2</v>
      </c>
      <c r="L69">
        <v>0.92898244113311712</v>
      </c>
      <c r="M69">
        <v>2.3983885206024187E-2</v>
      </c>
      <c r="N69">
        <v>4.789816655988394E-4</v>
      </c>
      <c r="O69">
        <v>0.66887861716854546</v>
      </c>
      <c r="P69">
        <v>8.6477799871860717E-2</v>
      </c>
      <c r="Q69">
        <v>5.5228362828737804E-2</v>
      </c>
      <c r="R69"/>
      <c r="S69"/>
      <c r="T69">
        <v>2034</v>
      </c>
      <c r="U69">
        <v>12.820322873060814</v>
      </c>
      <c r="V69">
        <v>2.8193124821341658E-2</v>
      </c>
      <c r="W69">
        <v>0.92898322881176765</v>
      </c>
      <c r="X69">
        <v>12.819968557602394</v>
      </c>
      <c r="Y69">
        <v>2.819278821780484E-2</v>
      </c>
      <c r="Z69">
        <v>0.92898244113311712</v>
      </c>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row>
    <row r="70" spans="2:200" x14ac:dyDescent="0.3">
      <c r="B70"/>
      <c r="C70"/>
      <c r="D70">
        <v>3.4361491203308105</v>
      </c>
      <c r="E70"/>
      <c r="F70"/>
      <c r="G70"/>
      <c r="H70"/>
      <c r="I70"/>
      <c r="J70"/>
      <c r="K70">
        <v>3</v>
      </c>
      <c r="L70">
        <v>0.64355646054162119</v>
      </c>
      <c r="M70">
        <v>1.6614936504503582E-2</v>
      </c>
      <c r="N70">
        <v>1.1592540859992266E-3</v>
      </c>
      <c r="O70">
        <v>0.31659682914207971</v>
      </c>
      <c r="P70">
        <v>0.19361836849397757</v>
      </c>
      <c r="Q70">
        <v>0.12238068605628477</v>
      </c>
      <c r="R70"/>
      <c r="S70"/>
      <c r="T70">
        <v>2138</v>
      </c>
      <c r="U70">
        <v>9.2657813858912288</v>
      </c>
      <c r="V70">
        <v>1.9530834038953837E-2</v>
      </c>
      <c r="W70">
        <v>0.64355467447721826</v>
      </c>
      <c r="X70">
        <v>9.2671873124719433</v>
      </c>
      <c r="Y70">
        <v>1.9530671619712711E-2</v>
      </c>
      <c r="Z70">
        <v>0.64355646054162119</v>
      </c>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row>
    <row r="71" spans="2:200" x14ac:dyDescent="0.3">
      <c r="B71"/>
      <c r="C71"/>
      <c r="D71">
        <v>3.4120634103823586E-2</v>
      </c>
      <c r="E71"/>
      <c r="F71"/>
      <c r="G71"/>
      <c r="H71"/>
      <c r="I71"/>
      <c r="J71"/>
      <c r="K71">
        <v>4</v>
      </c>
      <c r="L71">
        <v>0.22907558411306506</v>
      </c>
      <c r="M71">
        <v>5.914129556818414E-3</v>
      </c>
      <c r="N71">
        <v>4.780522061704637E-4</v>
      </c>
      <c r="O71">
        <v>0.47875441897647281</v>
      </c>
      <c r="P71">
        <v>0.1479273088638649</v>
      </c>
      <c r="Q71">
        <v>7.4513848518190401E-2</v>
      </c>
      <c r="R71"/>
      <c r="S71"/>
      <c r="T71">
        <v>4305</v>
      </c>
      <c r="U71">
        <v>2.8904463010688195</v>
      </c>
      <c r="V71">
        <v>6.9526473977954964E-3</v>
      </c>
      <c r="W71">
        <v>0.22909460619649141</v>
      </c>
      <c r="X71">
        <v>2.8865920380757921</v>
      </c>
      <c r="Y71">
        <v>6.9519930009572196E-3</v>
      </c>
      <c r="Z71">
        <v>0.22907558411306506</v>
      </c>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row>
    <row r="72" spans="2:200" x14ac:dyDescent="0.3">
      <c r="B72"/>
      <c r="C72"/>
      <c r="D72">
        <v>8.3032621664486661E-3</v>
      </c>
      <c r="E72"/>
      <c r="F72"/>
      <c r="G72"/>
      <c r="H72"/>
      <c r="I72"/>
      <c r="J72"/>
      <c r="K72">
        <v>5</v>
      </c>
      <c r="L72">
        <v>1.1778927898868604E-3</v>
      </c>
      <c r="M72">
        <v>3.0410096258861283E-5</v>
      </c>
      <c r="N72"/>
      <c r="O72"/>
      <c r="P72"/>
      <c r="Q72"/>
      <c r="R72"/>
      <c r="S72"/>
      <c r="T72">
        <v>833146</v>
      </c>
      <c r="U72">
        <v>8.4775808647294167E-3</v>
      </c>
      <c r="V72">
        <v>3.5750086476041437E-5</v>
      </c>
      <c r="W72">
        <v>1.1779904134525951E-3</v>
      </c>
      <c r="X72">
        <v>8.4815309768586852E-3</v>
      </c>
      <c r="Y72">
        <v>3.5746727277271595E-5</v>
      </c>
      <c r="Z72">
        <v>1.1778927898868604E-3</v>
      </c>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row>
    <row r="73" spans="2:200" x14ac:dyDescent="0.3">
      <c r="B73"/>
      <c r="C73"/>
      <c r="D73"/>
      <c r="E73"/>
      <c r="F73"/>
      <c r="G73"/>
      <c r="H73"/>
      <c r="I73"/>
      <c r="J73"/>
      <c r="K73"/>
      <c r="L73"/>
      <c r="M73"/>
      <c r="N73"/>
      <c r="O73"/>
      <c r="P73"/>
      <c r="Q73"/>
      <c r="R73"/>
      <c r="S73"/>
      <c r="T73"/>
      <c r="U73"/>
      <c r="V73"/>
      <c r="W73">
        <v>23.334790155479183</v>
      </c>
      <c r="X73"/>
      <c r="Y73"/>
      <c r="Z73">
        <v>23.334693248003489</v>
      </c>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row>
    <row r="74" spans="2:200" x14ac:dyDescent="0.3">
      <c r="B74"/>
      <c r="C74"/>
      <c r="D74"/>
      <c r="E74"/>
      <c r="F74"/>
      <c r="G74"/>
      <c r="H74"/>
      <c r="I74"/>
      <c r="J74"/>
      <c r="K74"/>
      <c r="L74"/>
      <c r="M74"/>
      <c r="N74"/>
      <c r="O74"/>
      <c r="P74"/>
      <c r="Q74"/>
      <c r="R74"/>
      <c r="S74"/>
      <c r="T74"/>
      <c r="U74"/>
      <c r="V74"/>
      <c r="W74">
        <v>768.90184904828402</v>
      </c>
      <c r="X74"/>
      <c r="Y74"/>
      <c r="Z74">
        <v>768.89865419162288</v>
      </c>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row>
    <row r="75" spans="2:200" x14ac:dyDescent="0.3">
      <c r="B75"/>
      <c r="C75"/>
      <c r="D75"/>
      <c r="E75"/>
      <c r="F75"/>
      <c r="G75"/>
      <c r="H75"/>
      <c r="I75"/>
      <c r="J75"/>
      <c r="K75"/>
      <c r="L75"/>
      <c r="M75"/>
      <c r="N75"/>
      <c r="O75"/>
      <c r="P75"/>
      <c r="Q75"/>
      <c r="R75"/>
      <c r="S75"/>
      <c r="T75"/>
      <c r="U75"/>
      <c r="V75"/>
      <c r="W75">
        <v>1.0945770740509033</v>
      </c>
      <c r="X75"/>
      <c r="Y75"/>
      <c r="Z75">
        <v>1.0945770740509033</v>
      </c>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row>
    <row r="76" spans="2:200" x14ac:dyDescent="0.3">
      <c r="B76">
        <v>1.7600000000000002</v>
      </c>
      <c r="C76">
        <v>107.5</v>
      </c>
      <c r="D76">
        <v>0.26300000000000001</v>
      </c>
      <c r="E76">
        <v>0.155</v>
      </c>
      <c r="F76">
        <v>1.976</v>
      </c>
      <c r="G76">
        <v>1.0069999999999999</v>
      </c>
      <c r="H76">
        <v>0.48099999999999998</v>
      </c>
      <c r="I76">
        <v>1.1160000562667847</v>
      </c>
      <c r="J76">
        <v>0.37200000882148743</v>
      </c>
      <c r="K76">
        <v>1</v>
      </c>
      <c r="L76">
        <v>1</v>
      </c>
      <c r="M76">
        <v>2.5813285925391748E-2</v>
      </c>
      <c r="N76">
        <v>1.986369972175475E-4</v>
      </c>
      <c r="O76">
        <v>0.83517218239290913</v>
      </c>
      <c r="P76">
        <v>4.3686509360035916E-2</v>
      </c>
      <c r="Q76">
        <v>3.7438201043788746E-3</v>
      </c>
      <c r="R76"/>
      <c r="S76"/>
      <c r="T76">
        <v>2227</v>
      </c>
      <c r="U76">
        <v>4.8000000000000007</v>
      </c>
      <c r="V76">
        <v>3.0342099142943755E-2</v>
      </c>
      <c r="W76">
        <v>1</v>
      </c>
      <c r="X76">
        <v>4.8000000000000007</v>
      </c>
      <c r="Y76">
        <v>3.0341539766882891E-2</v>
      </c>
      <c r="Z76">
        <v>1</v>
      </c>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row>
    <row r="77" spans="2:200" x14ac:dyDescent="0.3">
      <c r="B77"/>
      <c r="C77"/>
      <c r="D77"/>
      <c r="E77"/>
      <c r="F77"/>
      <c r="G77"/>
      <c r="H77"/>
      <c r="I77"/>
      <c r="J77"/>
      <c r="K77">
        <v>2</v>
      </c>
      <c r="L77">
        <v>0.92896788547929487</v>
      </c>
      <c r="M77">
        <v>2.3979713643383617E-2</v>
      </c>
      <c r="N77">
        <v>4.7886474443484245E-4</v>
      </c>
      <c r="O77">
        <v>0.66893357011562404</v>
      </c>
      <c r="P77">
        <v>8.6463769332181084E-2</v>
      </c>
      <c r="Q77">
        <v>5.5217347633518626E-2</v>
      </c>
      <c r="R77"/>
      <c r="S77"/>
      <c r="T77">
        <v>2035</v>
      </c>
      <c r="U77">
        <v>12.819957687637016</v>
      </c>
      <c r="V77">
        <v>2.8186875415488002E-2</v>
      </c>
      <c r="W77">
        <v>0.92896919500189012</v>
      </c>
      <c r="X77">
        <v>12.819774891026084</v>
      </c>
      <c r="Y77">
        <v>2.8186316039427138E-2</v>
      </c>
      <c r="Z77">
        <v>0.92896788547929487</v>
      </c>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row>
    <row r="78" spans="2:200" x14ac:dyDescent="0.3">
      <c r="B78"/>
      <c r="C78"/>
      <c r="D78">
        <v>3.4370729923248291</v>
      </c>
      <c r="E78"/>
      <c r="F78"/>
      <c r="G78"/>
      <c r="H78"/>
      <c r="I78"/>
      <c r="J78"/>
      <c r="K78">
        <v>3</v>
      </c>
      <c r="L78">
        <v>0.6435664090583737</v>
      </c>
      <c r="M78">
        <v>1.6612563729001426E-2</v>
      </c>
      <c r="N78">
        <v>1.1595854580092727E-3</v>
      </c>
      <c r="O78">
        <v>0.31656269782504493</v>
      </c>
      <c r="P78">
        <v>0.19362797828226891</v>
      </c>
      <c r="Q78">
        <v>0.12242261339376542</v>
      </c>
      <c r="R78"/>
      <c r="S78"/>
      <c r="T78">
        <v>2137</v>
      </c>
      <c r="U78">
        <v>9.2672130317993453</v>
      </c>
      <c r="V78">
        <v>1.9527265330816758E-2</v>
      </c>
      <c r="W78">
        <v>0.64357001929307667</v>
      </c>
      <c r="X78">
        <v>9.2674082778203051</v>
      </c>
      <c r="Y78">
        <v>1.9526795793074668E-2</v>
      </c>
      <c r="Z78">
        <v>0.6435664090583737</v>
      </c>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row>
    <row r="79" spans="2:200" x14ac:dyDescent="0.3">
      <c r="B79"/>
      <c r="C79"/>
      <c r="D79">
        <v>3.4114688703728628E-2</v>
      </c>
      <c r="E79"/>
      <c r="F79"/>
      <c r="G79"/>
      <c r="H79"/>
      <c r="I79"/>
      <c r="J79"/>
      <c r="K79">
        <v>4</v>
      </c>
      <c r="L79">
        <v>0.22890142618184764</v>
      </c>
      <c r="M79">
        <v>5.9086979627619857E-3</v>
      </c>
      <c r="N79">
        <v>4.7761093929691309E-4</v>
      </c>
      <c r="O79">
        <v>0.47897063974451259</v>
      </c>
      <c r="P79">
        <v>0.14786553150156784</v>
      </c>
      <c r="Q79">
        <v>7.4443554399372031E-2</v>
      </c>
      <c r="R79"/>
      <c r="S79"/>
      <c r="T79">
        <v>4309</v>
      </c>
      <c r="U79">
        <v>2.8863523598246199</v>
      </c>
      <c r="V79">
        <v>6.9456970885050763E-3</v>
      </c>
      <c r="W79">
        <v>0.22891287302778265</v>
      </c>
      <c r="X79">
        <v>2.8843022001500618</v>
      </c>
      <c r="Y79">
        <v>6.9452217251927389E-3</v>
      </c>
      <c r="Z79">
        <v>0.22890142618184764</v>
      </c>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row>
    <row r="80" spans="2:200" x14ac:dyDescent="0.3">
      <c r="B80"/>
      <c r="C80"/>
      <c r="D80">
        <v>8.3014027783368787E-3</v>
      </c>
      <c r="E80"/>
      <c r="F80"/>
      <c r="G80"/>
      <c r="H80"/>
      <c r="I80"/>
      <c r="J80"/>
      <c r="K80">
        <v>5</v>
      </c>
      <c r="L80">
        <v>1.1780553314895055E-3</v>
      </c>
      <c r="M80">
        <v>3.0409479107670759E-5</v>
      </c>
      <c r="N80"/>
      <c r="O80"/>
      <c r="P80"/>
      <c r="Q80"/>
      <c r="R80"/>
      <c r="S80"/>
      <c r="T80">
        <v>833146</v>
      </c>
      <c r="U80">
        <v>8.4808280871853953E-3</v>
      </c>
      <c r="V80">
        <v>3.5746456578162037E-5</v>
      </c>
      <c r="W80">
        <v>1.1781141578161081E-3</v>
      </c>
      <c r="X80">
        <v>8.482421936275979E-3</v>
      </c>
      <c r="Y80">
        <v>3.5744012687977237E-5</v>
      </c>
      <c r="Z80">
        <v>1.1780553314895055E-3</v>
      </c>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row>
    <row r="81" spans="2:200" x14ac:dyDescent="0.3">
      <c r="B81"/>
      <c r="C81"/>
      <c r="D81"/>
      <c r="E81"/>
      <c r="F81"/>
      <c r="G81"/>
      <c r="H81"/>
      <c r="I81"/>
      <c r="J81"/>
      <c r="K81"/>
      <c r="L81"/>
      <c r="M81"/>
      <c r="N81"/>
      <c r="O81"/>
      <c r="P81"/>
      <c r="Q81"/>
      <c r="R81"/>
      <c r="S81"/>
      <c r="T81"/>
      <c r="U81"/>
      <c r="V81"/>
      <c r="W81">
        <v>23.333665981353661</v>
      </c>
      <c r="X81"/>
      <c r="Y81"/>
      <c r="Z81">
        <v>23.333499459284493</v>
      </c>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row>
    <row r="82" spans="2:200" x14ac:dyDescent="0.3">
      <c r="B82"/>
      <c r="C82"/>
      <c r="D82"/>
      <c r="E82"/>
      <c r="F82"/>
      <c r="G82"/>
      <c r="H82"/>
      <c r="I82"/>
      <c r="J82"/>
      <c r="K82"/>
      <c r="L82"/>
      <c r="M82"/>
      <c r="N82"/>
      <c r="O82"/>
      <c r="P82"/>
      <c r="Q82"/>
      <c r="R82"/>
      <c r="S82"/>
      <c r="T82"/>
      <c r="U82"/>
      <c r="V82"/>
      <c r="W82">
        <v>769.03044438744564</v>
      </c>
      <c r="X82"/>
      <c r="Y82"/>
      <c r="Z82">
        <v>769.02495596203698</v>
      </c>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row>
    <row r="83" spans="2:200" x14ac:dyDescent="0.3">
      <c r="B83"/>
      <c r="C83"/>
      <c r="D83"/>
      <c r="E83"/>
      <c r="F83"/>
      <c r="G83"/>
      <c r="H83"/>
      <c r="I83"/>
      <c r="J83"/>
      <c r="K83"/>
      <c r="L83"/>
      <c r="M83"/>
      <c r="N83"/>
      <c r="O83"/>
      <c r="P83"/>
      <c r="Q83"/>
      <c r="R83"/>
      <c r="S83"/>
      <c r="T83"/>
      <c r="U83"/>
      <c r="V83"/>
      <c r="W83">
        <v>1.0944591760635376</v>
      </c>
      <c r="X83"/>
      <c r="Y83"/>
      <c r="Z83">
        <v>1.0944591760635376</v>
      </c>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row>
    <row r="84" spans="2:200" x14ac:dyDescent="0.3">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row>
    <row r="85" spans="2:200" x14ac:dyDescent="0.3">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row>
    <row r="86" spans="2:200" x14ac:dyDescent="0.3">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row>
    <row r="87" spans="2:200" x14ac:dyDescent="0.3">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row>
    <row r="88" spans="2:200" x14ac:dyDescent="0.3">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row>
    <row r="89" spans="2:200" x14ac:dyDescent="0.3">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row>
    <row r="90" spans="2:200" x14ac:dyDescent="0.3">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row>
    <row r="91" spans="2:200" x14ac:dyDescent="0.3">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row>
    <row r="92" spans="2:200" x14ac:dyDescent="0.3">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row>
    <row r="93" spans="2:200" x14ac:dyDescent="0.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row>
    <row r="94" spans="2:200" x14ac:dyDescent="0.3">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row>
    <row r="95" spans="2:200" x14ac:dyDescent="0.3">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row>
    <row r="96" spans="2:200" x14ac:dyDescent="0.3">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row>
    <row r="97" spans="2:200" x14ac:dyDescent="0.3">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row>
    <row r="98" spans="2:200" x14ac:dyDescent="0.3">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row>
    <row r="99" spans="2:200" x14ac:dyDescent="0.3">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row>
    <row r="100" spans="2:200" x14ac:dyDescent="0.3">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row>
    <row r="101" spans="2:200" x14ac:dyDescent="0.3">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row>
    <row r="102" spans="2:200" x14ac:dyDescent="0.3">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row>
    <row r="103" spans="2:200" x14ac:dyDescent="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row>
    <row r="104" spans="2:200" x14ac:dyDescent="0.3">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row>
    <row r="105" spans="2:200" x14ac:dyDescent="0.3">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row>
    <row r="106" spans="2:200" x14ac:dyDescent="0.3">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row>
    <row r="107" spans="2:200" x14ac:dyDescent="0.3">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row>
    <row r="108" spans="2:200" x14ac:dyDescent="0.3">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row>
    <row r="109" spans="2:200" x14ac:dyDescent="0.3">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row>
    <row r="110" spans="2:200" x14ac:dyDescent="0.3">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row>
    <row r="111" spans="2:200" x14ac:dyDescent="0.3">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row>
    <row r="112" spans="2:200" x14ac:dyDescent="0.3">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row>
    <row r="113" spans="2:200" x14ac:dyDescent="0.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row>
    <row r="114" spans="2:200" x14ac:dyDescent="0.3">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row>
    <row r="115" spans="2:200" x14ac:dyDescent="0.3">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row>
    <row r="116" spans="2:200" x14ac:dyDescent="0.3">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row>
    <row r="117" spans="2:200" x14ac:dyDescent="0.3">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row>
    <row r="118" spans="2:200" x14ac:dyDescent="0.3">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row>
    <row r="119" spans="2:200" x14ac:dyDescent="0.3">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row>
    <row r="120" spans="2:200" x14ac:dyDescent="0.3">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row>
    <row r="121" spans="2:200" x14ac:dyDescent="0.3">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row>
    <row r="122" spans="2:200" x14ac:dyDescent="0.3">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row>
    <row r="123" spans="2:200" x14ac:dyDescent="0.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row>
    <row r="124" spans="2:200" x14ac:dyDescent="0.3">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row>
    <row r="125" spans="2:200" x14ac:dyDescent="0.3">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row>
    <row r="126" spans="2:200" x14ac:dyDescent="0.3">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row>
    <row r="127" spans="2:200" x14ac:dyDescent="0.3">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row>
    <row r="128" spans="2:200" x14ac:dyDescent="0.3">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row>
    <row r="129" spans="2:200" x14ac:dyDescent="0.3">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row>
    <row r="130" spans="2:200" x14ac:dyDescent="0.3">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row>
    <row r="131" spans="2:200" x14ac:dyDescent="0.3">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row>
    <row r="132" spans="2:200" x14ac:dyDescent="0.3">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row>
    <row r="133" spans="2:200" x14ac:dyDescent="0.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row>
    <row r="134" spans="2:200" x14ac:dyDescent="0.3">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row>
    <row r="135" spans="2:200" x14ac:dyDescent="0.3">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row>
    <row r="136" spans="2:200" x14ac:dyDescent="0.3">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row>
    <row r="137" spans="2:200" x14ac:dyDescent="0.3">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row>
    <row r="138" spans="2:200" x14ac:dyDescent="0.3">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row>
    <row r="139" spans="2:200" x14ac:dyDescent="0.3">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row>
    <row r="140" spans="2:200" x14ac:dyDescent="0.3">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row>
    <row r="141" spans="2:200" x14ac:dyDescent="0.3">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row>
    <row r="142" spans="2:200" x14ac:dyDescent="0.3">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row>
    <row r="143" spans="2:200" x14ac:dyDescent="0.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row>
    <row r="144" spans="2:200" x14ac:dyDescent="0.3">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row>
    <row r="145" spans="2:200" x14ac:dyDescent="0.3">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row>
    <row r="146" spans="2:200" x14ac:dyDescent="0.3">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row>
    <row r="147" spans="2:200" x14ac:dyDescent="0.3">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row>
    <row r="148" spans="2:200" x14ac:dyDescent="0.3">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row>
    <row r="149" spans="2:200" x14ac:dyDescent="0.3">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row>
    <row r="150" spans="2:200" x14ac:dyDescent="0.3">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row>
    <row r="151" spans="2:200" x14ac:dyDescent="0.3">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row>
    <row r="152" spans="2:200" x14ac:dyDescent="0.3">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row>
    <row r="153" spans="2:200" x14ac:dyDescent="0.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row>
    <row r="154" spans="2:200" x14ac:dyDescent="0.3">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row>
    <row r="155" spans="2:200" x14ac:dyDescent="0.3">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row>
    <row r="156" spans="2:200" x14ac:dyDescent="0.3">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row>
    <row r="157" spans="2:200" x14ac:dyDescent="0.3">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row>
    <row r="158" spans="2:200" x14ac:dyDescent="0.3">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row>
    <row r="159" spans="2:200" x14ac:dyDescent="0.3">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row>
    <row r="160" spans="2:200" x14ac:dyDescent="0.3">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row>
    <row r="161" spans="2:200" x14ac:dyDescent="0.3">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row>
    <row r="162" spans="2:200" x14ac:dyDescent="0.3">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row>
    <row r="163" spans="2:200" x14ac:dyDescent="0.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row>
    <row r="164" spans="2:200" x14ac:dyDescent="0.3">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row>
    <row r="165" spans="2:200" x14ac:dyDescent="0.3">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row>
    <row r="166" spans="2:200" x14ac:dyDescent="0.3">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row>
    <row r="167" spans="2:200" x14ac:dyDescent="0.3">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row>
    <row r="168" spans="2:200" x14ac:dyDescent="0.3">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row>
    <row r="169" spans="2:200" x14ac:dyDescent="0.3">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row>
    <row r="170" spans="2:200" x14ac:dyDescent="0.3">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row>
    <row r="171" spans="2:200" x14ac:dyDescent="0.3">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row>
    <row r="172" spans="2:200" x14ac:dyDescent="0.3">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row>
    <row r="173" spans="2:200" x14ac:dyDescent="0.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row>
    <row r="174" spans="2:200" x14ac:dyDescent="0.3">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row>
    <row r="175" spans="2:200" x14ac:dyDescent="0.3">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row>
    <row r="176" spans="2:200" x14ac:dyDescent="0.3">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row>
    <row r="177" spans="2:200" x14ac:dyDescent="0.3">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row>
    <row r="178" spans="2:200" x14ac:dyDescent="0.3">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row>
    <row r="179" spans="2:200" x14ac:dyDescent="0.3">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row>
    <row r="180" spans="2:200" x14ac:dyDescent="0.3">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row>
    <row r="181" spans="2:200" x14ac:dyDescent="0.3">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row>
    <row r="182" spans="2:200" x14ac:dyDescent="0.3">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row>
    <row r="183" spans="2:200" x14ac:dyDescent="0.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row>
    <row r="184" spans="2:200" x14ac:dyDescent="0.3">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row>
    <row r="185" spans="2:200" x14ac:dyDescent="0.3">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row>
    <row r="186" spans="2:200" x14ac:dyDescent="0.3">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row>
    <row r="187" spans="2:200" x14ac:dyDescent="0.3">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row>
    <row r="188" spans="2:200" x14ac:dyDescent="0.3">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row>
    <row r="189" spans="2:200" x14ac:dyDescent="0.3">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row>
    <row r="190" spans="2:200" x14ac:dyDescent="0.3">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row>
    <row r="191" spans="2:200" x14ac:dyDescent="0.3">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row>
    <row r="192" spans="2:200" x14ac:dyDescent="0.3">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row>
    <row r="193" spans="2:200" x14ac:dyDescent="0.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row>
    <row r="194" spans="2:200" x14ac:dyDescent="0.3">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row>
    <row r="195" spans="2:200" x14ac:dyDescent="0.3">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row>
    <row r="196" spans="2:200" x14ac:dyDescent="0.3">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row>
    <row r="197" spans="2:200" x14ac:dyDescent="0.3">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row>
    <row r="198" spans="2:200" x14ac:dyDescent="0.3">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row>
    <row r="199" spans="2:200" x14ac:dyDescent="0.3">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row>
    <row r="200" spans="2:200" x14ac:dyDescent="0.3">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row>
    <row r="201" spans="2:200" x14ac:dyDescent="0.3">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row>
    <row r="202" spans="2:200" x14ac:dyDescent="0.3">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row>
    <row r="203" spans="2:200" x14ac:dyDescent="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row>
    <row r="204" spans="2:200" x14ac:dyDescent="0.3">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row>
    <row r="205" spans="2:200" x14ac:dyDescent="0.3">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row>
    <row r="206" spans="2:200" x14ac:dyDescent="0.3">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row>
    <row r="207" spans="2:200" x14ac:dyDescent="0.3">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row>
    <row r="208" spans="2:200" x14ac:dyDescent="0.3">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row>
    <row r="209" spans="2:200" x14ac:dyDescent="0.3">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row>
    <row r="210" spans="2:200" x14ac:dyDescent="0.3">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row>
    <row r="211" spans="2:200" x14ac:dyDescent="0.3">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row>
    <row r="212" spans="2:200" x14ac:dyDescent="0.3">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row>
    <row r="213" spans="2:200" x14ac:dyDescent="0.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row>
    <row r="214" spans="2:200" x14ac:dyDescent="0.3">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row>
    <row r="215" spans="2:200" x14ac:dyDescent="0.3">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row>
    <row r="216" spans="2:200" x14ac:dyDescent="0.3">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row>
    <row r="217" spans="2:200" x14ac:dyDescent="0.3">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row>
    <row r="218" spans="2:200" x14ac:dyDescent="0.3">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row>
    <row r="219" spans="2:200" x14ac:dyDescent="0.3">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row>
    <row r="220" spans="2:200" x14ac:dyDescent="0.3">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row>
    <row r="221" spans="2:200" x14ac:dyDescent="0.3">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row>
    <row r="222" spans="2:200" x14ac:dyDescent="0.3">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row>
    <row r="223" spans="2:200" x14ac:dyDescent="0.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row>
    <row r="224" spans="2:200" x14ac:dyDescent="0.3">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row>
    <row r="225" spans="2:200" x14ac:dyDescent="0.3">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row>
    <row r="226" spans="2:200" x14ac:dyDescent="0.3">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row>
    <row r="227" spans="2:200" x14ac:dyDescent="0.3">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row>
    <row r="228" spans="2:200" x14ac:dyDescent="0.3">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row>
    <row r="229" spans="2:200" x14ac:dyDescent="0.3">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row>
    <row r="230" spans="2:200" x14ac:dyDescent="0.3">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row>
    <row r="231" spans="2:200" x14ac:dyDescent="0.3">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row>
    <row r="232" spans="2:200" x14ac:dyDescent="0.3">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row>
    <row r="233" spans="2:200" x14ac:dyDescent="0.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row>
    <row r="234" spans="2:200" x14ac:dyDescent="0.3">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row>
    <row r="235" spans="2:200" x14ac:dyDescent="0.3">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row>
    <row r="236" spans="2:200" x14ac:dyDescent="0.3">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row>
    <row r="237" spans="2:200" x14ac:dyDescent="0.3">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row>
    <row r="238" spans="2:200" x14ac:dyDescent="0.3">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row>
    <row r="239" spans="2:200" x14ac:dyDescent="0.3">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row>
    <row r="240" spans="2:200" x14ac:dyDescent="0.3">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row>
    <row r="241" spans="2:200" x14ac:dyDescent="0.3">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row>
    <row r="242" spans="2:200" x14ac:dyDescent="0.3">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row>
    <row r="243" spans="2:200" x14ac:dyDescent="0.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row>
    <row r="244" spans="2:200" x14ac:dyDescent="0.3">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row>
    <row r="245" spans="2:200" x14ac:dyDescent="0.3">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row>
    <row r="246" spans="2:200" x14ac:dyDescent="0.3">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row>
    <row r="247" spans="2:200" x14ac:dyDescent="0.3">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row>
    <row r="248" spans="2:200" x14ac:dyDescent="0.3">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row>
    <row r="249" spans="2:200" x14ac:dyDescent="0.3">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row>
    <row r="250" spans="2:200" x14ac:dyDescent="0.3">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row>
  </sheetData>
  <phoneticPr fontId="2"/>
  <pageMargins left="0.7" right="0.7" top="0.75" bottom="0.75" header="0.3" footer="0.3"/>
  <pageSetup paperSize="9" orientation="portrait" horizontalDpi="360" verticalDpi="36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056B9-44A5-41E7-B01C-01A85A872703}">
  <sheetPr codeName="Sheet9"/>
  <dimension ref="A1:AL107"/>
  <sheetViews>
    <sheetView zoomScaleNormal="100" workbookViewId="0">
      <selection activeCell="K43" sqref="K43"/>
    </sheetView>
  </sheetViews>
  <sheetFormatPr defaultColWidth="17.87890625" defaultRowHeight="12.9" x14ac:dyDescent="0.3"/>
  <cols>
    <col min="1" max="1" width="5.3515625" style="164" customWidth="1"/>
    <col min="2" max="54" width="11" style="164" customWidth="1"/>
    <col min="55" max="256" width="17.87890625" style="164"/>
    <col min="257" max="257" width="5.3515625" style="164" customWidth="1"/>
    <col min="258" max="310" width="11" style="164" customWidth="1"/>
    <col min="311" max="512" width="17.87890625" style="164"/>
    <col min="513" max="513" width="5.3515625" style="164" customWidth="1"/>
    <col min="514" max="566" width="11" style="164" customWidth="1"/>
    <col min="567" max="768" width="17.87890625" style="164"/>
    <col min="769" max="769" width="5.3515625" style="164" customWidth="1"/>
    <col min="770" max="822" width="11" style="164" customWidth="1"/>
    <col min="823" max="1024" width="17.87890625" style="164"/>
    <col min="1025" max="1025" width="5.3515625" style="164" customWidth="1"/>
    <col min="1026" max="1078" width="11" style="164" customWidth="1"/>
    <col min="1079" max="1280" width="17.87890625" style="164"/>
    <col min="1281" max="1281" width="5.3515625" style="164" customWidth="1"/>
    <col min="1282" max="1334" width="11" style="164" customWidth="1"/>
    <col min="1335" max="1536" width="17.87890625" style="164"/>
    <col min="1537" max="1537" width="5.3515625" style="164" customWidth="1"/>
    <col min="1538" max="1590" width="11" style="164" customWidth="1"/>
    <col min="1591" max="1792" width="17.87890625" style="164"/>
    <col min="1793" max="1793" width="5.3515625" style="164" customWidth="1"/>
    <col min="1794" max="1846" width="11" style="164" customWidth="1"/>
    <col min="1847" max="2048" width="17.87890625" style="164"/>
    <col min="2049" max="2049" width="5.3515625" style="164" customWidth="1"/>
    <col min="2050" max="2102" width="11" style="164" customWidth="1"/>
    <col min="2103" max="2304" width="17.87890625" style="164"/>
    <col min="2305" max="2305" width="5.3515625" style="164" customWidth="1"/>
    <col min="2306" max="2358" width="11" style="164" customWidth="1"/>
    <col min="2359" max="2560" width="17.87890625" style="164"/>
    <col min="2561" max="2561" width="5.3515625" style="164" customWidth="1"/>
    <col min="2562" max="2614" width="11" style="164" customWidth="1"/>
    <col min="2615" max="2816" width="17.87890625" style="164"/>
    <col min="2817" max="2817" width="5.3515625" style="164" customWidth="1"/>
    <col min="2818" max="2870" width="11" style="164" customWidth="1"/>
    <col min="2871" max="3072" width="17.87890625" style="164"/>
    <col min="3073" max="3073" width="5.3515625" style="164" customWidth="1"/>
    <col min="3074" max="3126" width="11" style="164" customWidth="1"/>
    <col min="3127" max="3328" width="17.87890625" style="164"/>
    <col min="3329" max="3329" width="5.3515625" style="164" customWidth="1"/>
    <col min="3330" max="3382" width="11" style="164" customWidth="1"/>
    <col min="3383" max="3584" width="17.87890625" style="164"/>
    <col min="3585" max="3585" width="5.3515625" style="164" customWidth="1"/>
    <col min="3586" max="3638" width="11" style="164" customWidth="1"/>
    <col min="3639" max="3840" width="17.87890625" style="164"/>
    <col min="3841" max="3841" width="5.3515625" style="164" customWidth="1"/>
    <col min="3842" max="3894" width="11" style="164" customWidth="1"/>
    <col min="3895" max="4096" width="17.87890625" style="164"/>
    <col min="4097" max="4097" width="5.3515625" style="164" customWidth="1"/>
    <col min="4098" max="4150" width="11" style="164" customWidth="1"/>
    <col min="4151" max="4352" width="17.87890625" style="164"/>
    <col min="4353" max="4353" width="5.3515625" style="164" customWidth="1"/>
    <col min="4354" max="4406" width="11" style="164" customWidth="1"/>
    <col min="4407" max="4608" width="17.87890625" style="164"/>
    <col min="4609" max="4609" width="5.3515625" style="164" customWidth="1"/>
    <col min="4610" max="4662" width="11" style="164" customWidth="1"/>
    <col min="4663" max="4864" width="17.87890625" style="164"/>
    <col min="4865" max="4865" width="5.3515625" style="164" customWidth="1"/>
    <col min="4866" max="4918" width="11" style="164" customWidth="1"/>
    <col min="4919" max="5120" width="17.87890625" style="164"/>
    <col min="5121" max="5121" width="5.3515625" style="164" customWidth="1"/>
    <col min="5122" max="5174" width="11" style="164" customWidth="1"/>
    <col min="5175" max="5376" width="17.87890625" style="164"/>
    <col min="5377" max="5377" width="5.3515625" style="164" customWidth="1"/>
    <col min="5378" max="5430" width="11" style="164" customWidth="1"/>
    <col min="5431" max="5632" width="17.87890625" style="164"/>
    <col min="5633" max="5633" width="5.3515625" style="164" customWidth="1"/>
    <col min="5634" max="5686" width="11" style="164" customWidth="1"/>
    <col min="5687" max="5888" width="17.87890625" style="164"/>
    <col min="5889" max="5889" width="5.3515625" style="164" customWidth="1"/>
    <col min="5890" max="5942" width="11" style="164" customWidth="1"/>
    <col min="5943" max="6144" width="17.87890625" style="164"/>
    <col min="6145" max="6145" width="5.3515625" style="164" customWidth="1"/>
    <col min="6146" max="6198" width="11" style="164" customWidth="1"/>
    <col min="6199" max="6400" width="17.87890625" style="164"/>
    <col min="6401" max="6401" width="5.3515625" style="164" customWidth="1"/>
    <col min="6402" max="6454" width="11" style="164" customWidth="1"/>
    <col min="6455" max="6656" width="17.87890625" style="164"/>
    <col min="6657" max="6657" width="5.3515625" style="164" customWidth="1"/>
    <col min="6658" max="6710" width="11" style="164" customWidth="1"/>
    <col min="6711" max="6912" width="17.87890625" style="164"/>
    <col min="6913" max="6913" width="5.3515625" style="164" customWidth="1"/>
    <col min="6914" max="6966" width="11" style="164" customWidth="1"/>
    <col min="6967" max="7168" width="17.87890625" style="164"/>
    <col min="7169" max="7169" width="5.3515625" style="164" customWidth="1"/>
    <col min="7170" max="7222" width="11" style="164" customWidth="1"/>
    <col min="7223" max="7424" width="17.87890625" style="164"/>
    <col min="7425" max="7425" width="5.3515625" style="164" customWidth="1"/>
    <col min="7426" max="7478" width="11" style="164" customWidth="1"/>
    <col min="7479" max="7680" width="17.87890625" style="164"/>
    <col min="7681" max="7681" width="5.3515625" style="164" customWidth="1"/>
    <col min="7682" max="7734" width="11" style="164" customWidth="1"/>
    <col min="7735" max="7936" width="17.87890625" style="164"/>
    <col min="7937" max="7937" width="5.3515625" style="164" customWidth="1"/>
    <col min="7938" max="7990" width="11" style="164" customWidth="1"/>
    <col min="7991" max="8192" width="17.87890625" style="164"/>
    <col min="8193" max="8193" width="5.3515625" style="164" customWidth="1"/>
    <col min="8194" max="8246" width="11" style="164" customWidth="1"/>
    <col min="8247" max="8448" width="17.87890625" style="164"/>
    <col min="8449" max="8449" width="5.3515625" style="164" customWidth="1"/>
    <col min="8450" max="8502" width="11" style="164" customWidth="1"/>
    <col min="8503" max="8704" width="17.87890625" style="164"/>
    <col min="8705" max="8705" width="5.3515625" style="164" customWidth="1"/>
    <col min="8706" max="8758" width="11" style="164" customWidth="1"/>
    <col min="8759" max="8960" width="17.87890625" style="164"/>
    <col min="8961" max="8961" width="5.3515625" style="164" customWidth="1"/>
    <col min="8962" max="9014" width="11" style="164" customWidth="1"/>
    <col min="9015" max="9216" width="17.87890625" style="164"/>
    <col min="9217" max="9217" width="5.3515625" style="164" customWidth="1"/>
    <col min="9218" max="9270" width="11" style="164" customWidth="1"/>
    <col min="9271" max="9472" width="17.87890625" style="164"/>
    <col min="9473" max="9473" width="5.3515625" style="164" customWidth="1"/>
    <col min="9474" max="9526" width="11" style="164" customWidth="1"/>
    <col min="9527" max="9728" width="17.87890625" style="164"/>
    <col min="9729" max="9729" width="5.3515625" style="164" customWidth="1"/>
    <col min="9730" max="9782" width="11" style="164" customWidth="1"/>
    <col min="9783" max="9984" width="17.87890625" style="164"/>
    <col min="9985" max="9985" width="5.3515625" style="164" customWidth="1"/>
    <col min="9986" max="10038" width="11" style="164" customWidth="1"/>
    <col min="10039" max="10240" width="17.87890625" style="164"/>
    <col min="10241" max="10241" width="5.3515625" style="164" customWidth="1"/>
    <col min="10242" max="10294" width="11" style="164" customWidth="1"/>
    <col min="10295" max="10496" width="17.87890625" style="164"/>
    <col min="10497" max="10497" width="5.3515625" style="164" customWidth="1"/>
    <col min="10498" max="10550" width="11" style="164" customWidth="1"/>
    <col min="10551" max="10752" width="17.87890625" style="164"/>
    <col min="10753" max="10753" width="5.3515625" style="164" customWidth="1"/>
    <col min="10754" max="10806" width="11" style="164" customWidth="1"/>
    <col min="10807" max="11008" width="17.87890625" style="164"/>
    <col min="11009" max="11009" width="5.3515625" style="164" customWidth="1"/>
    <col min="11010" max="11062" width="11" style="164" customWidth="1"/>
    <col min="11063" max="11264" width="17.87890625" style="164"/>
    <col min="11265" max="11265" width="5.3515625" style="164" customWidth="1"/>
    <col min="11266" max="11318" width="11" style="164" customWidth="1"/>
    <col min="11319" max="11520" width="17.87890625" style="164"/>
    <col min="11521" max="11521" width="5.3515625" style="164" customWidth="1"/>
    <col min="11522" max="11574" width="11" style="164" customWidth="1"/>
    <col min="11575" max="11776" width="17.87890625" style="164"/>
    <col min="11777" max="11777" width="5.3515625" style="164" customWidth="1"/>
    <col min="11778" max="11830" width="11" style="164" customWidth="1"/>
    <col min="11831" max="12032" width="17.87890625" style="164"/>
    <col min="12033" max="12033" width="5.3515625" style="164" customWidth="1"/>
    <col min="12034" max="12086" width="11" style="164" customWidth="1"/>
    <col min="12087" max="12288" width="17.87890625" style="164"/>
    <col min="12289" max="12289" width="5.3515625" style="164" customWidth="1"/>
    <col min="12290" max="12342" width="11" style="164" customWidth="1"/>
    <col min="12343" max="12544" width="17.87890625" style="164"/>
    <col min="12545" max="12545" width="5.3515625" style="164" customWidth="1"/>
    <col min="12546" max="12598" width="11" style="164" customWidth="1"/>
    <col min="12599" max="12800" width="17.87890625" style="164"/>
    <col min="12801" max="12801" width="5.3515625" style="164" customWidth="1"/>
    <col min="12802" max="12854" width="11" style="164" customWidth="1"/>
    <col min="12855" max="13056" width="17.87890625" style="164"/>
    <col min="13057" max="13057" width="5.3515625" style="164" customWidth="1"/>
    <col min="13058" max="13110" width="11" style="164" customWidth="1"/>
    <col min="13111" max="13312" width="17.87890625" style="164"/>
    <col min="13313" max="13313" width="5.3515625" style="164" customWidth="1"/>
    <col min="13314" max="13366" width="11" style="164" customWidth="1"/>
    <col min="13367" max="13568" width="17.87890625" style="164"/>
    <col min="13569" max="13569" width="5.3515625" style="164" customWidth="1"/>
    <col min="13570" max="13622" width="11" style="164" customWidth="1"/>
    <col min="13623" max="13824" width="17.87890625" style="164"/>
    <col min="13825" max="13825" width="5.3515625" style="164" customWidth="1"/>
    <col min="13826" max="13878" width="11" style="164" customWidth="1"/>
    <col min="13879" max="14080" width="17.87890625" style="164"/>
    <col min="14081" max="14081" width="5.3515625" style="164" customWidth="1"/>
    <col min="14082" max="14134" width="11" style="164" customWidth="1"/>
    <col min="14135" max="14336" width="17.87890625" style="164"/>
    <col min="14337" max="14337" width="5.3515625" style="164" customWidth="1"/>
    <col min="14338" max="14390" width="11" style="164" customWidth="1"/>
    <col min="14391" max="14592" width="17.87890625" style="164"/>
    <col min="14593" max="14593" width="5.3515625" style="164" customWidth="1"/>
    <col min="14594" max="14646" width="11" style="164" customWidth="1"/>
    <col min="14647" max="14848" width="17.87890625" style="164"/>
    <col min="14849" max="14849" width="5.3515625" style="164" customWidth="1"/>
    <col min="14850" max="14902" width="11" style="164" customWidth="1"/>
    <col min="14903" max="15104" width="17.87890625" style="164"/>
    <col min="15105" max="15105" width="5.3515625" style="164" customWidth="1"/>
    <col min="15106" max="15158" width="11" style="164" customWidth="1"/>
    <col min="15159" max="15360" width="17.87890625" style="164"/>
    <col min="15361" max="15361" width="5.3515625" style="164" customWidth="1"/>
    <col min="15362" max="15414" width="11" style="164" customWidth="1"/>
    <col min="15415" max="15616" width="17.87890625" style="164"/>
    <col min="15617" max="15617" width="5.3515625" style="164" customWidth="1"/>
    <col min="15618" max="15670" width="11" style="164" customWidth="1"/>
    <col min="15671" max="15872" width="17.87890625" style="164"/>
    <col min="15873" max="15873" width="5.3515625" style="164" customWidth="1"/>
    <col min="15874" max="15926" width="11" style="164" customWidth="1"/>
    <col min="15927" max="16128" width="17.87890625" style="164"/>
    <col min="16129" max="16129" width="5.3515625" style="164" customWidth="1"/>
    <col min="16130" max="16182" width="11" style="164" customWidth="1"/>
    <col min="16183" max="16384" width="17.87890625" style="164"/>
  </cols>
  <sheetData>
    <row r="1" spans="1:38" x14ac:dyDescent="0.3">
      <c r="A1" s="164">
        <v>1</v>
      </c>
      <c r="B1" s="164">
        <v>2</v>
      </c>
      <c r="C1" s="164">
        <v>3</v>
      </c>
      <c r="D1" s="164">
        <v>4</v>
      </c>
      <c r="E1" s="164">
        <v>5</v>
      </c>
      <c r="F1" s="164">
        <v>6</v>
      </c>
      <c r="G1" s="164">
        <v>7</v>
      </c>
      <c r="H1" s="164">
        <v>8</v>
      </c>
      <c r="I1" s="164">
        <v>9</v>
      </c>
      <c r="J1" s="164">
        <v>10</v>
      </c>
      <c r="K1" s="164">
        <v>11</v>
      </c>
      <c r="L1" s="164">
        <v>12</v>
      </c>
      <c r="M1" s="164">
        <v>13</v>
      </c>
      <c r="N1" s="164">
        <v>14</v>
      </c>
      <c r="O1" s="164">
        <v>15</v>
      </c>
      <c r="P1" s="164">
        <v>16</v>
      </c>
      <c r="Q1" s="164">
        <v>17</v>
      </c>
    </row>
    <row r="2" spans="1:38" x14ac:dyDescent="0.3">
      <c r="B2" s="164" t="s">
        <v>170</v>
      </c>
      <c r="D2" s="164" t="s">
        <v>218</v>
      </c>
    </row>
    <row r="3" spans="1:38" x14ac:dyDescent="0.3">
      <c r="B3" s="164">
        <v>5</v>
      </c>
      <c r="H3" s="164" t="s">
        <v>172</v>
      </c>
      <c r="J3" s="164" t="s">
        <v>173</v>
      </c>
      <c r="K3" s="164" t="s">
        <v>174</v>
      </c>
    </row>
    <row r="4" spans="1:38" x14ac:dyDescent="0.3">
      <c r="B4" s="164" t="s">
        <v>175</v>
      </c>
      <c r="C4" s="164" t="s">
        <v>176</v>
      </c>
      <c r="D4" s="164" t="s">
        <v>177</v>
      </c>
      <c r="E4" s="164" t="s">
        <v>178</v>
      </c>
      <c r="F4" s="164" t="s">
        <v>179</v>
      </c>
      <c r="G4" s="164" t="s">
        <v>180</v>
      </c>
      <c r="H4" s="164" t="s">
        <v>181</v>
      </c>
      <c r="I4" s="164" t="s">
        <v>182</v>
      </c>
      <c r="J4" s="164" t="s">
        <v>183</v>
      </c>
      <c r="K4" s="164" t="s">
        <v>184</v>
      </c>
      <c r="L4" s="164" t="s">
        <v>185</v>
      </c>
      <c r="N4" s="164" t="s">
        <v>186</v>
      </c>
      <c r="O4" s="164" t="s">
        <v>187</v>
      </c>
      <c r="P4" s="164" t="s">
        <v>188</v>
      </c>
      <c r="Q4" s="164" t="s">
        <v>189</v>
      </c>
      <c r="R4" s="164" t="s">
        <v>190</v>
      </c>
      <c r="S4" s="164" t="s">
        <v>191</v>
      </c>
      <c r="T4" s="164" t="s">
        <v>192</v>
      </c>
      <c r="U4" s="164" t="s">
        <v>193</v>
      </c>
      <c r="V4" s="164" t="s">
        <v>194</v>
      </c>
    </row>
    <row r="5" spans="1:38" x14ac:dyDescent="0.3">
      <c r="B5" s="164">
        <v>1</v>
      </c>
      <c r="C5" s="164">
        <v>6</v>
      </c>
      <c r="D5" s="164">
        <v>1.6</v>
      </c>
      <c r="E5" s="164">
        <v>240</v>
      </c>
      <c r="F5" s="164">
        <v>100</v>
      </c>
      <c r="G5" s="164" t="s">
        <v>195</v>
      </c>
      <c r="H5" s="164">
        <v>16000</v>
      </c>
      <c r="I5" s="164">
        <v>1</v>
      </c>
      <c r="J5" s="164">
        <v>16000</v>
      </c>
      <c r="K5" s="164">
        <v>2667</v>
      </c>
      <c r="L5" s="164">
        <v>4.8000000000000007</v>
      </c>
      <c r="N5" s="164">
        <v>1.76</v>
      </c>
      <c r="O5" s="164">
        <v>80.7</v>
      </c>
      <c r="P5" s="164">
        <v>0.19700000000000001</v>
      </c>
      <c r="Q5" s="164">
        <v>0.182</v>
      </c>
      <c r="R5" s="164">
        <v>2.0680000000000001</v>
      </c>
      <c r="S5" s="164">
        <v>0.94699999999999995</v>
      </c>
      <c r="T5" s="164">
        <v>0.59199999999999997</v>
      </c>
      <c r="U5" s="164">
        <v>1.4859999418258667</v>
      </c>
      <c r="V5" s="164">
        <v>0.49500000476837158</v>
      </c>
    </row>
    <row r="6" spans="1:38" x14ac:dyDescent="0.3">
      <c r="B6" s="164">
        <v>2</v>
      </c>
      <c r="C6" s="164">
        <v>10</v>
      </c>
      <c r="D6" s="164">
        <v>1.8</v>
      </c>
      <c r="E6" s="164">
        <v>340</v>
      </c>
      <c r="F6" s="164">
        <v>130</v>
      </c>
      <c r="G6" s="164" t="s">
        <v>196</v>
      </c>
      <c r="H6" s="164">
        <v>30420</v>
      </c>
      <c r="I6" s="164">
        <v>1</v>
      </c>
      <c r="J6" s="164">
        <v>30420</v>
      </c>
      <c r="K6" s="164">
        <v>3042</v>
      </c>
      <c r="L6" s="164">
        <v>13.8</v>
      </c>
      <c r="O6" s="165" t="s">
        <v>219</v>
      </c>
      <c r="P6" s="166" t="s">
        <v>220</v>
      </c>
      <c r="R6" s="164">
        <v>1.5</v>
      </c>
    </row>
    <row r="7" spans="1:38" x14ac:dyDescent="0.3">
      <c r="B7" s="164">
        <v>3</v>
      </c>
      <c r="C7" s="164">
        <v>6</v>
      </c>
      <c r="D7" s="164">
        <v>1.8</v>
      </c>
      <c r="E7" s="164">
        <v>360</v>
      </c>
      <c r="F7" s="164">
        <v>150</v>
      </c>
      <c r="G7" s="164" t="s">
        <v>198</v>
      </c>
      <c r="H7" s="164">
        <v>40500</v>
      </c>
      <c r="I7" s="164">
        <v>1</v>
      </c>
      <c r="J7" s="164">
        <v>40500</v>
      </c>
      <c r="K7" s="164">
        <v>6750</v>
      </c>
      <c r="L7" s="164">
        <v>14.4</v>
      </c>
      <c r="O7" s="165" t="s">
        <v>221</v>
      </c>
      <c r="P7" s="166" t="s">
        <v>222</v>
      </c>
      <c r="R7" s="164">
        <v>1.5</v>
      </c>
    </row>
    <row r="8" spans="1:38" x14ac:dyDescent="0.3">
      <c r="B8" s="164">
        <v>4</v>
      </c>
      <c r="C8" s="164">
        <v>8</v>
      </c>
      <c r="D8" s="164">
        <v>1.8</v>
      </c>
      <c r="E8" s="164">
        <v>400</v>
      </c>
      <c r="F8" s="164">
        <v>200</v>
      </c>
      <c r="G8" s="164" t="s">
        <v>198</v>
      </c>
      <c r="H8" s="164">
        <v>72000</v>
      </c>
      <c r="I8" s="164">
        <v>1</v>
      </c>
      <c r="J8" s="164">
        <v>72000</v>
      </c>
      <c r="K8" s="164">
        <v>9000</v>
      </c>
      <c r="L8" s="164">
        <v>12.600000000000001</v>
      </c>
      <c r="O8" s="165" t="s">
        <v>223</v>
      </c>
      <c r="P8" s="166">
        <v>2.0680000000000001</v>
      </c>
      <c r="R8" s="164">
        <v>1.5</v>
      </c>
    </row>
    <row r="9" spans="1:38" x14ac:dyDescent="0.3">
      <c r="B9" s="164">
        <v>5</v>
      </c>
      <c r="D9" s="164">
        <v>1.8</v>
      </c>
      <c r="E9" s="164">
        <v>1220</v>
      </c>
      <c r="F9" s="164">
        <v>400</v>
      </c>
      <c r="G9" s="164" t="s">
        <v>198</v>
      </c>
      <c r="H9" s="164">
        <v>288000</v>
      </c>
      <c r="I9" s="164">
        <v>1</v>
      </c>
      <c r="J9" s="164">
        <v>288000</v>
      </c>
      <c r="K9" s="164">
        <v>833146</v>
      </c>
      <c r="L9" s="164">
        <v>7.2</v>
      </c>
      <c r="O9" s="165" t="s">
        <v>224</v>
      </c>
      <c r="P9" s="166" t="s">
        <v>225</v>
      </c>
      <c r="R9" s="164">
        <v>1.35</v>
      </c>
    </row>
    <row r="10" spans="1:38" x14ac:dyDescent="0.3">
      <c r="A10" s="164">
        <v>1</v>
      </c>
      <c r="M10" s="164">
        <v>13</v>
      </c>
      <c r="N10" s="164">
        <v>14</v>
      </c>
      <c r="O10" s="164">
        <v>15</v>
      </c>
      <c r="P10" s="164">
        <v>16</v>
      </c>
      <c r="Q10" s="164">
        <v>17</v>
      </c>
      <c r="R10" s="164">
        <v>18</v>
      </c>
      <c r="S10" s="164">
        <v>19</v>
      </c>
      <c r="T10" s="164">
        <v>20</v>
      </c>
      <c r="U10" s="164">
        <v>21</v>
      </c>
      <c r="V10" s="164">
        <v>22</v>
      </c>
      <c r="W10" s="164">
        <v>23</v>
      </c>
      <c r="X10" s="164">
        <v>24</v>
      </c>
      <c r="Y10" s="164">
        <v>24</v>
      </c>
      <c r="Z10" s="164">
        <v>25</v>
      </c>
      <c r="AA10" s="164">
        <v>26</v>
      </c>
      <c r="AB10" s="164">
        <v>27</v>
      </c>
      <c r="AC10" s="164">
        <v>28</v>
      </c>
      <c r="AD10" s="164">
        <v>29</v>
      </c>
      <c r="AE10" s="164">
        <v>30</v>
      </c>
    </row>
    <row r="11" spans="1:38" x14ac:dyDescent="0.3">
      <c r="B11" s="164" t="s">
        <v>204</v>
      </c>
      <c r="C11" s="164" t="s">
        <v>205</v>
      </c>
      <c r="D11" s="164" t="s">
        <v>206</v>
      </c>
      <c r="E11" s="164" t="s">
        <v>207</v>
      </c>
      <c r="F11" s="164" t="s">
        <v>208</v>
      </c>
      <c r="G11" s="164" t="s">
        <v>209</v>
      </c>
      <c r="H11" s="164" t="s">
        <v>210</v>
      </c>
      <c r="I11" s="164" t="s">
        <v>211</v>
      </c>
      <c r="J11" s="164" t="s">
        <v>212</v>
      </c>
      <c r="K11" s="164" t="s">
        <v>226</v>
      </c>
      <c r="L11" s="164" t="s">
        <v>227</v>
      </c>
      <c r="M11" s="164" t="s">
        <v>228</v>
      </c>
      <c r="N11" s="164" t="s">
        <v>229</v>
      </c>
      <c r="O11" s="164" t="s">
        <v>230</v>
      </c>
      <c r="P11" s="164" t="s">
        <v>231</v>
      </c>
      <c r="Q11" s="164" t="s">
        <v>232</v>
      </c>
    </row>
    <row r="12" spans="1:38" x14ac:dyDescent="0.3">
      <c r="B12" s="164">
        <v>1.7600000000000002</v>
      </c>
      <c r="C12" s="164">
        <v>146.69999999999999</v>
      </c>
      <c r="D12" s="164">
        <v>0.35899999999999999</v>
      </c>
      <c r="E12" s="164">
        <v>0.02</v>
      </c>
      <c r="F12" s="164">
        <v>2.5649999999999999</v>
      </c>
      <c r="G12" s="164">
        <v>2.2090000000000001</v>
      </c>
      <c r="H12" s="164">
        <v>8.1000000000000003E-2</v>
      </c>
      <c r="I12" s="164">
        <v>0.81800001859664917</v>
      </c>
      <c r="J12" s="164">
        <v>0.27300000190734863</v>
      </c>
      <c r="K12" s="164">
        <v>1</v>
      </c>
      <c r="L12" s="164">
        <v>1</v>
      </c>
      <c r="M12" s="164">
        <v>0.18076974026604106</v>
      </c>
      <c r="N12" s="164">
        <v>2.5631733770515716E-3</v>
      </c>
      <c r="O12" s="164">
        <v>0.33983055711459631</v>
      </c>
      <c r="P12" s="164">
        <v>0.17313712078692828</v>
      </c>
      <c r="Q12" s="164">
        <v>0.74639804146661759</v>
      </c>
      <c r="T12" s="164">
        <v>1771.427490234375</v>
      </c>
      <c r="U12" s="164">
        <v>4.8000000000000007</v>
      </c>
      <c r="V12" s="164">
        <v>1.7933328197770104E-2</v>
      </c>
      <c r="W12" s="164">
        <v>1</v>
      </c>
      <c r="X12" s="164">
        <v>4.8000000000000007</v>
      </c>
      <c r="Y12" s="164">
        <v>1.4443064953267037E-2</v>
      </c>
      <c r="Z12" s="164">
        <v>1</v>
      </c>
      <c r="AA12" s="164">
        <v>4.8000000000000007</v>
      </c>
      <c r="AB12" s="164">
        <v>1.3876899550954187E-2</v>
      </c>
      <c r="AC12" s="164">
        <v>1</v>
      </c>
      <c r="AD12" s="164">
        <v>4.8000000000000007</v>
      </c>
      <c r="AE12" s="164">
        <v>1.3774112628133106E-2</v>
      </c>
      <c r="AF12" s="164">
        <v>1</v>
      </c>
      <c r="AG12" s="164">
        <v>4.8000000000000007</v>
      </c>
      <c r="AH12" s="164">
        <v>1.3755738354843575E-2</v>
      </c>
      <c r="AI12" s="164">
        <v>1</v>
      </c>
      <c r="AJ12" s="164">
        <v>4.8000000000000007</v>
      </c>
      <c r="AK12" s="164">
        <v>1.3752522007184194E-2</v>
      </c>
      <c r="AL12" s="164">
        <v>1</v>
      </c>
    </row>
    <row r="13" spans="1:38" x14ac:dyDescent="0.3">
      <c r="K13" s="164">
        <v>2</v>
      </c>
      <c r="L13" s="164">
        <v>0.86911491985775002</v>
      </c>
      <c r="M13" s="164">
        <v>0.15710967832402656</v>
      </c>
      <c r="N13" s="164">
        <v>4.7169043078188547E-3</v>
      </c>
      <c r="O13" s="164">
        <v>0.2482097750732532</v>
      </c>
      <c r="P13" s="164">
        <v>0.197018330154732</v>
      </c>
      <c r="Q13" s="164">
        <v>8.0097070496832217</v>
      </c>
      <c r="T13" s="164">
        <v>1387.1944580078125</v>
      </c>
      <c r="U13" s="164">
        <v>13.8</v>
      </c>
      <c r="V13" s="164">
        <v>1.6133328252701744E-2</v>
      </c>
      <c r="W13" s="164">
        <v>0.89962822710777246</v>
      </c>
      <c r="X13" s="164">
        <v>12.414869534087261</v>
      </c>
      <c r="Y13" s="164">
        <v>1.2643065008198676E-2</v>
      </c>
      <c r="Z13" s="164">
        <v>0.87537271687882301</v>
      </c>
      <c r="AA13" s="164">
        <v>12.080143492927759</v>
      </c>
      <c r="AB13" s="164">
        <v>1.2076899605885826E-2</v>
      </c>
      <c r="AC13" s="164">
        <v>0.87028803239088148</v>
      </c>
      <c r="AD13" s="164">
        <v>12.009974846994165</v>
      </c>
      <c r="AE13" s="164">
        <v>1.1974112683064744E-2</v>
      </c>
      <c r="AF13" s="164">
        <v>0.86932007936453704</v>
      </c>
      <c r="AG13" s="164">
        <v>11.996617095230611</v>
      </c>
      <c r="AH13" s="164">
        <v>1.1955738409775214E-2</v>
      </c>
      <c r="AI13" s="164">
        <v>0.86914552322561756</v>
      </c>
      <c r="AJ13" s="164">
        <v>11.994208220513523</v>
      </c>
      <c r="AK13" s="164">
        <v>1.1952522062115833E-2</v>
      </c>
      <c r="AL13" s="164">
        <v>0.86911491985775002</v>
      </c>
    </row>
    <row r="14" spans="1:38" x14ac:dyDescent="0.3">
      <c r="D14" s="164">
        <v>26.964670181274414</v>
      </c>
      <c r="J14" s="164">
        <v>12</v>
      </c>
      <c r="K14" s="164">
        <v>3</v>
      </c>
      <c r="L14" s="164">
        <v>0.46767738681140242</v>
      </c>
      <c r="M14" s="164">
        <v>8.4541919742198032E-2</v>
      </c>
      <c r="N14" s="164">
        <v>4.9638492984578272E-3</v>
      </c>
      <c r="O14" s="164">
        <v>0.13765071262775913</v>
      </c>
      <c r="P14" s="164">
        <v>0.24381924649228914</v>
      </c>
      <c r="Q14" s="164">
        <v>7.0857649295212584</v>
      </c>
      <c r="T14" s="164">
        <v>762.0712890625</v>
      </c>
      <c r="U14" s="164">
        <v>14.4</v>
      </c>
      <c r="V14" s="164">
        <v>1.0018929830611013E-2</v>
      </c>
      <c r="W14" s="164">
        <v>0.55867654459459481</v>
      </c>
      <c r="X14" s="164">
        <v>8.0449422421621648</v>
      </c>
      <c r="Y14" s="164">
        <v>6.9840020449878724E-3</v>
      </c>
      <c r="Z14" s="164">
        <v>0.48355401485666544</v>
      </c>
      <c r="AA14" s="164">
        <v>6.9631778139359826</v>
      </c>
      <c r="AB14" s="164">
        <v>6.5278715017018166E-3</v>
      </c>
      <c r="AC14" s="164">
        <v>0.47041282368098969</v>
      </c>
      <c r="AD14" s="164">
        <v>6.7739446610062517</v>
      </c>
      <c r="AE14" s="164">
        <v>6.4481511949009817E-3</v>
      </c>
      <c r="AF14" s="164">
        <v>0.46813550672809773</v>
      </c>
      <c r="AG14" s="164">
        <v>6.741151296884607</v>
      </c>
      <c r="AH14" s="164">
        <v>6.4341680300149875E-3</v>
      </c>
      <c r="AI14" s="164">
        <v>0.46774428707779492</v>
      </c>
      <c r="AJ14" s="164">
        <v>6.735517733920247</v>
      </c>
      <c r="AK14" s="164">
        <v>6.4317435543862064E-3</v>
      </c>
      <c r="AL14" s="164">
        <v>0.46767738681140242</v>
      </c>
    </row>
    <row r="15" spans="1:38" x14ac:dyDescent="0.3">
      <c r="D15" s="164">
        <v>0.18662991974606757</v>
      </c>
      <c r="K15" s="164">
        <v>4</v>
      </c>
      <c r="L15" s="164">
        <v>0.21420494555577047</v>
      </c>
      <c r="M15" s="164">
        <v>3.8721772371818092E-2</v>
      </c>
      <c r="N15" s="164">
        <v>3.1125002833754254E-3</v>
      </c>
      <c r="O15" s="164">
        <v>0.1798499920654881</v>
      </c>
      <c r="P15" s="164">
        <v>0.23190000226700341</v>
      </c>
      <c r="Q15" s="164">
        <v>6.6036580071845803</v>
      </c>
      <c r="T15" s="164">
        <v>1992.51416015625</v>
      </c>
      <c r="U15" s="164">
        <v>12.600000000000001</v>
      </c>
      <c r="V15" s="164">
        <v>5.1300409417221237E-3</v>
      </c>
      <c r="W15" s="164">
        <v>0.28606184446900446</v>
      </c>
      <c r="X15" s="164">
        <v>3.6043792403094566</v>
      </c>
      <c r="Y15" s="164">
        <v>3.2418077077657347E-3</v>
      </c>
      <c r="Z15" s="164">
        <v>0.224454277416542</v>
      </c>
      <c r="AA15" s="164">
        <v>2.8281238954484293</v>
      </c>
      <c r="AB15" s="164">
        <v>2.9955276043886706E-3</v>
      </c>
      <c r="AC15" s="164">
        <v>0.2158643285835917</v>
      </c>
      <c r="AD15" s="164">
        <v>2.7198905401532558</v>
      </c>
      <c r="AE15" s="164">
        <v>2.9542371937157342E-3</v>
      </c>
      <c r="AF15" s="164">
        <v>0.21447749655261392</v>
      </c>
      <c r="AG15" s="164">
        <v>2.7024164565629358</v>
      </c>
      <c r="AH15" s="164">
        <v>2.9470912311831028E-3</v>
      </c>
      <c r="AI15" s="164">
        <v>0.21424449601757609</v>
      </c>
      <c r="AJ15" s="164">
        <v>2.6994806498214592</v>
      </c>
      <c r="AK15" s="164">
        <v>2.9458582278034254E-3</v>
      </c>
      <c r="AL15" s="164">
        <v>0.21420494555577047</v>
      </c>
    </row>
    <row r="16" spans="1:38" x14ac:dyDescent="0.3">
      <c r="D16" s="164">
        <v>5.8601794800265221E-3</v>
      </c>
      <c r="K16" s="164">
        <v>5</v>
      </c>
      <c r="L16" s="164">
        <v>2.2906299241169477E-3</v>
      </c>
      <c r="M16" s="164">
        <v>4.1407657642824198E-4</v>
      </c>
      <c r="T16" s="164">
        <v>833145.625</v>
      </c>
      <c r="U16" s="164">
        <v>7.2</v>
      </c>
      <c r="V16" s="164">
        <v>6.3374275055456242E-5</v>
      </c>
      <c r="W16" s="164">
        <v>3.5338825206654295E-3</v>
      </c>
      <c r="X16" s="164">
        <v>2.5443954148791092E-2</v>
      </c>
      <c r="Y16" s="164">
        <v>3.4675372592525676E-5</v>
      </c>
      <c r="Z16" s="164">
        <v>2.4008320051681323E-3</v>
      </c>
      <c r="AA16" s="164">
        <v>1.7285990437210554E-2</v>
      </c>
      <c r="AB16" s="164">
        <v>3.2033693020652153E-5</v>
      </c>
      <c r="AC16" s="164">
        <v>2.308418599055831E-3</v>
      </c>
      <c r="AD16" s="164">
        <v>1.6620613913201982E-2</v>
      </c>
      <c r="AE16" s="164">
        <v>3.1591632809770645E-5</v>
      </c>
      <c r="AF16" s="164">
        <v>2.2935512190633556E-3</v>
      </c>
      <c r="AG16" s="164">
        <v>1.6513568777256162E-2</v>
      </c>
      <c r="AH16" s="164">
        <v>3.1515136885529955E-5</v>
      </c>
      <c r="AI16" s="164">
        <v>2.2910538186002253E-3</v>
      </c>
      <c r="AJ16" s="164">
        <v>1.6495587493921621E-2</v>
      </c>
      <c r="AK16" s="164">
        <v>3.1501938441732982E-5</v>
      </c>
      <c r="AL16" s="164">
        <v>2.2906299241169477E-3</v>
      </c>
    </row>
    <row r="17" spans="2:38" x14ac:dyDescent="0.3">
      <c r="W17" s="164">
        <v>21.494452891633006</v>
      </c>
      <c r="Z17" s="164">
        <v>19.376526623936225</v>
      </c>
      <c r="AC17" s="164">
        <v>19.025853526702576</v>
      </c>
      <c r="AF17" s="164">
        <v>18.96431779459169</v>
      </c>
      <c r="AI17" s="164">
        <v>18.953598983656516</v>
      </c>
      <c r="AL17" s="164">
        <v>18.951750193149394</v>
      </c>
    </row>
    <row r="18" spans="2:38" x14ac:dyDescent="0.3">
      <c r="W18" s="164">
        <v>1610.8342543529525</v>
      </c>
      <c r="Z18" s="164">
        <v>1410.0976791986432</v>
      </c>
      <c r="AC18" s="164">
        <v>1383.4962069733429</v>
      </c>
      <c r="AF18" s="164">
        <v>1378.9910201340317</v>
      </c>
      <c r="AI18" s="164">
        <v>1378.2107815615273</v>
      </c>
      <c r="AL18" s="164">
        <v>1378.0763336655291</v>
      </c>
    </row>
    <row r="19" spans="2:38" x14ac:dyDescent="0.3">
      <c r="W19" s="164">
        <v>0.72580111400689729</v>
      </c>
      <c r="Z19" s="164">
        <v>0.7365347243962479</v>
      </c>
      <c r="AC19" s="164">
        <v>0.73682261839281971</v>
      </c>
      <c r="AF19" s="164">
        <v>0.73683077072295478</v>
      </c>
      <c r="AI19" s="164">
        <v>0.73683098988505835</v>
      </c>
      <c r="AL19" s="164">
        <v>0.73683099339008151</v>
      </c>
    </row>
    <row r="20" spans="2:38" x14ac:dyDescent="0.3">
      <c r="B20" s="164">
        <v>1.7600000000000002</v>
      </c>
      <c r="C20" s="164">
        <v>67</v>
      </c>
      <c r="D20" s="164">
        <v>0.16400000000000001</v>
      </c>
      <c r="E20" s="164">
        <v>0.221</v>
      </c>
      <c r="F20" s="164">
        <v>1.956</v>
      </c>
      <c r="G20" s="164">
        <v>0.82899999999999996</v>
      </c>
      <c r="H20" s="164">
        <v>0.68</v>
      </c>
      <c r="I20" s="164">
        <v>1.7910000085830688</v>
      </c>
      <c r="J20" s="164">
        <v>0.59700000286102295</v>
      </c>
      <c r="K20" s="164">
        <v>1</v>
      </c>
      <c r="L20" s="164">
        <v>1</v>
      </c>
      <c r="M20" s="164">
        <v>0.14296261296459112</v>
      </c>
      <c r="N20" s="164">
        <v>1.0853714392572711E-3</v>
      </c>
      <c r="O20" s="164">
        <v>0.49956022713952569</v>
      </c>
      <c r="P20" s="164">
        <v>0.13098800037400449</v>
      </c>
      <c r="Q20" s="164">
        <v>4.5481390102016885E-2</v>
      </c>
      <c r="U20" s="164">
        <v>4.8000000000000007</v>
      </c>
      <c r="V20" s="164">
        <v>6.9095939662853212E-2</v>
      </c>
      <c r="W20" s="164">
        <v>1</v>
      </c>
      <c r="X20" s="164">
        <v>4.8000000000000007</v>
      </c>
      <c r="Y20" s="164">
        <v>7.4782993947727402E-2</v>
      </c>
      <c r="Z20" s="164">
        <v>1</v>
      </c>
      <c r="AA20" s="164">
        <v>4.8000000000000007</v>
      </c>
      <c r="AB20" s="164">
        <v>7.5492478774802127E-2</v>
      </c>
      <c r="AC20" s="164">
        <v>1</v>
      </c>
      <c r="AD20" s="164">
        <v>4.8000000000000007</v>
      </c>
      <c r="AE20" s="164">
        <v>7.5581631100582539E-2</v>
      </c>
      <c r="AF20" s="164">
        <v>1</v>
      </c>
    </row>
    <row r="21" spans="2:38" x14ac:dyDescent="0.3">
      <c r="K21" s="164">
        <v>2</v>
      </c>
      <c r="L21" s="164">
        <v>0.92992004638350312</v>
      </c>
      <c r="M21" s="164">
        <v>0.13294379967913939</v>
      </c>
      <c r="N21" s="164">
        <v>2.8710252571126096E-3</v>
      </c>
      <c r="O21" s="164">
        <v>0.31951233303056775</v>
      </c>
      <c r="P21" s="164">
        <v>0.17867845462802698</v>
      </c>
      <c r="Q21" s="164">
        <v>0.73653842366398592</v>
      </c>
      <c r="U21" s="164">
        <v>11.99378589403695</v>
      </c>
      <c r="V21" s="164">
        <v>6.379918246106521E-2</v>
      </c>
      <c r="W21" s="164">
        <v>2</v>
      </c>
      <c r="X21" s="164">
        <v>12.742119468360437</v>
      </c>
      <c r="Y21" s="164">
        <v>6.94862367459394E-2</v>
      </c>
      <c r="Z21" s="164">
        <v>0.92917163485737964</v>
      </c>
      <c r="AA21" s="164">
        <v>12.82256856103184</v>
      </c>
      <c r="AB21" s="164">
        <v>7.0195721573014125E-2</v>
      </c>
      <c r="AC21" s="164">
        <v>0.92983728594223936</v>
      </c>
      <c r="AD21" s="164">
        <v>12.831754546002903</v>
      </c>
      <c r="AE21" s="164">
        <v>7.0284873898794537E-2</v>
      </c>
      <c r="AF21" s="164">
        <v>0.92992004638350312</v>
      </c>
    </row>
    <row r="22" spans="2:38" x14ac:dyDescent="0.3">
      <c r="D22" s="164">
        <v>8.6574201583862305</v>
      </c>
      <c r="K22" s="164">
        <v>3</v>
      </c>
      <c r="L22" s="164">
        <v>0.62096081274712656</v>
      </c>
      <c r="M22" s="164">
        <v>8.8774180338945394E-2</v>
      </c>
      <c r="N22" s="164">
        <v>5.859612363848664E-3</v>
      </c>
      <c r="O22" s="164">
        <v>0.1249654269061187</v>
      </c>
      <c r="P22" s="164">
        <v>0.24743844945539464</v>
      </c>
      <c r="Q22" s="164">
        <v>1.3591450324464915</v>
      </c>
      <c r="U22" s="164">
        <v>6.7345543700841946</v>
      </c>
      <c r="V22" s="164">
        <v>4.1557352313048072E-2</v>
      </c>
      <c r="W22" s="164">
        <v>0.60144420230512896</v>
      </c>
      <c r="X22" s="164">
        <v>8.6607965131938567</v>
      </c>
      <c r="Y22" s="164">
        <v>4.625330736876801E-2</v>
      </c>
      <c r="Z22" s="164">
        <v>0.61850034248560082</v>
      </c>
      <c r="AA22" s="164">
        <v>8.9064049317926521</v>
      </c>
      <c r="AB22" s="164">
        <v>4.6856244746324827E-2</v>
      </c>
      <c r="AC22" s="164">
        <v>0.62067434407736655</v>
      </c>
      <c r="AD22" s="164">
        <v>8.9377105547140783</v>
      </c>
      <c r="AE22" s="164">
        <v>4.6933231076971227E-2</v>
      </c>
      <c r="AF22" s="164">
        <v>0.62096081274712656</v>
      </c>
    </row>
    <row r="23" spans="2:38" x14ac:dyDescent="0.3">
      <c r="D23" s="164">
        <v>0.21905948494592858</v>
      </c>
      <c r="K23" s="164">
        <v>4</v>
      </c>
      <c r="L23" s="164">
        <v>0.24261903239756158</v>
      </c>
      <c r="M23" s="164">
        <v>3.4685450826496191E-2</v>
      </c>
      <c r="N23" s="164">
        <v>2.8127276386772067E-3</v>
      </c>
      <c r="O23" s="164">
        <v>0.19180180098217128</v>
      </c>
      <c r="P23" s="164">
        <v>0.2285654593028037</v>
      </c>
      <c r="Q23" s="164">
        <v>0.96991027213589631</v>
      </c>
      <c r="U23" s="164">
        <v>2.6989823140027083</v>
      </c>
      <c r="V23" s="164">
        <v>1.6234708619453534E-2</v>
      </c>
      <c r="W23" s="164">
        <v>0.23495893823384104</v>
      </c>
      <c r="X23" s="164">
        <v>2.9604826217463973</v>
      </c>
      <c r="Y23" s="164">
        <v>1.8052121153099416E-2</v>
      </c>
      <c r="Z23" s="164">
        <v>0.24139339975767318</v>
      </c>
      <c r="AA23" s="164">
        <v>3.0415568369466826</v>
      </c>
      <c r="AB23" s="164">
        <v>1.8304135427333643E-2</v>
      </c>
      <c r="AC23" s="164">
        <v>0.24246303372731742</v>
      </c>
      <c r="AD23" s="164">
        <v>3.0550342249641997</v>
      </c>
      <c r="AE23" s="164">
        <v>1.8337542204652783E-2</v>
      </c>
      <c r="AF23" s="164">
        <v>0.24261903239756158</v>
      </c>
    </row>
    <row r="24" spans="2:38" x14ac:dyDescent="0.3">
      <c r="D24" s="164">
        <v>7.6096871981337452E-2</v>
      </c>
      <c r="K24" s="164">
        <v>5</v>
      </c>
      <c r="L24" s="164">
        <v>4.7050416133513027E-4</v>
      </c>
      <c r="M24" s="164">
        <v>6.7264504315183769E-5</v>
      </c>
      <c r="U24" s="164">
        <v>1.6492535453642022E-2</v>
      </c>
      <c r="V24" s="164">
        <v>3.1499673437734849E-5</v>
      </c>
      <c r="W24" s="164">
        <v>4.5588313280685354E-4</v>
      </c>
      <c r="X24" s="164">
        <v>3.2823585562093455E-3</v>
      </c>
      <c r="Y24" s="164">
        <v>3.5007902684307929E-5</v>
      </c>
      <c r="Z24" s="164">
        <v>4.6812651963062778E-4</v>
      </c>
      <c r="AA24" s="164">
        <v>3.37051094134052E-3</v>
      </c>
      <c r="AB24" s="164">
        <v>3.549667663526711E-5</v>
      </c>
      <c r="AC24" s="164">
        <v>4.7020149836589001E-4</v>
      </c>
      <c r="AD24" s="164">
        <v>3.3854507882344082E-3</v>
      </c>
      <c r="AE24" s="164">
        <v>3.5561471953320785E-5</v>
      </c>
      <c r="AF24" s="164">
        <v>4.7050416133513027E-4</v>
      </c>
    </row>
    <row r="25" spans="2:38" x14ac:dyDescent="0.3">
      <c r="W25" s="164">
        <v>22.469913152648619</v>
      </c>
      <c r="Z25" s="164">
        <v>22.957194816806307</v>
      </c>
      <c r="AC25" s="164">
        <v>23.019585915202487</v>
      </c>
      <c r="AF25" s="164">
        <v>23.027785334123671</v>
      </c>
    </row>
    <row r="26" spans="2:38" x14ac:dyDescent="0.3">
      <c r="W26" s="164">
        <v>297.54221760735027</v>
      </c>
      <c r="Z26" s="164">
        <v>303.69120522712001</v>
      </c>
      <c r="AC26" s="164">
        <v>304.51138217143398</v>
      </c>
      <c r="AF26" s="164">
        <v>304.61975237907245</v>
      </c>
    </row>
    <row r="27" spans="2:38" x14ac:dyDescent="0.3">
      <c r="W27" s="164">
        <v>1.7266577413842636</v>
      </c>
      <c r="Z27" s="164">
        <v>1.7275203151057577</v>
      </c>
      <c r="AC27" s="164">
        <v>1.7275349771719946</v>
      </c>
      <c r="AF27" s="164">
        <v>1.7275352455921269</v>
      </c>
    </row>
    <row r="28" spans="2:38" x14ac:dyDescent="0.3">
      <c r="B28" s="164">
        <v>1.7600000000000002</v>
      </c>
      <c r="C28" s="164">
        <v>72.599999999999994</v>
      </c>
      <c r="D28" s="164">
        <v>0.17699999999999999</v>
      </c>
      <c r="E28" s="164">
        <v>0.224</v>
      </c>
      <c r="F28" s="164">
        <v>1.8919999999999999</v>
      </c>
      <c r="G28" s="164">
        <v>0.81299999999999994</v>
      </c>
      <c r="H28" s="164">
        <v>0.66400000000000003</v>
      </c>
      <c r="I28" s="164">
        <v>1.6529999971389771</v>
      </c>
      <c r="J28" s="164">
        <v>0.55099999904632568</v>
      </c>
      <c r="K28" s="164">
        <v>1</v>
      </c>
      <c r="L28" s="164">
        <v>1</v>
      </c>
      <c r="M28" s="164">
        <v>0.13157457443065601</v>
      </c>
      <c r="N28" s="164">
        <v>7.0121975919614963E-4</v>
      </c>
      <c r="O28" s="164">
        <v>0.58664626983311652</v>
      </c>
      <c r="P28" s="164">
        <v>0.10809758073569196</v>
      </c>
      <c r="Q28" s="164">
        <v>2.7906840426471079E-2</v>
      </c>
      <c r="U28" s="164">
        <v>4.8000000000000007</v>
      </c>
      <c r="V28" s="164">
        <v>7.0450797674681598E-2</v>
      </c>
      <c r="W28" s="164">
        <v>1</v>
      </c>
      <c r="X28" s="164">
        <v>4.8000000000000007</v>
      </c>
      <c r="Y28" s="164">
        <v>7.2982371572254109E-2</v>
      </c>
      <c r="Z28" s="164">
        <v>1</v>
      </c>
      <c r="AA28" s="164">
        <v>4.8000000000000007</v>
      </c>
      <c r="AB28" s="164">
        <v>7.3242738345753899E-2</v>
      </c>
      <c r="AC28" s="164">
        <v>1</v>
      </c>
    </row>
    <row r="29" spans="2:38" x14ac:dyDescent="0.3">
      <c r="K29" s="164">
        <v>2</v>
      </c>
      <c r="L29" s="164">
        <v>0.95080510193398649</v>
      </c>
      <c r="M29" s="164">
        <v>0.12510177665346078</v>
      </c>
      <c r="N29" s="164">
        <v>2.1526832342241651E-3</v>
      </c>
      <c r="O29" s="164">
        <v>0.36692290654120513</v>
      </c>
      <c r="P29" s="164">
        <v>0.16574829821603498</v>
      </c>
      <c r="Q29" s="164">
        <v>0.53302844285195061</v>
      </c>
      <c r="U29" s="164">
        <v>12.832896640092343</v>
      </c>
      <c r="V29" s="164">
        <v>6.6847628627686534E-2</v>
      </c>
      <c r="W29" s="164">
        <v>0.94885552519031369</v>
      </c>
      <c r="X29" s="164">
        <v>13.09420624762633</v>
      </c>
      <c r="Y29" s="164">
        <v>6.9379202525259046E-2</v>
      </c>
      <c r="Z29" s="164">
        <v>0.95062959767718913</v>
      </c>
      <c r="AA29" s="164">
        <v>13.11868844794521</v>
      </c>
      <c r="AB29" s="164">
        <v>6.9639569298758836E-2</v>
      </c>
      <c r="AC29" s="164">
        <v>0.95080510193398649</v>
      </c>
    </row>
    <row r="30" spans="2:38" x14ac:dyDescent="0.3">
      <c r="D30" s="164">
        <v>9.7254667282104492</v>
      </c>
      <c r="K30" s="164">
        <v>3</v>
      </c>
      <c r="L30" s="164">
        <v>0.69909838924457524</v>
      </c>
      <c r="M30" s="164">
        <v>9.1983573050012091E-2</v>
      </c>
      <c r="N30" s="164">
        <v>6.4543028328861484E-3</v>
      </c>
      <c r="O30" s="164">
        <v>0.11800266883825238</v>
      </c>
      <c r="P30" s="164">
        <v>0.24936290849865844</v>
      </c>
      <c r="Q30" s="164">
        <v>1.4970562499170463</v>
      </c>
      <c r="U30" s="164">
        <v>8.9418357035586222</v>
      </c>
      <c r="V30" s="164">
        <v>4.8705977370075454E-2</v>
      </c>
      <c r="W30" s="164">
        <v>0.69134742228162549</v>
      </c>
      <c r="X30" s="164">
        <v>9.9554028808554076</v>
      </c>
      <c r="Y30" s="164">
        <v>5.0968702202919366E-2</v>
      </c>
      <c r="Z30" s="164">
        <v>0.69837004614818887</v>
      </c>
      <c r="AA30" s="164">
        <v>10.05652866453392</v>
      </c>
      <c r="AB30" s="164">
        <v>5.1203880401378438E-2</v>
      </c>
      <c r="AC30" s="164">
        <v>0.69909838924457524</v>
      </c>
    </row>
    <row r="31" spans="2:38" x14ac:dyDescent="0.3">
      <c r="D31" s="164">
        <v>0.2027375426869244</v>
      </c>
      <c r="K31" s="164">
        <v>4</v>
      </c>
      <c r="L31" s="164">
        <v>0.24628917246636148</v>
      </c>
      <c r="M31" s="164">
        <v>3.2405393054139954E-2</v>
      </c>
      <c r="N31" s="164">
        <v>2.6274935714532925E-3</v>
      </c>
      <c r="O31" s="164">
        <v>0.20050780214169525</v>
      </c>
      <c r="P31" s="164">
        <v>0.22615741642889281</v>
      </c>
      <c r="Q31" s="164">
        <v>0.90261340596565653</v>
      </c>
      <c r="U31" s="164">
        <v>3.0569998082092762</v>
      </c>
      <c r="V31" s="164">
        <v>1.7201283456019845E-2</v>
      </c>
      <c r="W31" s="164">
        <v>0.24416023698481973</v>
      </c>
      <c r="X31" s="164">
        <v>3.0764189860087288</v>
      </c>
      <c r="Y31" s="164">
        <v>1.7952625131176951E-2</v>
      </c>
      <c r="Z31" s="164">
        <v>0.24598577361114482</v>
      </c>
      <c r="AA31" s="164">
        <v>3.099420747500425</v>
      </c>
      <c r="AB31" s="164">
        <v>1.8038893416345968E-2</v>
      </c>
      <c r="AC31" s="164">
        <v>0.24628917246636148</v>
      </c>
    </row>
    <row r="32" spans="2:38" x14ac:dyDescent="0.3">
      <c r="D32" s="164">
        <v>7.1162968256268389E-2</v>
      </c>
      <c r="K32" s="164">
        <v>5</v>
      </c>
      <c r="L32" s="164">
        <v>5.0929776169326589E-4</v>
      </c>
      <c r="M32" s="164">
        <v>6.7010636253277126E-5</v>
      </c>
      <c r="U32" s="164">
        <v>3.3876299616129378E-3</v>
      </c>
      <c r="V32" s="164">
        <v>3.557015591580626E-5</v>
      </c>
      <c r="W32" s="164">
        <v>5.0489358658588129E-4</v>
      </c>
      <c r="X32" s="164">
        <v>3.6352338234183455E-3</v>
      </c>
      <c r="Y32" s="164">
        <v>3.7123958189558856E-5</v>
      </c>
      <c r="Z32" s="164">
        <v>5.0867020884358828E-4</v>
      </c>
      <c r="AA32" s="164">
        <v>3.6624255036738357E-3</v>
      </c>
      <c r="AB32" s="164">
        <v>3.7302362699777997E-5</v>
      </c>
      <c r="AC32" s="164">
        <v>5.0929776169326589E-4</v>
      </c>
    </row>
    <row r="33" spans="2:29" x14ac:dyDescent="0.3">
      <c r="W33" s="164">
        <v>24.858293089590962</v>
      </c>
      <c r="Z33" s="164">
        <v>25.056607182150749</v>
      </c>
      <c r="AC33" s="164">
        <v>25.07775110981861</v>
      </c>
    </row>
    <row r="34" spans="2:29" x14ac:dyDescent="0.3">
      <c r="W34" s="164">
        <v>339.31267268706915</v>
      </c>
      <c r="Z34" s="164">
        <v>341.9595609804519</v>
      </c>
      <c r="AC34" s="164">
        <v>342.24746787924414</v>
      </c>
    </row>
    <row r="35" spans="2:29" x14ac:dyDescent="0.3">
      <c r="W35" s="164">
        <v>1.7006520739968414</v>
      </c>
      <c r="Z35" s="164">
        <v>1.7008014513663861</v>
      </c>
      <c r="AC35" s="164">
        <v>1.7008030774987142</v>
      </c>
    </row>
    <row r="36" spans="2:29" x14ac:dyDescent="0.3">
      <c r="B36" s="164">
        <v>1.7600000000000002</v>
      </c>
      <c r="C36" s="164">
        <v>75.8</v>
      </c>
      <c r="D36" s="164">
        <v>0.185</v>
      </c>
      <c r="E36" s="164">
        <v>0.22600000000000001</v>
      </c>
      <c r="F36" s="164">
        <v>1.8520000000000001</v>
      </c>
      <c r="G36" s="164">
        <v>0.80100000000000005</v>
      </c>
      <c r="H36" s="164">
        <v>0.65700000000000003</v>
      </c>
      <c r="I36" s="164">
        <v>1.5839999914169312</v>
      </c>
      <c r="J36" s="164">
        <v>0.52799999713897705</v>
      </c>
      <c r="K36" s="164">
        <v>1</v>
      </c>
      <c r="L36" s="164">
        <v>1</v>
      </c>
      <c r="M36" s="164">
        <v>0.12510593190497005</v>
      </c>
      <c r="N36" s="164">
        <v>5.7196405295086548E-4</v>
      </c>
      <c r="O36" s="164">
        <v>0.63093401934916249</v>
      </c>
      <c r="P36" s="164">
        <v>9.6916045824595204E-2</v>
      </c>
      <c r="Q36" s="164">
        <v>2.1803605093913925E-2</v>
      </c>
      <c r="U36" s="164">
        <v>4.8000000000000007</v>
      </c>
      <c r="V36" s="164">
        <v>7.152870822047952E-2</v>
      </c>
      <c r="W36" s="164">
        <v>1</v>
      </c>
      <c r="X36" s="164">
        <v>4.8000000000000007</v>
      </c>
      <c r="Y36" s="164">
        <v>7.2604308662159514E-2</v>
      </c>
      <c r="Z36" s="164">
        <v>1</v>
      </c>
      <c r="AA36" s="164">
        <v>4.8000000000000007</v>
      </c>
      <c r="AB36" s="164">
        <v>7.2705535207883393E-2</v>
      </c>
      <c r="AC36" s="164">
        <v>1</v>
      </c>
    </row>
    <row r="37" spans="2:29" x14ac:dyDescent="0.3">
      <c r="K37" s="164">
        <v>2</v>
      </c>
      <c r="L37" s="164">
        <v>0.95779841850268677</v>
      </c>
      <c r="M37" s="164">
        <v>0.11982626372388513</v>
      </c>
      <c r="N37" s="164">
        <v>1.8053756077491109E-3</v>
      </c>
      <c r="O37" s="164">
        <v>0.40307966856161914</v>
      </c>
      <c r="P37" s="164">
        <v>0.15618814627121888</v>
      </c>
      <c r="Q37" s="164">
        <v>0.43053896925143298</v>
      </c>
      <c r="U37" s="164">
        <v>13.121110406689015</v>
      </c>
      <c r="V37" s="164">
        <v>6.8460419651098253E-2</v>
      </c>
      <c r="W37" s="164">
        <v>0.95710409644301697</v>
      </c>
      <c r="X37" s="164">
        <v>13.208036530913635</v>
      </c>
      <c r="Y37" s="164">
        <v>6.9536020092778247E-2</v>
      </c>
      <c r="Z37" s="164">
        <v>0.95773958011695215</v>
      </c>
      <c r="AA37" s="164">
        <v>13.21680620561394</v>
      </c>
      <c r="AB37" s="164">
        <v>6.9637246638502126E-2</v>
      </c>
      <c r="AC37" s="164">
        <v>0.95779841850268677</v>
      </c>
    </row>
    <row r="38" spans="2:29" x14ac:dyDescent="0.3">
      <c r="D38" s="164">
        <v>10.345622062683105</v>
      </c>
      <c r="K38" s="164">
        <v>3</v>
      </c>
      <c r="L38" s="164">
        <v>0.73578648887584774</v>
      </c>
      <c r="M38" s="164">
        <v>9.2051254373898814E-2</v>
      </c>
      <c r="N38" s="164">
        <v>6.6953037191949238E-3</v>
      </c>
      <c r="O38" s="164">
        <v>0.11535165908885583</v>
      </c>
      <c r="P38" s="164">
        <v>0.25008591115758477</v>
      </c>
      <c r="Q38" s="164">
        <v>1.5211847390880595</v>
      </c>
      <c r="U38" s="164">
        <v>10.067016805121884</v>
      </c>
      <c r="V38" s="164">
        <v>5.2404658623326869E-2</v>
      </c>
      <c r="W38" s="164">
        <v>0.7326381242870369</v>
      </c>
      <c r="X38" s="164">
        <v>10.549988989733331</v>
      </c>
      <c r="Y38" s="164">
        <v>5.3402380794857936E-2</v>
      </c>
      <c r="Z38" s="164">
        <v>0.7355263314102819</v>
      </c>
      <c r="AA38" s="164">
        <v>10.591579172308059</v>
      </c>
      <c r="AB38" s="164">
        <v>5.3495750472447853E-2</v>
      </c>
      <c r="AC38" s="164">
        <v>0.73578648887584774</v>
      </c>
    </row>
    <row r="39" spans="2:29" x14ac:dyDescent="0.3">
      <c r="D39" s="164">
        <v>0.19386260383777029</v>
      </c>
      <c r="K39" s="164">
        <v>4</v>
      </c>
      <c r="L39" s="164">
        <v>0.24178270647531022</v>
      </c>
      <c r="M39" s="164">
        <v>3.0248450812099523E-2</v>
      </c>
      <c r="N39" s="164">
        <v>2.45237422306272E-3</v>
      </c>
      <c r="O39" s="164">
        <v>0.20873841151605216</v>
      </c>
      <c r="P39" s="164">
        <v>0.22388086489981537</v>
      </c>
      <c r="Q39" s="164">
        <v>0.82199757477008262</v>
      </c>
      <c r="U39" s="164">
        <v>3.1032435730761549</v>
      </c>
      <c r="V39" s="164">
        <v>1.7266561275770528E-2</v>
      </c>
      <c r="W39" s="164">
        <v>0.2413934447487604</v>
      </c>
      <c r="X39" s="164">
        <v>3.0415574038343816</v>
      </c>
      <c r="Y39" s="164">
        <v>1.7548796408724789E-2</v>
      </c>
      <c r="Z39" s="164">
        <v>0.24170461412121411</v>
      </c>
      <c r="AA39" s="164">
        <v>3.0454781379272982</v>
      </c>
      <c r="AB39" s="164">
        <v>1.7578941078298004E-2</v>
      </c>
      <c r="AC39" s="164">
        <v>0.24178270647531022</v>
      </c>
    </row>
    <row r="40" spans="2:29" x14ac:dyDescent="0.3">
      <c r="D40" s="164">
        <v>6.8756671932800245E-2</v>
      </c>
      <c r="K40" s="164">
        <v>5</v>
      </c>
      <c r="L40" s="164">
        <v>5.2262470957212845E-4</v>
      </c>
      <c r="M40" s="164">
        <v>6.5383451327585446E-5</v>
      </c>
      <c r="U40" s="164">
        <v>3.6669438841915145E-3</v>
      </c>
      <c r="V40" s="164">
        <v>3.7322452156873832E-5</v>
      </c>
      <c r="W40" s="164">
        <v>5.217828349679041E-4</v>
      </c>
      <c r="X40" s="164">
        <v>3.7568364117689097E-3</v>
      </c>
      <c r="Y40" s="164">
        <v>3.7932552020414333E-5</v>
      </c>
      <c r="Z40" s="164">
        <v>5.2245593573407747E-4</v>
      </c>
      <c r="AA40" s="164">
        <v>3.7616827372853579E-3</v>
      </c>
      <c r="AB40" s="164">
        <v>3.7997709222306218E-5</v>
      </c>
      <c r="AC40" s="164">
        <v>5.2262470957212845E-4</v>
      </c>
    </row>
    <row r="41" spans="2:29" x14ac:dyDescent="0.3">
      <c r="W41" s="164">
        <v>25.905003993759006</v>
      </c>
      <c r="Z41" s="164">
        <v>25.984751881756903</v>
      </c>
      <c r="AC41" s="164">
        <v>25.992294907246645</v>
      </c>
    </row>
    <row r="42" spans="2:29" x14ac:dyDescent="0.3">
      <c r="W42" s="164">
        <v>356.26000930431564</v>
      </c>
      <c r="Z42" s="164">
        <v>357.34489034698345</v>
      </c>
      <c r="AC42" s="164">
        <v>357.44853448151298</v>
      </c>
    </row>
    <row r="43" spans="2:29" x14ac:dyDescent="0.3">
      <c r="W43" s="164">
        <v>1.694291590611632</v>
      </c>
      <c r="Z43" s="164">
        <v>1.6943196975436414</v>
      </c>
      <c r="AC43" s="164">
        <v>1.6943199068202519</v>
      </c>
    </row>
    <row r="44" spans="2:29" x14ac:dyDescent="0.3">
      <c r="B44" s="164">
        <v>1.7600000000000002</v>
      </c>
      <c r="C44" s="164">
        <v>78</v>
      </c>
      <c r="D44" s="164">
        <v>0.191</v>
      </c>
      <c r="E44" s="164">
        <v>0.22700000000000001</v>
      </c>
      <c r="F44" s="164">
        <v>1.83</v>
      </c>
      <c r="G44" s="164">
        <v>0.79500000000000004</v>
      </c>
      <c r="H44" s="164">
        <v>0.65100000000000002</v>
      </c>
      <c r="I44" s="164">
        <v>1.5390000343322754</v>
      </c>
      <c r="J44" s="164">
        <v>0.5130000114440918</v>
      </c>
      <c r="K44" s="164">
        <v>1</v>
      </c>
      <c r="L44" s="164">
        <v>1</v>
      </c>
      <c r="M44" s="164">
        <v>0.12140635178116985</v>
      </c>
      <c r="N44" s="164">
        <v>5.2300789831805051E-4</v>
      </c>
      <c r="O44" s="164">
        <v>0.65002691965596027</v>
      </c>
      <c r="P44" s="164">
        <v>9.1530868814985553E-2</v>
      </c>
      <c r="Q44" s="164">
        <v>1.9607172237793482E-2</v>
      </c>
      <c r="U44" s="164">
        <v>4.8000000000000007</v>
      </c>
      <c r="V44" s="164">
        <v>7.1185513363006492E-2</v>
      </c>
      <c r="W44" s="164">
        <v>1</v>
      </c>
      <c r="X44" s="164">
        <v>4.8000000000000007</v>
      </c>
      <c r="Y44" s="164">
        <v>7.169609194548851E-2</v>
      </c>
      <c r="Z44" s="164">
        <v>1</v>
      </c>
      <c r="AA44" s="164">
        <v>4.8000000000000007</v>
      </c>
      <c r="AB44" s="164">
        <v>7.1743709299888991E-2</v>
      </c>
      <c r="AC44" s="164">
        <v>1</v>
      </c>
    </row>
    <row r="45" spans="2:29" x14ac:dyDescent="0.3">
      <c r="K45" s="164">
        <v>2</v>
      </c>
      <c r="L45" s="164">
        <v>0.96023465704705957</v>
      </c>
      <c r="M45" s="164">
        <v>0.1165785865659263</v>
      </c>
      <c r="N45" s="164">
        <v>1.6192692629759882E-3</v>
      </c>
      <c r="O45" s="164">
        <v>0.42801791876121759</v>
      </c>
      <c r="P45" s="164">
        <v>0.14967442420415958</v>
      </c>
      <c r="Q45" s="164">
        <v>0.38047974150200531</v>
      </c>
      <c r="U45" s="164">
        <v>13.217618175337078</v>
      </c>
      <c r="V45" s="164">
        <v>6.8332600157980344E-2</v>
      </c>
      <c r="W45" s="164">
        <v>0.95992284005204997</v>
      </c>
      <c r="X45" s="164">
        <v>13.24693519271829</v>
      </c>
      <c r="Y45" s="164">
        <v>6.8843178740462363E-2</v>
      </c>
      <c r="Z45" s="164">
        <v>0.96020824667549165</v>
      </c>
      <c r="AA45" s="164">
        <v>13.250873804121785</v>
      </c>
      <c r="AB45" s="164">
        <v>6.8890796094862844E-2</v>
      </c>
      <c r="AC45" s="164">
        <v>0.96023465704705957</v>
      </c>
    </row>
    <row r="46" spans="2:29" x14ac:dyDescent="0.3">
      <c r="D46" s="164">
        <v>10.783988952636719</v>
      </c>
      <c r="K46" s="164">
        <v>3</v>
      </c>
      <c r="L46" s="164">
        <v>0.75504082287339302</v>
      </c>
      <c r="M46" s="164">
        <v>9.1666751750911102E-2</v>
      </c>
      <c r="N46" s="164">
        <v>6.8095253050220505E-3</v>
      </c>
      <c r="O46" s="164">
        <v>0.11409522164475745</v>
      </c>
      <c r="P46" s="164">
        <v>0.25042857591506618</v>
      </c>
      <c r="Q46" s="164">
        <v>1.538179737843127</v>
      </c>
      <c r="U46" s="164">
        <v>10.595325439812207</v>
      </c>
      <c r="V46" s="164">
        <v>5.3638354953947184E-2</v>
      </c>
      <c r="W46" s="164">
        <v>0.75350099226539857</v>
      </c>
      <c r="X46" s="164">
        <v>10.850414288621741</v>
      </c>
      <c r="Y46" s="164">
        <v>5.4125024080814252E-2</v>
      </c>
      <c r="Z46" s="164">
        <v>0.75492293390225829</v>
      </c>
      <c r="AA46" s="164">
        <v>10.87089024819252</v>
      </c>
      <c r="AB46" s="164">
        <v>5.4169429305777686E-2</v>
      </c>
      <c r="AC46" s="164">
        <v>0.75504082287339302</v>
      </c>
    </row>
    <row r="47" spans="2:29" x14ac:dyDescent="0.3">
      <c r="D47" s="164">
        <v>0.18850683112897273</v>
      </c>
      <c r="K47" s="164">
        <v>4</v>
      </c>
      <c r="L47" s="164">
        <v>0.23729891118956653</v>
      </c>
      <c r="M47" s="164">
        <v>2.8809595089169096E-2</v>
      </c>
      <c r="N47" s="164">
        <v>2.3355126592675534E-3</v>
      </c>
      <c r="O47" s="164">
        <v>0.21423090501442499</v>
      </c>
      <c r="P47" s="164">
        <v>0.22236166457047821</v>
      </c>
      <c r="Q47" s="164">
        <v>0.77612665685258697</v>
      </c>
      <c r="U47" s="164">
        <v>3.0464621015889093</v>
      </c>
      <c r="V47" s="164">
        <v>1.6890253214858344E-2</v>
      </c>
      <c r="W47" s="164">
        <v>0.23727093360593546</v>
      </c>
      <c r="X47" s="164">
        <v>2.9896137634347872</v>
      </c>
      <c r="Y47" s="164">
        <v>1.7011654935248661E-2</v>
      </c>
      <c r="Z47" s="164">
        <v>0.23727450790738841</v>
      </c>
      <c r="AA47" s="164">
        <v>2.9896587996330943</v>
      </c>
      <c r="AB47" s="164">
        <v>1.7024704101564436E-2</v>
      </c>
      <c r="AC47" s="164">
        <v>0.23729891118956653</v>
      </c>
    </row>
    <row r="48" spans="2:29" x14ac:dyDescent="0.3">
      <c r="D48" s="164">
        <v>6.7100479347802888E-2</v>
      </c>
      <c r="K48" s="164">
        <v>5</v>
      </c>
      <c r="L48" s="164">
        <v>5.3394157087156271E-4</v>
      </c>
      <c r="M48" s="164">
        <v>6.4823898183823377E-5</v>
      </c>
      <c r="U48" s="164">
        <v>3.7628979089193251E-3</v>
      </c>
      <c r="V48" s="164">
        <v>3.8004362820301808E-5</v>
      </c>
      <c r="W48" s="164">
        <v>5.3387776564173543E-4</v>
      </c>
      <c r="X48" s="164">
        <v>3.8439199126204951E-3</v>
      </c>
      <c r="Y48" s="164">
        <v>3.827759062491318E-5</v>
      </c>
      <c r="Z48" s="164">
        <v>5.3388670966914259E-4</v>
      </c>
      <c r="AA48" s="164">
        <v>3.8439843096178265E-3</v>
      </c>
      <c r="AB48" s="164">
        <v>3.830694884373547E-5</v>
      </c>
      <c r="AC48" s="164">
        <v>5.3394157087156271E-4</v>
      </c>
    </row>
    <row r="49" spans="2:29" x14ac:dyDescent="0.3">
      <c r="W49" s="164">
        <v>26.401184086101427</v>
      </c>
      <c r="Z49" s="164">
        <v>26.439654535415002</v>
      </c>
      <c r="AC49" s="164">
        <v>26.443063705203908</v>
      </c>
    </row>
    <row r="50" spans="2:29" x14ac:dyDescent="0.3">
      <c r="W50" s="164">
        <v>367.97209672602366</v>
      </c>
      <c r="Z50" s="164">
        <v>368.50496424675293</v>
      </c>
      <c r="AC50" s="164">
        <v>368.55246048055596</v>
      </c>
    </row>
    <row r="51" spans="2:29" x14ac:dyDescent="0.3">
      <c r="W51" s="164">
        <v>1.6830000151450535</v>
      </c>
      <c r="Z51" s="164">
        <v>1.6830076022665283</v>
      </c>
      <c r="AC51" s="164">
        <v>1.6830076464797354</v>
      </c>
    </row>
    <row r="52" spans="2:29" x14ac:dyDescent="0.3">
      <c r="B52" s="164">
        <v>1.7600000000000002</v>
      </c>
      <c r="C52" s="164">
        <v>79.3</v>
      </c>
      <c r="D52" s="164">
        <v>0.19400000000000001</v>
      </c>
      <c r="E52" s="164">
        <v>0.22700000000000001</v>
      </c>
      <c r="F52" s="164">
        <v>1.8169999999999999</v>
      </c>
      <c r="G52" s="164">
        <v>0.79100000000000004</v>
      </c>
      <c r="H52" s="164">
        <v>0.64800000000000002</v>
      </c>
      <c r="I52" s="164">
        <v>1.5130000114440918</v>
      </c>
      <c r="J52" s="164">
        <v>0.50400000810623169</v>
      </c>
      <c r="K52" s="164">
        <v>1</v>
      </c>
      <c r="L52" s="164">
        <v>1</v>
      </c>
      <c r="M52" s="164">
        <v>0.11929945688060999</v>
      </c>
      <c r="N52" s="164">
        <v>5.0374432387914755E-4</v>
      </c>
      <c r="O52" s="164">
        <v>0.65753971368713249</v>
      </c>
      <c r="P52" s="164">
        <v>8.941187562670623E-2</v>
      </c>
      <c r="Q52" s="164">
        <v>1.8739853775179574E-2</v>
      </c>
      <c r="U52" s="164">
        <v>4.8000000000000007</v>
      </c>
      <c r="V52" s="164">
        <v>7.0779912764546149E-2</v>
      </c>
      <c r="W52" s="164">
        <v>1</v>
      </c>
      <c r="X52" s="164">
        <v>4.8000000000000007</v>
      </c>
      <c r="Y52" s="164">
        <v>7.104467987349801E-2</v>
      </c>
      <c r="Z52" s="164">
        <v>1</v>
      </c>
    </row>
    <row r="53" spans="2:29" x14ac:dyDescent="0.3">
      <c r="K53" s="164">
        <v>2</v>
      </c>
      <c r="L53" s="164">
        <v>0.96102289376143801</v>
      </c>
      <c r="M53" s="164">
        <v>0.1146495092755717</v>
      </c>
      <c r="N53" s="164">
        <v>1.513977223460842E-3</v>
      </c>
      <c r="O53" s="164">
        <v>0.44212705205624719</v>
      </c>
      <c r="P53" s="164">
        <v>0.14598920282112948</v>
      </c>
      <c r="Q53" s="164">
        <v>0.35318571921673103</v>
      </c>
      <c r="U53" s="164">
        <v>13.251238267249423</v>
      </c>
      <c r="V53" s="164">
        <v>6.8010796729432194E-2</v>
      </c>
      <c r="W53" s="164">
        <v>0.96087709172056213</v>
      </c>
      <c r="X53" s="164">
        <v>13.260103865743758</v>
      </c>
      <c r="Y53" s="164">
        <v>6.8275563838384054E-2</v>
      </c>
      <c r="Z53" s="164">
        <v>0.96102289376143801</v>
      </c>
    </row>
    <row r="54" spans="2:29" x14ac:dyDescent="0.3">
      <c r="D54" s="164">
        <v>11.053760528564453</v>
      </c>
      <c r="K54" s="164">
        <v>3</v>
      </c>
      <c r="L54" s="164">
        <v>0.76578346943344133</v>
      </c>
      <c r="M54" s="164">
        <v>9.1357551991558747E-2</v>
      </c>
      <c r="N54" s="164">
        <v>6.8680705082008317E-3</v>
      </c>
      <c r="O54" s="164">
        <v>0.11345122440979086</v>
      </c>
      <c r="P54" s="164">
        <v>0.25060421152460249</v>
      </c>
      <c r="Q54" s="164">
        <v>1.5476990322883819</v>
      </c>
      <c r="U54" s="164">
        <v>10.87258784937686</v>
      </c>
      <c r="V54" s="164">
        <v>5.4146883385199615E-2</v>
      </c>
      <c r="W54" s="164">
        <v>0.76500353377550268</v>
      </c>
      <c r="X54" s="164">
        <v>11.016050886367239</v>
      </c>
      <c r="Y54" s="164">
        <v>5.440484143831549E-2</v>
      </c>
      <c r="Z54" s="164">
        <v>0.76578346943344133</v>
      </c>
    </row>
    <row r="55" spans="2:29" x14ac:dyDescent="0.3">
      <c r="D55" s="164">
        <v>0.18541991761452328</v>
      </c>
      <c r="K55" s="164">
        <v>4</v>
      </c>
      <c r="L55" s="164">
        <v>0.23436802480740648</v>
      </c>
      <c r="M55" s="164">
        <v>2.7959978069704922E-2</v>
      </c>
      <c r="N55" s="164">
        <v>2.2665024060591166E-3</v>
      </c>
      <c r="O55" s="164">
        <v>0.21747438691522153</v>
      </c>
      <c r="P55" s="164">
        <v>0.22146453127876853</v>
      </c>
      <c r="Q55" s="164">
        <v>0.75017099059397707</v>
      </c>
      <c r="U55" s="164">
        <v>2.9899662809885386</v>
      </c>
      <c r="V55" s="164">
        <v>1.659043596704269E-2</v>
      </c>
      <c r="W55" s="164">
        <v>0.23439469362207074</v>
      </c>
      <c r="X55" s="164">
        <v>2.9533731396380918</v>
      </c>
      <c r="Y55" s="164">
        <v>1.6650601295026234E-2</v>
      </c>
      <c r="Z55" s="164">
        <v>0.23436802480740648</v>
      </c>
    </row>
    <row r="56" spans="2:29" x14ac:dyDescent="0.3">
      <c r="D56" s="164">
        <v>6.6120460733913297E-2</v>
      </c>
      <c r="K56" s="164">
        <v>5</v>
      </c>
      <c r="L56" s="164">
        <v>5.4119141002997742E-4</v>
      </c>
      <c r="M56" s="164">
        <v>6.4563841285027805E-5</v>
      </c>
      <c r="U56" s="164">
        <v>3.8443793102752514E-3</v>
      </c>
      <c r="V56" s="164">
        <v>3.830979341327646E-5</v>
      </c>
      <c r="W56" s="164">
        <v>5.412523400631533E-4</v>
      </c>
      <c r="X56" s="164">
        <v>3.8970168484547037E-3</v>
      </c>
      <c r="Y56" s="164">
        <v>3.8448770475866743E-5</v>
      </c>
      <c r="Z56" s="164">
        <v>5.4119141002997742E-4</v>
      </c>
    </row>
    <row r="57" spans="2:29" x14ac:dyDescent="0.3">
      <c r="W57" s="164">
        <v>26.660904996236752</v>
      </c>
      <c r="Z57" s="164">
        <v>26.681806853883462</v>
      </c>
    </row>
    <row r="58" spans="2:29" x14ac:dyDescent="0.3">
      <c r="W58" s="164">
        <v>375.1230074873547</v>
      </c>
      <c r="Z58" s="164">
        <v>375.4160244215791</v>
      </c>
    </row>
    <row r="59" spans="2:29" x14ac:dyDescent="0.3">
      <c r="W59" s="164">
        <v>1.6750603312517096</v>
      </c>
      <c r="Z59" s="164">
        <v>1.6750627303948247</v>
      </c>
    </row>
    <row r="60" spans="2:29" x14ac:dyDescent="0.3">
      <c r="B60" s="164">
        <v>1.7600000000000002</v>
      </c>
      <c r="C60" s="164">
        <v>80</v>
      </c>
      <c r="D60" s="164">
        <v>0.19600000000000001</v>
      </c>
      <c r="E60" s="164">
        <v>0.22700000000000001</v>
      </c>
      <c r="F60" s="164">
        <v>1.8089999999999999</v>
      </c>
      <c r="G60" s="164">
        <v>0.78900000000000003</v>
      </c>
      <c r="H60" s="164">
        <v>0.64600000000000002</v>
      </c>
      <c r="I60" s="164">
        <v>1.5</v>
      </c>
      <c r="J60" s="164">
        <v>0.5</v>
      </c>
      <c r="K60" s="164">
        <v>1</v>
      </c>
      <c r="L60" s="164">
        <v>1</v>
      </c>
      <c r="M60" s="164">
        <v>0.11814224861493774</v>
      </c>
      <c r="N60" s="164">
        <v>4.956287216314277E-4</v>
      </c>
      <c r="O60" s="164">
        <v>0.66105450083322903</v>
      </c>
      <c r="P60" s="164">
        <v>8.847544659577132E-2</v>
      </c>
      <c r="Q60" s="164">
        <v>1.8350565144170508E-2</v>
      </c>
      <c r="U60" s="164">
        <v>4.8000000000000007</v>
      </c>
      <c r="V60" s="164">
        <v>7.0562349053460816E-2</v>
      </c>
      <c r="W60" s="164">
        <v>1</v>
      </c>
      <c r="X60" s="164">
        <v>4.8000000000000007</v>
      </c>
      <c r="Y60" s="164">
        <v>7.069055588214411E-2</v>
      </c>
      <c r="Z60" s="164">
        <v>1</v>
      </c>
    </row>
    <row r="61" spans="2:29" x14ac:dyDescent="0.3">
      <c r="K61" s="164">
        <v>2</v>
      </c>
      <c r="L61" s="164">
        <v>0.96127520504174313</v>
      </c>
      <c r="M61" s="164">
        <v>0.11356721426141687</v>
      </c>
      <c r="N61" s="164">
        <v>1.4590826944321626E-3</v>
      </c>
      <c r="O61" s="164">
        <v>0.44948291894609022</v>
      </c>
      <c r="P61" s="164">
        <v>0.1440678943051257</v>
      </c>
      <c r="Q61" s="164">
        <v>0.33885149206304899</v>
      </c>
      <c r="U61" s="164">
        <v>13.262115933907845</v>
      </c>
      <c r="V61" s="164">
        <v>6.7824871771439588E-2</v>
      </c>
      <c r="W61" s="164">
        <v>0.96120484481111579</v>
      </c>
      <c r="X61" s="164">
        <v>13.264626858393399</v>
      </c>
      <c r="Y61" s="164">
        <v>6.7953078600122882E-2</v>
      </c>
      <c r="Z61" s="164">
        <v>0.96127520504174313</v>
      </c>
    </row>
    <row r="62" spans="2:29" x14ac:dyDescent="0.3">
      <c r="D62" s="164">
        <v>11.198359489440918</v>
      </c>
      <c r="K62" s="164">
        <v>3</v>
      </c>
      <c r="L62" s="164">
        <v>0.77127182918464188</v>
      </c>
      <c r="M62" s="164">
        <v>9.1119788193229759E-2</v>
      </c>
      <c r="N62" s="164">
        <v>6.8954082819646257E-3</v>
      </c>
      <c r="O62" s="164">
        <v>0.11315050889838912</v>
      </c>
      <c r="P62" s="164">
        <v>0.25068622484589387</v>
      </c>
      <c r="Q62" s="164">
        <v>1.5512390335366428</v>
      </c>
      <c r="U62" s="164">
        <v>11.027281959841556</v>
      </c>
      <c r="V62" s="164">
        <v>5.4395294439763223E-2</v>
      </c>
      <c r="W62" s="164">
        <v>0.7708827040118974</v>
      </c>
      <c r="X62" s="164">
        <v>11.100710937771323</v>
      </c>
      <c r="Y62" s="164">
        <v>5.4521634341300432E-2</v>
      </c>
      <c r="Z62" s="164">
        <v>0.77127182918464188</v>
      </c>
    </row>
    <row r="63" spans="2:29" x14ac:dyDescent="0.3">
      <c r="D63" s="164">
        <v>0.1837615663298128</v>
      </c>
      <c r="K63" s="164">
        <v>4</v>
      </c>
      <c r="L63" s="164">
        <v>0.23251517482126299</v>
      </c>
      <c r="M63" s="164">
        <v>2.7469865590479366E-2</v>
      </c>
      <c r="N63" s="164">
        <v>2.2266948708164025E-3</v>
      </c>
      <c r="O63" s="164">
        <v>0.21934534107162909</v>
      </c>
      <c r="P63" s="164">
        <v>0.22094703332061325</v>
      </c>
      <c r="Q63" s="164">
        <v>0.73501348522747767</v>
      </c>
      <c r="U63" s="164">
        <v>2.9530371125733219</v>
      </c>
      <c r="V63" s="164">
        <v>1.640945174976453E-2</v>
      </c>
      <c r="W63" s="164">
        <v>0.23255251518528788</v>
      </c>
      <c r="X63" s="164">
        <v>2.9301616913346278</v>
      </c>
      <c r="Y63" s="164">
        <v>1.6436626959148999E-2</v>
      </c>
      <c r="Z63" s="164">
        <v>0.23251517482126299</v>
      </c>
    </row>
    <row r="64" spans="2:29" x14ac:dyDescent="0.3">
      <c r="D64" s="164">
        <v>6.5619317714875058E-2</v>
      </c>
      <c r="K64" s="164">
        <v>5</v>
      </c>
      <c r="L64" s="164">
        <v>5.4502312347447864E-4</v>
      </c>
      <c r="M64" s="164">
        <v>6.4390257354411773E-5</v>
      </c>
      <c r="U64" s="164">
        <v>3.8965781522158375E-3</v>
      </c>
      <c r="V64" s="164">
        <v>3.8464261976380107E-5</v>
      </c>
      <c r="W64" s="164">
        <v>5.4511028179118676E-4</v>
      </c>
      <c r="X64" s="164">
        <v>3.9247940288965446E-3</v>
      </c>
      <c r="Y64" s="164">
        <v>3.8527987567033364E-5</v>
      </c>
      <c r="Z64" s="164">
        <v>5.4502312347447864E-4</v>
      </c>
    </row>
    <row r="65" spans="2:26" x14ac:dyDescent="0.3">
      <c r="W65" s="164">
        <v>26.788788275728017</v>
      </c>
      <c r="Z65" s="164">
        <v>26.799077451278805</v>
      </c>
    </row>
    <row r="66" spans="2:26" x14ac:dyDescent="0.3">
      <c r="W66" s="164">
        <v>378.88546335678984</v>
      </c>
      <c r="Z66" s="164">
        <v>379.03069647680513</v>
      </c>
    </row>
    <row r="67" spans="2:26" x14ac:dyDescent="0.3">
      <c r="W67" s="164">
        <v>1.6707152020164149</v>
      </c>
      <c r="Z67" s="164">
        <v>1.6707158437063205</v>
      </c>
    </row>
    <row r="68" spans="2:26" x14ac:dyDescent="0.3">
      <c r="B68" s="164">
        <v>1.7600000000000002</v>
      </c>
      <c r="C68" s="164">
        <v>80.400000000000006</v>
      </c>
      <c r="D68" s="164">
        <v>0.19600000000000001</v>
      </c>
      <c r="E68" s="164">
        <v>0.22800000000000001</v>
      </c>
      <c r="F68" s="164">
        <v>1.806</v>
      </c>
      <c r="G68" s="164">
        <v>0.78800000000000003</v>
      </c>
      <c r="H68" s="164">
        <v>0.64500000000000002</v>
      </c>
      <c r="I68" s="164">
        <v>1.4930000305175781</v>
      </c>
      <c r="J68" s="164">
        <v>0.49799999594688416</v>
      </c>
      <c r="K68" s="164">
        <v>1</v>
      </c>
      <c r="L68" s="164">
        <v>1</v>
      </c>
      <c r="M68" s="164">
        <v>0.11753224471484219</v>
      </c>
      <c r="N68" s="164">
        <v>4.9184392800743885E-4</v>
      </c>
      <c r="O68" s="164">
        <v>0.66283335383650377</v>
      </c>
      <c r="P68" s="164">
        <v>8.8021271360892661E-2</v>
      </c>
      <c r="Q68" s="164">
        <v>1.8167970626536051E-2</v>
      </c>
      <c r="U68" s="164">
        <v>4.8000000000000007</v>
      </c>
      <c r="V68" s="164">
        <v>7.0429957080285308E-2</v>
      </c>
      <c r="W68" s="164">
        <v>1</v>
      </c>
      <c r="X68" s="164">
        <v>4.8000000000000007</v>
      </c>
      <c r="Y68" s="164">
        <v>7.0489926704472808E-2</v>
      </c>
      <c r="Z68" s="164">
        <v>1</v>
      </c>
    </row>
    <row r="69" spans="2:26" x14ac:dyDescent="0.3">
      <c r="K69" s="164">
        <v>2</v>
      </c>
      <c r="L69" s="164">
        <v>0.96137147037387938</v>
      </c>
      <c r="M69" s="164">
        <v>0.11299214691785045</v>
      </c>
      <c r="N69" s="164">
        <v>1.4320042007351134E-3</v>
      </c>
      <c r="O69" s="164">
        <v>0.45311143710149482</v>
      </c>
      <c r="P69" s="164">
        <v>0.14312014702572898</v>
      </c>
      <c r="Q69" s="164">
        <v>0.3318213127951079</v>
      </c>
      <c r="U69" s="164">
        <v>13.265597829576055</v>
      </c>
      <c r="V69" s="164">
        <v>6.7707034858238507E-2</v>
      </c>
      <c r="W69" s="164">
        <v>0.96133857899497432</v>
      </c>
      <c r="X69" s="164">
        <v>13.266472390130646</v>
      </c>
      <c r="Y69" s="164">
        <v>6.7767004482426008E-2</v>
      </c>
      <c r="Z69" s="164">
        <v>0.96137147037387938</v>
      </c>
    </row>
    <row r="70" spans="2:26" x14ac:dyDescent="0.3">
      <c r="D70" s="164">
        <v>11.274616241455078</v>
      </c>
      <c r="K70" s="164">
        <v>3</v>
      </c>
      <c r="L70" s="164">
        <v>0.77392645125666015</v>
      </c>
      <c r="M70" s="164">
        <v>9.0961313060387169E-2</v>
      </c>
      <c r="N70" s="164">
        <v>6.9077903628135496E-3</v>
      </c>
      <c r="O70" s="164">
        <v>0.11301430600905096</v>
      </c>
      <c r="P70" s="164">
        <v>0.25072337108844067</v>
      </c>
      <c r="Q70" s="164">
        <v>1.5526886361982291</v>
      </c>
      <c r="U70" s="164">
        <v>11.106314340258843</v>
      </c>
      <c r="V70" s="164">
        <v>5.4494688812849475E-2</v>
      </c>
      <c r="W70" s="164">
        <v>0.77374303594604321</v>
      </c>
      <c r="X70" s="164">
        <v>11.141899717623023</v>
      </c>
      <c r="Y70" s="164">
        <v>5.4554018823734722E-2</v>
      </c>
      <c r="Z70" s="164">
        <v>0.77392645125666015</v>
      </c>
    </row>
    <row r="71" spans="2:26" x14ac:dyDescent="0.3">
      <c r="D71" s="164">
        <v>0.18289260193058307</v>
      </c>
      <c r="K71" s="164">
        <v>4</v>
      </c>
      <c r="L71" s="164">
        <v>0.23140113075105029</v>
      </c>
      <c r="M71" s="164">
        <v>2.7197094326723639E-2</v>
      </c>
      <c r="N71" s="164">
        <v>2.2045396974372106E-3</v>
      </c>
      <c r="O71" s="164">
        <v>0.2203866342204511</v>
      </c>
      <c r="P71" s="164">
        <v>0.22065901606668373</v>
      </c>
      <c r="Q71" s="164">
        <v>0.7266579613461821</v>
      </c>
      <c r="U71" s="164">
        <v>2.9296912027479141</v>
      </c>
      <c r="V71" s="164">
        <v>1.6299855792317956E-2</v>
      </c>
      <c r="W71" s="164">
        <v>0.23143356134289905</v>
      </c>
      <c r="X71" s="164">
        <v>2.9160628729205285</v>
      </c>
      <c r="Y71" s="164">
        <v>1.6311448745973664E-2</v>
      </c>
      <c r="Z71" s="164">
        <v>0.23140113075105029</v>
      </c>
    </row>
    <row r="72" spans="2:26" x14ac:dyDescent="0.3">
      <c r="D72" s="164">
        <v>6.5360357215740877E-2</v>
      </c>
      <c r="K72" s="164">
        <v>5</v>
      </c>
      <c r="L72" s="164">
        <v>5.4706732377447222E-4</v>
      </c>
      <c r="M72" s="164">
        <v>6.4298050573355074E-5</v>
      </c>
      <c r="U72" s="164">
        <v>3.9241664890162465E-3</v>
      </c>
      <c r="V72" s="164">
        <v>3.8535313126167854E-5</v>
      </c>
      <c r="W72" s="164">
        <v>5.4714378261284816E-4</v>
      </c>
      <c r="X72" s="164">
        <v>3.9394352348125069E-3</v>
      </c>
      <c r="Y72" s="164">
        <v>3.8562735555274642E-5</v>
      </c>
      <c r="Z72" s="164">
        <v>5.4706732377447222E-4</v>
      </c>
    </row>
    <row r="73" spans="2:26" x14ac:dyDescent="0.3">
      <c r="W73" s="164">
        <v>26.849416000741559</v>
      </c>
      <c r="Z73" s="164">
        <v>26.854187268599222</v>
      </c>
    </row>
    <row r="74" spans="2:26" x14ac:dyDescent="0.3">
      <c r="W74" s="164">
        <v>380.86284370726571</v>
      </c>
      <c r="Z74" s="164">
        <v>380.93045328790231</v>
      </c>
    </row>
    <row r="75" spans="2:26" x14ac:dyDescent="0.3">
      <c r="W75" s="164">
        <v>1.6682570928590554</v>
      </c>
      <c r="Z75" s="164">
        <v>1.6682572495177552</v>
      </c>
    </row>
    <row r="76" spans="2:26" x14ac:dyDescent="0.3">
      <c r="B76" s="164">
        <v>1.7600000000000002</v>
      </c>
      <c r="C76" s="164">
        <v>80.599999999999994</v>
      </c>
      <c r="D76" s="164">
        <v>0.19700000000000001</v>
      </c>
      <c r="E76" s="164">
        <v>0.22800000000000001</v>
      </c>
      <c r="F76" s="164">
        <v>1.804</v>
      </c>
      <c r="G76" s="164">
        <v>0.78800000000000003</v>
      </c>
      <c r="H76" s="164">
        <v>0.64500000000000002</v>
      </c>
      <c r="I76" s="164">
        <v>1.4889999628067017</v>
      </c>
      <c r="J76" s="164">
        <v>0.49599999189376831</v>
      </c>
      <c r="K76" s="164">
        <v>1</v>
      </c>
      <c r="L76" s="164">
        <v>1</v>
      </c>
      <c r="M76" s="164">
        <v>0.11722512783037804</v>
      </c>
      <c r="N76" s="164">
        <v>4.900125128699175E-4</v>
      </c>
      <c r="O76" s="164">
        <v>0.66369411895113883</v>
      </c>
      <c r="P76" s="164">
        <v>8.7801501544390093E-2</v>
      </c>
      <c r="Q76" s="164">
        <v>1.8081448493653032E-2</v>
      </c>
      <c r="U76" s="164">
        <v>4.8000000000000007</v>
      </c>
      <c r="V76" s="164">
        <v>7.0351755572894997E-2</v>
      </c>
      <c r="W76" s="164">
        <v>1</v>
      </c>
      <c r="X76" s="164">
        <v>4.8000000000000007</v>
      </c>
      <c r="Y76" s="164">
        <v>7.0379112970004265E-2</v>
      </c>
      <c r="Z76" s="164">
        <v>1</v>
      </c>
    </row>
    <row r="77" spans="2:26" x14ac:dyDescent="0.3">
      <c r="K77" s="164">
        <v>2</v>
      </c>
      <c r="L77" s="164">
        <v>0.96141448074992508</v>
      </c>
      <c r="M77" s="164">
        <v>0.1127019354038865</v>
      </c>
      <c r="N77" s="164">
        <v>1.4191216051512416E-3</v>
      </c>
      <c r="O77" s="164">
        <v>0.45483770490973363</v>
      </c>
      <c r="P77" s="164">
        <v>0.14266925618029347</v>
      </c>
      <c r="Q77" s="164">
        <v>0.32850860430442336</v>
      </c>
      <c r="U77" s="164">
        <v>13.266926291159535</v>
      </c>
      <c r="V77" s="164">
        <v>6.7636140954587698E-2</v>
      </c>
      <c r="W77" s="164">
        <v>0.96139947615815335</v>
      </c>
      <c r="X77" s="164">
        <v>13.267312770982517</v>
      </c>
      <c r="Y77" s="164">
        <v>6.7663498351696966E-2</v>
      </c>
      <c r="Z77" s="164">
        <v>0.96141448074992508</v>
      </c>
    </row>
    <row r="78" spans="2:26" x14ac:dyDescent="0.3">
      <c r="D78" s="164">
        <v>11.313694000244141</v>
      </c>
      <c r="K78" s="164">
        <v>3</v>
      </c>
      <c r="L78" s="164">
        <v>0.77516908709301924</v>
      </c>
      <c r="M78" s="164">
        <v>9.0869295324636626E-2</v>
      </c>
      <c r="N78" s="164">
        <v>6.9136764876515993E-3</v>
      </c>
      <c r="O78" s="164">
        <v>0.11294955863583241</v>
      </c>
      <c r="P78" s="164">
        <v>0.25074102946295479</v>
      </c>
      <c r="Q78" s="164">
        <v>1.5534636464897444</v>
      </c>
      <c r="U78" s="164">
        <v>11.144540898095906</v>
      </c>
      <c r="V78" s="164">
        <v>5.4528635744311375E-2</v>
      </c>
      <c r="W78" s="164">
        <v>0.77508564356736642</v>
      </c>
      <c r="X78" s="164">
        <v>11.161233267370077</v>
      </c>
      <c r="Y78" s="164">
        <v>5.4555712751374677E-2</v>
      </c>
      <c r="Z78" s="164">
        <v>0.77516908709301924</v>
      </c>
    </row>
    <row r="79" spans="2:26" x14ac:dyDescent="0.3">
      <c r="D79" s="164">
        <v>0.18245329726303131</v>
      </c>
      <c r="K79" s="164">
        <v>4</v>
      </c>
      <c r="L79" s="164">
        <v>0.23075891348202526</v>
      </c>
      <c r="M79" s="164">
        <v>2.7050743130929557E-2</v>
      </c>
      <c r="N79" s="164">
        <v>2.1926521650780613E-3</v>
      </c>
      <c r="O79" s="164">
        <v>0.22094534824133114</v>
      </c>
      <c r="P79" s="164">
        <v>0.22050447814601479</v>
      </c>
      <c r="Q79" s="164">
        <v>0.7222549235586212</v>
      </c>
      <c r="U79" s="164">
        <v>2.9156542474632339</v>
      </c>
      <c r="V79" s="164">
        <v>1.623591894881346E-2</v>
      </c>
      <c r="W79" s="164">
        <v>0.23078200133883806</v>
      </c>
      <c r="X79" s="164">
        <v>2.90785321686936</v>
      </c>
      <c r="Y79" s="164">
        <v>1.6240607640786896E-2</v>
      </c>
      <c r="Z79" s="164">
        <v>0.23075891348202526</v>
      </c>
    </row>
    <row r="80" spans="2:26" x14ac:dyDescent="0.3">
      <c r="D80" s="164">
        <v>6.5228169432653263E-2</v>
      </c>
      <c r="K80" s="164">
        <v>5</v>
      </c>
      <c r="L80" s="164">
        <v>5.4813286658467555E-4</v>
      </c>
      <c r="M80" s="164">
        <v>6.425494535342015E-5</v>
      </c>
      <c r="U80" s="164">
        <v>3.9388847311762005E-3</v>
      </c>
      <c r="V80" s="164">
        <v>3.8565959368087489E-5</v>
      </c>
      <c r="W80" s="164">
        <v>5.4818759040245067E-4</v>
      </c>
      <c r="X80" s="164">
        <v>3.9469506508976451E-3</v>
      </c>
      <c r="Y80" s="164">
        <v>3.8577104939935153E-5</v>
      </c>
      <c r="Z80" s="164">
        <v>5.4813286658467555E-4</v>
      </c>
    </row>
    <row r="81" spans="2:26" x14ac:dyDescent="0.3">
      <c r="W81" s="164">
        <v>26.877181566752061</v>
      </c>
      <c r="Z81" s="164">
        <v>26.879308210743645</v>
      </c>
    </row>
    <row r="82" spans="2:26" x14ac:dyDescent="0.3">
      <c r="W82" s="164">
        <v>381.8757637279723</v>
      </c>
      <c r="Z82" s="164">
        <v>381.90596269277285</v>
      </c>
    </row>
    <row r="83" spans="2:26" x14ac:dyDescent="0.3">
      <c r="W83" s="164">
        <v>1.666904332805931</v>
      </c>
      <c r="Z83" s="164">
        <v>1.6669043694045806</v>
      </c>
    </row>
    <row r="84" spans="2:26" x14ac:dyDescent="0.3">
      <c r="B84" s="164">
        <v>1.7600000000000002</v>
      </c>
      <c r="C84" s="164">
        <v>80.7</v>
      </c>
      <c r="D84" s="164">
        <v>0.19700000000000001</v>
      </c>
      <c r="E84" s="164">
        <v>0.22800000000000001</v>
      </c>
      <c r="F84" s="164">
        <v>1.8029999999999999</v>
      </c>
      <c r="G84" s="164">
        <v>0.78700000000000003</v>
      </c>
      <c r="H84" s="164">
        <v>0.64500000000000002</v>
      </c>
      <c r="I84" s="164">
        <v>1.4880000352859497</v>
      </c>
      <c r="J84" s="164">
        <v>0.49599999189376831</v>
      </c>
      <c r="K84" s="164">
        <v>1</v>
      </c>
      <c r="L84" s="164">
        <v>1</v>
      </c>
      <c r="M84" s="164">
        <v>0.11707555410824651</v>
      </c>
      <c r="N84" s="164">
        <v>4.8915277044689451E-4</v>
      </c>
      <c r="O84" s="164">
        <v>0.66409819788995961</v>
      </c>
      <c r="P84" s="164">
        <v>8.7698332453627334E-2</v>
      </c>
      <c r="Q84" s="164">
        <v>1.804145372160703E-2</v>
      </c>
      <c r="U84" s="164">
        <v>4.8000000000000007</v>
      </c>
      <c r="V84" s="164">
        <v>7.0309394144753179E-2</v>
      </c>
      <c r="W84" s="164">
        <v>1</v>
      </c>
      <c r="X84" s="164">
        <v>4.8000000000000007</v>
      </c>
      <c r="Y84" s="164">
        <v>7.0321536951180347E-2</v>
      </c>
      <c r="Z84" s="164">
        <v>1</v>
      </c>
    </row>
    <row r="85" spans="2:26" x14ac:dyDescent="0.3">
      <c r="K85" s="164">
        <v>2</v>
      </c>
      <c r="L85" s="164">
        <v>0.96143297055496346</v>
      </c>
      <c r="M85" s="164">
        <v>0.11256029776565979</v>
      </c>
      <c r="N85" s="164">
        <v>1.4131166335461126E-3</v>
      </c>
      <c r="O85" s="164">
        <v>0.45564237110482092</v>
      </c>
      <c r="P85" s="164">
        <v>0.14245908217411393</v>
      </c>
      <c r="Q85" s="164">
        <v>0.32697532269372642</v>
      </c>
      <c r="U85" s="164">
        <v>13.267519834348967</v>
      </c>
      <c r="V85" s="164">
        <v>6.7597301358536782E-2</v>
      </c>
      <c r="W85" s="164">
        <v>0.96142630982379496</v>
      </c>
      <c r="X85" s="164">
        <v>13.267683075568371</v>
      </c>
      <c r="Y85" s="164">
        <v>6.760944416496395E-2</v>
      </c>
      <c r="Z85" s="164">
        <v>0.96143297055496346</v>
      </c>
    </row>
    <row r="86" spans="2:26" x14ac:dyDescent="0.3">
      <c r="D86" s="164">
        <v>11.333022117614746</v>
      </c>
      <c r="K86" s="164">
        <v>3</v>
      </c>
      <c r="L86" s="164">
        <v>0.77573873176785779</v>
      </c>
      <c r="M86" s="164">
        <v>9.0820041864950365E-2</v>
      </c>
      <c r="N86" s="164">
        <v>6.9166555819620574E-3</v>
      </c>
      <c r="O86" s="164">
        <v>0.11291678859841738</v>
      </c>
      <c r="P86" s="164">
        <v>0.25074996674588618</v>
      </c>
      <c r="Q86" s="164">
        <v>1.5539119391090799</v>
      </c>
      <c r="U86" s="164">
        <v>11.162434854139477</v>
      </c>
      <c r="V86" s="164">
        <v>5.4539115065612362E-2</v>
      </c>
      <c r="W86" s="164">
        <v>0.77570167868787321</v>
      </c>
      <c r="X86" s="164">
        <v>11.170104173105374</v>
      </c>
      <c r="Y86" s="164">
        <v>5.4551139890475192E-2</v>
      </c>
      <c r="Z86" s="164">
        <v>0.77573873176785779</v>
      </c>
    </row>
    <row r="87" spans="2:26" x14ac:dyDescent="0.3">
      <c r="D87" s="164">
        <v>0.1822383122140479</v>
      </c>
      <c r="K87" s="164">
        <v>4</v>
      </c>
      <c r="L87" s="164">
        <v>0.23039814369964001</v>
      </c>
      <c r="M87" s="164">
        <v>2.6973990339146759E-2</v>
      </c>
      <c r="N87" s="164">
        <v>2.1864176469349504E-3</v>
      </c>
      <c r="O87" s="164">
        <v>0.22123837059405735</v>
      </c>
      <c r="P87" s="164">
        <v>0.22042342941015436</v>
      </c>
      <c r="Q87" s="164">
        <v>0.7199741185495343</v>
      </c>
      <c r="U87" s="164">
        <v>2.9075623098735188</v>
      </c>
      <c r="V87" s="164">
        <v>1.620020017959355E-2</v>
      </c>
      <c r="W87" s="164">
        <v>0.23041302484047199</v>
      </c>
      <c r="X87" s="164">
        <v>2.9032041129899473</v>
      </c>
      <c r="Y87" s="164">
        <v>1.6201951575657594E-2</v>
      </c>
      <c r="Z87" s="164">
        <v>0.23039814369964001</v>
      </c>
    </row>
    <row r="88" spans="2:26" x14ac:dyDescent="0.3">
      <c r="D88" s="164">
        <v>6.5162758105801397E-2</v>
      </c>
      <c r="K88" s="164">
        <v>5</v>
      </c>
      <c r="L88" s="164">
        <v>5.4866009434697703E-4</v>
      </c>
      <c r="M88" s="164">
        <v>6.4234684562755137E-5</v>
      </c>
      <c r="U88" s="164">
        <v>3.9465566394096645E-3</v>
      </c>
      <c r="V88" s="164">
        <v>3.8578446060976881E-5</v>
      </c>
      <c r="W88" s="164">
        <v>5.4869546993324204E-4</v>
      </c>
      <c r="X88" s="164">
        <v>3.9506073835193431E-3</v>
      </c>
      <c r="Y88" s="164">
        <v>3.8582621098259044E-5</v>
      </c>
      <c r="Z88" s="164">
        <v>5.4866009434697703E-4</v>
      </c>
    </row>
    <row r="89" spans="2:26" x14ac:dyDescent="0.3">
      <c r="W89" s="164">
        <v>26.889506346535264</v>
      </c>
      <c r="Z89" s="164">
        <v>26.89042448191703</v>
      </c>
    </row>
    <row r="90" spans="2:26" x14ac:dyDescent="0.3">
      <c r="W90" s="164">
        <v>382.37226641307734</v>
      </c>
      <c r="Z90" s="164">
        <v>382.38531855590827</v>
      </c>
    </row>
    <row r="91" spans="2:26" x14ac:dyDescent="0.3">
      <c r="W91" s="164">
        <v>1.6662036556184565</v>
      </c>
      <c r="Z91" s="164">
        <v>1.66620366403113</v>
      </c>
    </row>
    <row r="92" spans="2:26" x14ac:dyDescent="0.3">
      <c r="B92" s="164">
        <v>1.7600000000000002</v>
      </c>
      <c r="C92" s="164">
        <v>80.7</v>
      </c>
      <c r="D92" s="164">
        <v>0.19700000000000001</v>
      </c>
      <c r="E92" s="164">
        <v>0.22800000000000001</v>
      </c>
      <c r="F92" s="164">
        <v>1.802</v>
      </c>
      <c r="G92" s="164">
        <v>0.78700000000000003</v>
      </c>
      <c r="H92" s="164">
        <v>0.64400000000000002</v>
      </c>
      <c r="I92" s="164">
        <v>1.4869999885559082</v>
      </c>
      <c r="J92" s="164">
        <v>0.49599999189376831</v>
      </c>
      <c r="K92" s="164">
        <v>1</v>
      </c>
      <c r="L92" s="164">
        <v>1</v>
      </c>
      <c r="M92" s="164">
        <v>0.11700393051078728</v>
      </c>
      <c r="N92" s="164">
        <v>4.8875468539700856E-4</v>
      </c>
      <c r="O92" s="164">
        <v>0.66428529786340595</v>
      </c>
      <c r="P92" s="164">
        <v>8.765056224764102E-2</v>
      </c>
      <c r="Q92" s="164">
        <v>1.8023066839385014E-2</v>
      </c>
      <c r="U92" s="164">
        <v>4.8000000000000007</v>
      </c>
      <c r="V92" s="164">
        <v>7.0287657971819101E-2</v>
      </c>
      <c r="W92" s="164">
        <v>1</v>
      </c>
      <c r="X92" s="164">
        <v>4.8000000000000007</v>
      </c>
      <c r="Y92" s="164">
        <v>7.0292961690837277E-2</v>
      </c>
      <c r="Z92" s="164">
        <v>1</v>
      </c>
    </row>
    <row r="93" spans="2:26" x14ac:dyDescent="0.3">
      <c r="K93" s="164">
        <v>2</v>
      </c>
      <c r="L93" s="164">
        <v>0.9614407679155611</v>
      </c>
      <c r="M93" s="164">
        <v>0.11249234879943028</v>
      </c>
      <c r="N93" s="164">
        <v>1.4103436566866687E-3</v>
      </c>
      <c r="O93" s="164">
        <v>0.45601395000398642</v>
      </c>
      <c r="P93" s="164">
        <v>0.14236202798403341</v>
      </c>
      <c r="Q93" s="164">
        <v>0.32626951928241832</v>
      </c>
      <c r="U93" s="164">
        <v>13.267774993658497</v>
      </c>
      <c r="V93" s="164">
        <v>6.7577215348079533E-2</v>
      </c>
      <c r="W93" s="164">
        <v>0.96143785833885254</v>
      </c>
      <c r="X93" s="164">
        <v>13.267842445076166</v>
      </c>
      <c r="Y93" s="164">
        <v>6.758251906709771E-2</v>
      </c>
      <c r="Z93" s="164">
        <v>0.9614407679155611</v>
      </c>
    </row>
    <row r="94" spans="2:26" x14ac:dyDescent="0.3">
      <c r="D94" s="164">
        <v>11.342384338378906</v>
      </c>
      <c r="K94" s="164">
        <v>3</v>
      </c>
      <c r="L94" s="164">
        <v>0.77599747021150656</v>
      </c>
      <c r="M94" s="164">
        <v>9.0794754081173837E-2</v>
      </c>
      <c r="N94" s="164">
        <v>6.9182317639734899E-3</v>
      </c>
      <c r="O94" s="164">
        <v>0.11289945059629161</v>
      </c>
      <c r="P94" s="164">
        <v>0.25075469529192046</v>
      </c>
      <c r="Q94" s="164">
        <v>1.5541691955202646</v>
      </c>
      <c r="U94" s="164">
        <v>11.170637737457152</v>
      </c>
      <c r="V94" s="164">
        <v>5.4541905390742246E-2</v>
      </c>
      <c r="W94" s="164">
        <v>0.77598125993343092</v>
      </c>
      <c r="X94" s="164">
        <v>11.174130143041406</v>
      </c>
      <c r="Y94" s="164">
        <v>5.4547160445764069E-2</v>
      </c>
      <c r="Z94" s="164">
        <v>0.77599747021150656</v>
      </c>
    </row>
    <row r="95" spans="2:26" x14ac:dyDescent="0.3">
      <c r="D95" s="164">
        <v>0.18213495423698212</v>
      </c>
      <c r="K95" s="164">
        <v>4</v>
      </c>
      <c r="L95" s="164">
        <v>0.230198704140745</v>
      </c>
      <c r="M95" s="164">
        <v>2.693415318295701E-2</v>
      </c>
      <c r="N95" s="164">
        <v>2.1831816907009654E-3</v>
      </c>
      <c r="O95" s="164">
        <v>0.22139046053705463</v>
      </c>
      <c r="P95" s="164">
        <v>0.22038136197911254</v>
      </c>
      <c r="Q95" s="164">
        <v>0.71879655444156021</v>
      </c>
      <c r="U95" s="164">
        <v>2.9030166106154645</v>
      </c>
      <c r="V95" s="164">
        <v>1.6180764210654078E-2</v>
      </c>
      <c r="W95" s="164">
        <v>0.23020775876671748</v>
      </c>
      <c r="X95" s="164">
        <v>2.9006177604606407</v>
      </c>
      <c r="Y95" s="164">
        <v>1.6181348691445774E-2</v>
      </c>
      <c r="Z95" s="164">
        <v>0.230198704140745</v>
      </c>
    </row>
    <row r="96" spans="2:26" x14ac:dyDescent="0.3">
      <c r="D96" s="164">
        <v>6.5131023726194837E-2</v>
      </c>
      <c r="K96" s="164">
        <v>5</v>
      </c>
      <c r="L96" s="164">
        <v>5.4891046601318041E-4</v>
      </c>
      <c r="M96" s="164">
        <v>6.4224682022050029E-5</v>
      </c>
      <c r="U96" s="164">
        <v>3.9503526792982347E-3</v>
      </c>
      <c r="V96" s="164">
        <v>3.8583146487038699E-5</v>
      </c>
      <c r="W96" s="164">
        <v>5.4893202591140672E-4</v>
      </c>
      <c r="X96" s="164">
        <v>3.9523105865621284E-3</v>
      </c>
      <c r="Y96" s="164">
        <v>3.8584542359164126E-5</v>
      </c>
      <c r="Z96" s="164">
        <v>5.4891046601318041E-4</v>
      </c>
    </row>
    <row r="97" spans="2:26" x14ac:dyDescent="0.3">
      <c r="W97" s="164">
        <v>26.894868495453196</v>
      </c>
      <c r="Z97" s="164">
        <v>26.895255451323177</v>
      </c>
    </row>
    <row r="98" spans="2:26" x14ac:dyDescent="0.3">
      <c r="W98" s="164">
        <v>382.60776416726549</v>
      </c>
      <c r="Z98" s="164">
        <v>382.61326813669803</v>
      </c>
    </row>
    <row r="99" spans="2:26" x14ac:dyDescent="0.3">
      <c r="W99" s="164">
        <v>1.6658568695939564</v>
      </c>
      <c r="Z99" s="164">
        <v>1.6658568715192741</v>
      </c>
    </row>
    <row r="100" spans="2:26" x14ac:dyDescent="0.3">
      <c r="B100" s="164">
        <v>1.7600000000000002</v>
      </c>
      <c r="C100" s="164">
        <v>80.7</v>
      </c>
      <c r="D100" s="164">
        <v>0.19700000000000001</v>
      </c>
      <c r="E100" s="164">
        <v>0.22800000000000001</v>
      </c>
      <c r="F100" s="164">
        <v>1.802</v>
      </c>
      <c r="G100" s="164">
        <v>0.78700000000000003</v>
      </c>
      <c r="H100" s="164">
        <v>0.64400000000000002</v>
      </c>
      <c r="I100" s="164">
        <v>1.4859999418258667</v>
      </c>
      <c r="J100" s="164">
        <v>0.49500000476837158</v>
      </c>
      <c r="K100" s="164">
        <v>1</v>
      </c>
      <c r="L100" s="164">
        <v>1</v>
      </c>
      <c r="M100" s="164">
        <v>0.1169697932715878</v>
      </c>
      <c r="N100" s="164">
        <v>4.8857051333438663E-4</v>
      </c>
      <c r="O100" s="164">
        <v>0.66437185873283833</v>
      </c>
      <c r="P100" s="164">
        <v>8.7628461600126384E-2</v>
      </c>
      <c r="Q100" s="164">
        <v>1.8014560439627757E-2</v>
      </c>
      <c r="U100" s="164">
        <v>4.8000000000000007</v>
      </c>
      <c r="V100" s="164">
        <v>7.0276845383811168E-2</v>
      </c>
      <c r="W100" s="164">
        <v>1</v>
      </c>
      <c r="X100" s="164">
        <v>4.8000000000000007</v>
      </c>
      <c r="Y100" s="164">
        <v>7.0279139190786405E-2</v>
      </c>
      <c r="Z100" s="164">
        <v>1</v>
      </c>
    </row>
    <row r="101" spans="2:26" x14ac:dyDescent="0.3">
      <c r="K101" s="164">
        <v>2</v>
      </c>
      <c r="L101" s="164">
        <v>0.9614440486264958</v>
      </c>
      <c r="M101" s="164">
        <v>0.11245991161003961</v>
      </c>
      <c r="N101" s="164">
        <v>1.4090656607967575E-3</v>
      </c>
      <c r="O101" s="164">
        <v>0.45618520145323449</v>
      </c>
      <c r="P101" s="164">
        <v>0.14231729812788652</v>
      </c>
      <c r="Q101" s="164">
        <v>0.32594407555471711</v>
      </c>
      <c r="U101" s="164">
        <v>13.267882597234744</v>
      </c>
      <c r="V101" s="164">
        <v>6.7567166310599475E-2</v>
      </c>
      <c r="W101" s="164">
        <v>0.96144279017629486</v>
      </c>
      <c r="X101" s="164">
        <v>13.267910504432869</v>
      </c>
      <c r="Y101" s="164">
        <v>6.7569460117574712E-2</v>
      </c>
      <c r="Z101" s="164">
        <v>0.9614440486264958</v>
      </c>
    </row>
    <row r="102" spans="2:26" x14ac:dyDescent="0.3">
      <c r="D102" s="164">
        <v>11.346880912780762</v>
      </c>
      <c r="K102" s="164">
        <v>3</v>
      </c>
      <c r="L102" s="164">
        <v>0.77611472011606697</v>
      </c>
      <c r="M102" s="164">
        <v>9.0781978367012572E-2</v>
      </c>
      <c r="N102" s="164">
        <v>6.9190825432029071E-3</v>
      </c>
      <c r="O102" s="164">
        <v>0.11289009202476802</v>
      </c>
      <c r="P102" s="164">
        <v>0.25075724762960871</v>
      </c>
      <c r="Q102" s="164">
        <v>1.5543127750122792</v>
      </c>
      <c r="U102" s="164">
        <v>11.174363571045694</v>
      </c>
      <c r="V102" s="164">
        <v>5.4542400753806147E-2</v>
      </c>
      <c r="W102" s="164">
        <v>0.77610769885767272</v>
      </c>
      <c r="X102" s="164">
        <v>11.175950863550488</v>
      </c>
      <c r="Y102" s="164">
        <v>5.4544674443055302E-2</v>
      </c>
      <c r="Z102" s="164">
        <v>0.77611472011606697</v>
      </c>
    </row>
    <row r="103" spans="2:26" x14ac:dyDescent="0.3">
      <c r="D103" s="164">
        <v>0.18208554366142146</v>
      </c>
      <c r="K103" s="164">
        <v>4</v>
      </c>
      <c r="L103" s="164">
        <v>0.23008952456274889</v>
      </c>
      <c r="M103" s="164">
        <v>2.691352412206266E-2</v>
      </c>
      <c r="N103" s="164">
        <v>2.1815060001985982E-3</v>
      </c>
      <c r="O103" s="164">
        <v>0.22146921799066588</v>
      </c>
      <c r="P103" s="164">
        <v>0.22035957800258177</v>
      </c>
      <c r="Q103" s="164">
        <v>0.71818693751700635</v>
      </c>
      <c r="U103" s="164">
        <v>2.9005036721733872</v>
      </c>
      <c r="V103" s="164">
        <v>1.6170339520198668E-2</v>
      </c>
      <c r="W103" s="164">
        <v>0.23009484036862637</v>
      </c>
      <c r="X103" s="164">
        <v>2.8991949886446928</v>
      </c>
      <c r="Y103" s="164">
        <v>1.6170493723087296E-2</v>
      </c>
      <c r="Z103" s="164">
        <v>0.23008952456274889</v>
      </c>
    </row>
    <row r="104" spans="2:26" x14ac:dyDescent="0.3">
      <c r="D104" s="164">
        <v>6.5115750389833665E-2</v>
      </c>
      <c r="K104" s="164">
        <v>5</v>
      </c>
      <c r="L104" s="164">
        <v>5.4902639764993488E-4</v>
      </c>
      <c r="M104" s="164">
        <v>6.4219504233757439E-5</v>
      </c>
      <c r="U104" s="164">
        <v>3.9521553552948991E-3</v>
      </c>
      <c r="V104" s="164">
        <v>3.8584733606215741E-5</v>
      </c>
      <c r="W104" s="164">
        <v>5.4903906678634216E-4</v>
      </c>
      <c r="X104" s="164">
        <v>3.9530812808616636E-3</v>
      </c>
      <c r="Y104" s="164">
        <v>3.858510261985582E-5</v>
      </c>
      <c r="Z104" s="164">
        <v>5.4902639764993488E-4</v>
      </c>
    </row>
    <row r="105" spans="2:26" x14ac:dyDescent="0.3">
      <c r="W105" s="164">
        <v>26.897170380953682</v>
      </c>
      <c r="Z105" s="164">
        <v>26.897329891312697</v>
      </c>
    </row>
    <row r="106" spans="2:26" x14ac:dyDescent="0.3">
      <c r="W106" s="164">
        <v>382.71738583747901</v>
      </c>
      <c r="Z106" s="164">
        <v>382.71965529733643</v>
      </c>
    </row>
    <row r="107" spans="2:26" x14ac:dyDescent="0.3">
      <c r="W107" s="164">
        <v>1.6656895541453816</v>
      </c>
      <c r="Z107" s="164">
        <v>1.6656895545773474</v>
      </c>
    </row>
  </sheetData>
  <phoneticPr fontId="2"/>
  <pageMargins left="0.7" right="0.7" top="0.75" bottom="0.75" header="0.3" footer="0.3"/>
  <pageSetup paperSize="9" orientation="portrait" horizontalDpi="360" verticalDpi="36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D3AD1-5077-4E58-B4AF-47419120A90F}">
  <sheetPr codeName="Sheet11"/>
  <dimension ref="A1:H40"/>
  <sheetViews>
    <sheetView workbookViewId="0">
      <selection activeCell="E7" sqref="E7"/>
    </sheetView>
  </sheetViews>
  <sheetFormatPr defaultRowHeight="12.9" x14ac:dyDescent="0.3"/>
  <cols>
    <col min="1" max="1" width="11.41015625" style="164" bestFit="1" customWidth="1"/>
    <col min="2" max="9" width="15.52734375" style="164" customWidth="1"/>
    <col min="10" max="256" width="9.1171875" style="164"/>
    <col min="257" max="257" width="11.41015625" style="164" bestFit="1" customWidth="1"/>
    <col min="258" max="265" width="15.52734375" style="164" customWidth="1"/>
    <col min="266" max="512" width="9.1171875" style="164"/>
    <col min="513" max="513" width="11.41015625" style="164" bestFit="1" customWidth="1"/>
    <col min="514" max="521" width="15.52734375" style="164" customWidth="1"/>
    <col min="522" max="768" width="9.1171875" style="164"/>
    <col min="769" max="769" width="11.41015625" style="164" bestFit="1" customWidth="1"/>
    <col min="770" max="777" width="15.52734375" style="164" customWidth="1"/>
    <col min="778" max="1024" width="9.1171875" style="164"/>
    <col min="1025" max="1025" width="11.41015625" style="164" bestFit="1" customWidth="1"/>
    <col min="1026" max="1033" width="15.52734375" style="164" customWidth="1"/>
    <col min="1034" max="1280" width="9.1171875" style="164"/>
    <col min="1281" max="1281" width="11.41015625" style="164" bestFit="1" customWidth="1"/>
    <col min="1282" max="1289" width="15.52734375" style="164" customWidth="1"/>
    <col min="1290" max="1536" width="9.1171875" style="164"/>
    <col min="1537" max="1537" width="11.41015625" style="164" bestFit="1" customWidth="1"/>
    <col min="1538" max="1545" width="15.52734375" style="164" customWidth="1"/>
    <col min="1546" max="1792" width="9.1171875" style="164"/>
    <col min="1793" max="1793" width="11.41015625" style="164" bestFit="1" customWidth="1"/>
    <col min="1794" max="1801" width="15.52734375" style="164" customWidth="1"/>
    <col min="1802" max="2048" width="9.1171875" style="164"/>
    <col min="2049" max="2049" width="11.41015625" style="164" bestFit="1" customWidth="1"/>
    <col min="2050" max="2057" width="15.52734375" style="164" customWidth="1"/>
    <col min="2058" max="2304" width="9.1171875" style="164"/>
    <col min="2305" max="2305" width="11.41015625" style="164" bestFit="1" customWidth="1"/>
    <col min="2306" max="2313" width="15.52734375" style="164" customWidth="1"/>
    <col min="2314" max="2560" width="9.1171875" style="164"/>
    <col min="2561" max="2561" width="11.41015625" style="164" bestFit="1" customWidth="1"/>
    <col min="2562" max="2569" width="15.52734375" style="164" customWidth="1"/>
    <col min="2570" max="2816" width="9.1171875" style="164"/>
    <col min="2817" max="2817" width="11.41015625" style="164" bestFit="1" customWidth="1"/>
    <col min="2818" max="2825" width="15.52734375" style="164" customWidth="1"/>
    <col min="2826" max="3072" width="9.1171875" style="164"/>
    <col min="3073" max="3073" width="11.41015625" style="164" bestFit="1" customWidth="1"/>
    <col min="3074" max="3081" width="15.52734375" style="164" customWidth="1"/>
    <col min="3082" max="3328" width="9.1171875" style="164"/>
    <col min="3329" max="3329" width="11.41015625" style="164" bestFit="1" customWidth="1"/>
    <col min="3330" max="3337" width="15.52734375" style="164" customWidth="1"/>
    <col min="3338" max="3584" width="9.1171875" style="164"/>
    <col min="3585" max="3585" width="11.41015625" style="164" bestFit="1" customWidth="1"/>
    <col min="3586" max="3593" width="15.52734375" style="164" customWidth="1"/>
    <col min="3594" max="3840" width="9.1171875" style="164"/>
    <col min="3841" max="3841" width="11.41015625" style="164" bestFit="1" customWidth="1"/>
    <col min="3842" max="3849" width="15.52734375" style="164" customWidth="1"/>
    <col min="3850" max="4096" width="9.1171875" style="164"/>
    <col min="4097" max="4097" width="11.41015625" style="164" bestFit="1" customWidth="1"/>
    <col min="4098" max="4105" width="15.52734375" style="164" customWidth="1"/>
    <col min="4106" max="4352" width="9.1171875" style="164"/>
    <col min="4353" max="4353" width="11.41015625" style="164" bestFit="1" customWidth="1"/>
    <col min="4354" max="4361" width="15.52734375" style="164" customWidth="1"/>
    <col min="4362" max="4608" width="9.1171875" style="164"/>
    <col min="4609" max="4609" width="11.41015625" style="164" bestFit="1" customWidth="1"/>
    <col min="4610" max="4617" width="15.52734375" style="164" customWidth="1"/>
    <col min="4618" max="4864" width="9.1171875" style="164"/>
    <col min="4865" max="4865" width="11.41015625" style="164" bestFit="1" customWidth="1"/>
    <col min="4866" max="4873" width="15.52734375" style="164" customWidth="1"/>
    <col min="4874" max="5120" width="9.1171875" style="164"/>
    <col min="5121" max="5121" width="11.41015625" style="164" bestFit="1" customWidth="1"/>
    <col min="5122" max="5129" width="15.52734375" style="164" customWidth="1"/>
    <col min="5130" max="5376" width="9.1171875" style="164"/>
    <col min="5377" max="5377" width="11.41015625" style="164" bestFit="1" customWidth="1"/>
    <col min="5378" max="5385" width="15.52734375" style="164" customWidth="1"/>
    <col min="5386" max="5632" width="9.1171875" style="164"/>
    <col min="5633" max="5633" width="11.41015625" style="164" bestFit="1" customWidth="1"/>
    <col min="5634" max="5641" width="15.52734375" style="164" customWidth="1"/>
    <col min="5642" max="5888" width="9.1171875" style="164"/>
    <col min="5889" max="5889" width="11.41015625" style="164" bestFit="1" customWidth="1"/>
    <col min="5890" max="5897" width="15.52734375" style="164" customWidth="1"/>
    <col min="5898" max="6144" width="9.1171875" style="164"/>
    <col min="6145" max="6145" width="11.41015625" style="164" bestFit="1" customWidth="1"/>
    <col min="6146" max="6153" width="15.52734375" style="164" customWidth="1"/>
    <col min="6154" max="6400" width="9.1171875" style="164"/>
    <col min="6401" max="6401" width="11.41015625" style="164" bestFit="1" customWidth="1"/>
    <col min="6402" max="6409" width="15.52734375" style="164" customWidth="1"/>
    <col min="6410" max="6656" width="9.1171875" style="164"/>
    <col min="6657" max="6657" width="11.41015625" style="164" bestFit="1" customWidth="1"/>
    <col min="6658" max="6665" width="15.52734375" style="164" customWidth="1"/>
    <col min="6666" max="6912" width="9.1171875" style="164"/>
    <col min="6913" max="6913" width="11.41015625" style="164" bestFit="1" customWidth="1"/>
    <col min="6914" max="6921" width="15.52734375" style="164" customWidth="1"/>
    <col min="6922" max="7168" width="9.1171875" style="164"/>
    <col min="7169" max="7169" width="11.41015625" style="164" bestFit="1" customWidth="1"/>
    <col min="7170" max="7177" width="15.52734375" style="164" customWidth="1"/>
    <col min="7178" max="7424" width="9.1171875" style="164"/>
    <col min="7425" max="7425" width="11.41015625" style="164" bestFit="1" customWidth="1"/>
    <col min="7426" max="7433" width="15.52734375" style="164" customWidth="1"/>
    <col min="7434" max="7680" width="9.1171875" style="164"/>
    <col min="7681" max="7681" width="11.41015625" style="164" bestFit="1" customWidth="1"/>
    <col min="7682" max="7689" width="15.52734375" style="164" customWidth="1"/>
    <col min="7690" max="7936" width="9.1171875" style="164"/>
    <col min="7937" max="7937" width="11.41015625" style="164" bestFit="1" customWidth="1"/>
    <col min="7938" max="7945" width="15.52734375" style="164" customWidth="1"/>
    <col min="7946" max="8192" width="9.1171875" style="164"/>
    <col min="8193" max="8193" width="11.41015625" style="164" bestFit="1" customWidth="1"/>
    <col min="8194" max="8201" width="15.52734375" style="164" customWidth="1"/>
    <col min="8202" max="8448" width="9.1171875" style="164"/>
    <col min="8449" max="8449" width="11.41015625" style="164" bestFit="1" customWidth="1"/>
    <col min="8450" max="8457" width="15.52734375" style="164" customWidth="1"/>
    <col min="8458" max="8704" width="9.1171875" style="164"/>
    <col min="8705" max="8705" width="11.41015625" style="164" bestFit="1" customWidth="1"/>
    <col min="8706" max="8713" width="15.52734375" style="164" customWidth="1"/>
    <col min="8714" max="8960" width="9.1171875" style="164"/>
    <col min="8961" max="8961" width="11.41015625" style="164" bestFit="1" customWidth="1"/>
    <col min="8962" max="8969" width="15.52734375" style="164" customWidth="1"/>
    <col min="8970" max="9216" width="9.1171875" style="164"/>
    <col min="9217" max="9217" width="11.41015625" style="164" bestFit="1" customWidth="1"/>
    <col min="9218" max="9225" width="15.52734375" style="164" customWidth="1"/>
    <col min="9226" max="9472" width="9.1171875" style="164"/>
    <col min="9473" max="9473" width="11.41015625" style="164" bestFit="1" customWidth="1"/>
    <col min="9474" max="9481" width="15.52734375" style="164" customWidth="1"/>
    <col min="9482" max="9728" width="9.1171875" style="164"/>
    <col min="9729" max="9729" width="11.41015625" style="164" bestFit="1" customWidth="1"/>
    <col min="9730" max="9737" width="15.52734375" style="164" customWidth="1"/>
    <col min="9738" max="9984" width="9.1171875" style="164"/>
    <col min="9985" max="9985" width="11.41015625" style="164" bestFit="1" customWidth="1"/>
    <col min="9986" max="9993" width="15.52734375" style="164" customWidth="1"/>
    <col min="9994" max="10240" width="9.1171875" style="164"/>
    <col min="10241" max="10241" width="11.41015625" style="164" bestFit="1" customWidth="1"/>
    <col min="10242" max="10249" width="15.52734375" style="164" customWidth="1"/>
    <col min="10250" max="10496" width="9.1171875" style="164"/>
    <col min="10497" max="10497" width="11.41015625" style="164" bestFit="1" customWidth="1"/>
    <col min="10498" max="10505" width="15.52734375" style="164" customWidth="1"/>
    <col min="10506" max="10752" width="9.1171875" style="164"/>
    <col min="10753" max="10753" width="11.41015625" style="164" bestFit="1" customWidth="1"/>
    <col min="10754" max="10761" width="15.52734375" style="164" customWidth="1"/>
    <col min="10762" max="11008" width="9.1171875" style="164"/>
    <col min="11009" max="11009" width="11.41015625" style="164" bestFit="1" customWidth="1"/>
    <col min="11010" max="11017" width="15.52734375" style="164" customWidth="1"/>
    <col min="11018" max="11264" width="9.1171875" style="164"/>
    <col min="11265" max="11265" width="11.41015625" style="164" bestFit="1" customWidth="1"/>
    <col min="11266" max="11273" width="15.52734375" style="164" customWidth="1"/>
    <col min="11274" max="11520" width="9.1171875" style="164"/>
    <col min="11521" max="11521" width="11.41015625" style="164" bestFit="1" customWidth="1"/>
    <col min="11522" max="11529" width="15.52734375" style="164" customWidth="1"/>
    <col min="11530" max="11776" width="9.1171875" style="164"/>
    <col min="11777" max="11777" width="11.41015625" style="164" bestFit="1" customWidth="1"/>
    <col min="11778" max="11785" width="15.52734375" style="164" customWidth="1"/>
    <col min="11786" max="12032" width="9.1171875" style="164"/>
    <col min="12033" max="12033" width="11.41015625" style="164" bestFit="1" customWidth="1"/>
    <col min="12034" max="12041" width="15.52734375" style="164" customWidth="1"/>
    <col min="12042" max="12288" width="9.1171875" style="164"/>
    <col min="12289" max="12289" width="11.41015625" style="164" bestFit="1" customWidth="1"/>
    <col min="12290" max="12297" width="15.52734375" style="164" customWidth="1"/>
    <col min="12298" max="12544" width="9.1171875" style="164"/>
    <col min="12545" max="12545" width="11.41015625" style="164" bestFit="1" customWidth="1"/>
    <col min="12546" max="12553" width="15.52734375" style="164" customWidth="1"/>
    <col min="12554" max="12800" width="9.1171875" style="164"/>
    <col min="12801" max="12801" width="11.41015625" style="164" bestFit="1" customWidth="1"/>
    <col min="12802" max="12809" width="15.52734375" style="164" customWidth="1"/>
    <col min="12810" max="13056" width="9.1171875" style="164"/>
    <col min="13057" max="13057" width="11.41015625" style="164" bestFit="1" customWidth="1"/>
    <col min="13058" max="13065" width="15.52734375" style="164" customWidth="1"/>
    <col min="13066" max="13312" width="9.1171875" style="164"/>
    <col min="13313" max="13313" width="11.41015625" style="164" bestFit="1" customWidth="1"/>
    <col min="13314" max="13321" width="15.52734375" style="164" customWidth="1"/>
    <col min="13322" max="13568" width="9.1171875" style="164"/>
    <col min="13569" max="13569" width="11.41015625" style="164" bestFit="1" customWidth="1"/>
    <col min="13570" max="13577" width="15.52734375" style="164" customWidth="1"/>
    <col min="13578" max="13824" width="9.1171875" style="164"/>
    <col min="13825" max="13825" width="11.41015625" style="164" bestFit="1" customWidth="1"/>
    <col min="13826" max="13833" width="15.52734375" style="164" customWidth="1"/>
    <col min="13834" max="14080" width="9.1171875" style="164"/>
    <col min="14081" max="14081" width="11.41015625" style="164" bestFit="1" customWidth="1"/>
    <col min="14082" max="14089" width="15.52734375" style="164" customWidth="1"/>
    <col min="14090" max="14336" width="9.1171875" style="164"/>
    <col min="14337" max="14337" width="11.41015625" style="164" bestFit="1" customWidth="1"/>
    <col min="14338" max="14345" width="15.52734375" style="164" customWidth="1"/>
    <col min="14346" max="14592" width="9.1171875" style="164"/>
    <col min="14593" max="14593" width="11.41015625" style="164" bestFit="1" customWidth="1"/>
    <col min="14594" max="14601" width="15.52734375" style="164" customWidth="1"/>
    <col min="14602" max="14848" width="9.1171875" style="164"/>
    <col min="14849" max="14849" width="11.41015625" style="164" bestFit="1" customWidth="1"/>
    <col min="14850" max="14857" width="15.52734375" style="164" customWidth="1"/>
    <col min="14858" max="15104" width="9.1171875" style="164"/>
    <col min="15105" max="15105" width="11.41015625" style="164" bestFit="1" customWidth="1"/>
    <col min="15106" max="15113" width="15.52734375" style="164" customWidth="1"/>
    <col min="15114" max="15360" width="9.1171875" style="164"/>
    <col min="15361" max="15361" width="11.41015625" style="164" bestFit="1" customWidth="1"/>
    <col min="15362" max="15369" width="15.52734375" style="164" customWidth="1"/>
    <col min="15370" max="15616" width="9.1171875" style="164"/>
    <col min="15617" max="15617" width="11.41015625" style="164" bestFit="1" customWidth="1"/>
    <col min="15618" max="15625" width="15.52734375" style="164" customWidth="1"/>
    <col min="15626" max="15872" width="9.1171875" style="164"/>
    <col min="15873" max="15873" width="11.41015625" style="164" bestFit="1" customWidth="1"/>
    <col min="15874" max="15881" width="15.52734375" style="164" customWidth="1"/>
    <col min="15882" max="16128" width="9.1171875" style="164"/>
    <col min="16129" max="16129" width="11.41015625" style="164" bestFit="1" customWidth="1"/>
    <col min="16130" max="16137" width="15.52734375" style="164" customWidth="1"/>
    <col min="16138" max="16384" width="9.1171875" style="164"/>
  </cols>
  <sheetData>
    <row r="1" spans="1:8" x14ac:dyDescent="0.3">
      <c r="A1" s="164">
        <v>-4.8999999999999988E-2</v>
      </c>
      <c r="B1" s="164">
        <v>4.0000000000000002E-4</v>
      </c>
    </row>
    <row r="2" spans="1:8" x14ac:dyDescent="0.3">
      <c r="A2" s="167"/>
      <c r="C2" s="164" t="s">
        <v>233</v>
      </c>
      <c r="G2" s="164" t="s">
        <v>233</v>
      </c>
    </row>
    <row r="3" spans="1:8" x14ac:dyDescent="0.3">
      <c r="B3" s="164" t="s">
        <v>234</v>
      </c>
      <c r="C3" s="164" t="s">
        <v>195</v>
      </c>
      <c r="D3" s="164" t="s">
        <v>198</v>
      </c>
      <c r="F3" s="164" t="s">
        <v>234</v>
      </c>
      <c r="G3" s="164" t="s">
        <v>195</v>
      </c>
      <c r="H3" s="164" t="s">
        <v>198</v>
      </c>
    </row>
    <row r="4" spans="1:8" x14ac:dyDescent="0.3">
      <c r="A4" s="164">
        <v>1</v>
      </c>
      <c r="B4" s="167">
        <v>1.0000000000000001E-5</v>
      </c>
      <c r="C4" s="168">
        <v>1</v>
      </c>
      <c r="D4" s="168">
        <v>1</v>
      </c>
      <c r="F4" s="167">
        <v>1.0000000000000001E-5</v>
      </c>
      <c r="G4" s="168">
        <v>0.02</v>
      </c>
      <c r="H4" s="168">
        <v>0.02</v>
      </c>
    </row>
    <row r="5" spans="1:8" x14ac:dyDescent="0.3">
      <c r="A5" s="164">
        <v>2</v>
      </c>
      <c r="B5" s="167">
        <v>2.0000000000000002E-5</v>
      </c>
      <c r="C5" s="168">
        <v>0.99</v>
      </c>
      <c r="D5" s="164">
        <v>0.97899999999999998</v>
      </c>
      <c r="F5" s="167">
        <v>2.0000000000000002E-5</v>
      </c>
      <c r="G5" s="168">
        <v>0.02</v>
      </c>
      <c r="H5" s="168">
        <v>0.02</v>
      </c>
    </row>
    <row r="6" spans="1:8" x14ac:dyDescent="0.3">
      <c r="A6" s="164">
        <v>3</v>
      </c>
      <c r="B6" s="167">
        <v>3.0000000000000001E-5</v>
      </c>
      <c r="C6" s="168">
        <v>0.98299999999999998</v>
      </c>
      <c r="D6" s="164">
        <v>0.96199999999999997</v>
      </c>
      <c r="F6" s="167">
        <v>3.0000000000000001E-5</v>
      </c>
      <c r="G6" s="168">
        <v>0.02</v>
      </c>
      <c r="H6" s="168">
        <v>0.02</v>
      </c>
    </row>
    <row r="7" spans="1:8" x14ac:dyDescent="0.3">
      <c r="A7" s="164">
        <v>4</v>
      </c>
      <c r="B7" s="167">
        <v>4.0000000000000003E-5</v>
      </c>
      <c r="C7" s="168">
        <v>0.97499999999999998</v>
      </c>
      <c r="D7" s="164">
        <v>0.94199999999999995</v>
      </c>
      <c r="F7" s="167">
        <v>4.0000000000000003E-5</v>
      </c>
      <c r="G7" s="168">
        <v>0.02</v>
      </c>
      <c r="H7" s="168">
        <v>0.02</v>
      </c>
    </row>
    <row r="8" spans="1:8" x14ac:dyDescent="0.3">
      <c r="A8" s="164">
        <v>5</v>
      </c>
      <c r="B8" s="167">
        <v>5.0000000000000002E-5</v>
      </c>
      <c r="C8" s="168">
        <v>0.96599999999999997</v>
      </c>
      <c r="D8" s="164">
        <v>0.92200000000000004</v>
      </c>
      <c r="F8" s="167">
        <v>5.0000000000000002E-5</v>
      </c>
      <c r="G8" s="168">
        <v>0.02</v>
      </c>
      <c r="H8" s="168">
        <v>2.1999999999999999E-2</v>
      </c>
    </row>
    <row r="9" spans="1:8" x14ac:dyDescent="0.3">
      <c r="A9" s="164">
        <v>6</v>
      </c>
      <c r="B9" s="167">
        <v>6.0000000000000002E-5</v>
      </c>
      <c r="C9" s="168">
        <v>0.95699999999999996</v>
      </c>
      <c r="D9" s="164">
        <v>0.90100000000000002</v>
      </c>
      <c r="F9" s="167">
        <v>6.0000000000000002E-5</v>
      </c>
      <c r="G9" s="168">
        <v>0.02</v>
      </c>
      <c r="H9" s="168">
        <v>2.8000000000000001E-2</v>
      </c>
    </row>
    <row r="10" spans="1:8" x14ac:dyDescent="0.3">
      <c r="A10" s="164">
        <v>7</v>
      </c>
      <c r="B10" s="167">
        <v>6.9999999999999994E-5</v>
      </c>
      <c r="C10" s="168">
        <v>0.94799999999999995</v>
      </c>
      <c r="D10" s="164">
        <v>0.88100000000000001</v>
      </c>
      <c r="F10" s="167">
        <v>6.9999999999999994E-5</v>
      </c>
      <c r="G10" s="168">
        <v>0.02</v>
      </c>
      <c r="H10" s="168">
        <v>3.4000000000000002E-2</v>
      </c>
    </row>
    <row r="11" spans="1:8" x14ac:dyDescent="0.3">
      <c r="A11" s="164">
        <v>8</v>
      </c>
      <c r="B11" s="167">
        <v>8.0000000000000007E-5</v>
      </c>
      <c r="C11" s="168">
        <v>0.93899999999999995</v>
      </c>
      <c r="D11" s="164">
        <v>0.86099999999999999</v>
      </c>
      <c r="F11" s="167">
        <v>8.0000000000000007E-5</v>
      </c>
      <c r="G11" s="168">
        <v>0.02</v>
      </c>
      <c r="H11" s="168">
        <v>3.9E-2</v>
      </c>
    </row>
    <row r="12" spans="1:8" x14ac:dyDescent="0.3">
      <c r="A12" s="164">
        <v>9</v>
      </c>
      <c r="B12" s="167">
        <v>9.0000000000000006E-5</v>
      </c>
      <c r="C12" s="168">
        <v>0.93</v>
      </c>
      <c r="D12" s="164">
        <v>0.84199999999999997</v>
      </c>
      <c r="F12" s="167">
        <v>9.0000000000000006E-5</v>
      </c>
      <c r="G12" s="168">
        <v>0.02</v>
      </c>
      <c r="H12" s="168">
        <v>4.4999999999999998E-2</v>
      </c>
    </row>
    <row r="13" spans="1:8" x14ac:dyDescent="0.3">
      <c r="A13" s="164">
        <v>10</v>
      </c>
      <c r="B13" s="167">
        <v>1E-4</v>
      </c>
      <c r="C13" s="168">
        <v>0.92</v>
      </c>
      <c r="D13" s="164">
        <v>0.82299999999999995</v>
      </c>
      <c r="F13" s="167">
        <v>1E-4</v>
      </c>
      <c r="G13" s="168">
        <v>2.1000000000000001E-2</v>
      </c>
      <c r="H13" s="168">
        <v>0.05</v>
      </c>
    </row>
    <row r="14" spans="1:8" x14ac:dyDescent="0.3">
      <c r="A14" s="164">
        <v>11</v>
      </c>
      <c r="B14" s="167">
        <v>2.0000000000000001E-4</v>
      </c>
      <c r="C14" s="168">
        <v>0.83399999999999996</v>
      </c>
      <c r="D14" s="164">
        <v>0.67800000000000005</v>
      </c>
      <c r="F14" s="167">
        <v>2.0000000000000001E-4</v>
      </c>
      <c r="G14" s="168">
        <v>4.3999999999999997E-2</v>
      </c>
      <c r="H14" s="168">
        <v>9.0999999999999998E-2</v>
      </c>
    </row>
    <row r="15" spans="1:8" x14ac:dyDescent="0.3">
      <c r="A15" s="164">
        <v>12</v>
      </c>
      <c r="B15" s="167">
        <v>2.9999999999999997E-4</v>
      </c>
      <c r="C15" s="168">
        <v>0.76300000000000001</v>
      </c>
      <c r="D15" s="164">
        <v>0.58299999999999996</v>
      </c>
      <c r="F15" s="167">
        <v>2.9999999999999997E-4</v>
      </c>
      <c r="G15" s="168">
        <v>6.2E-2</v>
      </c>
      <c r="H15" s="168">
        <v>0.11799999999999999</v>
      </c>
    </row>
    <row r="16" spans="1:8" x14ac:dyDescent="0.3">
      <c r="A16" s="164">
        <v>13</v>
      </c>
      <c r="B16" s="167">
        <v>4.0000000000000002E-4</v>
      </c>
      <c r="C16" s="168">
        <v>0.70599999999999996</v>
      </c>
      <c r="D16" s="164">
        <v>0.51700000000000002</v>
      </c>
      <c r="F16" s="167">
        <v>4.0000000000000002E-4</v>
      </c>
      <c r="G16" s="168">
        <v>7.6999999999999999E-2</v>
      </c>
      <c r="H16" s="168">
        <v>0.13700000000000001</v>
      </c>
    </row>
    <row r="17" spans="1:8" x14ac:dyDescent="0.3">
      <c r="A17" s="164">
        <v>14</v>
      </c>
      <c r="B17" s="167">
        <v>5.0000000000000001E-4</v>
      </c>
      <c r="C17" s="168">
        <v>0.65900000000000003</v>
      </c>
      <c r="D17" s="164">
        <v>0.46800000000000003</v>
      </c>
      <c r="E17" s="169"/>
      <c r="F17" s="167">
        <v>5.0000000000000001E-4</v>
      </c>
      <c r="G17" s="168">
        <v>8.8999999999999996E-2</v>
      </c>
      <c r="H17" s="168">
        <v>0.151</v>
      </c>
    </row>
    <row r="18" spans="1:8" x14ac:dyDescent="0.3">
      <c r="A18" s="164">
        <v>15</v>
      </c>
      <c r="B18" s="167">
        <v>5.9999999999999995E-4</v>
      </c>
      <c r="C18" s="168">
        <v>0.62</v>
      </c>
      <c r="D18" s="164">
        <v>0.42899999999999999</v>
      </c>
      <c r="E18" s="170"/>
      <c r="F18" s="167">
        <v>5.9999999999999995E-4</v>
      </c>
      <c r="G18" s="168">
        <v>0.1</v>
      </c>
      <c r="H18" s="168">
        <v>0.16200000000000001</v>
      </c>
    </row>
    <row r="19" spans="1:8" x14ac:dyDescent="0.3">
      <c r="A19" s="164">
        <v>16</v>
      </c>
      <c r="B19" s="167">
        <v>6.9999999999999999E-4</v>
      </c>
      <c r="C19" s="168">
        <v>0.58699999999999997</v>
      </c>
      <c r="D19" s="164">
        <v>0.39800000000000002</v>
      </c>
      <c r="F19" s="167">
        <v>6.9999999999999999E-4</v>
      </c>
      <c r="G19" s="168">
        <v>0.108</v>
      </c>
      <c r="H19" s="168">
        <v>1.7000000000000001E-2</v>
      </c>
    </row>
    <row r="20" spans="1:8" x14ac:dyDescent="0.3">
      <c r="A20" s="164">
        <v>17</v>
      </c>
      <c r="B20" s="167">
        <v>8.0000000000000004E-4</v>
      </c>
      <c r="C20" s="168">
        <v>0.55800000000000005</v>
      </c>
      <c r="D20" s="164">
        <v>0.373</v>
      </c>
      <c r="F20" s="167">
        <v>8.0000000000000004E-4</v>
      </c>
      <c r="G20" s="168">
        <v>0.11600000000000001</v>
      </c>
      <c r="H20" s="168">
        <v>0.17699999999999999</v>
      </c>
    </row>
    <row r="21" spans="1:8" x14ac:dyDescent="0.3">
      <c r="A21" s="164">
        <v>18</v>
      </c>
      <c r="B21" s="167">
        <v>8.9999999999999998E-4</v>
      </c>
      <c r="C21" s="168">
        <v>0.53300000000000003</v>
      </c>
      <c r="D21" s="164">
        <v>0.35099999999999998</v>
      </c>
      <c r="E21" s="169"/>
      <c r="F21" s="167">
        <v>8.9999999999999998E-4</v>
      </c>
      <c r="G21" s="168">
        <v>0.122</v>
      </c>
      <c r="H21" s="168">
        <v>0.184</v>
      </c>
    </row>
    <row r="22" spans="1:8" x14ac:dyDescent="0.3">
      <c r="A22" s="164">
        <v>19</v>
      </c>
      <c r="B22" s="167">
        <v>1E-3</v>
      </c>
      <c r="C22" s="168">
        <v>0.51100000000000001</v>
      </c>
      <c r="D22" s="164">
        <v>0.33300000000000002</v>
      </c>
      <c r="F22" s="167">
        <v>1E-3</v>
      </c>
      <c r="G22" s="168">
        <v>0.128</v>
      </c>
      <c r="H22" s="168">
        <v>0.189</v>
      </c>
    </row>
    <row r="23" spans="1:8" x14ac:dyDescent="0.3">
      <c r="A23" s="164">
        <v>20</v>
      </c>
      <c r="B23" s="167">
        <v>2E-3</v>
      </c>
      <c r="C23" s="168">
        <v>0.377</v>
      </c>
      <c r="D23" s="168">
        <v>0.23</v>
      </c>
      <c r="F23" s="167">
        <v>2E-3</v>
      </c>
      <c r="G23" s="168">
        <v>0.16300000000000001</v>
      </c>
      <c r="H23" s="168">
        <v>0.218</v>
      </c>
    </row>
    <row r="24" spans="1:8" x14ac:dyDescent="0.3">
      <c r="A24" s="164">
        <v>21</v>
      </c>
      <c r="B24" s="167">
        <v>3.0000000000000001E-3</v>
      </c>
      <c r="C24" s="168">
        <v>0.311</v>
      </c>
      <c r="D24" s="164">
        <v>0.183</v>
      </c>
      <c r="F24" s="167">
        <v>3.0000000000000001E-3</v>
      </c>
      <c r="G24" s="168">
        <v>0.18099999999999999</v>
      </c>
      <c r="H24" s="168">
        <v>0.23100000000000001</v>
      </c>
    </row>
    <row r="25" spans="1:8" x14ac:dyDescent="0.3">
      <c r="A25" s="164">
        <v>22</v>
      </c>
      <c r="B25" s="167">
        <v>4.0000000000000001E-3</v>
      </c>
      <c r="C25" s="168">
        <v>0.26900000000000002</v>
      </c>
      <c r="D25" s="164">
        <v>0.155</v>
      </c>
      <c r="F25" s="167">
        <v>4.0000000000000001E-3</v>
      </c>
      <c r="G25" s="168">
        <v>0.192</v>
      </c>
      <c r="H25" s="168">
        <v>0.23899999999999999</v>
      </c>
    </row>
    <row r="26" spans="1:8" x14ac:dyDescent="0.3">
      <c r="A26" s="164">
        <v>23</v>
      </c>
      <c r="B26" s="167">
        <v>5.0000000000000001E-3</v>
      </c>
      <c r="C26" s="168">
        <v>0.24</v>
      </c>
      <c r="D26" s="164">
        <v>0.13700000000000001</v>
      </c>
      <c r="F26" s="167">
        <v>5.0000000000000001E-3</v>
      </c>
      <c r="G26" s="168">
        <v>0.19900000000000001</v>
      </c>
      <c r="H26" s="168">
        <v>0.24399999999999999</v>
      </c>
    </row>
    <row r="27" spans="1:8" x14ac:dyDescent="0.3">
      <c r="A27" s="164">
        <v>24</v>
      </c>
      <c r="B27" s="167">
        <v>6.0000000000000001E-3</v>
      </c>
      <c r="C27" s="168">
        <v>0.219</v>
      </c>
      <c r="D27" s="164">
        <v>0.123</v>
      </c>
      <c r="F27" s="167">
        <v>6.0000000000000001E-3</v>
      </c>
      <c r="G27" s="168">
        <v>0.20499999999999999</v>
      </c>
      <c r="H27" s="168">
        <v>0.248</v>
      </c>
    </row>
    <row r="28" spans="1:8" x14ac:dyDescent="0.3">
      <c r="A28" s="164">
        <v>25</v>
      </c>
      <c r="B28" s="167">
        <v>7.0000000000000001E-3</v>
      </c>
      <c r="C28" s="168">
        <v>0.20200000000000001</v>
      </c>
      <c r="D28" s="164">
        <v>0.112</v>
      </c>
      <c r="F28" s="167">
        <v>7.0000000000000001E-3</v>
      </c>
      <c r="G28" s="168">
        <v>0.20899999999999999</v>
      </c>
      <c r="H28" s="168">
        <v>0.251</v>
      </c>
    </row>
    <row r="29" spans="1:8" x14ac:dyDescent="0.3">
      <c r="A29" s="164">
        <v>26</v>
      </c>
      <c r="B29" s="167">
        <v>8.0000000000000002E-3</v>
      </c>
      <c r="C29" s="168">
        <v>0.188</v>
      </c>
      <c r="D29" s="164">
        <v>0.104</v>
      </c>
      <c r="F29" s="167">
        <v>8.0000000000000002E-3</v>
      </c>
      <c r="G29" s="168">
        <v>0.21299999999999999</v>
      </c>
      <c r="H29" s="168">
        <v>0.254</v>
      </c>
    </row>
    <row r="30" spans="1:8" x14ac:dyDescent="0.3">
      <c r="A30" s="164">
        <v>27</v>
      </c>
      <c r="B30" s="167">
        <v>8.9999999999999993E-3</v>
      </c>
      <c r="C30" s="168">
        <v>0.17599999999999999</v>
      </c>
      <c r="D30" s="164">
        <v>9.7000000000000003E-2</v>
      </c>
      <c r="F30" s="167">
        <v>8.9999999999999993E-3</v>
      </c>
      <c r="G30" s="168">
        <v>0.216</v>
      </c>
      <c r="H30" s="168">
        <v>0.25600000000000001</v>
      </c>
    </row>
    <row r="31" spans="1:8" x14ac:dyDescent="0.3">
      <c r="A31" s="164">
        <v>28</v>
      </c>
      <c r="B31" s="167">
        <v>0.01</v>
      </c>
      <c r="C31" s="168">
        <v>0.16700000000000001</v>
      </c>
      <c r="D31" s="164">
        <v>9.0999999999999998E-2</v>
      </c>
      <c r="F31" s="167">
        <v>0.01</v>
      </c>
      <c r="G31" s="168">
        <v>0.218</v>
      </c>
      <c r="H31" s="168">
        <v>0.25700000000000001</v>
      </c>
    </row>
    <row r="32" spans="1:8" x14ac:dyDescent="0.3">
      <c r="A32" s="164">
        <v>29</v>
      </c>
      <c r="B32" s="167">
        <v>0.02</v>
      </c>
      <c r="C32" s="168">
        <v>0.114</v>
      </c>
      <c r="D32" s="168">
        <v>0.06</v>
      </c>
      <c r="F32" s="167">
        <v>0.02</v>
      </c>
      <c r="G32" s="168">
        <v>0.23200000000000001</v>
      </c>
      <c r="H32" s="168">
        <v>0.26600000000000001</v>
      </c>
    </row>
    <row r="33" spans="1:8" x14ac:dyDescent="0.3">
      <c r="A33" s="164">
        <v>30</v>
      </c>
      <c r="B33" s="167">
        <v>0.03</v>
      </c>
      <c r="C33" s="168">
        <v>9.0999999999999998E-2</v>
      </c>
      <c r="D33" s="164">
        <v>4.7E-2</v>
      </c>
      <c r="F33" s="167">
        <v>0.03</v>
      </c>
      <c r="G33" s="168">
        <v>0.23799999999999999</v>
      </c>
      <c r="H33" s="168">
        <v>0.27</v>
      </c>
    </row>
    <row r="34" spans="1:8" x14ac:dyDescent="0.3">
      <c r="A34" s="164">
        <v>31</v>
      </c>
      <c r="B34" s="167">
        <v>0.04</v>
      </c>
      <c r="C34" s="168">
        <v>7.6999999999999999E-2</v>
      </c>
      <c r="D34" s="168">
        <v>0.04</v>
      </c>
      <c r="F34" s="167">
        <v>0.04</v>
      </c>
      <c r="G34" s="168">
        <v>0.24199999999999999</v>
      </c>
      <c r="H34" s="168">
        <v>0.27200000000000002</v>
      </c>
    </row>
    <row r="35" spans="1:8" x14ac:dyDescent="0.3">
      <c r="A35" s="164">
        <v>32</v>
      </c>
      <c r="B35" s="167">
        <v>0.05</v>
      </c>
      <c r="C35" s="168">
        <v>6.8000000000000005E-2</v>
      </c>
      <c r="D35" s="168">
        <v>3.5000000000000003E-2</v>
      </c>
      <c r="F35" s="167">
        <v>0.05</v>
      </c>
      <c r="G35" s="168">
        <v>0.24399999999999999</v>
      </c>
      <c r="H35" s="168">
        <v>0.27300000000000002</v>
      </c>
    </row>
    <row r="36" spans="1:8" x14ac:dyDescent="0.3">
      <c r="A36" s="164">
        <v>33</v>
      </c>
      <c r="B36" s="167">
        <v>0.06</v>
      </c>
      <c r="C36" s="168">
        <v>6.2E-2</v>
      </c>
      <c r="D36" s="168">
        <v>3.1E-2</v>
      </c>
      <c r="F36" s="167">
        <v>0.06</v>
      </c>
      <c r="G36" s="168">
        <v>0.246</v>
      </c>
      <c r="H36" s="168">
        <v>0.27400000000000002</v>
      </c>
    </row>
    <row r="37" spans="1:8" x14ac:dyDescent="0.3">
      <c r="A37" s="164">
        <v>34</v>
      </c>
      <c r="B37" s="167">
        <v>7.0000000000000007E-2</v>
      </c>
      <c r="C37" s="168">
        <v>5.6000000000000001E-2</v>
      </c>
      <c r="D37" s="168">
        <v>0.28000000000000003</v>
      </c>
      <c r="F37" s="167">
        <v>7.0000000000000007E-2</v>
      </c>
      <c r="G37" s="168">
        <v>0.247</v>
      </c>
      <c r="H37" s="168">
        <v>0.27500000000000002</v>
      </c>
    </row>
    <row r="38" spans="1:8" x14ac:dyDescent="0.3">
      <c r="A38" s="164">
        <v>35</v>
      </c>
      <c r="B38" s="167">
        <v>0.08</v>
      </c>
      <c r="C38" s="168">
        <v>5.1999999999999998E-2</v>
      </c>
      <c r="D38" s="168">
        <v>2.5999999999999999E-2</v>
      </c>
      <c r="F38" s="167">
        <v>0.08</v>
      </c>
      <c r="G38" s="168">
        <v>0.248</v>
      </c>
      <c r="H38" s="168">
        <v>0.27600000000000002</v>
      </c>
    </row>
    <row r="39" spans="1:8" x14ac:dyDescent="0.3">
      <c r="A39" s="164">
        <v>36</v>
      </c>
      <c r="B39" s="167">
        <v>0.09</v>
      </c>
      <c r="C39" s="168">
        <v>4.9000000000000002E-2</v>
      </c>
      <c r="D39" s="168">
        <v>2.4E-2</v>
      </c>
      <c r="F39" s="167">
        <v>0.09</v>
      </c>
      <c r="G39" s="168">
        <v>0.249</v>
      </c>
      <c r="H39" s="168">
        <v>0.27600000000000002</v>
      </c>
    </row>
    <row r="40" spans="1:8" x14ac:dyDescent="0.3">
      <c r="A40" s="164">
        <v>37</v>
      </c>
      <c r="B40" s="167">
        <v>0.1</v>
      </c>
      <c r="C40" s="168">
        <v>4.5999999999999999E-2</v>
      </c>
      <c r="D40" s="168">
        <v>0.23</v>
      </c>
      <c r="F40" s="167">
        <v>0.1</v>
      </c>
      <c r="G40" s="168">
        <v>0.25</v>
      </c>
      <c r="H40" s="168">
        <v>0.27700000000000002</v>
      </c>
    </row>
  </sheetData>
  <phoneticPr fontId="2"/>
  <pageMargins left="0.7" right="0.7" top="0.75" bottom="0.75" header="0.3" footer="0.3"/>
  <pageSetup paperSize="9" orientation="portrait" horizontalDpi="360" verticalDpi="36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BF3A1-AAC7-40EC-9DED-8ACB0E9AE9EB}">
  <sheetPr codeName="Sheet12"/>
  <dimension ref="A1:AF219"/>
  <sheetViews>
    <sheetView workbookViewId="0">
      <selection activeCell="J39" sqref="J39"/>
    </sheetView>
  </sheetViews>
  <sheetFormatPr defaultRowHeight="12.9" x14ac:dyDescent="0.3"/>
  <cols>
    <col min="1" max="1" width="11.41015625" style="164" bestFit="1" customWidth="1"/>
    <col min="2" max="5" width="15.52734375" style="164" customWidth="1"/>
    <col min="6" max="256" width="9.1171875" style="164"/>
    <col min="257" max="257" width="11.41015625" style="164" bestFit="1" customWidth="1"/>
    <col min="258" max="261" width="15.52734375" style="164" customWidth="1"/>
    <col min="262" max="512" width="9.1171875" style="164"/>
    <col min="513" max="513" width="11.41015625" style="164" bestFit="1" customWidth="1"/>
    <col min="514" max="517" width="15.52734375" style="164" customWidth="1"/>
    <col min="518" max="768" width="9.1171875" style="164"/>
    <col min="769" max="769" width="11.41015625" style="164" bestFit="1" customWidth="1"/>
    <col min="770" max="773" width="15.52734375" style="164" customWidth="1"/>
    <col min="774" max="1024" width="9.1171875" style="164"/>
    <col min="1025" max="1025" width="11.41015625" style="164" bestFit="1" customWidth="1"/>
    <col min="1026" max="1029" width="15.52734375" style="164" customWidth="1"/>
    <col min="1030" max="1280" width="9.1171875" style="164"/>
    <col min="1281" max="1281" width="11.41015625" style="164" bestFit="1" customWidth="1"/>
    <col min="1282" max="1285" width="15.52734375" style="164" customWidth="1"/>
    <col min="1286" max="1536" width="9.1171875" style="164"/>
    <col min="1537" max="1537" width="11.41015625" style="164" bestFit="1" customWidth="1"/>
    <col min="1538" max="1541" width="15.52734375" style="164" customWidth="1"/>
    <col min="1542" max="1792" width="9.1171875" style="164"/>
    <col min="1793" max="1793" width="11.41015625" style="164" bestFit="1" customWidth="1"/>
    <col min="1794" max="1797" width="15.52734375" style="164" customWidth="1"/>
    <col min="1798" max="2048" width="9.1171875" style="164"/>
    <col min="2049" max="2049" width="11.41015625" style="164" bestFit="1" customWidth="1"/>
    <col min="2050" max="2053" width="15.52734375" style="164" customWidth="1"/>
    <col min="2054" max="2304" width="9.1171875" style="164"/>
    <col min="2305" max="2305" width="11.41015625" style="164" bestFit="1" customWidth="1"/>
    <col min="2306" max="2309" width="15.52734375" style="164" customWidth="1"/>
    <col min="2310" max="2560" width="9.1171875" style="164"/>
    <col min="2561" max="2561" width="11.41015625" style="164" bestFit="1" customWidth="1"/>
    <col min="2562" max="2565" width="15.52734375" style="164" customWidth="1"/>
    <col min="2566" max="2816" width="9.1171875" style="164"/>
    <col min="2817" max="2817" width="11.41015625" style="164" bestFit="1" customWidth="1"/>
    <col min="2818" max="2821" width="15.52734375" style="164" customWidth="1"/>
    <col min="2822" max="3072" width="9.1171875" style="164"/>
    <col min="3073" max="3073" width="11.41015625" style="164" bestFit="1" customWidth="1"/>
    <col min="3074" max="3077" width="15.52734375" style="164" customWidth="1"/>
    <col min="3078" max="3328" width="9.1171875" style="164"/>
    <col min="3329" max="3329" width="11.41015625" style="164" bestFit="1" customWidth="1"/>
    <col min="3330" max="3333" width="15.52734375" style="164" customWidth="1"/>
    <col min="3334" max="3584" width="9.1171875" style="164"/>
    <col min="3585" max="3585" width="11.41015625" style="164" bestFit="1" customWidth="1"/>
    <col min="3586" max="3589" width="15.52734375" style="164" customWidth="1"/>
    <col min="3590" max="3840" width="9.1171875" style="164"/>
    <col min="3841" max="3841" width="11.41015625" style="164" bestFit="1" customWidth="1"/>
    <col min="3842" max="3845" width="15.52734375" style="164" customWidth="1"/>
    <col min="3846" max="4096" width="9.1171875" style="164"/>
    <col min="4097" max="4097" width="11.41015625" style="164" bestFit="1" customWidth="1"/>
    <col min="4098" max="4101" width="15.52734375" style="164" customWidth="1"/>
    <col min="4102" max="4352" width="9.1171875" style="164"/>
    <col min="4353" max="4353" width="11.41015625" style="164" bestFit="1" customWidth="1"/>
    <col min="4354" max="4357" width="15.52734375" style="164" customWidth="1"/>
    <col min="4358" max="4608" width="9.1171875" style="164"/>
    <col min="4609" max="4609" width="11.41015625" style="164" bestFit="1" customWidth="1"/>
    <col min="4610" max="4613" width="15.52734375" style="164" customWidth="1"/>
    <col min="4614" max="4864" width="9.1171875" style="164"/>
    <col min="4865" max="4865" width="11.41015625" style="164" bestFit="1" customWidth="1"/>
    <col min="4866" max="4869" width="15.52734375" style="164" customWidth="1"/>
    <col min="4870" max="5120" width="9.1171875" style="164"/>
    <col min="5121" max="5121" width="11.41015625" style="164" bestFit="1" customWidth="1"/>
    <col min="5122" max="5125" width="15.52734375" style="164" customWidth="1"/>
    <col min="5126" max="5376" width="9.1171875" style="164"/>
    <col min="5377" max="5377" width="11.41015625" style="164" bestFit="1" customWidth="1"/>
    <col min="5378" max="5381" width="15.52734375" style="164" customWidth="1"/>
    <col min="5382" max="5632" width="9.1171875" style="164"/>
    <col min="5633" max="5633" width="11.41015625" style="164" bestFit="1" customWidth="1"/>
    <col min="5634" max="5637" width="15.52734375" style="164" customWidth="1"/>
    <col min="5638" max="5888" width="9.1171875" style="164"/>
    <col min="5889" max="5889" width="11.41015625" style="164" bestFit="1" customWidth="1"/>
    <col min="5890" max="5893" width="15.52734375" style="164" customWidth="1"/>
    <col min="5894" max="6144" width="9.1171875" style="164"/>
    <col min="6145" max="6145" width="11.41015625" style="164" bestFit="1" customWidth="1"/>
    <col min="6146" max="6149" width="15.52734375" style="164" customWidth="1"/>
    <col min="6150" max="6400" width="9.1171875" style="164"/>
    <col min="6401" max="6401" width="11.41015625" style="164" bestFit="1" customWidth="1"/>
    <col min="6402" max="6405" width="15.52734375" style="164" customWidth="1"/>
    <col min="6406" max="6656" width="9.1171875" style="164"/>
    <col min="6657" max="6657" width="11.41015625" style="164" bestFit="1" customWidth="1"/>
    <col min="6658" max="6661" width="15.52734375" style="164" customWidth="1"/>
    <col min="6662" max="6912" width="9.1171875" style="164"/>
    <col min="6913" max="6913" width="11.41015625" style="164" bestFit="1" customWidth="1"/>
    <col min="6914" max="6917" width="15.52734375" style="164" customWidth="1"/>
    <col min="6918" max="7168" width="9.1171875" style="164"/>
    <col min="7169" max="7169" width="11.41015625" style="164" bestFit="1" customWidth="1"/>
    <col min="7170" max="7173" width="15.52734375" style="164" customWidth="1"/>
    <col min="7174" max="7424" width="9.1171875" style="164"/>
    <col min="7425" max="7425" width="11.41015625" style="164" bestFit="1" customWidth="1"/>
    <col min="7426" max="7429" width="15.52734375" style="164" customWidth="1"/>
    <col min="7430" max="7680" width="9.1171875" style="164"/>
    <col min="7681" max="7681" width="11.41015625" style="164" bestFit="1" customWidth="1"/>
    <col min="7682" max="7685" width="15.52734375" style="164" customWidth="1"/>
    <col min="7686" max="7936" width="9.1171875" style="164"/>
    <col min="7937" max="7937" width="11.41015625" style="164" bestFit="1" customWidth="1"/>
    <col min="7938" max="7941" width="15.52734375" style="164" customWidth="1"/>
    <col min="7942" max="8192" width="9.1171875" style="164"/>
    <col min="8193" max="8193" width="11.41015625" style="164" bestFit="1" customWidth="1"/>
    <col min="8194" max="8197" width="15.52734375" style="164" customWidth="1"/>
    <col min="8198" max="8448" width="9.1171875" style="164"/>
    <col min="8449" max="8449" width="11.41015625" style="164" bestFit="1" customWidth="1"/>
    <col min="8450" max="8453" width="15.52734375" style="164" customWidth="1"/>
    <col min="8454" max="8704" width="9.1171875" style="164"/>
    <col min="8705" max="8705" width="11.41015625" style="164" bestFit="1" customWidth="1"/>
    <col min="8706" max="8709" width="15.52734375" style="164" customWidth="1"/>
    <col min="8710" max="8960" width="9.1171875" style="164"/>
    <col min="8961" max="8961" width="11.41015625" style="164" bestFit="1" customWidth="1"/>
    <col min="8962" max="8965" width="15.52734375" style="164" customWidth="1"/>
    <col min="8966" max="9216" width="9.1171875" style="164"/>
    <col min="9217" max="9217" width="11.41015625" style="164" bestFit="1" customWidth="1"/>
    <col min="9218" max="9221" width="15.52734375" style="164" customWidth="1"/>
    <col min="9222" max="9472" width="9.1171875" style="164"/>
    <col min="9473" max="9473" width="11.41015625" style="164" bestFit="1" customWidth="1"/>
    <col min="9474" max="9477" width="15.52734375" style="164" customWidth="1"/>
    <col min="9478" max="9728" width="9.1171875" style="164"/>
    <col min="9729" max="9729" width="11.41015625" style="164" bestFit="1" customWidth="1"/>
    <col min="9730" max="9733" width="15.52734375" style="164" customWidth="1"/>
    <col min="9734" max="9984" width="9.1171875" style="164"/>
    <col min="9985" max="9985" width="11.41015625" style="164" bestFit="1" customWidth="1"/>
    <col min="9986" max="9989" width="15.52734375" style="164" customWidth="1"/>
    <col min="9990" max="10240" width="9.1171875" style="164"/>
    <col min="10241" max="10241" width="11.41015625" style="164" bestFit="1" customWidth="1"/>
    <col min="10242" max="10245" width="15.52734375" style="164" customWidth="1"/>
    <col min="10246" max="10496" width="9.1171875" style="164"/>
    <col min="10497" max="10497" width="11.41015625" style="164" bestFit="1" customWidth="1"/>
    <col min="10498" max="10501" width="15.52734375" style="164" customWidth="1"/>
    <col min="10502" max="10752" width="9.1171875" style="164"/>
    <col min="10753" max="10753" width="11.41015625" style="164" bestFit="1" customWidth="1"/>
    <col min="10754" max="10757" width="15.52734375" style="164" customWidth="1"/>
    <col min="10758" max="11008" width="9.1171875" style="164"/>
    <col min="11009" max="11009" width="11.41015625" style="164" bestFit="1" customWidth="1"/>
    <col min="11010" max="11013" width="15.52734375" style="164" customWidth="1"/>
    <col min="11014" max="11264" width="9.1171875" style="164"/>
    <col min="11265" max="11265" width="11.41015625" style="164" bestFit="1" customWidth="1"/>
    <col min="11266" max="11269" width="15.52734375" style="164" customWidth="1"/>
    <col min="11270" max="11520" width="9.1171875" style="164"/>
    <col min="11521" max="11521" width="11.41015625" style="164" bestFit="1" customWidth="1"/>
    <col min="11522" max="11525" width="15.52734375" style="164" customWidth="1"/>
    <col min="11526" max="11776" width="9.1171875" style="164"/>
    <col min="11777" max="11777" width="11.41015625" style="164" bestFit="1" customWidth="1"/>
    <col min="11778" max="11781" width="15.52734375" style="164" customWidth="1"/>
    <col min="11782" max="12032" width="9.1171875" style="164"/>
    <col min="12033" max="12033" width="11.41015625" style="164" bestFit="1" customWidth="1"/>
    <col min="12034" max="12037" width="15.52734375" style="164" customWidth="1"/>
    <col min="12038" max="12288" width="9.1171875" style="164"/>
    <col min="12289" max="12289" width="11.41015625" style="164" bestFit="1" customWidth="1"/>
    <col min="12290" max="12293" width="15.52734375" style="164" customWidth="1"/>
    <col min="12294" max="12544" width="9.1171875" style="164"/>
    <col min="12545" max="12545" width="11.41015625" style="164" bestFit="1" customWidth="1"/>
    <col min="12546" max="12549" width="15.52734375" style="164" customWidth="1"/>
    <col min="12550" max="12800" width="9.1171875" style="164"/>
    <col min="12801" max="12801" width="11.41015625" style="164" bestFit="1" customWidth="1"/>
    <col min="12802" max="12805" width="15.52734375" style="164" customWidth="1"/>
    <col min="12806" max="13056" width="9.1171875" style="164"/>
    <col min="13057" max="13057" width="11.41015625" style="164" bestFit="1" customWidth="1"/>
    <col min="13058" max="13061" width="15.52734375" style="164" customWidth="1"/>
    <col min="13062" max="13312" width="9.1171875" style="164"/>
    <col min="13313" max="13313" width="11.41015625" style="164" bestFit="1" customWidth="1"/>
    <col min="13314" max="13317" width="15.52734375" style="164" customWidth="1"/>
    <col min="13318" max="13568" width="9.1171875" style="164"/>
    <col min="13569" max="13569" width="11.41015625" style="164" bestFit="1" customWidth="1"/>
    <col min="13570" max="13573" width="15.52734375" style="164" customWidth="1"/>
    <col min="13574" max="13824" width="9.1171875" style="164"/>
    <col min="13825" max="13825" width="11.41015625" style="164" bestFit="1" customWidth="1"/>
    <col min="13826" max="13829" width="15.52734375" style="164" customWidth="1"/>
    <col min="13830" max="14080" width="9.1171875" style="164"/>
    <col min="14081" max="14081" width="11.41015625" style="164" bestFit="1" customWidth="1"/>
    <col min="14082" max="14085" width="15.52734375" style="164" customWidth="1"/>
    <col min="14086" max="14336" width="9.1171875" style="164"/>
    <col min="14337" max="14337" width="11.41015625" style="164" bestFit="1" customWidth="1"/>
    <col min="14338" max="14341" width="15.52734375" style="164" customWidth="1"/>
    <col min="14342" max="14592" width="9.1171875" style="164"/>
    <col min="14593" max="14593" width="11.41015625" style="164" bestFit="1" customWidth="1"/>
    <col min="14594" max="14597" width="15.52734375" style="164" customWidth="1"/>
    <col min="14598" max="14848" width="9.1171875" style="164"/>
    <col min="14849" max="14849" width="11.41015625" style="164" bestFit="1" customWidth="1"/>
    <col min="14850" max="14853" width="15.52734375" style="164" customWidth="1"/>
    <col min="14854" max="15104" width="9.1171875" style="164"/>
    <col min="15105" max="15105" width="11.41015625" style="164" bestFit="1" customWidth="1"/>
    <col min="15106" max="15109" width="15.52734375" style="164" customWidth="1"/>
    <col min="15110" max="15360" width="9.1171875" style="164"/>
    <col min="15361" max="15361" width="11.41015625" style="164" bestFit="1" customWidth="1"/>
    <col min="15362" max="15365" width="15.52734375" style="164" customWidth="1"/>
    <col min="15366" max="15616" width="9.1171875" style="164"/>
    <col min="15617" max="15617" width="11.41015625" style="164" bestFit="1" customWidth="1"/>
    <col min="15618" max="15621" width="15.52734375" style="164" customWidth="1"/>
    <col min="15622" max="15872" width="9.1171875" style="164"/>
    <col min="15873" max="15873" width="11.41015625" style="164" bestFit="1" customWidth="1"/>
    <col min="15874" max="15877" width="15.52734375" style="164" customWidth="1"/>
    <col min="15878" max="16128" width="9.1171875" style="164"/>
    <col min="16129" max="16129" width="11.41015625" style="164" bestFit="1" customWidth="1"/>
    <col min="16130" max="16133" width="15.52734375" style="164" customWidth="1"/>
    <col min="16134" max="16384" width="9.1171875" style="164"/>
  </cols>
  <sheetData>
    <row r="1" spans="1:4" x14ac:dyDescent="0.3">
      <c r="A1" s="164">
        <v>1.3999999999999985E-2</v>
      </c>
      <c r="B1" s="164">
        <v>4.0000000000000002E-4</v>
      </c>
      <c r="C1" s="164">
        <v>0.02</v>
      </c>
    </row>
    <row r="2" spans="1:4" x14ac:dyDescent="0.3">
      <c r="A2" s="167"/>
      <c r="C2" s="164" t="s">
        <v>235</v>
      </c>
    </row>
    <row r="3" spans="1:4" x14ac:dyDescent="0.3">
      <c r="B3" s="164" t="s">
        <v>234</v>
      </c>
      <c r="C3" s="164" t="s">
        <v>195</v>
      </c>
      <c r="D3" s="164" t="s">
        <v>198</v>
      </c>
    </row>
    <row r="4" spans="1:4" x14ac:dyDescent="0.3">
      <c r="A4" s="164">
        <v>1</v>
      </c>
      <c r="B4" s="167">
        <v>1.0000000000000001E-5</v>
      </c>
      <c r="C4" s="168">
        <v>0.02</v>
      </c>
      <c r="D4" s="168">
        <v>0.02</v>
      </c>
    </row>
    <row r="5" spans="1:4" x14ac:dyDescent="0.3">
      <c r="A5" s="164">
        <v>2</v>
      </c>
      <c r="B5" s="167">
        <v>2.0000000000000002E-5</v>
      </c>
      <c r="C5" s="168">
        <v>0.02</v>
      </c>
      <c r="D5" s="168">
        <v>0.02</v>
      </c>
    </row>
    <row r="6" spans="1:4" x14ac:dyDescent="0.3">
      <c r="A6" s="164">
        <v>3</v>
      </c>
      <c r="B6" s="167">
        <v>3.0000000000000001E-5</v>
      </c>
      <c r="C6" s="168">
        <v>0.02</v>
      </c>
      <c r="D6" s="168">
        <v>0.02</v>
      </c>
    </row>
    <row r="7" spans="1:4" x14ac:dyDescent="0.3">
      <c r="A7" s="164">
        <v>4</v>
      </c>
      <c r="B7" s="167">
        <v>4.0000000000000003E-5</v>
      </c>
      <c r="C7" s="168">
        <v>0.02</v>
      </c>
      <c r="D7" s="168">
        <v>0.02</v>
      </c>
    </row>
    <row r="8" spans="1:4" x14ac:dyDescent="0.3">
      <c r="A8" s="164">
        <v>5</v>
      </c>
      <c r="B8" s="167">
        <v>5.0000000000000002E-5</v>
      </c>
      <c r="C8" s="168">
        <v>0.02</v>
      </c>
      <c r="D8" s="168">
        <v>2.1999999999999999E-2</v>
      </c>
    </row>
    <row r="9" spans="1:4" x14ac:dyDescent="0.3">
      <c r="A9" s="164">
        <v>6</v>
      </c>
      <c r="B9" s="167">
        <v>6.0000000000000002E-5</v>
      </c>
      <c r="C9" s="168">
        <v>0.02</v>
      </c>
      <c r="D9" s="168">
        <v>2.8000000000000001E-2</v>
      </c>
    </row>
    <row r="10" spans="1:4" x14ac:dyDescent="0.3">
      <c r="A10" s="164">
        <v>7</v>
      </c>
      <c r="B10" s="167">
        <v>6.9999999999999994E-5</v>
      </c>
      <c r="C10" s="168">
        <v>0.02</v>
      </c>
      <c r="D10" s="168">
        <v>3.4000000000000002E-2</v>
      </c>
    </row>
    <row r="11" spans="1:4" x14ac:dyDescent="0.3">
      <c r="A11" s="164">
        <v>8</v>
      </c>
      <c r="B11" s="167">
        <v>8.0000000000000007E-5</v>
      </c>
      <c r="C11" s="168">
        <v>0.02</v>
      </c>
      <c r="D11" s="168">
        <v>3.9E-2</v>
      </c>
    </row>
    <row r="12" spans="1:4" x14ac:dyDescent="0.3">
      <c r="A12" s="164">
        <v>9</v>
      </c>
      <c r="B12" s="167">
        <v>9.0000000000000006E-5</v>
      </c>
      <c r="C12" s="168">
        <v>0.02</v>
      </c>
      <c r="D12" s="168">
        <v>4.4999999999999998E-2</v>
      </c>
    </row>
    <row r="13" spans="1:4" x14ac:dyDescent="0.3">
      <c r="A13" s="164">
        <v>10</v>
      </c>
      <c r="B13" s="167">
        <v>1E-4</v>
      </c>
      <c r="C13" s="168">
        <v>2.1000000000000001E-2</v>
      </c>
      <c r="D13" s="168">
        <v>0.05</v>
      </c>
    </row>
    <row r="14" spans="1:4" x14ac:dyDescent="0.3">
      <c r="A14" s="164">
        <v>11</v>
      </c>
      <c r="B14" s="167">
        <v>2.0000000000000001E-4</v>
      </c>
      <c r="C14" s="168">
        <v>4.3999999999999997E-2</v>
      </c>
      <c r="D14" s="168">
        <v>9.0999999999999998E-2</v>
      </c>
    </row>
    <row r="15" spans="1:4" x14ac:dyDescent="0.3">
      <c r="A15" s="164">
        <v>12</v>
      </c>
      <c r="B15" s="167">
        <v>2.9999999999999997E-4</v>
      </c>
      <c r="C15" s="168">
        <v>6.2E-2</v>
      </c>
      <c r="D15" s="168">
        <v>0.11799999999999999</v>
      </c>
    </row>
    <row r="16" spans="1:4" x14ac:dyDescent="0.3">
      <c r="A16" s="164">
        <v>13</v>
      </c>
      <c r="B16" s="167">
        <v>4.0000000000000002E-4</v>
      </c>
      <c r="C16" s="168">
        <v>7.6999999999999999E-2</v>
      </c>
      <c r="D16" s="168">
        <v>0.13700000000000001</v>
      </c>
    </row>
    <row r="17" spans="1:23" x14ac:dyDescent="0.3">
      <c r="A17" s="164">
        <v>14</v>
      </c>
      <c r="B17" s="167">
        <v>5.0000000000000001E-4</v>
      </c>
      <c r="C17" s="168">
        <v>8.8999999999999996E-2</v>
      </c>
      <c r="D17" s="168">
        <v>0.151</v>
      </c>
    </row>
    <row r="18" spans="1:23" x14ac:dyDescent="0.3">
      <c r="A18" s="164">
        <v>15</v>
      </c>
      <c r="B18" s="167">
        <v>5.9999999999999995E-4</v>
      </c>
      <c r="C18" s="168">
        <v>0.1</v>
      </c>
      <c r="D18" s="168">
        <v>0.16200000000000001</v>
      </c>
    </row>
    <row r="19" spans="1:23" x14ac:dyDescent="0.3">
      <c r="A19" s="164">
        <v>16</v>
      </c>
      <c r="B19" s="167">
        <v>6.9999999999999999E-4</v>
      </c>
      <c r="C19" s="168">
        <v>0.108</v>
      </c>
      <c r="D19" s="168">
        <v>1.7000000000000001E-2</v>
      </c>
      <c r="E19" s="170"/>
    </row>
    <row r="20" spans="1:23" x14ac:dyDescent="0.3">
      <c r="A20" s="164">
        <v>17</v>
      </c>
      <c r="B20" s="167">
        <v>8.0000000000000004E-4</v>
      </c>
      <c r="C20" s="168">
        <v>0.11600000000000001</v>
      </c>
      <c r="D20" s="168">
        <v>0.17699999999999999</v>
      </c>
    </row>
    <row r="21" spans="1:23" x14ac:dyDescent="0.3">
      <c r="A21" s="164">
        <v>18</v>
      </c>
      <c r="B21" s="167">
        <v>8.9999999999999998E-4</v>
      </c>
      <c r="C21" s="168">
        <v>0.122</v>
      </c>
      <c r="D21" s="168">
        <v>0.184</v>
      </c>
      <c r="W21" s="164">
        <v>2</v>
      </c>
    </row>
    <row r="22" spans="1:23" x14ac:dyDescent="0.3">
      <c r="A22" s="164">
        <v>19</v>
      </c>
      <c r="B22" s="167">
        <v>1E-3</v>
      </c>
      <c r="C22" s="168">
        <v>0.128</v>
      </c>
      <c r="D22" s="168">
        <v>0.189</v>
      </c>
    </row>
    <row r="23" spans="1:23" x14ac:dyDescent="0.3">
      <c r="A23" s="164">
        <v>20</v>
      </c>
      <c r="B23" s="167">
        <v>2E-3</v>
      </c>
      <c r="C23" s="168">
        <v>0.16300000000000001</v>
      </c>
      <c r="D23" s="168">
        <v>0.218</v>
      </c>
    </row>
    <row r="24" spans="1:23" x14ac:dyDescent="0.3">
      <c r="A24" s="164">
        <v>21</v>
      </c>
      <c r="B24" s="167">
        <v>3.0000000000000001E-3</v>
      </c>
      <c r="C24" s="168">
        <v>0.18099999999999999</v>
      </c>
      <c r="D24" s="168">
        <v>0.23100000000000001</v>
      </c>
    </row>
    <row r="25" spans="1:23" x14ac:dyDescent="0.3">
      <c r="A25" s="164">
        <v>22</v>
      </c>
      <c r="B25" s="167">
        <v>4.0000000000000001E-3</v>
      </c>
      <c r="C25" s="168">
        <v>0.192</v>
      </c>
      <c r="D25" s="168">
        <v>0.23899999999999999</v>
      </c>
    </row>
    <row r="26" spans="1:23" x14ac:dyDescent="0.3">
      <c r="A26" s="164">
        <v>23</v>
      </c>
      <c r="B26" s="167">
        <v>5.0000000000000001E-3</v>
      </c>
      <c r="C26" s="168">
        <v>0.19900000000000001</v>
      </c>
      <c r="D26" s="168">
        <v>0.24399999999999999</v>
      </c>
    </row>
    <row r="27" spans="1:23" x14ac:dyDescent="0.3">
      <c r="A27" s="164">
        <v>24</v>
      </c>
      <c r="B27" s="167">
        <v>6.0000000000000001E-3</v>
      </c>
      <c r="C27" s="168">
        <v>0.20499999999999999</v>
      </c>
      <c r="D27" s="168">
        <v>0.248</v>
      </c>
    </row>
    <row r="28" spans="1:23" x14ac:dyDescent="0.3">
      <c r="A28" s="164">
        <v>25</v>
      </c>
      <c r="B28" s="167">
        <v>7.0000000000000001E-3</v>
      </c>
      <c r="C28" s="168">
        <v>0.20899999999999999</v>
      </c>
      <c r="D28" s="168">
        <v>0.251</v>
      </c>
    </row>
    <row r="29" spans="1:23" x14ac:dyDescent="0.3">
      <c r="A29" s="164">
        <v>26</v>
      </c>
      <c r="B29" s="167">
        <v>8.0000000000000002E-3</v>
      </c>
      <c r="C29" s="168">
        <v>0.21299999999999999</v>
      </c>
      <c r="D29" s="168">
        <v>0.254</v>
      </c>
    </row>
    <row r="30" spans="1:23" x14ac:dyDescent="0.3">
      <c r="A30" s="164">
        <v>27</v>
      </c>
      <c r="B30" s="167">
        <v>8.9999999999999993E-3</v>
      </c>
      <c r="C30" s="168">
        <v>0.216</v>
      </c>
      <c r="D30" s="168">
        <v>0.25600000000000001</v>
      </c>
    </row>
    <row r="31" spans="1:23" x14ac:dyDescent="0.3">
      <c r="A31" s="164">
        <v>28</v>
      </c>
      <c r="B31" s="167">
        <v>0.01</v>
      </c>
      <c r="C31" s="168">
        <v>0.218</v>
      </c>
      <c r="D31" s="168">
        <v>0.25700000000000001</v>
      </c>
    </row>
    <row r="32" spans="1:23" x14ac:dyDescent="0.3">
      <c r="A32" s="164">
        <v>29</v>
      </c>
      <c r="B32" s="167">
        <v>0.02</v>
      </c>
      <c r="C32" s="168">
        <v>0.23200000000000001</v>
      </c>
      <c r="D32" s="168">
        <v>0.26600000000000001</v>
      </c>
    </row>
    <row r="33" spans="1:4" x14ac:dyDescent="0.3">
      <c r="A33" s="164">
        <v>30</v>
      </c>
      <c r="B33" s="167">
        <v>0.03</v>
      </c>
      <c r="C33" s="168">
        <v>0.23799999999999999</v>
      </c>
      <c r="D33" s="168">
        <v>0.27</v>
      </c>
    </row>
    <row r="34" spans="1:4" x14ac:dyDescent="0.3">
      <c r="A34" s="164">
        <v>31</v>
      </c>
      <c r="B34" s="167">
        <v>0.04</v>
      </c>
      <c r="C34" s="168">
        <v>0.24199999999999999</v>
      </c>
      <c r="D34" s="168">
        <v>0.27200000000000002</v>
      </c>
    </row>
    <row r="35" spans="1:4" x14ac:dyDescent="0.3">
      <c r="A35" s="164">
        <v>32</v>
      </c>
      <c r="B35" s="167">
        <v>0.05</v>
      </c>
      <c r="C35" s="168">
        <v>0.24399999999999999</v>
      </c>
      <c r="D35" s="168">
        <v>0.27300000000000002</v>
      </c>
    </row>
    <row r="36" spans="1:4" x14ac:dyDescent="0.3">
      <c r="A36" s="164">
        <v>33</v>
      </c>
      <c r="B36" s="167">
        <v>0.06</v>
      </c>
      <c r="C36" s="168">
        <v>0.246</v>
      </c>
      <c r="D36" s="168">
        <v>0.27400000000000002</v>
      </c>
    </row>
    <row r="37" spans="1:4" x14ac:dyDescent="0.3">
      <c r="A37" s="164">
        <v>34</v>
      </c>
      <c r="B37" s="167">
        <v>7.0000000000000007E-2</v>
      </c>
      <c r="C37" s="168">
        <v>0.247</v>
      </c>
      <c r="D37" s="168">
        <v>0.27500000000000002</v>
      </c>
    </row>
    <row r="38" spans="1:4" x14ac:dyDescent="0.3">
      <c r="A38" s="164">
        <v>35</v>
      </c>
      <c r="B38" s="167">
        <v>0.08</v>
      </c>
      <c r="C38" s="168">
        <v>0.248</v>
      </c>
      <c r="D38" s="168">
        <v>0.27600000000000002</v>
      </c>
    </row>
    <row r="39" spans="1:4" x14ac:dyDescent="0.3">
      <c r="A39" s="164">
        <v>36</v>
      </c>
      <c r="B39" s="167">
        <v>0.09</v>
      </c>
      <c r="C39" s="168">
        <v>0.249</v>
      </c>
      <c r="D39" s="168">
        <v>0.27600000000000002</v>
      </c>
    </row>
    <row r="40" spans="1:4" x14ac:dyDescent="0.3">
      <c r="A40" s="164">
        <v>37</v>
      </c>
      <c r="B40" s="167">
        <v>0.1</v>
      </c>
      <c r="C40" s="168">
        <v>0.25</v>
      </c>
      <c r="D40" s="168">
        <v>0.27700000000000002</v>
      </c>
    </row>
    <row r="156" spans="2:32" x14ac:dyDescent="0.3">
      <c r="B156" s="164">
        <v>1.7600000000000002</v>
      </c>
      <c r="C156" s="164">
        <v>99.51954851375919</v>
      </c>
      <c r="D156" s="164">
        <v>0.24327000747807803</v>
      </c>
      <c r="E156" s="164">
        <v>0.1450843381635373</v>
      </c>
      <c r="W156" s="164">
        <v>1</v>
      </c>
      <c r="X156" s="164">
        <v>4.8000000000000007</v>
      </c>
      <c r="Y156" s="164">
        <v>3.2464944277766646E-2</v>
      </c>
      <c r="Z156" s="164">
        <v>1</v>
      </c>
      <c r="AA156" s="164">
        <v>4.8000000000000007</v>
      </c>
      <c r="AB156" s="164">
        <v>3.270658662034201E-2</v>
      </c>
      <c r="AC156" s="164">
        <v>1</v>
      </c>
      <c r="AD156" s="164">
        <v>4.8000000000000007</v>
      </c>
      <c r="AE156" s="164">
        <v>3.2739237942076109E-2</v>
      </c>
      <c r="AF156" s="164">
        <v>1</v>
      </c>
    </row>
    <row r="157" spans="2:32" x14ac:dyDescent="0.3">
      <c r="W157" s="164">
        <v>0.91024733472041108</v>
      </c>
      <c r="X157" s="164">
        <v>12.561413219141674</v>
      </c>
      <c r="Y157" s="164">
        <v>2.9712955623449035E-2</v>
      </c>
      <c r="Z157" s="164">
        <v>0.91523199205974648</v>
      </c>
      <c r="AA157" s="164">
        <v>12.630201490424502</v>
      </c>
      <c r="AB157" s="164">
        <v>2.9954597966024402E-2</v>
      </c>
      <c r="AC157" s="164">
        <v>0.91585827386199958</v>
      </c>
      <c r="AD157" s="164">
        <v>12.638844179295594</v>
      </c>
      <c r="AE157" s="164">
        <v>2.9987249287758498E-2</v>
      </c>
      <c r="AF157" s="164">
        <v>0.91594218963842211</v>
      </c>
    </row>
    <row r="158" spans="2:32" x14ac:dyDescent="0.3">
      <c r="D158" s="164">
        <v>3.073347806930542</v>
      </c>
      <c r="W158" s="164">
        <v>0.56628588602171126</v>
      </c>
      <c r="X158" s="164">
        <v>8.1545167587126421</v>
      </c>
      <c r="Y158" s="164">
        <v>1.880996807268201E-2</v>
      </c>
      <c r="Z158" s="164">
        <v>0.57939320368905933</v>
      </c>
      <c r="AA158" s="164">
        <v>8.3432621331224546</v>
      </c>
      <c r="AB158" s="164">
        <v>1.900841130145433E-2</v>
      </c>
      <c r="AC158" s="164">
        <v>0.58117991712507111</v>
      </c>
      <c r="AD158" s="164">
        <v>8.3689908066010243</v>
      </c>
      <c r="AE158" s="164">
        <v>1.9035635004596711E-2</v>
      </c>
      <c r="AF158" s="164">
        <v>0.58143182924035997</v>
      </c>
    </row>
    <row r="159" spans="2:32" x14ac:dyDescent="0.3">
      <c r="D159" s="164">
        <v>3.8242700694181987E-2</v>
      </c>
      <c r="W159" s="164">
        <v>0.22623023430062861</v>
      </c>
      <c r="X159" s="164">
        <v>2.8505009521879208</v>
      </c>
      <c r="Y159" s="164">
        <v>7.5023952974660989E-3</v>
      </c>
      <c r="Z159" s="164">
        <v>0.23109219696409747</v>
      </c>
      <c r="AA159" s="164">
        <v>2.9117616817476284</v>
      </c>
      <c r="AB159" s="164">
        <v>7.5867105895626374E-3</v>
      </c>
      <c r="AC159" s="164">
        <v>0.23196277488779732</v>
      </c>
      <c r="AD159" s="164">
        <v>2.9227309635862464</v>
      </c>
      <c r="AE159" s="164">
        <v>7.5987023696871452E-3</v>
      </c>
      <c r="AF159" s="164">
        <v>0.23209771660327427</v>
      </c>
    </row>
    <row r="160" spans="2:32" x14ac:dyDescent="0.3">
      <c r="D160" s="164">
        <v>8.7110145640885775E-3</v>
      </c>
      <c r="W160" s="164">
        <v>1.0273224208383999E-3</v>
      </c>
      <c r="X160" s="164">
        <v>7.3967214300364797E-3</v>
      </c>
      <c r="Y160" s="164">
        <v>3.4056264355312767E-5</v>
      </c>
      <c r="Z160" s="164">
        <v>1.0490165658049789E-3</v>
      </c>
      <c r="AA160" s="164">
        <v>7.5529192737958479E-3</v>
      </c>
      <c r="AB160" s="164">
        <v>3.44390912747917E-5</v>
      </c>
      <c r="AC160" s="164">
        <v>1.0529711239684104E-3</v>
      </c>
      <c r="AD160" s="164">
        <v>7.5813920925725548E-3</v>
      </c>
      <c r="AE160" s="164">
        <v>3.4493546481235423E-5</v>
      </c>
      <c r="AF160" s="164">
        <v>1.0535842814137313E-3</v>
      </c>
    </row>
    <row r="161" spans="2:32" x14ac:dyDescent="0.3">
      <c r="W161" s="164">
        <v>21.496657747937331</v>
      </c>
      <c r="Z161" s="164">
        <v>21.866487173933006</v>
      </c>
      <c r="AC161" s="164">
        <v>21.917252164612215</v>
      </c>
      <c r="AF161" s="164">
        <v>21.9243799082052</v>
      </c>
    </row>
    <row r="162" spans="2:32" x14ac:dyDescent="0.3">
      <c r="W162" s="164">
        <v>656.88916434594466</v>
      </c>
      <c r="Z162" s="164">
        <v>667.79352031171038</v>
      </c>
      <c r="AC162" s="164">
        <v>669.33617136013163</v>
      </c>
      <c r="AF162" s="164">
        <v>669.55368418848502</v>
      </c>
    </row>
    <row r="163" spans="2:32" x14ac:dyDescent="0.3">
      <c r="W163" s="164">
        <v>1.1366304407027641</v>
      </c>
      <c r="Z163" s="164">
        <v>1.1369680754662592</v>
      </c>
      <c r="AC163" s="164">
        <v>1.1369746075029485</v>
      </c>
      <c r="AF163" s="164">
        <v>1.1369747459214914</v>
      </c>
    </row>
    <row r="164" spans="2:32" x14ac:dyDescent="0.3">
      <c r="B164" s="164">
        <v>1.7600000000000002</v>
      </c>
      <c r="C164" s="164">
        <v>104.10028570220317</v>
      </c>
      <c r="D164" s="164">
        <v>0.25446736504983003</v>
      </c>
      <c r="E164" s="164">
        <v>0.15543236876311894</v>
      </c>
      <c r="W164" s="164">
        <v>1</v>
      </c>
      <c r="X164" s="164">
        <v>4.8000000000000007</v>
      </c>
      <c r="Y164" s="164">
        <v>3.1406291318233297E-2</v>
      </c>
      <c r="Z164" s="164">
        <v>1</v>
      </c>
      <c r="AA164" s="164">
        <v>4.8000000000000007</v>
      </c>
      <c r="AB164" s="164">
        <v>3.147860392382261E-2</v>
      </c>
      <c r="AC164" s="164">
        <v>1</v>
      </c>
    </row>
    <row r="165" spans="2:32" x14ac:dyDescent="0.3">
      <c r="W165" s="164">
        <v>0.92567896469905864</v>
      </c>
      <c r="X165" s="164">
        <v>12.77436971284701</v>
      </c>
      <c r="Y165" s="164">
        <v>2.9113485851362579E-2</v>
      </c>
      <c r="Z165" s="164">
        <v>0.92699534486137802</v>
      </c>
      <c r="AA165" s="164">
        <v>12.792535759087018</v>
      </c>
      <c r="AB165" s="164">
        <v>2.9185798456951892E-2</v>
      </c>
      <c r="AC165" s="164">
        <v>0.9271630510546387</v>
      </c>
    </row>
    <row r="166" spans="2:32" x14ac:dyDescent="0.3">
      <c r="D166" s="164">
        <v>3.280573844909668</v>
      </c>
      <c r="W166" s="164">
        <v>0.61906951421221135</v>
      </c>
      <c r="X166" s="164">
        <v>8.914601004655843</v>
      </c>
      <c r="Y166" s="164">
        <v>1.9581701303565451E-2</v>
      </c>
      <c r="Z166" s="164">
        <v>0.62349613665453907</v>
      </c>
      <c r="AA166" s="164">
        <v>8.9783443678253629</v>
      </c>
      <c r="AB166" s="164">
        <v>1.9644161217896167E-2</v>
      </c>
      <c r="AC166" s="164">
        <v>0.62404804436164063</v>
      </c>
    </row>
    <row r="167" spans="2:32" x14ac:dyDescent="0.3">
      <c r="D167" s="164">
        <v>3.5253889717487497E-2</v>
      </c>
      <c r="W167" s="164">
        <v>0.23277170041467674</v>
      </c>
      <c r="X167" s="164">
        <v>2.932923425224927</v>
      </c>
      <c r="Y167" s="164">
        <v>7.3521451940478915E-3</v>
      </c>
      <c r="Z167" s="164">
        <v>0.23409784745196946</v>
      </c>
      <c r="AA167" s="164">
        <v>2.9496328778948153</v>
      </c>
      <c r="AB167" s="164">
        <v>7.3767887761037754E-3</v>
      </c>
      <c r="AC167" s="164">
        <v>0.23434294589288043</v>
      </c>
    </row>
    <row r="168" spans="2:32" x14ac:dyDescent="0.3">
      <c r="D168" s="164">
        <v>8.6029650714374642E-3</v>
      </c>
      <c r="W168" s="164">
        <v>1.1183570031967878E-3</v>
      </c>
      <c r="X168" s="164">
        <v>8.0521704230168724E-3</v>
      </c>
      <c r="Y168" s="164">
        <v>3.5323892282517594E-5</v>
      </c>
      <c r="Z168" s="164">
        <v>1.1247393690833494E-3</v>
      </c>
      <c r="AA168" s="164">
        <v>8.0981234574001165E-3</v>
      </c>
      <c r="AB168" s="164">
        <v>3.5442316735762249E-5</v>
      </c>
      <c r="AC168" s="164">
        <v>1.1259176811504003E-3</v>
      </c>
    </row>
    <row r="169" spans="2:32" x14ac:dyDescent="0.3">
      <c r="W169" s="164">
        <v>22.826433621896044</v>
      </c>
      <c r="Z169" s="164">
        <v>22.947095940306536</v>
      </c>
      <c r="AC169" s="164">
        <v>22.962748601419328</v>
      </c>
    </row>
    <row r="170" spans="2:32" x14ac:dyDescent="0.3">
      <c r="W170" s="164">
        <v>724.93939032077742</v>
      </c>
      <c r="Z170" s="164">
        <v>728.72153762540438</v>
      </c>
      <c r="AC170" s="164">
        <v>729.21782354140669</v>
      </c>
    </row>
    <row r="171" spans="2:32" x14ac:dyDescent="0.3">
      <c r="W171" s="164">
        <v>1.1149311346355593</v>
      </c>
      <c r="Z171" s="164">
        <v>1.1149693370068059</v>
      </c>
      <c r="AC171" s="164">
        <v>1.1149699403773952</v>
      </c>
    </row>
    <row r="172" spans="2:32" x14ac:dyDescent="0.3">
      <c r="B172" s="164">
        <v>1.7600000000000002</v>
      </c>
      <c r="C172" s="164">
        <v>106.48277837918658</v>
      </c>
      <c r="D172" s="164">
        <v>0.26029123603801169</v>
      </c>
      <c r="E172" s="164">
        <v>0.15458574556589574</v>
      </c>
      <c r="W172" s="164">
        <v>1</v>
      </c>
      <c r="X172" s="164">
        <v>4.8000000000000007</v>
      </c>
      <c r="Y172" s="164">
        <v>3.0603467475202279E-2</v>
      </c>
      <c r="Z172" s="164">
        <v>1</v>
      </c>
      <c r="AA172" s="164">
        <v>4.8000000000000007</v>
      </c>
      <c r="AB172" s="164">
        <v>3.0623110074404693E-2</v>
      </c>
      <c r="AC172" s="164">
        <v>1</v>
      </c>
    </row>
    <row r="173" spans="2:32" x14ac:dyDescent="0.3">
      <c r="W173" s="164">
        <v>0.92852950214486119</v>
      </c>
      <c r="X173" s="164">
        <v>12.813707129599084</v>
      </c>
      <c r="Y173" s="164">
        <v>2.8426113603369003E-2</v>
      </c>
      <c r="Z173" s="164">
        <v>0.92885270685102705</v>
      </c>
      <c r="AA173" s="164">
        <v>12.818167354544174</v>
      </c>
      <c r="AB173" s="164">
        <v>2.8445756202571417E-2</v>
      </c>
      <c r="AC173" s="164">
        <v>0.92889834290041151</v>
      </c>
    </row>
    <row r="174" spans="2:32" x14ac:dyDescent="0.3">
      <c r="D174" s="164">
        <v>3.3899998664855957</v>
      </c>
      <c r="W174" s="164">
        <v>0.63609039199545581</v>
      </c>
      <c r="X174" s="164">
        <v>9.1597016447345645</v>
      </c>
      <c r="Y174" s="164">
        <v>1.9507386738296304E-2</v>
      </c>
      <c r="Z174" s="164">
        <v>0.63742406817472463</v>
      </c>
      <c r="AA174" s="164">
        <v>9.1789065817160349</v>
      </c>
      <c r="AB174" s="164">
        <v>1.952477089594809E-2</v>
      </c>
      <c r="AC174" s="164">
        <v>0.63758288588288159</v>
      </c>
    </row>
    <row r="175" spans="2:32" x14ac:dyDescent="0.3">
      <c r="D175" s="164">
        <v>3.450671978248062E-2</v>
      </c>
      <c r="W175" s="164">
        <v>0.23228783806020767</v>
      </c>
      <c r="X175" s="164">
        <v>2.926826759558617</v>
      </c>
      <c r="Y175" s="164">
        <v>7.1165308413943112E-3</v>
      </c>
      <c r="Z175" s="164">
        <v>0.23254001681870767</v>
      </c>
      <c r="AA175" s="164">
        <v>2.9300042119157168</v>
      </c>
      <c r="AB175" s="164">
        <v>7.1229626539905831E-3</v>
      </c>
      <c r="AC175" s="164">
        <v>0.23260088987317046</v>
      </c>
    </row>
    <row r="176" spans="2:32" x14ac:dyDescent="0.3">
      <c r="D176" s="164">
        <v>8.3747677972348909E-3</v>
      </c>
      <c r="W176" s="164">
        <v>1.1639017446882281E-3</v>
      </c>
      <c r="X176" s="164">
        <v>8.3800925617552435E-3</v>
      </c>
      <c r="Y176" s="164">
        <v>3.5658370799767474E-5</v>
      </c>
      <c r="Z176" s="164">
        <v>1.1651742021933018E-3</v>
      </c>
      <c r="AA176" s="164">
        <v>8.3892542557917737E-3</v>
      </c>
      <c r="AB176" s="164">
        <v>3.5690600190610996E-5</v>
      </c>
      <c r="AC176" s="164">
        <v>1.1654792770523265E-3</v>
      </c>
    </row>
    <row r="177" spans="2:29" x14ac:dyDescent="0.3">
      <c r="W177" s="164">
        <v>23.204179325396311</v>
      </c>
      <c r="Z177" s="164">
        <v>23.238398422511416</v>
      </c>
      <c r="AC177" s="164">
        <v>23.242841069735277</v>
      </c>
    </row>
    <row r="178" spans="2:29" x14ac:dyDescent="0.3">
      <c r="W178" s="164">
        <v>757.66133553003874</v>
      </c>
      <c r="Z178" s="164">
        <v>758.77351785748397</v>
      </c>
      <c r="AC178" s="164">
        <v>758.91850945280294</v>
      </c>
    </row>
    <row r="179" spans="2:29" x14ac:dyDescent="0.3">
      <c r="W179" s="164">
        <v>1.099576386874225</v>
      </c>
      <c r="Z179" s="164">
        <v>1.0995801092830919</v>
      </c>
      <c r="AC179" s="164">
        <v>1.0995801588688836</v>
      </c>
    </row>
    <row r="180" spans="2:29" x14ac:dyDescent="0.3">
      <c r="B180" s="164">
        <v>1.7600000000000002</v>
      </c>
      <c r="C180" s="164">
        <v>107.06192775934066</v>
      </c>
      <c r="D180" s="164">
        <v>0.26170693452283272</v>
      </c>
      <c r="E180" s="164">
        <v>0.15497988564924883</v>
      </c>
      <c r="W180" s="164">
        <v>1</v>
      </c>
      <c r="X180" s="164">
        <v>4.8000000000000007</v>
      </c>
      <c r="Y180" s="164">
        <v>3.0472242365027484E-2</v>
      </c>
      <c r="Z180" s="164">
        <v>1</v>
      </c>
    </row>
    <row r="181" spans="2:29" x14ac:dyDescent="0.3">
      <c r="W181" s="164">
        <v>0.92901334497129273</v>
      </c>
      <c r="X181" s="164">
        <v>12.82038416060384</v>
      </c>
      <c r="Y181" s="164">
        <v>2.831160353649885E-2</v>
      </c>
      <c r="Z181" s="164">
        <v>0.92909485286162052</v>
      </c>
    </row>
    <row r="182" spans="2:29" x14ac:dyDescent="0.3">
      <c r="D182" s="164">
        <v>3.4167671203613281</v>
      </c>
      <c r="W182" s="164">
        <v>0.64132306614950452</v>
      </c>
      <c r="X182" s="164">
        <v>9.2350521525528659</v>
      </c>
      <c r="Y182" s="164">
        <v>1.9554312782963872E-2</v>
      </c>
      <c r="Z182" s="164">
        <v>0.64170901992450846</v>
      </c>
    </row>
    <row r="183" spans="2:29" x14ac:dyDescent="0.3">
      <c r="D183" s="164">
        <v>3.4265332655437755E-2</v>
      </c>
      <c r="W183" s="164">
        <v>0.23100661643064219</v>
      </c>
      <c r="X183" s="164">
        <v>2.9106833670260919</v>
      </c>
      <c r="Y183" s="164">
        <v>7.0395690159748177E-3</v>
      </c>
      <c r="Z183" s="164">
        <v>0.23101578583051771</v>
      </c>
    </row>
    <row r="184" spans="2:29" x14ac:dyDescent="0.3">
      <c r="D184" s="164">
        <v>8.3373866185769488E-3</v>
      </c>
      <c r="W184" s="164">
        <v>1.1727412951454896E-3</v>
      </c>
      <c r="X184" s="164">
        <v>8.4437373250475251E-3</v>
      </c>
      <c r="Y184" s="164">
        <v>3.5737525978736131E-5</v>
      </c>
      <c r="Z184" s="164">
        <v>1.1727895030052508E-3</v>
      </c>
    </row>
    <row r="185" spans="2:29" x14ac:dyDescent="0.3">
      <c r="W185" s="164">
        <v>23.305356953822432</v>
      </c>
      <c r="Z185" s="164">
        <v>23.314631102258222</v>
      </c>
    </row>
    <row r="186" spans="2:29" x14ac:dyDescent="0.3">
      <c r="W186" s="164">
        <v>764.64862786279082</v>
      </c>
      <c r="Z186" s="164">
        <v>764.95239511354248</v>
      </c>
    </row>
    <row r="187" spans="2:29" x14ac:dyDescent="0.3">
      <c r="W187" s="164">
        <v>1.0969246190072233</v>
      </c>
      <c r="Z187" s="164">
        <v>1.0969249900533058</v>
      </c>
    </row>
    <row r="188" spans="2:29" x14ac:dyDescent="0.3">
      <c r="B188" s="164">
        <v>1.7600000000000002</v>
      </c>
      <c r="C188" s="164">
        <v>107.32789575304969</v>
      </c>
      <c r="D188" s="164">
        <v>0.26235707850745482</v>
      </c>
      <c r="E188" s="164">
        <v>0.15500183012626126</v>
      </c>
      <c r="W188" s="164">
        <v>1</v>
      </c>
      <c r="X188" s="164">
        <v>4.8000000000000007</v>
      </c>
      <c r="Y188" s="164">
        <v>3.0393902570598777E-2</v>
      </c>
      <c r="Z188" s="164">
        <v>1</v>
      </c>
    </row>
    <row r="189" spans="2:29" x14ac:dyDescent="0.3">
      <c r="W189" s="164">
        <v>0.92903148442046768</v>
      </c>
      <c r="X189" s="164">
        <v>12.820634485002454</v>
      </c>
      <c r="Y189" s="164">
        <v>2.8237491000550445E-2</v>
      </c>
      <c r="Z189" s="164">
        <v>0.92905117843819396</v>
      </c>
    </row>
    <row r="190" spans="2:29" x14ac:dyDescent="0.3">
      <c r="D190" s="164">
        <v>3.429081916809082</v>
      </c>
      <c r="W190" s="164">
        <v>0.64293817846375534</v>
      </c>
      <c r="X190" s="164">
        <v>9.2583097698780765</v>
      </c>
      <c r="Y190" s="164">
        <v>1.9544843365937561E-2</v>
      </c>
      <c r="Z190" s="164">
        <v>0.64305145811857867</v>
      </c>
    </row>
    <row r="191" spans="2:29" x14ac:dyDescent="0.3">
      <c r="D191" s="164">
        <v>3.4172282576440359E-2</v>
      </c>
      <c r="W191" s="164">
        <v>0.23002089151760419</v>
      </c>
      <c r="X191" s="164">
        <v>2.898263233121813</v>
      </c>
      <c r="Y191" s="164">
        <v>6.9902995322309045E-3</v>
      </c>
      <c r="Z191" s="164">
        <v>0.22999019346047708</v>
      </c>
    </row>
    <row r="192" spans="2:29" x14ac:dyDescent="0.3">
      <c r="D192" s="164">
        <v>8.3159231521358103E-3</v>
      </c>
      <c r="W192" s="164">
        <v>1.1764072794875548E-3</v>
      </c>
      <c r="X192" s="164">
        <v>8.4701324123103942E-3</v>
      </c>
      <c r="Y192" s="164">
        <v>3.5750866027070181E-5</v>
      </c>
      <c r="Z192" s="164">
        <v>1.1762512544754094E-3</v>
      </c>
    </row>
    <row r="193" spans="2:26" x14ac:dyDescent="0.3">
      <c r="W193" s="164">
        <v>23.32996496297347</v>
      </c>
      <c r="Z193" s="164">
        <v>23.332389756116612</v>
      </c>
    </row>
    <row r="194" spans="2:26" x14ac:dyDescent="0.3">
      <c r="W194" s="164">
        <v>767.54127077569228</v>
      </c>
      <c r="Z194" s="164">
        <v>767.6209776220303</v>
      </c>
    </row>
    <row r="195" spans="2:26" x14ac:dyDescent="0.3">
      <c r="W195" s="164">
        <v>1.0954335445013967</v>
      </c>
      <c r="Z195" s="164">
        <v>1.0954335925452232</v>
      </c>
    </row>
    <row r="196" spans="2:26" x14ac:dyDescent="0.3">
      <c r="B196" s="164">
        <v>1.7600000000000002</v>
      </c>
      <c r="C196" s="164">
        <v>107.43439294787771</v>
      </c>
      <c r="D196" s="164">
        <v>0.26261740498370106</v>
      </c>
      <c r="E196" s="164">
        <v>0.15500804964280965</v>
      </c>
      <c r="W196" s="164">
        <v>1</v>
      </c>
      <c r="X196" s="164">
        <v>4.8000000000000007</v>
      </c>
      <c r="Y196" s="164">
        <v>3.0362429279864791E-2</v>
      </c>
      <c r="Z196" s="164">
        <v>1</v>
      </c>
    </row>
    <row r="197" spans="2:26" x14ac:dyDescent="0.3">
      <c r="W197" s="164">
        <v>0.92900558476832362</v>
      </c>
      <c r="X197" s="164">
        <v>12.820277069802867</v>
      </c>
      <c r="Y197" s="164">
        <v>2.820696714335811E-2</v>
      </c>
      <c r="Z197" s="164">
        <v>0.92900890384498647</v>
      </c>
    </row>
    <row r="198" spans="2:26" x14ac:dyDescent="0.3">
      <c r="D198" s="164">
        <v>3.4340164661407471</v>
      </c>
      <c r="W198" s="164">
        <v>0.64343017399461344</v>
      </c>
      <c r="X198" s="164">
        <v>9.2653945055224334</v>
      </c>
      <c r="Y198" s="164">
        <v>1.9536918892486807E-2</v>
      </c>
      <c r="Z198" s="164">
        <v>0.64345704068689091</v>
      </c>
    </row>
    <row r="199" spans="2:26" x14ac:dyDescent="0.3">
      <c r="D199" s="164">
        <v>3.4135415758398568E-2</v>
      </c>
      <c r="W199" s="164">
        <v>0.22942857585810875</v>
      </c>
      <c r="X199" s="164">
        <v>2.8908000558121705</v>
      </c>
      <c r="Y199" s="164">
        <v>6.9651564605911738E-3</v>
      </c>
      <c r="Z199" s="164">
        <v>0.2294005000848269</v>
      </c>
    </row>
    <row r="200" spans="2:26" x14ac:dyDescent="0.3">
      <c r="D200" s="164">
        <v>8.3072848261155924E-3</v>
      </c>
      <c r="W200" s="164">
        <v>1.1775854879777659E-3</v>
      </c>
      <c r="X200" s="164">
        <v>8.4786155134399157E-3</v>
      </c>
      <c r="Y200" s="164">
        <v>3.5749992981900264E-5</v>
      </c>
      <c r="Z200" s="164">
        <v>1.1774417867679745E-3</v>
      </c>
    </row>
    <row r="201" spans="2:26" x14ac:dyDescent="0.3">
      <c r="W201" s="164">
        <v>23.334985519131287</v>
      </c>
      <c r="Z201" s="164">
        <v>23.335406178249773</v>
      </c>
    </row>
    <row r="202" spans="2:26" x14ac:dyDescent="0.3">
      <c r="W202" s="164">
        <v>768.53516538488111</v>
      </c>
      <c r="Z202" s="164">
        <v>768.54900978133992</v>
      </c>
    </row>
    <row r="203" spans="2:26" x14ac:dyDescent="0.3">
      <c r="W203" s="164">
        <v>1.0948427750921224</v>
      </c>
      <c r="Z203" s="164">
        <v>1.0948427821900193</v>
      </c>
    </row>
    <row r="204" spans="2:26" x14ac:dyDescent="0.3">
      <c r="B204" s="164">
        <v>1.7600000000000002</v>
      </c>
      <c r="C204" s="164">
        <v>107.48040371895814</v>
      </c>
      <c r="D204" s="164">
        <v>0.26272987575745327</v>
      </c>
      <c r="E204" s="164">
        <v>0.15500010934010242</v>
      </c>
      <c r="W204" s="164">
        <v>1</v>
      </c>
      <c r="X204" s="164">
        <v>4.8000000000000007</v>
      </c>
      <c r="Y204" s="164">
        <v>3.0348031318457393E-2</v>
      </c>
      <c r="Z204" s="164">
        <v>1</v>
      </c>
    </row>
    <row r="205" spans="2:26" x14ac:dyDescent="0.3">
      <c r="W205" s="164">
        <v>0.92898322881176765</v>
      </c>
      <c r="X205" s="164">
        <v>12.819968557602394</v>
      </c>
      <c r="Y205" s="164">
        <v>2.819278821780484E-2</v>
      </c>
      <c r="Z205" s="164">
        <v>0.92898244113311712</v>
      </c>
    </row>
    <row r="206" spans="2:26" x14ac:dyDescent="0.3">
      <c r="D206" s="164">
        <v>3.4361491203308105</v>
      </c>
      <c r="W206" s="164">
        <v>0.64355467447721826</v>
      </c>
      <c r="X206" s="164">
        <v>9.2671873124719433</v>
      </c>
      <c r="Y206" s="164">
        <v>1.9530671619712711E-2</v>
      </c>
      <c r="Z206" s="164">
        <v>0.64355646054162119</v>
      </c>
    </row>
    <row r="207" spans="2:26" x14ac:dyDescent="0.3">
      <c r="D207" s="164">
        <v>3.4120634103823586E-2</v>
      </c>
      <c r="W207" s="164">
        <v>0.22909460619649141</v>
      </c>
      <c r="X207" s="164">
        <v>2.8865920380757921</v>
      </c>
      <c r="Y207" s="164">
        <v>6.9519930009572196E-3</v>
      </c>
      <c r="Z207" s="164">
        <v>0.22907558411306506</v>
      </c>
    </row>
    <row r="208" spans="2:26" x14ac:dyDescent="0.3">
      <c r="D208" s="164">
        <v>8.3032621664486661E-3</v>
      </c>
      <c r="W208" s="164">
        <v>1.1779904134525951E-3</v>
      </c>
      <c r="X208" s="164">
        <v>8.4815309768586852E-3</v>
      </c>
      <c r="Y208" s="164">
        <v>3.5746727277271595E-5</v>
      </c>
      <c r="Z208" s="164">
        <v>1.1778927898868604E-3</v>
      </c>
    </row>
    <row r="209" spans="2:26" x14ac:dyDescent="0.3">
      <c r="W209" s="164">
        <v>23.334790155479183</v>
      </c>
      <c r="Z209" s="164">
        <v>23.334693248003489</v>
      </c>
    </row>
    <row r="210" spans="2:26" x14ac:dyDescent="0.3">
      <c r="W210" s="164">
        <v>768.90184904828402</v>
      </c>
      <c r="Z210" s="164">
        <v>768.89865419162288</v>
      </c>
    </row>
    <row r="211" spans="2:26" x14ac:dyDescent="0.3">
      <c r="W211" s="164">
        <v>1.0945771007051142</v>
      </c>
      <c r="Z211" s="164">
        <v>1.094577101893895</v>
      </c>
    </row>
    <row r="212" spans="2:26" x14ac:dyDescent="0.3">
      <c r="B212" s="164">
        <v>1.7600000000000002</v>
      </c>
      <c r="C212" s="164">
        <v>107.50032980180747</v>
      </c>
      <c r="D212" s="164">
        <v>0.26277858395997383</v>
      </c>
      <c r="E212" s="164">
        <v>0.15499240632467781</v>
      </c>
      <c r="W212" s="164">
        <v>1</v>
      </c>
      <c r="X212" s="164">
        <v>4.8000000000000007</v>
      </c>
      <c r="Y212" s="164">
        <v>3.0341539766882891E-2</v>
      </c>
      <c r="Z212" s="164">
        <v>1</v>
      </c>
    </row>
    <row r="213" spans="2:26" x14ac:dyDescent="0.3">
      <c r="W213" s="164">
        <v>0.92896919500189012</v>
      </c>
      <c r="X213" s="164">
        <v>12.819774891026084</v>
      </c>
      <c r="Y213" s="164">
        <v>2.8186316039427138E-2</v>
      </c>
      <c r="Z213" s="164">
        <v>0.92896788547929487</v>
      </c>
    </row>
    <row r="214" spans="2:26" x14ac:dyDescent="0.3">
      <c r="D214" s="164">
        <v>3.4370729923248291</v>
      </c>
      <c r="W214" s="164">
        <v>0.64357001929307667</v>
      </c>
      <c r="X214" s="164">
        <v>9.2674082778203051</v>
      </c>
      <c r="Y214" s="164">
        <v>1.9526795793074668E-2</v>
      </c>
      <c r="Z214" s="164">
        <v>0.6435664090583737</v>
      </c>
    </row>
    <row r="215" spans="2:26" x14ac:dyDescent="0.3">
      <c r="D215" s="164">
        <v>3.4114688703728628E-2</v>
      </c>
      <c r="W215" s="164">
        <v>0.22891287302778265</v>
      </c>
      <c r="X215" s="164">
        <v>2.8843022001500618</v>
      </c>
      <c r="Y215" s="164">
        <v>6.9452217251927389E-3</v>
      </c>
      <c r="Z215" s="164">
        <v>0.22890142618184764</v>
      </c>
    </row>
    <row r="216" spans="2:26" x14ac:dyDescent="0.3">
      <c r="D216" s="164">
        <v>8.3014027783368787E-3</v>
      </c>
      <c r="W216" s="164">
        <v>1.1781141578161081E-3</v>
      </c>
      <c r="X216" s="164">
        <v>8.482421936275979E-3</v>
      </c>
      <c r="Y216" s="164">
        <v>3.5744012687977237E-5</v>
      </c>
      <c r="Z216" s="164">
        <v>1.1780553314895055E-3</v>
      </c>
    </row>
    <row r="217" spans="2:26" x14ac:dyDescent="0.3">
      <c r="W217" s="164">
        <v>23.333665981353661</v>
      </c>
      <c r="Z217" s="164">
        <v>23.333499459284493</v>
      </c>
    </row>
    <row r="218" spans="2:26" x14ac:dyDescent="0.3">
      <c r="W218" s="164">
        <v>769.03044438744564</v>
      </c>
      <c r="Z218" s="164">
        <v>769.02495596203698</v>
      </c>
    </row>
    <row r="219" spans="2:26" x14ac:dyDescent="0.3">
      <c r="W219" s="164">
        <v>1.094459216440081</v>
      </c>
      <c r="Z219" s="164">
        <v>1.094459216578668</v>
      </c>
    </row>
  </sheetData>
  <phoneticPr fontId="2"/>
  <pageMargins left="0.7" right="0.7" top="0.75" bottom="0.75" header="0.3" footer="0.3"/>
  <pageSetup paperSize="9" orientation="portrait" horizontalDpi="360" verticalDpi="36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4BEEF-53DD-460E-8BA3-B08128B99FF5}">
  <sheetPr codeName="Sheet10"/>
  <dimension ref="B1:V103"/>
  <sheetViews>
    <sheetView workbookViewId="0">
      <selection activeCell="R24" sqref="R24"/>
    </sheetView>
  </sheetViews>
  <sheetFormatPr defaultRowHeight="11.7" x14ac:dyDescent="0.3"/>
  <cols>
    <col min="1" max="1" width="3.41015625" customWidth="1"/>
    <col min="3" max="3" width="9.1171875" style="69"/>
    <col min="4" max="7" width="9.1171875" style="55"/>
    <col min="9" max="9" width="9.1171875" style="72"/>
    <col min="11" max="11" width="9.1171875" style="72"/>
    <col min="12" max="12" width="9.1171875" style="116"/>
    <col min="13" max="13" width="2.64453125" customWidth="1"/>
  </cols>
  <sheetData>
    <row r="1" spans="2:22" x14ac:dyDescent="0.3">
      <c r="L1" s="108"/>
      <c r="M1" s="88"/>
      <c r="N1" s="89"/>
      <c r="O1" s="89"/>
      <c r="P1" s="85"/>
      <c r="Q1" s="85"/>
      <c r="R1" s="86"/>
      <c r="S1" s="86"/>
      <c r="T1" s="86"/>
      <c r="U1" s="86"/>
      <c r="V1" s="86"/>
    </row>
    <row r="2" spans="2:22" x14ac:dyDescent="0.3">
      <c r="B2" t="s">
        <v>0</v>
      </c>
      <c r="L2" s="108"/>
      <c r="M2" s="88"/>
      <c r="N2" s="89"/>
      <c r="O2" s="89"/>
      <c r="P2" s="90"/>
      <c r="Q2" s="90"/>
      <c r="R2" s="91"/>
      <c r="S2" s="91"/>
      <c r="T2" s="91"/>
      <c r="U2" s="91"/>
      <c r="V2" s="91"/>
    </row>
    <row r="3" spans="2:22" x14ac:dyDescent="0.3">
      <c r="L3" s="109"/>
      <c r="M3" s="79"/>
      <c r="N3" s="79"/>
      <c r="O3" s="79"/>
      <c r="P3" s="79"/>
      <c r="Q3" s="79"/>
      <c r="R3" s="79"/>
      <c r="S3" s="79"/>
      <c r="T3" s="79"/>
      <c r="U3" s="79"/>
      <c r="V3" s="79"/>
    </row>
    <row r="4" spans="2:22" x14ac:dyDescent="0.3">
      <c r="B4" t="s">
        <v>1</v>
      </c>
      <c r="L4" s="109"/>
      <c r="M4" s="79"/>
      <c r="N4" s="79"/>
      <c r="O4" s="79"/>
      <c r="P4" s="79"/>
      <c r="Q4" s="79"/>
      <c r="R4" s="79"/>
      <c r="S4" s="79"/>
      <c r="T4" s="79"/>
      <c r="U4" s="79"/>
      <c r="V4" s="79"/>
    </row>
    <row r="5" spans="2:22" x14ac:dyDescent="0.3">
      <c r="B5" t="s">
        <v>2</v>
      </c>
      <c r="L5" s="109"/>
      <c r="M5" s="79"/>
      <c r="N5" s="79"/>
      <c r="O5" s="79"/>
      <c r="P5" s="79"/>
      <c r="Q5" s="79"/>
      <c r="R5" s="79"/>
      <c r="S5" s="79"/>
      <c r="T5" s="79"/>
      <c r="U5" s="79"/>
      <c r="V5" s="79"/>
    </row>
    <row r="6" spans="2:22" x14ac:dyDescent="0.3">
      <c r="J6" s="72"/>
      <c r="L6" s="79"/>
    </row>
    <row r="9" spans="2:22" x14ac:dyDescent="0.3">
      <c r="B9" s="79"/>
      <c r="C9" s="80"/>
      <c r="D9" s="81"/>
      <c r="E9" s="81"/>
      <c r="F9" s="81"/>
      <c r="G9" s="81"/>
      <c r="H9" s="79"/>
      <c r="I9" s="82"/>
      <c r="J9" s="79"/>
      <c r="K9" s="82"/>
      <c r="L9" s="109"/>
    </row>
    <row r="10" spans="2:22" x14ac:dyDescent="0.3">
      <c r="B10" s="79"/>
      <c r="C10" s="80"/>
      <c r="D10" s="83" t="s">
        <v>145</v>
      </c>
      <c r="E10" s="124">
        <v>30.05</v>
      </c>
      <c r="F10" s="81"/>
      <c r="G10" s="85" t="s">
        <v>13</v>
      </c>
      <c r="H10" s="86"/>
      <c r="I10" s="83" t="s">
        <v>126</v>
      </c>
      <c r="J10" s="79">
        <v>0.90149999999999997</v>
      </c>
      <c r="K10" s="82"/>
      <c r="L10" s="109"/>
    </row>
    <row r="11" spans="2:22" x14ac:dyDescent="0.3">
      <c r="B11" s="79"/>
      <c r="C11" s="80"/>
      <c r="D11" s="83" t="s">
        <v>144</v>
      </c>
      <c r="E11" s="122">
        <f>+ready!D2</f>
        <v>11</v>
      </c>
      <c r="F11" s="84"/>
      <c r="J11" s="83" t="s">
        <v>127</v>
      </c>
      <c r="K11" s="121">
        <v>0.94949877262115479</v>
      </c>
      <c r="L11" s="109"/>
    </row>
    <row r="12" spans="2:22" x14ac:dyDescent="0.3">
      <c r="B12" s="79"/>
      <c r="C12" s="80"/>
      <c r="D12" s="83" t="s">
        <v>143</v>
      </c>
      <c r="E12" s="122">
        <f>+ready!D3</f>
        <v>1</v>
      </c>
      <c r="F12" s="84"/>
      <c r="G12" s="85" t="s">
        <v>18</v>
      </c>
      <c r="H12" s="120" t="s">
        <v>136</v>
      </c>
      <c r="I12" s="117" t="s">
        <v>138</v>
      </c>
      <c r="J12" s="118">
        <v>1.5847776261679376</v>
      </c>
      <c r="K12" s="117" t="s">
        <v>146</v>
      </c>
      <c r="L12" s="109">
        <v>0.60576322138098482</v>
      </c>
    </row>
    <row r="13" spans="2:22" x14ac:dyDescent="0.3">
      <c r="B13" s="79"/>
      <c r="C13" s="80"/>
      <c r="D13" s="83" t="s">
        <v>124</v>
      </c>
      <c r="E13" s="122">
        <f>+ready!D4</f>
        <v>0.2</v>
      </c>
      <c r="F13" s="84"/>
      <c r="G13" s="85"/>
      <c r="H13" s="120" t="s">
        <v>137</v>
      </c>
      <c r="I13" s="117" t="s">
        <v>138</v>
      </c>
      <c r="J13" s="118">
        <v>1.450261693929594</v>
      </c>
      <c r="K13" s="117" t="s">
        <v>146</v>
      </c>
      <c r="L13" s="109">
        <v>0.66194949781705059</v>
      </c>
    </row>
    <row r="14" spans="2:22" x14ac:dyDescent="0.3">
      <c r="B14" s="79"/>
      <c r="C14" s="80"/>
      <c r="D14" s="83" t="s">
        <v>125</v>
      </c>
      <c r="E14" s="122">
        <f>+ready!D5</f>
        <v>0.6</v>
      </c>
      <c r="F14" s="84"/>
      <c r="G14" s="85" t="s">
        <v>23</v>
      </c>
      <c r="H14" s="120" t="s">
        <v>136</v>
      </c>
      <c r="I14" s="117" t="s">
        <v>138</v>
      </c>
      <c r="J14" s="123">
        <v>1.25</v>
      </c>
      <c r="K14" s="117" t="s">
        <v>146</v>
      </c>
      <c r="L14" s="109">
        <f>rt(E14,J14)</f>
        <v>0.76800000000000002</v>
      </c>
    </row>
    <row r="15" spans="2:22" x14ac:dyDescent="0.3">
      <c r="B15" s="79"/>
      <c r="C15" s="80"/>
      <c r="E15" s="119"/>
      <c r="F15" s="84"/>
      <c r="G15" s="81"/>
      <c r="H15" s="120" t="s">
        <v>137</v>
      </c>
      <c r="I15" s="117" t="s">
        <v>138</v>
      </c>
      <c r="J15" s="123">
        <v>1.25</v>
      </c>
      <c r="K15" s="117" t="s">
        <v>146</v>
      </c>
      <c r="L15" s="109">
        <f>rt(E14,J15)</f>
        <v>0.76800000000000002</v>
      </c>
    </row>
    <row r="16" spans="2:22" x14ac:dyDescent="0.3">
      <c r="B16" s="79"/>
      <c r="C16"/>
      <c r="D16" s="79"/>
      <c r="E16"/>
      <c r="F16" s="79"/>
      <c r="G16"/>
      <c r="H16" s="79"/>
      <c r="I16"/>
      <c r="J16" s="79"/>
      <c r="K16"/>
      <c r="L16" s="79"/>
    </row>
    <row r="17" spans="2:12" x14ac:dyDescent="0.3">
      <c r="B17" s="4"/>
      <c r="C17" s="80"/>
      <c r="D17" s="81"/>
      <c r="E17" s="81"/>
      <c r="F17" s="81"/>
      <c r="G17" s="81"/>
      <c r="H17" s="79"/>
      <c r="I17" s="82"/>
      <c r="J17" s="79"/>
      <c r="K17" s="82"/>
      <c r="L17" s="109"/>
    </row>
    <row r="18" spans="2:12" x14ac:dyDescent="0.3">
      <c r="B18" s="74"/>
      <c r="C18" s="70" t="s">
        <v>25</v>
      </c>
      <c r="D18" s="71" t="s">
        <v>26</v>
      </c>
      <c r="E18" s="71" t="s">
        <v>27</v>
      </c>
      <c r="F18" s="101" t="s">
        <v>27</v>
      </c>
      <c r="G18" s="101" t="s">
        <v>28</v>
      </c>
      <c r="H18" s="73" t="s">
        <v>29</v>
      </c>
      <c r="I18" s="105" t="s">
        <v>30</v>
      </c>
      <c r="J18" s="73" t="s">
        <v>31</v>
      </c>
      <c r="K18" s="105" t="s">
        <v>32</v>
      </c>
      <c r="L18" s="110" t="s">
        <v>33</v>
      </c>
    </row>
    <row r="19" spans="2:12" x14ac:dyDescent="0.3">
      <c r="B19" s="87" t="s">
        <v>142</v>
      </c>
      <c r="C19" s="75" t="s">
        <v>34</v>
      </c>
      <c r="D19" s="76" t="s">
        <v>35</v>
      </c>
      <c r="E19" s="76" t="s">
        <v>36</v>
      </c>
      <c r="F19" s="77" t="s">
        <v>37</v>
      </c>
      <c r="G19" s="77" t="s">
        <v>139</v>
      </c>
      <c r="H19" s="78" t="s">
        <v>39</v>
      </c>
      <c r="I19" s="106" t="s">
        <v>40</v>
      </c>
      <c r="J19" s="78" t="s">
        <v>41</v>
      </c>
      <c r="K19" s="106" t="s">
        <v>42</v>
      </c>
      <c r="L19" s="111" t="s">
        <v>43</v>
      </c>
    </row>
    <row r="20" spans="2:12" x14ac:dyDescent="0.3">
      <c r="B20" s="92"/>
      <c r="C20" s="92"/>
      <c r="D20" s="92"/>
      <c r="E20" s="92"/>
      <c r="F20" s="92"/>
      <c r="G20" s="92"/>
      <c r="H20" s="92"/>
      <c r="I20" s="92"/>
      <c r="J20" s="92"/>
      <c r="K20" s="92"/>
      <c r="L20" s="92"/>
    </row>
    <row r="21" spans="2:12" x14ac:dyDescent="0.3">
      <c r="B21" s="93">
        <v>8</v>
      </c>
      <c r="C21" s="94">
        <v>3.75</v>
      </c>
      <c r="D21" s="95">
        <v>785.7</v>
      </c>
      <c r="E21" s="95">
        <v>785.7</v>
      </c>
      <c r="F21" s="95">
        <v>80.119102853675827</v>
      </c>
      <c r="G21" s="95">
        <v>222.1</v>
      </c>
      <c r="H21" s="93">
        <v>19.990200000000002</v>
      </c>
      <c r="I21" s="96">
        <v>11.110444117617632</v>
      </c>
      <c r="J21" s="96">
        <v>70.717245114813153</v>
      </c>
      <c r="K21" s="96">
        <v>81.599288841836696</v>
      </c>
      <c r="L21" s="113">
        <v>1.5847776261679376</v>
      </c>
    </row>
    <row r="22" spans="2:12" x14ac:dyDescent="0.3">
      <c r="B22" s="93">
        <v>7</v>
      </c>
      <c r="C22" s="94">
        <v>3.5</v>
      </c>
      <c r="D22" s="95">
        <v>624.4</v>
      </c>
      <c r="E22" s="95">
        <v>1410.1</v>
      </c>
      <c r="F22" s="95">
        <v>143.79018319201765</v>
      </c>
      <c r="G22" s="95">
        <v>327.60000000000002</v>
      </c>
      <c r="H22" s="93">
        <v>18.357700000000001</v>
      </c>
      <c r="I22" s="96">
        <v>17.845372786351231</v>
      </c>
      <c r="J22" s="96">
        <v>79.01768244810745</v>
      </c>
      <c r="K22" s="96"/>
      <c r="L22" s="113"/>
    </row>
    <row r="23" spans="2:12" x14ac:dyDescent="0.3">
      <c r="B23" s="93">
        <v>6</v>
      </c>
      <c r="C23" s="94">
        <v>3.5</v>
      </c>
      <c r="D23" s="95">
        <v>638.70000000000005</v>
      </c>
      <c r="E23" s="95">
        <v>2048.8000000000002</v>
      </c>
      <c r="F23" s="95">
        <v>208.91945771491797</v>
      </c>
      <c r="G23" s="95">
        <v>416.3</v>
      </c>
      <c r="H23" s="93">
        <v>17.361899999999999</v>
      </c>
      <c r="I23" s="96">
        <v>23.97779044920199</v>
      </c>
      <c r="J23" s="96">
        <v>85.445737977420137</v>
      </c>
      <c r="K23" s="96"/>
      <c r="L23" s="113"/>
    </row>
    <row r="24" spans="2:12" x14ac:dyDescent="0.3">
      <c r="B24" s="93">
        <v>5</v>
      </c>
      <c r="C24" s="94">
        <v>3.5</v>
      </c>
      <c r="D24" s="95">
        <v>645.70000000000005</v>
      </c>
      <c r="E24" s="95">
        <v>2694.5</v>
      </c>
      <c r="F24" s="95">
        <v>274.7625335869028</v>
      </c>
      <c r="G24" s="95">
        <v>490.9</v>
      </c>
      <c r="H24" s="93">
        <v>16.529800000000002</v>
      </c>
      <c r="I24" s="96">
        <v>29.697878982201836</v>
      </c>
      <c r="J24" s="96">
        <v>90.730385210837255</v>
      </c>
      <c r="K24" s="96"/>
      <c r="L24" s="113"/>
    </row>
    <row r="25" spans="2:12" x14ac:dyDescent="0.3">
      <c r="B25" s="93">
        <v>4</v>
      </c>
      <c r="C25" s="94">
        <v>3.5</v>
      </c>
      <c r="D25" s="95">
        <v>652.29999999999995</v>
      </c>
      <c r="E25" s="95">
        <v>3346.8</v>
      </c>
      <c r="F25" s="95">
        <v>341.27862215945305</v>
      </c>
      <c r="G25" s="95">
        <v>552.6</v>
      </c>
      <c r="H25" s="93">
        <v>14.9068</v>
      </c>
      <c r="I25" s="96">
        <v>37.070330319049027</v>
      </c>
      <c r="J25" s="96">
        <v>90.282443431053196</v>
      </c>
      <c r="K25" s="96"/>
      <c r="L25" s="113"/>
    </row>
    <row r="26" spans="2:12" x14ac:dyDescent="0.3">
      <c r="B26" s="93">
        <v>3</v>
      </c>
      <c r="C26" s="94">
        <v>3.5</v>
      </c>
      <c r="D26" s="95">
        <v>678.1</v>
      </c>
      <c r="E26" s="95">
        <v>4024.9</v>
      </c>
      <c r="F26" s="95">
        <v>410.42557856148636</v>
      </c>
      <c r="G26" s="95">
        <v>603.4</v>
      </c>
      <c r="H26" s="93">
        <v>13.5319</v>
      </c>
      <c r="I26" s="96">
        <v>44.590929581211803</v>
      </c>
      <c r="J26" s="96">
        <v>90.262751590984422</v>
      </c>
      <c r="K26" s="96"/>
      <c r="L26" s="113"/>
    </row>
    <row r="27" spans="2:12" x14ac:dyDescent="0.3">
      <c r="B27" s="93">
        <v>2</v>
      </c>
      <c r="C27" s="94">
        <v>3.5</v>
      </c>
      <c r="D27" s="95">
        <v>687.3</v>
      </c>
      <c r="E27" s="95">
        <v>4712.2</v>
      </c>
      <c r="F27" s="95">
        <v>480.51067387945938</v>
      </c>
      <c r="G27" s="95">
        <v>641.79999999999995</v>
      </c>
      <c r="H27" s="93">
        <v>14.4864</v>
      </c>
      <c r="I27" s="96">
        <v>44.30362270819527</v>
      </c>
      <c r="J27" s="96">
        <v>106.36150526643814</v>
      </c>
      <c r="K27" s="96"/>
      <c r="L27" s="113"/>
    </row>
    <row r="28" spans="2:12" x14ac:dyDescent="0.3">
      <c r="B28" s="97">
        <v>1</v>
      </c>
      <c r="C28" s="98">
        <v>5.3</v>
      </c>
      <c r="D28" s="99">
        <v>782.7</v>
      </c>
      <c r="E28" s="99">
        <v>5494.9</v>
      </c>
      <c r="F28" s="99">
        <v>560.3238618692418</v>
      </c>
      <c r="G28" s="99">
        <v>669.9</v>
      </c>
      <c r="H28" s="97">
        <v>24.7697</v>
      </c>
      <c r="I28" s="100">
        <v>27.045139828096424</v>
      </c>
      <c r="J28" s="100">
        <v>203.17513737871323</v>
      </c>
      <c r="K28" s="100"/>
      <c r="L28" s="114"/>
    </row>
    <row r="29" spans="2:12" x14ac:dyDescent="0.3">
      <c r="B29" s="79"/>
      <c r="C29" s="80"/>
      <c r="D29" s="81"/>
      <c r="E29" s="81"/>
      <c r="F29" s="81"/>
      <c r="G29" s="81"/>
      <c r="H29" s="79"/>
      <c r="I29" s="82"/>
      <c r="J29" s="82"/>
      <c r="K29" s="82"/>
      <c r="L29" s="109"/>
    </row>
    <row r="30" spans="2:12" x14ac:dyDescent="0.3">
      <c r="B30" s="125"/>
      <c r="C30" s="88"/>
      <c r="D30" s="89"/>
      <c r="E30" s="89"/>
      <c r="F30" s="85"/>
      <c r="G30" s="85"/>
      <c r="H30" s="86"/>
      <c r="I30" s="107"/>
      <c r="J30" s="86"/>
      <c r="K30" s="107"/>
      <c r="L30" s="115"/>
    </row>
    <row r="31" spans="2:12" x14ac:dyDescent="0.3">
      <c r="B31" s="74"/>
      <c r="C31" s="70" t="s">
        <v>25</v>
      </c>
      <c r="D31" s="71" t="s">
        <v>26</v>
      </c>
      <c r="E31" s="71" t="s">
        <v>27</v>
      </c>
      <c r="F31" s="101" t="s">
        <v>27</v>
      </c>
      <c r="G31" s="101" t="s">
        <v>28</v>
      </c>
      <c r="H31" s="139" t="s">
        <v>29</v>
      </c>
      <c r="I31" s="105" t="s">
        <v>30</v>
      </c>
      <c r="J31" s="139" t="s">
        <v>31</v>
      </c>
      <c r="K31" s="105" t="s">
        <v>32</v>
      </c>
      <c r="L31" s="110" t="s">
        <v>33</v>
      </c>
    </row>
    <row r="32" spans="2:12" x14ac:dyDescent="0.3">
      <c r="B32" s="87" t="s">
        <v>24</v>
      </c>
      <c r="C32" s="75" t="s">
        <v>34</v>
      </c>
      <c r="D32" s="76" t="s">
        <v>35</v>
      </c>
      <c r="E32" s="76" t="s">
        <v>36</v>
      </c>
      <c r="F32" s="77" t="s">
        <v>37</v>
      </c>
      <c r="G32" s="77" t="s">
        <v>139</v>
      </c>
      <c r="H32" s="78" t="s">
        <v>39</v>
      </c>
      <c r="I32" s="106" t="s">
        <v>40</v>
      </c>
      <c r="J32" s="78" t="s">
        <v>41</v>
      </c>
      <c r="K32" s="106" t="s">
        <v>42</v>
      </c>
      <c r="L32" s="111" t="s">
        <v>43</v>
      </c>
    </row>
    <row r="33" spans="2:12" x14ac:dyDescent="0.3">
      <c r="B33" s="92"/>
      <c r="C33" s="102"/>
      <c r="D33" s="103"/>
      <c r="E33" s="103"/>
      <c r="F33" s="103"/>
      <c r="G33" s="103"/>
      <c r="H33" s="92"/>
      <c r="I33" s="104"/>
      <c r="J33" s="104"/>
      <c r="K33" s="104"/>
      <c r="L33" s="112"/>
    </row>
    <row r="34" spans="2:12" x14ac:dyDescent="0.3">
      <c r="B34" s="93">
        <v>8</v>
      </c>
      <c r="C34" s="94">
        <v>3.75</v>
      </c>
      <c r="D34" s="95">
        <v>785.7</v>
      </c>
      <c r="E34" s="95">
        <v>785.7</v>
      </c>
      <c r="F34" s="95">
        <v>80.119102853675827</v>
      </c>
      <c r="G34" s="95">
        <v>222.1</v>
      </c>
      <c r="H34" s="93">
        <v>15.5783</v>
      </c>
      <c r="I34" s="96">
        <v>14.257011355539435</v>
      </c>
      <c r="J34" s="96">
        <v>55.109726744709597</v>
      </c>
      <c r="K34" s="96">
        <v>68.334884288776124</v>
      </c>
      <c r="L34" s="113">
        <v>1.450261693929594</v>
      </c>
    </row>
    <row r="35" spans="2:12" x14ac:dyDescent="0.3">
      <c r="B35" s="93">
        <v>7</v>
      </c>
      <c r="C35" s="94">
        <v>3.5</v>
      </c>
      <c r="D35" s="95">
        <v>624.4</v>
      </c>
      <c r="E35" s="95">
        <v>1410.1</v>
      </c>
      <c r="F35" s="95">
        <v>143.79018319201765</v>
      </c>
      <c r="G35" s="95">
        <v>327.60000000000002</v>
      </c>
      <c r="H35" s="93">
        <v>14.861499999999999</v>
      </c>
      <c r="I35" s="96">
        <v>22.043535309356393</v>
      </c>
      <c r="J35" s="96">
        <v>63.968867979242965</v>
      </c>
      <c r="K35" s="96"/>
      <c r="L35" s="113"/>
    </row>
    <row r="36" spans="2:12" x14ac:dyDescent="0.3">
      <c r="B36" s="93">
        <v>6</v>
      </c>
      <c r="C36" s="94">
        <v>3.5</v>
      </c>
      <c r="D36" s="95">
        <v>638.70000000000005</v>
      </c>
      <c r="E36" s="95">
        <v>2048.8000000000002</v>
      </c>
      <c r="F36" s="95">
        <v>208.91945771491797</v>
      </c>
      <c r="G36" s="95">
        <v>416.3</v>
      </c>
      <c r="H36" s="93">
        <v>13.728</v>
      </c>
      <c r="I36" s="96">
        <v>30.324883449883451</v>
      </c>
      <c r="J36" s="96">
        <v>67.56167763631997</v>
      </c>
      <c r="K36" s="96"/>
      <c r="L36" s="113"/>
    </row>
    <row r="37" spans="2:12" x14ac:dyDescent="0.3">
      <c r="B37" s="93">
        <v>5</v>
      </c>
      <c r="C37" s="94">
        <v>3.5</v>
      </c>
      <c r="D37" s="95">
        <v>645.70000000000005</v>
      </c>
      <c r="E37" s="95">
        <v>2694.5</v>
      </c>
      <c r="F37" s="95">
        <v>274.7625335869028</v>
      </c>
      <c r="G37" s="95">
        <v>490.9</v>
      </c>
      <c r="H37" s="93">
        <v>13.347799999999999</v>
      </c>
      <c r="I37" s="96">
        <v>36.777596308005812</v>
      </c>
      <c r="J37" s="96">
        <v>73.264711957628847</v>
      </c>
      <c r="K37" s="96"/>
      <c r="L37" s="113"/>
    </row>
    <row r="38" spans="2:12" x14ac:dyDescent="0.3">
      <c r="B38" s="93">
        <v>4</v>
      </c>
      <c r="C38" s="94">
        <v>3.5</v>
      </c>
      <c r="D38" s="95">
        <v>652.29999999999995</v>
      </c>
      <c r="E38" s="95">
        <v>3346.8</v>
      </c>
      <c r="F38" s="95">
        <v>341.27862215945305</v>
      </c>
      <c r="G38" s="95">
        <v>552.6</v>
      </c>
      <c r="H38" s="93">
        <v>12.6417</v>
      </c>
      <c r="I38" s="96">
        <v>43.712475379102493</v>
      </c>
      <c r="J38" s="96">
        <v>76.563955048859938</v>
      </c>
      <c r="K38" s="96"/>
      <c r="L38" s="113"/>
    </row>
    <row r="39" spans="2:12" x14ac:dyDescent="0.3">
      <c r="B39" s="93">
        <v>3</v>
      </c>
      <c r="C39" s="94">
        <v>3.5</v>
      </c>
      <c r="D39" s="95">
        <v>678.1</v>
      </c>
      <c r="E39" s="95">
        <v>4024.9</v>
      </c>
      <c r="F39" s="95">
        <v>410.42557856148636</v>
      </c>
      <c r="G39" s="95">
        <v>603.4</v>
      </c>
      <c r="H39" s="93">
        <v>11.837999999999999</v>
      </c>
      <c r="I39" s="96">
        <v>50.971447879709409</v>
      </c>
      <c r="J39" s="96">
        <v>78.963815379516078</v>
      </c>
      <c r="K39" s="96"/>
      <c r="L39" s="113"/>
    </row>
    <row r="40" spans="2:12" x14ac:dyDescent="0.3">
      <c r="B40" s="93">
        <v>2</v>
      </c>
      <c r="C40" s="94">
        <v>3.5</v>
      </c>
      <c r="D40" s="95">
        <v>687.3</v>
      </c>
      <c r="E40" s="95">
        <v>4712.2</v>
      </c>
      <c r="F40" s="95">
        <v>480.51067387945938</v>
      </c>
      <c r="G40" s="95">
        <v>641.79999999999995</v>
      </c>
      <c r="H40" s="93">
        <v>12.218299999999999</v>
      </c>
      <c r="I40" s="96">
        <v>52.527765728456494</v>
      </c>
      <c r="J40" s="96">
        <v>89.70874612028669</v>
      </c>
      <c r="K40" s="96"/>
      <c r="L40" s="113"/>
    </row>
    <row r="41" spans="2:12" x14ac:dyDescent="0.3">
      <c r="B41" s="97">
        <v>1</v>
      </c>
      <c r="C41" s="98">
        <v>5.3</v>
      </c>
      <c r="D41" s="99">
        <v>782.7</v>
      </c>
      <c r="E41" s="99">
        <v>5494.9</v>
      </c>
      <c r="F41" s="99">
        <v>560.3238618692418</v>
      </c>
      <c r="G41" s="99">
        <v>669.9</v>
      </c>
      <c r="H41" s="97">
        <v>21.7258</v>
      </c>
      <c r="I41" s="100">
        <v>30.834307597418736</v>
      </c>
      <c r="J41" s="100">
        <v>178.20734202119718</v>
      </c>
      <c r="K41" s="100"/>
      <c r="L41" s="114"/>
    </row>
    <row r="42" spans="2:12" x14ac:dyDescent="0.3">
      <c r="B42" s="79"/>
      <c r="C42" s="80"/>
      <c r="D42" s="81"/>
      <c r="E42" s="81"/>
      <c r="F42" s="81"/>
      <c r="G42" s="81"/>
      <c r="H42" s="79"/>
      <c r="I42" s="82"/>
      <c r="J42" s="79"/>
      <c r="K42" s="82"/>
      <c r="L42" s="109"/>
    </row>
    <row r="43" spans="2:12" x14ac:dyDescent="0.3">
      <c r="B43" s="79"/>
      <c r="C43" s="80"/>
      <c r="D43" s="81"/>
      <c r="E43" s="81"/>
      <c r="F43" s="81"/>
      <c r="G43" s="81"/>
      <c r="H43" s="79"/>
      <c r="I43" s="82"/>
      <c r="J43" s="79"/>
      <c r="K43" s="82"/>
      <c r="L43" s="109"/>
    </row>
    <row r="44" spans="2:12" x14ac:dyDescent="0.3">
      <c r="B44" s="79"/>
      <c r="C44" s="80"/>
      <c r="D44" s="81"/>
      <c r="E44" s="81"/>
      <c r="F44" s="81"/>
      <c r="G44" s="81"/>
      <c r="H44" s="79"/>
      <c r="I44" s="82"/>
      <c r="J44" s="79"/>
      <c r="K44" s="82"/>
      <c r="L44" s="109"/>
    </row>
    <row r="45" spans="2:12" x14ac:dyDescent="0.3">
      <c r="B45" s="79"/>
      <c r="C45" s="80"/>
      <c r="D45" s="81"/>
      <c r="E45" s="81"/>
      <c r="F45" s="81"/>
      <c r="G45" s="81"/>
      <c r="H45" s="79"/>
      <c r="I45" s="82"/>
      <c r="J45" s="79"/>
      <c r="K45" s="82"/>
      <c r="L45" s="109"/>
    </row>
    <row r="46" spans="2:12" x14ac:dyDescent="0.3">
      <c r="B46" s="79"/>
      <c r="C46" s="80"/>
      <c r="D46" s="81"/>
      <c r="E46" s="81"/>
      <c r="F46" s="81"/>
      <c r="G46" s="81"/>
      <c r="H46" s="79"/>
      <c r="I46" s="82"/>
      <c r="J46" s="79"/>
      <c r="K46" s="82"/>
      <c r="L46" s="109"/>
    </row>
    <row r="47" spans="2:12" x14ac:dyDescent="0.3">
      <c r="B47" s="79"/>
      <c r="C47" s="80"/>
      <c r="D47" s="81"/>
      <c r="E47" s="81"/>
      <c r="F47" s="81"/>
      <c r="G47" s="81"/>
      <c r="H47" s="79"/>
      <c r="I47" s="82"/>
      <c r="J47" s="79"/>
      <c r="K47" s="82"/>
      <c r="L47" s="109"/>
    </row>
    <row r="48" spans="2:12" x14ac:dyDescent="0.3">
      <c r="B48" s="79"/>
      <c r="C48" s="80"/>
      <c r="D48" s="81"/>
      <c r="E48" s="81"/>
      <c r="F48" s="81"/>
      <c r="G48" s="81"/>
      <c r="H48" s="79"/>
      <c r="I48" s="82"/>
      <c r="J48" s="79"/>
      <c r="K48" s="82"/>
      <c r="L48" s="109"/>
    </row>
    <row r="49" spans="2:12" x14ac:dyDescent="0.3">
      <c r="B49" s="79"/>
      <c r="C49" s="80"/>
      <c r="D49" s="81"/>
      <c r="E49" s="81"/>
      <c r="F49" s="81"/>
      <c r="G49" s="81"/>
      <c r="H49" s="79"/>
      <c r="I49" s="82"/>
      <c r="J49" s="79"/>
      <c r="K49" s="82"/>
      <c r="L49" s="109"/>
    </row>
    <row r="50" spans="2:12" x14ac:dyDescent="0.3">
      <c r="B50" s="79"/>
      <c r="C50" s="80"/>
      <c r="D50" s="81"/>
      <c r="E50" s="81"/>
      <c r="F50" s="81"/>
      <c r="G50" s="81"/>
      <c r="H50" s="79"/>
      <c r="I50" s="82"/>
      <c r="J50" s="79"/>
      <c r="K50" s="82"/>
      <c r="L50" s="109"/>
    </row>
    <row r="51" spans="2:12" x14ac:dyDescent="0.3">
      <c r="B51" s="79"/>
      <c r="C51" s="80"/>
      <c r="D51" s="81"/>
      <c r="E51" s="81"/>
      <c r="F51" s="81"/>
      <c r="G51" s="81"/>
      <c r="H51" s="79"/>
      <c r="I51" s="82"/>
      <c r="J51" s="79"/>
      <c r="K51" s="82"/>
      <c r="L51" s="109"/>
    </row>
    <row r="52" spans="2:12" x14ac:dyDescent="0.3">
      <c r="B52" s="79"/>
      <c r="C52" s="80"/>
      <c r="D52" s="81"/>
      <c r="E52" s="81"/>
      <c r="F52" s="81"/>
      <c r="G52" s="81"/>
      <c r="H52" s="79"/>
      <c r="I52" s="82"/>
      <c r="J52" s="79"/>
      <c r="K52" s="82"/>
      <c r="L52" s="109"/>
    </row>
    <row r="53" spans="2:12" x14ac:dyDescent="0.3">
      <c r="B53" s="79"/>
      <c r="C53" s="80"/>
      <c r="D53" s="81"/>
      <c r="E53" s="81"/>
      <c r="F53" s="81"/>
      <c r="G53" s="81"/>
      <c r="H53" s="79"/>
      <c r="I53" s="82"/>
      <c r="J53" s="79"/>
      <c r="K53" s="82"/>
      <c r="L53" s="109"/>
    </row>
    <row r="54" spans="2:12" x14ac:dyDescent="0.3">
      <c r="B54" s="79"/>
      <c r="C54" s="80"/>
      <c r="D54" s="81"/>
      <c r="E54" s="81"/>
      <c r="F54" s="81"/>
      <c r="G54" s="81"/>
      <c r="H54" s="79"/>
      <c r="I54" s="82"/>
      <c r="J54" s="79"/>
      <c r="K54" s="82"/>
      <c r="L54" s="109"/>
    </row>
    <row r="55" spans="2:12" x14ac:dyDescent="0.3">
      <c r="B55" s="79"/>
      <c r="C55" s="80"/>
      <c r="D55" s="81"/>
      <c r="E55" s="81"/>
      <c r="F55" s="81"/>
      <c r="G55" s="81"/>
      <c r="H55" s="79"/>
      <c r="I55" s="82"/>
      <c r="J55" s="79"/>
      <c r="K55" s="82"/>
      <c r="L55" s="109"/>
    </row>
    <row r="56" spans="2:12" x14ac:dyDescent="0.3">
      <c r="B56" s="79"/>
      <c r="C56" s="80"/>
      <c r="D56" s="81"/>
      <c r="E56" s="81"/>
      <c r="F56" s="81"/>
      <c r="G56" s="81"/>
      <c r="H56" s="79"/>
      <c r="I56" s="82"/>
      <c r="J56" s="79"/>
      <c r="K56" s="82"/>
      <c r="L56" s="109"/>
    </row>
    <row r="57" spans="2:12" x14ac:dyDescent="0.3">
      <c r="B57" s="79"/>
      <c r="C57" s="80"/>
      <c r="D57" s="81"/>
      <c r="E57" s="81"/>
      <c r="F57" s="81"/>
      <c r="G57" s="81"/>
      <c r="H57" s="79"/>
      <c r="I57" s="82"/>
      <c r="J57" s="79"/>
      <c r="K57" s="82"/>
      <c r="L57" s="109"/>
    </row>
    <row r="58" spans="2:12" x14ac:dyDescent="0.3">
      <c r="B58" s="79"/>
      <c r="C58" s="80"/>
      <c r="D58" s="81"/>
      <c r="E58" s="81"/>
      <c r="F58" s="81"/>
      <c r="G58" s="81"/>
      <c r="H58" s="79"/>
      <c r="I58" s="82"/>
      <c r="J58" s="79"/>
      <c r="K58" s="82"/>
      <c r="L58" s="109"/>
    </row>
    <row r="59" spans="2:12" x14ac:dyDescent="0.3">
      <c r="B59" s="79"/>
      <c r="C59" s="80"/>
      <c r="D59" s="81"/>
      <c r="E59" s="81"/>
      <c r="F59" s="81"/>
      <c r="G59" s="81"/>
      <c r="H59" s="79"/>
      <c r="I59" s="82"/>
      <c r="J59" s="79"/>
      <c r="K59" s="82"/>
      <c r="L59" s="109"/>
    </row>
    <row r="60" spans="2:12" x14ac:dyDescent="0.3">
      <c r="B60" s="79"/>
      <c r="C60" s="80"/>
      <c r="D60" s="81"/>
      <c r="E60" s="81"/>
      <c r="F60" s="81"/>
      <c r="G60" s="81"/>
      <c r="H60" s="79"/>
      <c r="I60" s="82"/>
      <c r="J60" s="79"/>
      <c r="K60" s="82"/>
      <c r="L60" s="109"/>
    </row>
    <row r="61" spans="2:12" x14ac:dyDescent="0.3">
      <c r="B61" s="79"/>
      <c r="C61" s="80"/>
      <c r="D61" s="81"/>
      <c r="E61" s="81"/>
      <c r="F61" s="81"/>
      <c r="G61" s="81"/>
      <c r="H61" s="79"/>
      <c r="I61" s="82"/>
      <c r="J61" s="79"/>
      <c r="K61" s="82"/>
      <c r="L61" s="109"/>
    </row>
    <row r="62" spans="2:12" x14ac:dyDescent="0.3">
      <c r="B62" s="79"/>
      <c r="C62" s="80"/>
      <c r="D62" s="81"/>
      <c r="E62" s="81"/>
      <c r="F62" s="81"/>
      <c r="G62" s="81"/>
      <c r="H62" s="79"/>
      <c r="I62" s="82"/>
      <c r="J62" s="79"/>
      <c r="K62" s="82"/>
      <c r="L62" s="109"/>
    </row>
    <row r="63" spans="2:12" x14ac:dyDescent="0.3">
      <c r="B63" s="79"/>
      <c r="C63" s="80"/>
      <c r="D63" s="81"/>
      <c r="E63" s="81"/>
      <c r="F63" s="81"/>
      <c r="G63" s="81"/>
      <c r="H63" s="79"/>
      <c r="I63" s="82"/>
      <c r="J63" s="79"/>
      <c r="K63" s="82"/>
      <c r="L63" s="109"/>
    </row>
    <row r="64" spans="2:12" x14ac:dyDescent="0.3">
      <c r="B64" s="79"/>
      <c r="C64" s="80"/>
      <c r="D64" s="81"/>
      <c r="E64" s="81"/>
      <c r="F64" s="81"/>
      <c r="G64" s="81"/>
      <c r="H64" s="79"/>
      <c r="I64" s="82"/>
      <c r="J64" s="79"/>
      <c r="K64" s="82"/>
      <c r="L64" s="109"/>
    </row>
    <row r="65" spans="2:12" x14ac:dyDescent="0.3">
      <c r="B65" s="79"/>
      <c r="C65" s="80"/>
      <c r="D65" s="81"/>
      <c r="E65" s="81"/>
      <c r="F65" s="81"/>
      <c r="G65" s="81"/>
      <c r="H65" s="79"/>
      <c r="I65" s="82"/>
      <c r="J65" s="79"/>
      <c r="K65" s="82"/>
      <c r="L65" s="109"/>
    </row>
    <row r="66" spans="2:12" x14ac:dyDescent="0.3">
      <c r="B66" s="79"/>
      <c r="C66" s="80"/>
      <c r="D66" s="81"/>
      <c r="E66" s="81"/>
      <c r="F66" s="81"/>
      <c r="G66" s="81"/>
      <c r="H66" s="79"/>
      <c r="I66" s="82"/>
      <c r="J66" s="79"/>
      <c r="K66" s="82"/>
      <c r="L66" s="109"/>
    </row>
    <row r="67" spans="2:12" x14ac:dyDescent="0.3">
      <c r="B67" s="79"/>
      <c r="C67" s="80"/>
      <c r="D67" s="81"/>
      <c r="E67" s="81"/>
      <c r="F67" s="81"/>
      <c r="G67" s="81"/>
      <c r="H67" s="79"/>
      <c r="I67" s="82"/>
      <c r="J67" s="79"/>
      <c r="K67" s="82"/>
      <c r="L67" s="109"/>
    </row>
    <row r="68" spans="2:12" x14ac:dyDescent="0.3">
      <c r="B68" s="79"/>
      <c r="C68" s="80"/>
      <c r="D68" s="81"/>
      <c r="E68" s="81"/>
      <c r="F68" s="81"/>
      <c r="G68" s="81"/>
      <c r="H68" s="79"/>
      <c r="I68" s="82"/>
      <c r="J68" s="79"/>
      <c r="K68" s="82"/>
      <c r="L68" s="109"/>
    </row>
    <row r="69" spans="2:12" x14ac:dyDescent="0.3">
      <c r="B69" s="79"/>
      <c r="C69" s="80"/>
      <c r="D69" s="81"/>
      <c r="E69" s="81"/>
      <c r="F69" s="81"/>
      <c r="G69" s="81"/>
      <c r="H69" s="79"/>
      <c r="I69" s="82"/>
      <c r="J69" s="79"/>
      <c r="K69" s="82"/>
      <c r="L69" s="109"/>
    </row>
    <row r="70" spans="2:12" x14ac:dyDescent="0.3">
      <c r="B70" s="79"/>
      <c r="C70" s="80"/>
      <c r="D70" s="81"/>
      <c r="E70" s="81"/>
      <c r="F70" s="81"/>
      <c r="G70" s="81"/>
      <c r="H70" s="79"/>
      <c r="I70" s="82"/>
      <c r="J70" s="79"/>
      <c r="K70" s="82"/>
      <c r="L70" s="109"/>
    </row>
    <row r="71" spans="2:12" x14ac:dyDescent="0.3">
      <c r="B71" s="79"/>
      <c r="C71" s="80"/>
      <c r="D71" s="81"/>
      <c r="E71" s="81"/>
      <c r="F71" s="81"/>
      <c r="G71" s="81"/>
      <c r="H71" s="79"/>
      <c r="I71" s="82"/>
      <c r="J71" s="79"/>
      <c r="K71" s="82"/>
      <c r="L71" s="109"/>
    </row>
    <row r="72" spans="2:12" x14ac:dyDescent="0.3">
      <c r="B72" s="79"/>
      <c r="C72" s="80"/>
      <c r="D72" s="81"/>
      <c r="E72" s="81"/>
      <c r="F72" s="81"/>
      <c r="G72" s="81"/>
      <c r="H72" s="79"/>
      <c r="I72" s="82"/>
      <c r="J72" s="79"/>
      <c r="K72" s="82"/>
      <c r="L72" s="109"/>
    </row>
    <row r="73" spans="2:12" x14ac:dyDescent="0.3">
      <c r="B73" s="79"/>
      <c r="C73" s="80"/>
      <c r="D73" s="81"/>
      <c r="E73" s="81"/>
      <c r="F73" s="81"/>
      <c r="G73" s="81"/>
      <c r="H73" s="79"/>
      <c r="I73" s="82"/>
      <c r="J73" s="79"/>
      <c r="K73" s="82"/>
      <c r="L73" s="109"/>
    </row>
    <row r="74" spans="2:12" x14ac:dyDescent="0.3">
      <c r="B74" s="79"/>
      <c r="C74" s="80"/>
      <c r="D74" s="81"/>
      <c r="E74" s="81"/>
      <c r="F74" s="81"/>
      <c r="G74" s="81"/>
      <c r="H74" s="79"/>
      <c r="I74" s="82"/>
      <c r="J74" s="79"/>
      <c r="K74" s="82"/>
      <c r="L74" s="109"/>
    </row>
    <row r="75" spans="2:12" x14ac:dyDescent="0.3">
      <c r="B75" s="79"/>
      <c r="C75" s="80"/>
      <c r="D75" s="81"/>
      <c r="E75" s="81"/>
      <c r="F75" s="81"/>
      <c r="G75" s="81"/>
      <c r="H75" s="79"/>
      <c r="I75" s="82"/>
      <c r="J75" s="79"/>
      <c r="K75" s="82"/>
      <c r="L75" s="109"/>
    </row>
    <row r="76" spans="2:12" x14ac:dyDescent="0.3">
      <c r="B76" s="79"/>
      <c r="C76" s="80"/>
      <c r="D76" s="81"/>
      <c r="E76" s="81"/>
      <c r="F76" s="81"/>
      <c r="G76" s="81"/>
      <c r="H76" s="79"/>
      <c r="I76" s="82"/>
      <c r="J76" s="79"/>
      <c r="K76" s="82"/>
      <c r="L76" s="109"/>
    </row>
    <row r="77" spans="2:12" x14ac:dyDescent="0.3">
      <c r="B77" s="79"/>
      <c r="C77" s="80"/>
      <c r="D77" s="81"/>
      <c r="E77" s="81"/>
      <c r="F77" s="81"/>
      <c r="G77" s="81"/>
      <c r="H77" s="79"/>
      <c r="I77" s="82"/>
      <c r="J77" s="79"/>
      <c r="K77" s="82"/>
      <c r="L77" s="109"/>
    </row>
    <row r="78" spans="2:12" x14ac:dyDescent="0.3">
      <c r="B78" s="79"/>
      <c r="C78" s="80"/>
      <c r="D78" s="81"/>
      <c r="E78" s="81"/>
      <c r="F78" s="81"/>
      <c r="G78" s="81"/>
      <c r="H78" s="79"/>
      <c r="I78" s="82"/>
      <c r="J78" s="79"/>
      <c r="K78" s="82"/>
      <c r="L78" s="109"/>
    </row>
    <row r="79" spans="2:12" x14ac:dyDescent="0.3">
      <c r="B79" s="79"/>
      <c r="C79" s="80"/>
      <c r="D79" s="81"/>
      <c r="E79" s="81"/>
      <c r="F79" s="81"/>
      <c r="G79" s="81"/>
      <c r="H79" s="79"/>
      <c r="I79" s="82"/>
      <c r="J79" s="79"/>
      <c r="K79" s="82"/>
      <c r="L79" s="109"/>
    </row>
    <row r="80" spans="2:12" x14ac:dyDescent="0.3">
      <c r="B80" s="79"/>
      <c r="C80" s="80"/>
      <c r="D80" s="81"/>
      <c r="E80" s="81"/>
      <c r="F80" s="81"/>
      <c r="G80" s="81"/>
      <c r="H80" s="79"/>
      <c r="I80" s="82"/>
      <c r="J80" s="79"/>
      <c r="K80" s="82"/>
      <c r="L80" s="109"/>
    </row>
    <row r="81" spans="2:12" x14ac:dyDescent="0.3">
      <c r="B81" s="79"/>
      <c r="C81" s="80"/>
      <c r="D81" s="81"/>
      <c r="E81" s="81"/>
      <c r="F81" s="81"/>
      <c r="G81" s="81"/>
      <c r="H81" s="79"/>
      <c r="I81" s="82"/>
      <c r="J81" s="79"/>
      <c r="K81" s="82"/>
      <c r="L81" s="109"/>
    </row>
    <row r="82" spans="2:12" x14ac:dyDescent="0.3">
      <c r="B82" s="79"/>
      <c r="C82" s="80"/>
      <c r="D82" s="81"/>
      <c r="E82" s="81"/>
      <c r="F82" s="81"/>
      <c r="G82" s="81"/>
      <c r="H82" s="79"/>
      <c r="I82" s="82"/>
      <c r="J82" s="79"/>
      <c r="K82" s="82"/>
      <c r="L82" s="109"/>
    </row>
    <row r="83" spans="2:12" x14ac:dyDescent="0.3">
      <c r="B83" s="79"/>
      <c r="C83" s="80"/>
      <c r="D83" s="81"/>
      <c r="E83" s="81"/>
      <c r="F83" s="81"/>
      <c r="G83" s="81"/>
      <c r="H83" s="79"/>
      <c r="I83" s="82"/>
      <c r="J83" s="79"/>
      <c r="K83" s="82"/>
      <c r="L83" s="109"/>
    </row>
    <row r="84" spans="2:12" x14ac:dyDescent="0.3">
      <c r="B84" s="79"/>
      <c r="C84" s="80"/>
      <c r="D84" s="81"/>
      <c r="E84" s="81"/>
      <c r="F84" s="81"/>
      <c r="G84" s="81"/>
      <c r="H84" s="79"/>
      <c r="I84" s="82"/>
      <c r="J84" s="79"/>
      <c r="K84" s="82"/>
      <c r="L84" s="109"/>
    </row>
    <row r="85" spans="2:12" x14ac:dyDescent="0.3">
      <c r="B85" s="79"/>
      <c r="C85" s="80"/>
      <c r="D85" s="81"/>
      <c r="E85" s="81"/>
      <c r="F85" s="81"/>
      <c r="G85" s="81"/>
      <c r="H85" s="79"/>
      <c r="I85" s="82"/>
      <c r="J85" s="79"/>
      <c r="K85" s="82"/>
      <c r="L85" s="109"/>
    </row>
    <row r="86" spans="2:12" x14ac:dyDescent="0.3">
      <c r="B86" s="79"/>
      <c r="C86" s="80"/>
      <c r="D86" s="81"/>
      <c r="E86" s="81"/>
      <c r="F86" s="81"/>
      <c r="G86" s="81"/>
      <c r="H86" s="79"/>
      <c r="I86" s="82"/>
      <c r="J86" s="79"/>
      <c r="K86" s="82"/>
      <c r="L86" s="109"/>
    </row>
    <row r="87" spans="2:12" x14ac:dyDescent="0.3">
      <c r="B87" s="79"/>
      <c r="C87" s="80"/>
      <c r="D87" s="81"/>
      <c r="E87" s="81"/>
      <c r="F87" s="81"/>
      <c r="G87" s="81"/>
      <c r="H87" s="79"/>
      <c r="I87" s="82"/>
      <c r="J87" s="79"/>
      <c r="K87" s="82"/>
      <c r="L87" s="109"/>
    </row>
    <row r="88" spans="2:12" x14ac:dyDescent="0.3">
      <c r="B88" s="79"/>
      <c r="C88" s="80"/>
      <c r="D88" s="81"/>
      <c r="E88" s="81"/>
      <c r="F88" s="81"/>
      <c r="G88" s="81"/>
      <c r="H88" s="79"/>
      <c r="I88" s="82"/>
      <c r="J88" s="79"/>
      <c r="K88" s="82"/>
      <c r="L88" s="109"/>
    </row>
    <row r="89" spans="2:12" x14ac:dyDescent="0.3">
      <c r="B89" s="79"/>
      <c r="C89" s="80"/>
      <c r="D89" s="81"/>
      <c r="E89" s="81"/>
      <c r="F89" s="81"/>
      <c r="G89" s="81"/>
      <c r="H89" s="79"/>
      <c r="I89" s="82"/>
      <c r="J89" s="79"/>
      <c r="K89" s="82"/>
      <c r="L89" s="109"/>
    </row>
    <row r="90" spans="2:12" x14ac:dyDescent="0.3">
      <c r="B90" s="79"/>
      <c r="C90" s="80"/>
      <c r="D90" s="81"/>
      <c r="E90" s="81"/>
      <c r="F90" s="81"/>
      <c r="G90" s="81"/>
      <c r="H90" s="79"/>
      <c r="I90" s="82"/>
      <c r="J90" s="79"/>
      <c r="K90" s="82"/>
      <c r="L90" s="109"/>
    </row>
    <row r="91" spans="2:12" x14ac:dyDescent="0.3">
      <c r="B91" s="79"/>
      <c r="C91" s="80"/>
      <c r="D91" s="81"/>
      <c r="E91" s="81"/>
      <c r="F91" s="81"/>
      <c r="G91" s="81"/>
      <c r="H91" s="79"/>
      <c r="I91" s="82"/>
      <c r="J91" s="79"/>
      <c r="K91" s="82"/>
      <c r="L91" s="109"/>
    </row>
    <row r="92" spans="2:12" x14ac:dyDescent="0.3">
      <c r="B92" s="79"/>
      <c r="C92" s="80"/>
      <c r="D92" s="81"/>
      <c r="E92" s="81"/>
      <c r="F92" s="81"/>
      <c r="G92" s="81"/>
      <c r="H92" s="79"/>
      <c r="I92" s="82"/>
      <c r="J92" s="79"/>
      <c r="K92" s="82"/>
      <c r="L92" s="109"/>
    </row>
    <row r="93" spans="2:12" x14ac:dyDescent="0.3">
      <c r="B93" s="79"/>
      <c r="C93" s="80"/>
      <c r="D93" s="81"/>
      <c r="E93" s="81"/>
      <c r="F93" s="81"/>
      <c r="G93" s="81"/>
      <c r="H93" s="79"/>
      <c r="I93" s="82"/>
      <c r="J93" s="79"/>
      <c r="K93" s="82"/>
      <c r="L93" s="109"/>
    </row>
    <row r="94" spans="2:12" x14ac:dyDescent="0.3">
      <c r="B94" s="79"/>
      <c r="C94" s="80"/>
      <c r="D94" s="81"/>
      <c r="E94" s="81"/>
      <c r="F94" s="81"/>
      <c r="G94" s="81"/>
      <c r="H94" s="79"/>
      <c r="I94" s="82"/>
      <c r="J94" s="79"/>
      <c r="K94" s="82"/>
      <c r="L94" s="109"/>
    </row>
    <row r="95" spans="2:12" x14ac:dyDescent="0.3">
      <c r="B95" s="79"/>
      <c r="C95" s="80"/>
      <c r="D95" s="81"/>
      <c r="E95" s="81"/>
      <c r="F95" s="81"/>
      <c r="G95" s="81"/>
      <c r="H95" s="79"/>
      <c r="I95" s="82"/>
      <c r="J95" s="79"/>
      <c r="K95" s="82"/>
      <c r="L95" s="109"/>
    </row>
    <row r="96" spans="2:12" x14ac:dyDescent="0.3">
      <c r="B96" s="79"/>
      <c r="C96" s="80"/>
      <c r="D96" s="81"/>
      <c r="E96" s="81"/>
      <c r="F96" s="81"/>
      <c r="G96" s="81"/>
      <c r="H96" s="79"/>
      <c r="I96" s="82"/>
      <c r="J96" s="79"/>
      <c r="K96" s="82"/>
      <c r="L96" s="109"/>
    </row>
    <row r="97" spans="2:12" x14ac:dyDescent="0.3">
      <c r="B97" s="79"/>
      <c r="C97" s="80"/>
      <c r="D97" s="81"/>
      <c r="E97" s="81"/>
      <c r="F97" s="81"/>
      <c r="G97" s="81"/>
      <c r="H97" s="79"/>
      <c r="I97" s="82"/>
      <c r="J97" s="79"/>
      <c r="K97" s="82"/>
      <c r="L97" s="109"/>
    </row>
    <row r="98" spans="2:12" x14ac:dyDescent="0.3">
      <c r="B98" s="79"/>
      <c r="C98" s="80"/>
      <c r="D98" s="81"/>
      <c r="E98" s="81"/>
      <c r="F98" s="81"/>
      <c r="G98" s="81"/>
      <c r="H98" s="79"/>
      <c r="I98" s="82"/>
      <c r="J98" s="79"/>
      <c r="K98" s="82"/>
      <c r="L98" s="109"/>
    </row>
    <row r="99" spans="2:12" x14ac:dyDescent="0.3">
      <c r="B99" s="79"/>
      <c r="C99" s="80"/>
      <c r="D99" s="81"/>
      <c r="E99" s="81"/>
      <c r="F99" s="81"/>
      <c r="G99" s="81"/>
      <c r="H99" s="79"/>
      <c r="I99" s="82"/>
      <c r="J99" s="79"/>
      <c r="K99" s="82"/>
      <c r="L99" s="109"/>
    </row>
    <row r="100" spans="2:12" x14ac:dyDescent="0.3">
      <c r="B100" s="79"/>
      <c r="C100" s="80"/>
      <c r="D100" s="81"/>
      <c r="E100" s="81"/>
      <c r="F100" s="81"/>
      <c r="G100" s="81"/>
      <c r="H100" s="79"/>
      <c r="I100" s="82"/>
      <c r="J100" s="79"/>
      <c r="K100" s="82"/>
      <c r="L100" s="109"/>
    </row>
    <row r="101" spans="2:12" x14ac:dyDescent="0.3">
      <c r="B101" s="79"/>
    </row>
    <row r="102" spans="2:12" x14ac:dyDescent="0.3">
      <c r="B102" s="79"/>
    </row>
    <row r="103" spans="2:12" x14ac:dyDescent="0.3">
      <c r="B103" s="79"/>
    </row>
  </sheetData>
  <phoneticPr fontId="2"/>
  <pageMargins left="0.43307086614173229" right="0.23622047244094491"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gravity_ready">
                <anchor moveWithCells="1" sizeWithCells="1">
                  <from>
                    <xdr:col>9</xdr:col>
                    <xdr:colOff>114300</xdr:colOff>
                    <xdr:row>5</xdr:row>
                    <xdr:rowOff>38100</xdr:rowOff>
                  </from>
                  <to>
                    <xdr:col>9</xdr:col>
                    <xdr:colOff>556260</xdr:colOff>
                    <xdr:row>6</xdr:row>
                    <xdr:rowOff>121920</xdr:rowOff>
                  </to>
                </anchor>
              </controlPr>
            </control>
          </mc:Choice>
        </mc:AlternateContent>
        <mc:AlternateContent xmlns:mc="http://schemas.openxmlformats.org/markup-compatibility/2006">
          <mc:Choice Requires="x14">
            <control shapeId="4101" r:id="rId5" name="Button 5">
              <controlPr defaultSize="0" print="0" autoFill="0" autoPict="0" macro="[0]!gravity">
                <anchor moveWithCells="1" sizeWithCells="1">
                  <from>
                    <xdr:col>10</xdr:col>
                    <xdr:colOff>68580</xdr:colOff>
                    <xdr:row>5</xdr:row>
                    <xdr:rowOff>30480</xdr:rowOff>
                  </from>
                  <to>
                    <xdr:col>10</xdr:col>
                    <xdr:colOff>502920</xdr:colOff>
                    <xdr:row>6</xdr:row>
                    <xdr:rowOff>114300</xdr:rowOff>
                  </to>
                </anchor>
              </controlPr>
            </control>
          </mc:Choice>
        </mc:AlternateContent>
        <mc:AlternateContent xmlns:mc="http://schemas.openxmlformats.org/markup-compatibility/2006">
          <mc:Choice Requires="x14">
            <control shapeId="4102" r:id="rId6" name="Button 6">
              <controlPr defaultSize="0" print="0" autoFill="0" autoPict="0" macro="[0]!gclear">
                <anchor moveWithCells="1" sizeWithCells="1">
                  <from>
                    <xdr:col>11</xdr:col>
                    <xdr:colOff>76200</xdr:colOff>
                    <xdr:row>5</xdr:row>
                    <xdr:rowOff>30480</xdr:rowOff>
                  </from>
                  <to>
                    <xdr:col>11</xdr:col>
                    <xdr:colOff>518160</xdr:colOff>
                    <xdr:row>6</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T120"/>
  <sheetViews>
    <sheetView zoomScale="90" zoomScaleNormal="90" workbookViewId="0">
      <selection activeCell="C2" sqref="C2"/>
    </sheetView>
  </sheetViews>
  <sheetFormatPr defaultRowHeight="11.7" x14ac:dyDescent="0.3"/>
  <cols>
    <col min="1" max="1" width="10.64453125" customWidth="1"/>
    <col min="2" max="2" width="17.87890625" customWidth="1"/>
    <col min="3" max="12" width="13.64453125" customWidth="1"/>
    <col min="13" max="20" width="12" customWidth="1"/>
    <col min="22" max="22" width="10.64453125" customWidth="1"/>
  </cols>
  <sheetData>
    <row r="1" spans="1:10" x14ac:dyDescent="0.3">
      <c r="A1" s="63" t="s">
        <v>11</v>
      </c>
      <c r="B1" s="68" t="s">
        <v>131</v>
      </c>
      <c r="C1" t="s">
        <v>132</v>
      </c>
      <c r="D1" t="s">
        <v>133</v>
      </c>
    </row>
    <row r="2" spans="1:10" x14ac:dyDescent="0.3">
      <c r="A2">
        <f>ready!D2</f>
        <v>11</v>
      </c>
      <c r="B2">
        <v>8</v>
      </c>
      <c r="C2">
        <v>80.119102853675827</v>
      </c>
      <c r="D2">
        <v>11.110444117617632</v>
      </c>
      <c r="F2" s="56"/>
      <c r="G2">
        <v>251</v>
      </c>
      <c r="H2" s="56">
        <v>11.110444117617632</v>
      </c>
    </row>
    <row r="3" spans="1:10" x14ac:dyDescent="0.3">
      <c r="B3">
        <v>7</v>
      </c>
      <c r="C3">
        <v>63.671080338341838</v>
      </c>
      <c r="D3">
        <v>17.845372786351231</v>
      </c>
      <c r="G3">
        <v>640</v>
      </c>
      <c r="H3">
        <v>17.845372786351231</v>
      </c>
    </row>
    <row r="4" spans="1:10" x14ac:dyDescent="0.3">
      <c r="B4">
        <v>6</v>
      </c>
      <c r="C4">
        <v>65.129274522900289</v>
      </c>
      <c r="D4">
        <v>23.97779044920199</v>
      </c>
      <c r="G4">
        <v>453.99999999999994</v>
      </c>
      <c r="H4">
        <v>23.97779044920199</v>
      </c>
    </row>
    <row r="5" spans="1:10" x14ac:dyDescent="0.3">
      <c r="B5">
        <v>5</v>
      </c>
      <c r="C5">
        <v>65.843075871984837</v>
      </c>
      <c r="D5">
        <v>29.697878982201836</v>
      </c>
      <c r="G5">
        <v>455</v>
      </c>
      <c r="H5">
        <v>29.697878982201836</v>
      </c>
    </row>
    <row r="6" spans="1:10" x14ac:dyDescent="0.3">
      <c r="B6">
        <v>4</v>
      </c>
      <c r="C6">
        <v>66.51608857255026</v>
      </c>
      <c r="D6">
        <v>37.070330319049027</v>
      </c>
      <c r="G6">
        <v>459.99999999999994</v>
      </c>
      <c r="H6">
        <v>37.070330319049027</v>
      </c>
    </row>
    <row r="7" spans="1:10" x14ac:dyDescent="0.3">
      <c r="B7">
        <v>3</v>
      </c>
      <c r="C7">
        <v>69.146956402033325</v>
      </c>
      <c r="D7">
        <v>44.590929581211803</v>
      </c>
      <c r="G7">
        <v>467</v>
      </c>
      <c r="H7">
        <v>44.590929581211803</v>
      </c>
    </row>
    <row r="8" spans="1:10" x14ac:dyDescent="0.3">
      <c r="B8">
        <v>2</v>
      </c>
      <c r="C8">
        <v>70.085095317973014</v>
      </c>
      <c r="D8">
        <v>44.30362270819527</v>
      </c>
      <c r="G8">
        <v>469</v>
      </c>
      <c r="H8">
        <v>44.30362270819527</v>
      </c>
    </row>
    <row r="9" spans="1:10" x14ac:dyDescent="0.3">
      <c r="B9">
        <v>1</v>
      </c>
      <c r="C9">
        <v>79.813187989782449</v>
      </c>
      <c r="D9">
        <v>27.045139828096424</v>
      </c>
      <c r="G9">
        <v>471</v>
      </c>
      <c r="H9">
        <v>46.243373094764742</v>
      </c>
    </row>
    <row r="10" spans="1:10" x14ac:dyDescent="0.3">
      <c r="G10">
        <v>475</v>
      </c>
      <c r="H10">
        <v>46.243373094764742</v>
      </c>
    </row>
    <row r="11" spans="1:10" x14ac:dyDescent="0.3">
      <c r="G11">
        <v>477</v>
      </c>
      <c r="H11">
        <v>46.243373094764742</v>
      </c>
    </row>
    <row r="12" spans="1:10" x14ac:dyDescent="0.3">
      <c r="G12">
        <v>481</v>
      </c>
      <c r="H12">
        <v>46.243373094764742</v>
      </c>
    </row>
    <row r="13" spans="1:10" x14ac:dyDescent="0.3">
      <c r="B13" t="s">
        <v>160</v>
      </c>
      <c r="C13">
        <v>15.838446617126465</v>
      </c>
      <c r="D13">
        <v>94.01885986328125</v>
      </c>
      <c r="E13">
        <v>248.28547668457031</v>
      </c>
      <c r="F13">
        <v>481.29583740234375</v>
      </c>
      <c r="G13">
        <v>764.60443115234375</v>
      </c>
      <c r="H13">
        <v>1104.74267578125</v>
      </c>
      <c r="I13">
        <v>1533.294189453125</v>
      </c>
      <c r="J13">
        <v>2155.8271484375</v>
      </c>
    </row>
    <row r="14" spans="1:10" x14ac:dyDescent="0.3">
      <c r="B14" t="s">
        <v>161</v>
      </c>
      <c r="C14">
        <v>3.9797545925755857</v>
      </c>
      <c r="D14">
        <v>9.6963322892360306</v>
      </c>
      <c r="E14">
        <v>15.757077034925301</v>
      </c>
      <c r="F14">
        <v>21.938455674963627</v>
      </c>
      <c r="G14">
        <v>27.651481536300071</v>
      </c>
      <c r="H14">
        <v>33.237669529936213</v>
      </c>
      <c r="I14">
        <v>39.157300589457456</v>
      </c>
      <c r="J14">
        <v>46.430885716702626</v>
      </c>
    </row>
    <row r="15" spans="1:10" x14ac:dyDescent="0.3">
      <c r="B15" t="s">
        <v>162</v>
      </c>
      <c r="C15">
        <v>1.5787872980212325</v>
      </c>
      <c r="D15">
        <v>0.64799615076878192</v>
      </c>
      <c r="E15">
        <v>0.39875327042404007</v>
      </c>
      <c r="F15">
        <v>0.28640056041731465</v>
      </c>
      <c r="G15">
        <v>0.22722782472800285</v>
      </c>
      <c r="H15">
        <v>0.18903810311793717</v>
      </c>
      <c r="I15">
        <v>0.16046014167002251</v>
      </c>
      <c r="J15">
        <v>0.13532341464121034</v>
      </c>
    </row>
    <row r="17" spans="2:10" x14ac:dyDescent="0.3">
      <c r="B17" t="s">
        <v>158</v>
      </c>
      <c r="C17">
        <v>0.26897688966861649</v>
      </c>
      <c r="D17">
        <v>0.24298612240839526</v>
      </c>
      <c r="E17">
        <v>0.17398376089926171</v>
      </c>
      <c r="F17">
        <v>0.12354130530655796</v>
      </c>
      <c r="G17">
        <v>8.8656199695021462E-2</v>
      </c>
      <c r="H17">
        <v>5.5328891509888241E-2</v>
      </c>
      <c r="I17">
        <v>3.2323426603992456E-2</v>
      </c>
      <c r="J17">
        <v>1.4203403908266613E-2</v>
      </c>
    </row>
    <row r="19" spans="2:10" x14ac:dyDescent="0.3">
      <c r="B19" t="s">
        <v>157</v>
      </c>
    </row>
    <row r="20" spans="2:10" x14ac:dyDescent="0.3">
      <c r="B20">
        <v>8</v>
      </c>
      <c r="C20">
        <v>5.2075758607676708</v>
      </c>
      <c r="D20">
        <v>-2.3150557442269371</v>
      </c>
      <c r="E20">
        <v>1.2699695904685508</v>
      </c>
      <c r="F20">
        <v>-0.63938097723152909</v>
      </c>
      <c r="G20">
        <v>0.2743475243791012</v>
      </c>
      <c r="H20">
        <v>-9.0280073278495576E-2</v>
      </c>
      <c r="I20">
        <v>1.6557236269420742E-2</v>
      </c>
      <c r="J20">
        <v>-1.2647316384693005E-3</v>
      </c>
    </row>
    <row r="21" spans="2:10" x14ac:dyDescent="0.3">
      <c r="B21">
        <v>7</v>
      </c>
      <c r="C21">
        <v>4.6128006599484168</v>
      </c>
      <c r="D21">
        <v>-0.74548427453433652</v>
      </c>
      <c r="E21">
        <v>-1.0038148417443629</v>
      </c>
      <c r="F21">
        <v>1.5797169262990944</v>
      </c>
      <c r="G21">
        <v>-1.2383166578141258</v>
      </c>
      <c r="H21">
        <v>0.62893317862544795</v>
      </c>
      <c r="I21">
        <v>-0.16651311065602181</v>
      </c>
      <c r="J21">
        <v>1.8396782973939922E-2</v>
      </c>
    </row>
    <row r="22" spans="2:10" x14ac:dyDescent="0.3">
      <c r="B22">
        <v>6</v>
      </c>
      <c r="C22">
        <v>3.9818247606923856</v>
      </c>
      <c r="D22">
        <v>0.48179832625953756</v>
      </c>
      <c r="E22">
        <v>-1.5302170308714798</v>
      </c>
      <c r="F22">
        <v>0.24857803637987982</v>
      </c>
      <c r="G22">
        <v>1.1981040463980503</v>
      </c>
      <c r="H22">
        <v>-1.4023205727965826</v>
      </c>
      <c r="I22">
        <v>0.63044974802041431</v>
      </c>
      <c r="J22">
        <v>-0.11086725444944491</v>
      </c>
    </row>
    <row r="23" spans="2:10" x14ac:dyDescent="0.3">
      <c r="B23">
        <v>5</v>
      </c>
      <c r="C23">
        <v>3.3409217652797745</v>
      </c>
      <c r="D23">
        <v>1.2721581067190622</v>
      </c>
      <c r="E23">
        <v>-0.89000938291721432</v>
      </c>
      <c r="F23">
        <v>-1.0670856502829424</v>
      </c>
      <c r="G23">
        <v>0.5231248867488707</v>
      </c>
      <c r="H23">
        <v>1.2939249161376893</v>
      </c>
      <c r="I23">
        <v>-1.4021015094196556</v>
      </c>
      <c r="J23">
        <v>0.44213716879961218</v>
      </c>
    </row>
    <row r="24" spans="2:10" x14ac:dyDescent="0.3">
      <c r="B24">
        <v>4</v>
      </c>
      <c r="C24">
        <v>2.7061449568319551</v>
      </c>
      <c r="D24">
        <v>1.6451072290589874</v>
      </c>
      <c r="E24">
        <v>0.11681439421531187</v>
      </c>
      <c r="F24">
        <v>-0.99067502884731984</v>
      </c>
      <c r="G24">
        <v>-0.90864942856906905</v>
      </c>
      <c r="H24">
        <v>0.30161023547218724</v>
      </c>
      <c r="I24">
        <v>1.7232262241122311</v>
      </c>
      <c r="J24">
        <v>-1.2246453557687702</v>
      </c>
    </row>
    <row r="25" spans="2:10" x14ac:dyDescent="0.3">
      <c r="B25">
        <v>3</v>
      </c>
      <c r="C25">
        <v>2.1207042672838639</v>
      </c>
      <c r="D25">
        <v>1.6663555103996606</v>
      </c>
      <c r="E25">
        <v>0.87136239108617508</v>
      </c>
      <c r="F25">
        <v>-7.3914375826475726E-2</v>
      </c>
      <c r="G25">
        <v>-0.80905808484314823</v>
      </c>
      <c r="H25">
        <v>-1.0912264071556008</v>
      </c>
      <c r="I25">
        <v>-0.51398224900250655</v>
      </c>
      <c r="J25">
        <v>2.1772880040872424</v>
      </c>
    </row>
    <row r="26" spans="2:10" x14ac:dyDescent="0.3">
      <c r="B26">
        <v>2</v>
      </c>
      <c r="C26">
        <v>1.58191681230839</v>
      </c>
      <c r="D26">
        <v>1.4410744228052521</v>
      </c>
      <c r="E26">
        <v>1.1631623853851216</v>
      </c>
      <c r="F26">
        <v>0.74339312260555057</v>
      </c>
      <c r="G26">
        <v>0.23301128500686763</v>
      </c>
      <c r="H26">
        <v>-0.37974930774329113</v>
      </c>
      <c r="I26">
        <v>-1.1517870238833936</v>
      </c>
      <c r="J26">
        <v>-2.273282989157031</v>
      </c>
    </row>
    <row r="27" spans="2:10" x14ac:dyDescent="0.3">
      <c r="B27">
        <v>1</v>
      </c>
      <c r="C27">
        <v>1</v>
      </c>
      <c r="D27">
        <v>1</v>
      </c>
      <c r="E27">
        <v>1</v>
      </c>
      <c r="F27">
        <v>1</v>
      </c>
      <c r="G27">
        <v>1</v>
      </c>
      <c r="H27">
        <v>1</v>
      </c>
      <c r="I27">
        <v>1</v>
      </c>
      <c r="J27">
        <v>1</v>
      </c>
    </row>
    <row r="28" spans="2:10" x14ac:dyDescent="0.3">
      <c r="B28">
        <v>0</v>
      </c>
      <c r="C28">
        <v>0</v>
      </c>
      <c r="D28">
        <v>0</v>
      </c>
      <c r="E28">
        <v>0</v>
      </c>
      <c r="F28">
        <v>0</v>
      </c>
      <c r="G28">
        <v>0</v>
      </c>
      <c r="H28">
        <v>0</v>
      </c>
      <c r="I28">
        <v>0</v>
      </c>
      <c r="J28">
        <v>0</v>
      </c>
    </row>
    <row r="31" spans="2:10" x14ac:dyDescent="0.3">
      <c r="B31" t="s">
        <v>159</v>
      </c>
    </row>
    <row r="32" spans="2:10" x14ac:dyDescent="0.3">
      <c r="B32">
        <v>8</v>
      </c>
      <c r="C32">
        <v>1.4007175577426563</v>
      </c>
      <c r="D32">
        <v>-0.5625264184489851</v>
      </c>
      <c r="E32">
        <v>0.22095408557741367</v>
      </c>
      <c r="F32">
        <v>-7.898996051536572E-2</v>
      </c>
      <c r="G32">
        <v>2.4322608907188365E-2</v>
      </c>
      <c r="H32">
        <v>-4.9950963799306417E-3</v>
      </c>
      <c r="I32">
        <v>5.3518661131958317E-4</v>
      </c>
      <c r="J32">
        <v>-1.7963494296743301E-5</v>
      </c>
    </row>
    <row r="33" spans="2:10" x14ac:dyDescent="0.3">
      <c r="B33">
        <v>7</v>
      </c>
      <c r="C33">
        <v>1.2407367741742668</v>
      </c>
      <c r="D33">
        <v>-0.18114233318553402</v>
      </c>
      <c r="E33">
        <v>-0.17464748141318145</v>
      </c>
      <c r="F33">
        <v>0.19516029108985375</v>
      </c>
      <c r="G33">
        <v>-0.1097844489008407</v>
      </c>
      <c r="H33">
        <v>3.4798175607136571E-2</v>
      </c>
      <c r="I33">
        <v>-5.3822743108923954E-3</v>
      </c>
      <c r="J33">
        <v>2.6129693919159098E-4</v>
      </c>
    </row>
    <row r="34" spans="2:10" x14ac:dyDescent="0.3">
      <c r="B34">
        <v>6</v>
      </c>
      <c r="C34">
        <v>1.071018839336521</v>
      </c>
      <c r="D34">
        <v>0.11707030708065995</v>
      </c>
      <c r="E34">
        <v>-0.26623291402312171</v>
      </c>
      <c r="F34">
        <v>3.0709655084911407E-2</v>
      </c>
      <c r="G34">
        <v>0.10621935159287881</v>
      </c>
      <c r="H34">
        <v>-7.7588842834346458E-2</v>
      </c>
      <c r="I34">
        <v>2.0378296157643399E-2</v>
      </c>
      <c r="J34">
        <v>-1.574692395146035E-3</v>
      </c>
    </row>
    <row r="35" spans="2:10" x14ac:dyDescent="0.3">
      <c r="B35">
        <v>5</v>
      </c>
      <c r="C35">
        <v>0.89863074505113738</v>
      </c>
      <c r="D35">
        <v>0.3091167654420704</v>
      </c>
      <c r="E35">
        <v>-0.15484717967556808</v>
      </c>
      <c r="F35">
        <v>-0.13182915410985194</v>
      </c>
      <c r="G35">
        <v>4.6378264425043364E-2</v>
      </c>
      <c r="H35">
        <v>7.1591431306923456E-2</v>
      </c>
      <c r="I35">
        <v>-4.5320725231073278E-2</v>
      </c>
      <c r="J35">
        <v>6.2798527913183466E-3</v>
      </c>
    </row>
    <row r="36" spans="2:10" x14ac:dyDescent="0.3">
      <c r="B36">
        <v>4</v>
      </c>
      <c r="C36">
        <v>0.72789045348107173</v>
      </c>
      <c r="D36">
        <v>0.39973822653506308</v>
      </c>
      <c r="E36">
        <v>2.0323807632748919E-2</v>
      </c>
      <c r="F36">
        <v>-0.12238928619840986</v>
      </c>
      <c r="G36">
        <v>-8.0557405191986522E-2</v>
      </c>
      <c r="H36">
        <v>1.6687759996712494E-2</v>
      </c>
      <c r="I36">
        <v>5.5700576377166758E-2</v>
      </c>
      <c r="J36">
        <v>-1.7394132632366707E-2</v>
      </c>
    </row>
    <row r="37" spans="2:10" x14ac:dyDescent="0.3">
      <c r="B37">
        <v>3</v>
      </c>
      <c r="C37">
        <v>0.57042043772097606</v>
      </c>
      <c r="D37">
        <v>0.4049012640258759</v>
      </c>
      <c r="E37">
        <v>0.15160290590734607</v>
      </c>
      <c r="F37">
        <v>-9.1314784705223053E-3</v>
      </c>
      <c r="G37">
        <v>-7.1728015134725764E-2</v>
      </c>
      <c r="H37">
        <v>-6.037634749423737E-2</v>
      </c>
      <c r="I37">
        <v>-1.6613667501387496E-2</v>
      </c>
      <c r="J37">
        <v>3.0924900946674751E-2</v>
      </c>
    </row>
    <row r="38" spans="2:10" x14ac:dyDescent="0.3">
      <c r="B38">
        <v>2</v>
      </c>
      <c r="C38">
        <v>0.42549906388920333</v>
      </c>
      <c r="D38">
        <v>0.35016108609936453</v>
      </c>
      <c r="E38">
        <v>0.20237136634585989</v>
      </c>
      <c r="F38">
        <v>9.1839756722607802E-2</v>
      </c>
      <c r="G38">
        <v>2.0657895014762416E-2</v>
      </c>
      <c r="H38">
        <v>-2.1011108249083716E-2</v>
      </c>
      <c r="I38">
        <v>-3.7229703329925777E-2</v>
      </c>
      <c r="J38">
        <v>-3.228835649278898E-2</v>
      </c>
    </row>
    <row r="39" spans="2:10" x14ac:dyDescent="0.3">
      <c r="B39">
        <v>1</v>
      </c>
      <c r="C39">
        <v>0.26897688966861649</v>
      </c>
      <c r="D39">
        <v>0.24298612240839526</v>
      </c>
      <c r="E39">
        <v>0.17398376089926171</v>
      </c>
      <c r="F39">
        <v>0.12354130530655796</v>
      </c>
      <c r="G39">
        <v>8.8656199695021462E-2</v>
      </c>
      <c r="H39">
        <v>5.5328891509888241E-2</v>
      </c>
      <c r="I39">
        <v>3.2323426603992456E-2</v>
      </c>
      <c r="J39">
        <v>1.4203403908266613E-2</v>
      </c>
    </row>
    <row r="40" spans="2:10" x14ac:dyDescent="0.3">
      <c r="B40">
        <v>0</v>
      </c>
      <c r="C40">
        <v>0</v>
      </c>
      <c r="D40">
        <v>0</v>
      </c>
      <c r="E40">
        <v>0</v>
      </c>
      <c r="F40">
        <v>0</v>
      </c>
      <c r="G40">
        <v>0</v>
      </c>
      <c r="H40">
        <v>0</v>
      </c>
      <c r="I40">
        <v>0</v>
      </c>
      <c r="J40">
        <v>0</v>
      </c>
    </row>
    <row r="43" spans="2:10" x14ac:dyDescent="0.3">
      <c r="C43">
        <v>0.11193416680224606</v>
      </c>
      <c r="D43">
        <v>0</v>
      </c>
      <c r="E43">
        <v>0</v>
      </c>
      <c r="F43">
        <v>0</v>
      </c>
      <c r="G43">
        <v>0</v>
      </c>
      <c r="H43">
        <v>0</v>
      </c>
      <c r="I43">
        <v>0</v>
      </c>
      <c r="J43">
        <v>0</v>
      </c>
    </row>
    <row r="44" spans="2:10" x14ac:dyDescent="0.3">
      <c r="C44">
        <v>0</v>
      </c>
      <c r="D44">
        <v>0.11945027827538506</v>
      </c>
      <c r="E44">
        <v>0</v>
      </c>
      <c r="F44">
        <v>0</v>
      </c>
      <c r="G44">
        <v>0</v>
      </c>
      <c r="H44">
        <v>0</v>
      </c>
      <c r="I44">
        <v>0</v>
      </c>
      <c r="J44">
        <v>0</v>
      </c>
    </row>
    <row r="45" spans="2:10" x14ac:dyDescent="0.3">
      <c r="C45">
        <v>0</v>
      </c>
      <c r="D45">
        <v>0</v>
      </c>
      <c r="E45">
        <v>0.12025785843086682</v>
      </c>
      <c r="F45">
        <v>0</v>
      </c>
      <c r="G45">
        <v>0</v>
      </c>
      <c r="H45">
        <v>0</v>
      </c>
      <c r="I45">
        <v>0</v>
      </c>
      <c r="J45">
        <v>0</v>
      </c>
    </row>
    <row r="46" spans="2:10" x14ac:dyDescent="0.3">
      <c r="C46">
        <v>0</v>
      </c>
      <c r="D46">
        <v>0</v>
      </c>
      <c r="E46">
        <v>0</v>
      </c>
      <c r="F46">
        <v>0.12261303669821622</v>
      </c>
      <c r="G46">
        <v>0</v>
      </c>
      <c r="H46">
        <v>0</v>
      </c>
      <c r="I46">
        <v>0</v>
      </c>
      <c r="J46">
        <v>0</v>
      </c>
    </row>
    <row r="47" spans="2:10" x14ac:dyDescent="0.3">
      <c r="C47">
        <v>0</v>
      </c>
      <c r="D47">
        <v>0</v>
      </c>
      <c r="E47">
        <v>0</v>
      </c>
      <c r="F47">
        <v>0</v>
      </c>
      <c r="G47">
        <v>0.12323808596545922</v>
      </c>
      <c r="H47">
        <v>0</v>
      </c>
      <c r="I47">
        <v>0</v>
      </c>
      <c r="J47">
        <v>0</v>
      </c>
    </row>
    <row r="48" spans="2:10" x14ac:dyDescent="0.3">
      <c r="C48">
        <v>0</v>
      </c>
      <c r="D48">
        <v>0</v>
      </c>
      <c r="E48">
        <v>0</v>
      </c>
      <c r="F48">
        <v>0</v>
      </c>
      <c r="G48">
        <v>0</v>
      </c>
      <c r="H48">
        <v>0.12391157571893943</v>
      </c>
      <c r="I48">
        <v>0</v>
      </c>
      <c r="J48">
        <v>0</v>
      </c>
    </row>
    <row r="49" spans="3:10" x14ac:dyDescent="0.3">
      <c r="C49">
        <v>0</v>
      </c>
      <c r="D49">
        <v>0</v>
      </c>
      <c r="E49">
        <v>0</v>
      </c>
      <c r="F49">
        <v>0</v>
      </c>
      <c r="G49">
        <v>0</v>
      </c>
      <c r="H49">
        <v>0</v>
      </c>
      <c r="I49">
        <v>0.12532245404870285</v>
      </c>
      <c r="J49">
        <v>0</v>
      </c>
    </row>
    <row r="50" spans="3:10" x14ac:dyDescent="0.3">
      <c r="C50">
        <v>0</v>
      </c>
      <c r="D50">
        <v>0</v>
      </c>
      <c r="E50">
        <v>0</v>
      </c>
      <c r="F50">
        <v>0</v>
      </c>
      <c r="G50">
        <v>0</v>
      </c>
      <c r="H50">
        <v>0</v>
      </c>
      <c r="I50">
        <v>0</v>
      </c>
      <c r="J50">
        <v>0.11172026603960804</v>
      </c>
    </row>
    <row r="53" spans="3:10" x14ac:dyDescent="0.3">
      <c r="C53">
        <v>71348.762536291688</v>
      </c>
      <c r="D53">
        <v>-44303.622708195267</v>
      </c>
      <c r="E53">
        <v>0</v>
      </c>
      <c r="F53">
        <v>0</v>
      </c>
      <c r="G53">
        <v>0</v>
      </c>
      <c r="H53">
        <v>0</v>
      </c>
      <c r="I53">
        <v>0</v>
      </c>
      <c r="J53">
        <v>0</v>
      </c>
    </row>
    <row r="54" spans="3:10" x14ac:dyDescent="0.3">
      <c r="C54">
        <v>-44303.622708195267</v>
      </c>
      <c r="D54">
        <v>88894.55228940706</v>
      </c>
      <c r="E54">
        <v>-44590.9295812118</v>
      </c>
      <c r="F54">
        <v>0</v>
      </c>
      <c r="G54">
        <v>0</v>
      </c>
      <c r="H54">
        <v>0</v>
      </c>
      <c r="I54">
        <v>0</v>
      </c>
      <c r="J54">
        <v>0</v>
      </c>
    </row>
    <row r="55" spans="3:10" x14ac:dyDescent="0.3">
      <c r="C55">
        <v>0</v>
      </c>
      <c r="D55">
        <v>-44590.9295812118</v>
      </c>
      <c r="E55">
        <v>81661.259900260833</v>
      </c>
      <c r="F55">
        <v>-37070.330319049026</v>
      </c>
      <c r="G55">
        <v>0</v>
      </c>
      <c r="H55">
        <v>0</v>
      </c>
      <c r="I55">
        <v>0</v>
      </c>
      <c r="J55">
        <v>0</v>
      </c>
    </row>
    <row r="56" spans="3:10" x14ac:dyDescent="0.3">
      <c r="C56">
        <v>0</v>
      </c>
      <c r="D56">
        <v>0</v>
      </c>
      <c r="E56">
        <v>-37070.330319049026</v>
      </c>
      <c r="F56">
        <v>66768.20930125087</v>
      </c>
      <c r="G56">
        <v>-29697.878982201837</v>
      </c>
      <c r="H56">
        <v>0</v>
      </c>
      <c r="I56">
        <v>0</v>
      </c>
      <c r="J56">
        <v>0</v>
      </c>
    </row>
    <row r="57" spans="3:10" x14ac:dyDescent="0.3">
      <c r="C57">
        <v>0</v>
      </c>
      <c r="D57">
        <v>0</v>
      </c>
      <c r="E57">
        <v>0</v>
      </c>
      <c r="F57">
        <v>-29697.878982201837</v>
      </c>
      <c r="G57">
        <v>53675.669431403832</v>
      </c>
      <c r="H57">
        <v>-23977.790449201992</v>
      </c>
      <c r="I57">
        <v>0</v>
      </c>
      <c r="J57">
        <v>0</v>
      </c>
    </row>
    <row r="58" spans="3:10" x14ac:dyDescent="0.3">
      <c r="C58">
        <v>0</v>
      </c>
      <c r="D58">
        <v>0</v>
      </c>
      <c r="E58">
        <v>0</v>
      </c>
      <c r="F58">
        <v>0</v>
      </c>
      <c r="G58">
        <v>-23977.790449201992</v>
      </c>
      <c r="H58">
        <v>41823.16323555322</v>
      </c>
      <c r="I58">
        <v>-17845.372786351232</v>
      </c>
      <c r="J58">
        <v>0</v>
      </c>
    </row>
    <row r="59" spans="3:10" x14ac:dyDescent="0.3">
      <c r="C59">
        <v>0</v>
      </c>
      <c r="D59">
        <v>0</v>
      </c>
      <c r="E59">
        <v>0</v>
      </c>
      <c r="F59">
        <v>0</v>
      </c>
      <c r="G59">
        <v>0</v>
      </c>
      <c r="H59">
        <v>-17845.372786351232</v>
      </c>
      <c r="I59">
        <v>28955.816903968866</v>
      </c>
      <c r="J59">
        <v>-11110.444117617631</v>
      </c>
    </row>
    <row r="60" spans="3:10" x14ac:dyDescent="0.3">
      <c r="C60">
        <v>0</v>
      </c>
      <c r="D60">
        <v>0</v>
      </c>
      <c r="E60">
        <v>0</v>
      </c>
      <c r="F60">
        <v>0</v>
      </c>
      <c r="G60">
        <v>0</v>
      </c>
      <c r="H60">
        <v>0</v>
      </c>
      <c r="I60">
        <v>-11110.444117617631</v>
      </c>
      <c r="J60">
        <v>11110.444117617631</v>
      </c>
    </row>
    <row r="63" spans="3:10" x14ac:dyDescent="0.3">
      <c r="C63">
        <v>893.94703223013266</v>
      </c>
      <c r="D63">
        <v>-592.36457229018629</v>
      </c>
      <c r="E63">
        <v>0</v>
      </c>
      <c r="F63">
        <v>0</v>
      </c>
      <c r="G63">
        <v>0</v>
      </c>
      <c r="H63">
        <v>0</v>
      </c>
      <c r="I63">
        <v>0</v>
      </c>
      <c r="J63">
        <v>0</v>
      </c>
    </row>
    <row r="64" spans="3:10" x14ac:dyDescent="0.3">
      <c r="C64">
        <v>-592.36457229018629</v>
      </c>
      <c r="D64">
        <v>1268.3802723831132</v>
      </c>
      <c r="E64">
        <v>-640.54133051871463</v>
      </c>
      <c r="F64">
        <v>0</v>
      </c>
      <c r="G64">
        <v>0</v>
      </c>
      <c r="H64">
        <v>0</v>
      </c>
      <c r="I64">
        <v>0</v>
      </c>
      <c r="J64">
        <v>0</v>
      </c>
    </row>
    <row r="65" spans="1:20" x14ac:dyDescent="0.3">
      <c r="C65">
        <v>0</v>
      </c>
      <c r="D65">
        <v>-640.54133051871474</v>
      </c>
      <c r="E65">
        <v>1180.9812629418857</v>
      </c>
      <c r="F65">
        <v>-546.60873803307925</v>
      </c>
      <c r="G65">
        <v>0</v>
      </c>
      <c r="H65">
        <v>0</v>
      </c>
      <c r="I65">
        <v>0</v>
      </c>
      <c r="J65">
        <v>0</v>
      </c>
    </row>
    <row r="66" spans="1:20" x14ac:dyDescent="0.3">
      <c r="C66">
        <v>0</v>
      </c>
      <c r="D66">
        <v>0</v>
      </c>
      <c r="E66">
        <v>-546.60873803307925</v>
      </c>
      <c r="F66">
        <v>1003.7903721356919</v>
      </c>
      <c r="G66">
        <v>-448.75265008292723</v>
      </c>
      <c r="H66">
        <v>0</v>
      </c>
      <c r="I66">
        <v>0</v>
      </c>
      <c r="J66">
        <v>0</v>
      </c>
    </row>
    <row r="67" spans="1:20" x14ac:dyDescent="0.3">
      <c r="C67">
        <v>0</v>
      </c>
      <c r="D67">
        <v>0</v>
      </c>
      <c r="E67">
        <v>0</v>
      </c>
      <c r="F67">
        <v>-448.75265008292723</v>
      </c>
      <c r="G67">
        <v>815.20598362935777</v>
      </c>
      <c r="H67">
        <v>-366.15585636259254</v>
      </c>
      <c r="I67">
        <v>0</v>
      </c>
      <c r="J67">
        <v>0</v>
      </c>
    </row>
    <row r="68" spans="1:20" x14ac:dyDescent="0.3">
      <c r="C68">
        <v>0</v>
      </c>
      <c r="D68">
        <v>0</v>
      </c>
      <c r="E68">
        <v>0</v>
      </c>
      <c r="F68">
        <v>0</v>
      </c>
      <c r="G68">
        <v>-366.1558563625926</v>
      </c>
      <c r="H68">
        <v>642.15613550013768</v>
      </c>
      <c r="I68">
        <v>-277.1190586106095</v>
      </c>
      <c r="J68">
        <v>0</v>
      </c>
    </row>
    <row r="69" spans="1:20" x14ac:dyDescent="0.3">
      <c r="C69">
        <v>0</v>
      </c>
      <c r="D69">
        <v>0</v>
      </c>
      <c r="E69">
        <v>0</v>
      </c>
      <c r="F69">
        <v>0</v>
      </c>
      <c r="G69">
        <v>0</v>
      </c>
      <c r="H69">
        <v>-277.1190586106095</v>
      </c>
      <c r="I69">
        <v>454.77187995084279</v>
      </c>
      <c r="J69">
        <v>-155.55797146389233</v>
      </c>
    </row>
    <row r="70" spans="1:20" x14ac:dyDescent="0.3">
      <c r="C70">
        <v>0</v>
      </c>
      <c r="D70">
        <v>0</v>
      </c>
      <c r="E70">
        <v>0</v>
      </c>
      <c r="F70">
        <v>0</v>
      </c>
      <c r="G70">
        <v>0</v>
      </c>
      <c r="H70">
        <v>0</v>
      </c>
      <c r="I70">
        <v>-155.55797146389233</v>
      </c>
      <c r="J70">
        <v>138.67409546396198</v>
      </c>
    </row>
    <row r="72" spans="1:20" x14ac:dyDescent="0.3">
      <c r="C72" t="s">
        <v>151</v>
      </c>
      <c r="M72" t="s">
        <v>152</v>
      </c>
    </row>
    <row r="73" spans="1:20" x14ac:dyDescent="0.3">
      <c r="A73">
        <v>1533.2942257397124</v>
      </c>
      <c r="B73">
        <v>-2.7902744964255353E-9</v>
      </c>
      <c r="C73">
        <v>2155.8271099114409</v>
      </c>
      <c r="D73">
        <v>-1.4416326857132824E-10</v>
      </c>
      <c r="E73">
        <v>5.4665257744184392E-15</v>
      </c>
      <c r="F73">
        <v>1.4381280993279171E-24</v>
      </c>
      <c r="G73">
        <v>1.0111222813149038E-16</v>
      </c>
      <c r="H73">
        <v>1.2493772371469836E-16</v>
      </c>
      <c r="I73">
        <v>6.7483668531354099E-10</v>
      </c>
      <c r="J73">
        <v>0</v>
      </c>
      <c r="M73">
        <v>1</v>
      </c>
      <c r="N73">
        <v>0</v>
      </c>
      <c r="O73">
        <v>0</v>
      </c>
      <c r="P73">
        <v>0</v>
      </c>
      <c r="Q73">
        <v>0</v>
      </c>
      <c r="R73">
        <v>0</v>
      </c>
      <c r="S73">
        <v>0</v>
      </c>
      <c r="T73">
        <v>0</v>
      </c>
    </row>
    <row r="74" spans="1:20" x14ac:dyDescent="0.3">
      <c r="A74">
        <v>-2.7902007358153373E-9</v>
      </c>
      <c r="B74">
        <v>15.838446752033366</v>
      </c>
      <c r="C74">
        <v>-1.4420838940920703E-10</v>
      </c>
      <c r="D74">
        <v>1533.2942257397124</v>
      </c>
      <c r="E74">
        <v>1.8468163541938594E-13</v>
      </c>
      <c r="F74">
        <v>1.5081660101343964E-10</v>
      </c>
      <c r="G74">
        <v>3.7997332130866505E-17</v>
      </c>
      <c r="H74">
        <v>1.485184903871462E-18</v>
      </c>
      <c r="I74">
        <v>0</v>
      </c>
      <c r="J74">
        <v>-2.7902744964255353E-9</v>
      </c>
      <c r="M74">
        <v>0</v>
      </c>
      <c r="N74">
        <v>1</v>
      </c>
      <c r="O74">
        <v>0</v>
      </c>
      <c r="P74">
        <v>0</v>
      </c>
      <c r="Q74">
        <v>0</v>
      </c>
      <c r="R74">
        <v>0</v>
      </c>
      <c r="S74">
        <v>0</v>
      </c>
      <c r="T74">
        <v>1.8387847178564742E-12</v>
      </c>
    </row>
    <row r="75" spans="1:20" x14ac:dyDescent="0.3">
      <c r="C75">
        <v>-5.7575237343132783E-14</v>
      </c>
      <c r="D75">
        <v>3.710737631095738E-14</v>
      </c>
      <c r="E75">
        <v>1104.742647312127</v>
      </c>
      <c r="F75">
        <v>2.1618682601784511E-13</v>
      </c>
      <c r="G75">
        <v>1.0771844267057883E-18</v>
      </c>
      <c r="H75">
        <v>0</v>
      </c>
      <c r="I75">
        <v>4.2280790629402878E-14</v>
      </c>
      <c r="J75">
        <v>-1.8626620381393278E-10</v>
      </c>
      <c r="M75">
        <v>0</v>
      </c>
      <c r="N75">
        <v>0</v>
      </c>
      <c r="O75">
        <v>1</v>
      </c>
      <c r="P75">
        <v>0</v>
      </c>
      <c r="Q75">
        <v>0</v>
      </c>
      <c r="R75">
        <v>0</v>
      </c>
      <c r="S75">
        <v>0</v>
      </c>
      <c r="T75">
        <v>0</v>
      </c>
    </row>
    <row r="76" spans="1:20" x14ac:dyDescent="0.3">
      <c r="C76">
        <v>-2.5541980674251783E-14</v>
      </c>
      <c r="D76">
        <v>1.5068597336981647E-10</v>
      </c>
      <c r="E76">
        <v>9.0301856714229474E-14</v>
      </c>
      <c r="F76">
        <v>764.6044471548314</v>
      </c>
      <c r="G76">
        <v>-4.4886725745549439E-17</v>
      </c>
      <c r="H76">
        <v>4.5718124485360451E-23</v>
      </c>
      <c r="I76">
        <v>-1.4770517812118214E-10</v>
      </c>
      <c r="J76">
        <v>-1.9955793889644683E-13</v>
      </c>
      <c r="M76">
        <v>0</v>
      </c>
      <c r="N76">
        <v>0</v>
      </c>
      <c r="O76">
        <v>0</v>
      </c>
      <c r="P76">
        <v>1</v>
      </c>
      <c r="Q76">
        <v>0</v>
      </c>
      <c r="R76">
        <v>0</v>
      </c>
      <c r="S76">
        <v>0</v>
      </c>
      <c r="T76">
        <v>0</v>
      </c>
    </row>
    <row r="77" spans="1:20" x14ac:dyDescent="0.3">
      <c r="A77">
        <v>-1.8387847178564742E-12</v>
      </c>
      <c r="C77">
        <v>1.1200294677974257E-14</v>
      </c>
      <c r="D77">
        <v>-8.1815491070367437E-14</v>
      </c>
      <c r="E77">
        <v>-4.9627128504077384E-14</v>
      </c>
      <c r="F77">
        <v>6.3116936713244482E-14</v>
      </c>
      <c r="G77">
        <v>481.2958243620829</v>
      </c>
      <c r="H77">
        <v>-4.4094241675789455E-13</v>
      </c>
      <c r="I77">
        <v>-3.3786792563330348E-24</v>
      </c>
      <c r="J77">
        <v>-1.0799336815161249E-22</v>
      </c>
      <c r="M77">
        <v>0</v>
      </c>
      <c r="N77">
        <v>0</v>
      </c>
      <c r="O77">
        <v>0</v>
      </c>
      <c r="P77">
        <v>0</v>
      </c>
      <c r="Q77">
        <v>1</v>
      </c>
      <c r="R77">
        <v>0</v>
      </c>
      <c r="S77">
        <v>0</v>
      </c>
      <c r="T77">
        <v>0</v>
      </c>
    </row>
    <row r="78" spans="1:20" x14ac:dyDescent="0.3">
      <c r="C78">
        <v>8.1454529281789314E-14</v>
      </c>
      <c r="D78">
        <v>-5.9281720951136487E-15</v>
      </c>
      <c r="E78">
        <v>5.8702412764614918E-14</v>
      </c>
      <c r="F78">
        <v>-9.3438838494529494E-16</v>
      </c>
      <c r="G78">
        <v>-4.6758871151471429E-13</v>
      </c>
      <c r="H78">
        <v>248.28547217485749</v>
      </c>
      <c r="I78">
        <v>1.8295612452888146E-11</v>
      </c>
      <c r="J78">
        <v>7.2299582707479698E-21</v>
      </c>
      <c r="M78">
        <v>0</v>
      </c>
      <c r="N78">
        <v>0</v>
      </c>
      <c r="O78">
        <v>0</v>
      </c>
      <c r="P78">
        <v>0</v>
      </c>
      <c r="Q78">
        <v>0</v>
      </c>
      <c r="R78">
        <v>1</v>
      </c>
      <c r="S78">
        <v>0</v>
      </c>
      <c r="T78">
        <v>0</v>
      </c>
    </row>
    <row r="79" spans="1:20" x14ac:dyDescent="0.3">
      <c r="C79">
        <v>6.7494609148527794E-10</v>
      </c>
      <c r="D79">
        <v>8.6516331023143315E-14</v>
      </c>
      <c r="E79">
        <v>3.3922686048161648E-14</v>
      </c>
      <c r="F79">
        <v>-1.4771216916533376E-10</v>
      </c>
      <c r="G79">
        <v>3.1975343102077994E-14</v>
      </c>
      <c r="H79">
        <v>1.8256121550480749E-11</v>
      </c>
      <c r="I79">
        <v>94.018860828038683</v>
      </c>
      <c r="J79">
        <v>-1.2352973380461766E-15</v>
      </c>
      <c r="M79">
        <v>0</v>
      </c>
      <c r="N79">
        <v>0</v>
      </c>
      <c r="O79">
        <v>0</v>
      </c>
      <c r="P79">
        <v>0</v>
      </c>
      <c r="Q79">
        <v>0</v>
      </c>
      <c r="R79">
        <v>0</v>
      </c>
      <c r="S79">
        <v>1</v>
      </c>
      <c r="T79">
        <v>0</v>
      </c>
    </row>
    <row r="80" spans="1:20" x14ac:dyDescent="0.3">
      <c r="C80">
        <v>5.2220248384180963E-14</v>
      </c>
      <c r="D80">
        <v>-2.7902007358153373E-9</v>
      </c>
      <c r="E80">
        <v>-1.8630516650913317E-10</v>
      </c>
      <c r="F80">
        <v>-1.7524399138181051E-13</v>
      </c>
      <c r="G80">
        <v>5.5604504365229415E-15</v>
      </c>
      <c r="H80">
        <v>-7.3315383529695433E-15</v>
      </c>
      <c r="I80">
        <v>-1.0737661530217426E-14</v>
      </c>
      <c r="J80">
        <v>15.838446752033366</v>
      </c>
      <c r="M80">
        <v>0</v>
      </c>
      <c r="N80">
        <v>-1.8387847178564742E-12</v>
      </c>
      <c r="O80">
        <v>0</v>
      </c>
      <c r="P80">
        <v>0</v>
      </c>
      <c r="Q80">
        <v>0</v>
      </c>
      <c r="R80">
        <v>0</v>
      </c>
      <c r="S80">
        <v>0</v>
      </c>
      <c r="T80">
        <v>1</v>
      </c>
    </row>
    <row r="82" spans="1:20" x14ac:dyDescent="0.3">
      <c r="C82" t="s">
        <v>154</v>
      </c>
      <c r="M82" t="s">
        <v>153</v>
      </c>
    </row>
    <row r="83" spans="1:20" x14ac:dyDescent="0.3">
      <c r="A83">
        <v>1</v>
      </c>
      <c r="B83">
        <v>1.8387847178564742E-12</v>
      </c>
      <c r="C83">
        <v>2155.8271099114409</v>
      </c>
      <c r="D83">
        <v>-1.4416326857132824E-10</v>
      </c>
      <c r="E83">
        <v>5.4665257744184392E-15</v>
      </c>
      <c r="F83">
        <v>1.4381280993279171E-24</v>
      </c>
      <c r="G83">
        <v>1.0111222813149038E-16</v>
      </c>
      <c r="H83">
        <v>1.2493772371469836E-16</v>
      </c>
      <c r="I83">
        <v>6.7483668531354099E-10</v>
      </c>
      <c r="J83">
        <v>-2.6508521512519691E-22</v>
      </c>
      <c r="M83">
        <v>1</v>
      </c>
      <c r="N83">
        <v>0</v>
      </c>
      <c r="O83">
        <v>0</v>
      </c>
      <c r="P83">
        <v>0</v>
      </c>
      <c r="Q83">
        <v>0</v>
      </c>
      <c r="R83">
        <v>0</v>
      </c>
      <c r="S83">
        <v>0</v>
      </c>
      <c r="T83">
        <v>0</v>
      </c>
    </row>
    <row r="84" spans="1:20" x14ac:dyDescent="0.3">
      <c r="A84">
        <v>-1.8387847178564742E-12</v>
      </c>
      <c r="B84">
        <v>1</v>
      </c>
      <c r="C84">
        <v>-1.4420838940920713E-10</v>
      </c>
      <c r="D84">
        <v>1533.2942257397124</v>
      </c>
      <c r="E84">
        <v>1.8468163576196104E-13</v>
      </c>
      <c r="F84">
        <v>1.5081660101343995E-10</v>
      </c>
      <c r="G84">
        <v>3.7997332120642036E-17</v>
      </c>
      <c r="H84">
        <v>1.4851849173525827E-18</v>
      </c>
      <c r="I84">
        <v>1.9744247927279165E-26</v>
      </c>
      <c r="J84">
        <v>0</v>
      </c>
      <c r="M84">
        <v>0</v>
      </c>
      <c r="N84">
        <v>1</v>
      </c>
      <c r="O84">
        <v>0</v>
      </c>
      <c r="P84">
        <v>0</v>
      </c>
      <c r="Q84">
        <v>0</v>
      </c>
      <c r="R84">
        <v>0</v>
      </c>
      <c r="S84">
        <v>0</v>
      </c>
      <c r="T84">
        <v>-1.8387847178564742E-12</v>
      </c>
    </row>
    <row r="85" spans="1:20" x14ac:dyDescent="0.3">
      <c r="C85">
        <v>-5.7575237343132783E-14</v>
      </c>
      <c r="D85">
        <v>3.710737665346083E-14</v>
      </c>
      <c r="E85">
        <v>1104.742647312127</v>
      </c>
      <c r="F85">
        <v>2.1618682601784511E-13</v>
      </c>
      <c r="G85">
        <v>1.0771844267057883E-18</v>
      </c>
      <c r="H85">
        <v>0</v>
      </c>
      <c r="I85">
        <v>4.2280790629402878E-14</v>
      </c>
      <c r="J85">
        <v>-1.862662038139327E-10</v>
      </c>
      <c r="M85">
        <v>0</v>
      </c>
      <c r="N85">
        <v>0</v>
      </c>
      <c r="O85">
        <v>1</v>
      </c>
      <c r="P85">
        <v>0</v>
      </c>
      <c r="Q85">
        <v>0</v>
      </c>
      <c r="R85">
        <v>0</v>
      </c>
      <c r="S85">
        <v>0</v>
      </c>
      <c r="T85">
        <v>0</v>
      </c>
    </row>
    <row r="86" spans="1:20" x14ac:dyDescent="0.3">
      <c r="C86">
        <v>-2.5541980674251783E-14</v>
      </c>
      <c r="D86">
        <v>1.5068597336981683E-10</v>
      </c>
      <c r="E86">
        <v>9.0301856714229474E-14</v>
      </c>
      <c r="F86">
        <v>764.6044471548314</v>
      </c>
      <c r="G86">
        <v>-4.4886725745549439E-17</v>
      </c>
      <c r="H86">
        <v>4.5718124485360451E-23</v>
      </c>
      <c r="I86">
        <v>-1.4770517812118214E-10</v>
      </c>
      <c r="J86">
        <v>-1.9955793861936776E-13</v>
      </c>
      <c r="M86">
        <v>0</v>
      </c>
      <c r="N86">
        <v>0</v>
      </c>
      <c r="O86">
        <v>0</v>
      </c>
      <c r="P86">
        <v>1</v>
      </c>
      <c r="Q86">
        <v>0</v>
      </c>
      <c r="R86">
        <v>0</v>
      </c>
      <c r="S86">
        <v>0</v>
      </c>
      <c r="T86">
        <v>0</v>
      </c>
    </row>
    <row r="87" spans="1:20" x14ac:dyDescent="0.3">
      <c r="A87">
        <v>1</v>
      </c>
      <c r="C87">
        <v>1.1200294677974257E-14</v>
      </c>
      <c r="D87">
        <v>-8.1815491070367437E-14</v>
      </c>
      <c r="E87">
        <v>-4.9627128504077384E-14</v>
      </c>
      <c r="F87">
        <v>6.3116936713244482E-14</v>
      </c>
      <c r="G87">
        <v>481.2958243620829</v>
      </c>
      <c r="H87">
        <v>-4.4094241675789455E-13</v>
      </c>
      <c r="I87">
        <v>-3.3786792563330348E-24</v>
      </c>
      <c r="J87">
        <v>-1.081438092262766E-22</v>
      </c>
      <c r="M87">
        <v>0</v>
      </c>
      <c r="N87">
        <v>0</v>
      </c>
      <c r="O87">
        <v>0</v>
      </c>
      <c r="P87">
        <v>0</v>
      </c>
      <c r="Q87">
        <v>1</v>
      </c>
      <c r="R87">
        <v>0</v>
      </c>
      <c r="S87">
        <v>0</v>
      </c>
      <c r="T87">
        <v>0</v>
      </c>
    </row>
    <row r="88" spans="1:20" x14ac:dyDescent="0.3">
      <c r="A88">
        <v>7</v>
      </c>
      <c r="C88">
        <v>8.1454529281789314E-14</v>
      </c>
      <c r="D88">
        <v>-5.9281720951136487E-15</v>
      </c>
      <c r="E88">
        <v>5.8702412764614918E-14</v>
      </c>
      <c r="F88">
        <v>-9.3438838494529494E-16</v>
      </c>
      <c r="G88">
        <v>-4.6758871151471429E-13</v>
      </c>
      <c r="H88">
        <v>248.28547217485749</v>
      </c>
      <c r="I88">
        <v>1.8295612452888146E-11</v>
      </c>
      <c r="J88">
        <v>7.2299473701157171E-21</v>
      </c>
      <c r="M88">
        <v>0</v>
      </c>
      <c r="N88">
        <v>0</v>
      </c>
      <c r="O88">
        <v>0</v>
      </c>
      <c r="P88">
        <v>0</v>
      </c>
      <c r="Q88">
        <v>0</v>
      </c>
      <c r="R88">
        <v>1</v>
      </c>
      <c r="S88">
        <v>0</v>
      </c>
      <c r="T88">
        <v>0</v>
      </c>
    </row>
    <row r="89" spans="1:20" x14ac:dyDescent="0.3">
      <c r="C89">
        <v>6.7494609148527794E-10</v>
      </c>
      <c r="D89">
        <v>8.6516331023145587E-14</v>
      </c>
      <c r="E89">
        <v>3.3922686048161648E-14</v>
      </c>
      <c r="F89">
        <v>-1.4771216916533376E-10</v>
      </c>
      <c r="G89">
        <v>3.1975343102077994E-14</v>
      </c>
      <c r="H89">
        <v>1.8256121550480749E-11</v>
      </c>
      <c r="I89">
        <v>94.018860828038683</v>
      </c>
      <c r="J89">
        <v>-1.2352973378870917E-15</v>
      </c>
      <c r="M89">
        <v>0</v>
      </c>
      <c r="N89">
        <v>0</v>
      </c>
      <c r="O89">
        <v>0</v>
      </c>
      <c r="P89">
        <v>0</v>
      </c>
      <c r="Q89">
        <v>0</v>
      </c>
      <c r="R89">
        <v>0</v>
      </c>
      <c r="S89">
        <v>1</v>
      </c>
      <c r="T89">
        <v>0</v>
      </c>
    </row>
    <row r="90" spans="1:20" x14ac:dyDescent="0.3">
      <c r="C90">
        <v>5.2220248119012778E-14</v>
      </c>
      <c r="D90">
        <v>7.3760610198174112E-14</v>
      </c>
      <c r="E90">
        <v>-1.8630516650913284E-10</v>
      </c>
      <c r="F90">
        <v>-1.7524399110449124E-13</v>
      </c>
      <c r="G90">
        <v>5.5604504365230117E-15</v>
      </c>
      <c r="H90">
        <v>-7.3315383529695402E-15</v>
      </c>
      <c r="I90">
        <v>-1.0737661530217426E-14</v>
      </c>
      <c r="J90">
        <v>15.838446752033366</v>
      </c>
      <c r="M90">
        <v>0</v>
      </c>
      <c r="N90">
        <v>1.8387847178564742E-12</v>
      </c>
      <c r="O90">
        <v>0</v>
      </c>
      <c r="P90">
        <v>0</v>
      </c>
      <c r="Q90">
        <v>0</v>
      </c>
      <c r="R90">
        <v>0</v>
      </c>
      <c r="S90">
        <v>0</v>
      </c>
      <c r="T90">
        <v>1</v>
      </c>
    </row>
    <row r="92" spans="1:20" x14ac:dyDescent="0.3">
      <c r="C92" t="s">
        <v>128</v>
      </c>
      <c r="M92" t="s">
        <v>155</v>
      </c>
    </row>
    <row r="93" spans="1:20" x14ac:dyDescent="0.3">
      <c r="C93">
        <v>1</v>
      </c>
      <c r="D93">
        <v>0</v>
      </c>
      <c r="E93">
        <v>0</v>
      </c>
      <c r="F93">
        <v>0</v>
      </c>
      <c r="G93">
        <v>0</v>
      </c>
      <c r="H93">
        <v>0</v>
      </c>
      <c r="I93">
        <v>0</v>
      </c>
      <c r="J93">
        <v>0</v>
      </c>
      <c r="M93">
        <v>0.30060479010280583</v>
      </c>
      <c r="N93">
        <v>0.38244074950915136</v>
      </c>
      <c r="O93">
        <v>0.42471662195645421</v>
      </c>
      <c r="P93">
        <v>0.4472657872409449</v>
      </c>
      <c r="Q93">
        <v>0.41889468817433395</v>
      </c>
      <c r="R93">
        <v>0.35704481043436603</v>
      </c>
      <c r="S93">
        <v>0.25965156300272252</v>
      </c>
      <c r="T93">
        <v>0.11212604189581009</v>
      </c>
    </row>
    <row r="94" spans="1:20" x14ac:dyDescent="0.3">
      <c r="C94">
        <v>0</v>
      </c>
      <c r="D94">
        <v>1</v>
      </c>
      <c r="E94">
        <v>0</v>
      </c>
      <c r="F94">
        <v>0</v>
      </c>
      <c r="G94">
        <v>0</v>
      </c>
      <c r="H94">
        <v>0</v>
      </c>
      <c r="I94">
        <v>0</v>
      </c>
      <c r="J94">
        <v>0</v>
      </c>
      <c r="M94">
        <v>-0.64036104390894977</v>
      </c>
      <c r="N94">
        <v>-0.4127735373117809</v>
      </c>
      <c r="O94">
        <v>-0.15113733290075754</v>
      </c>
      <c r="P94">
        <v>9.7660319073107238E-2</v>
      </c>
      <c r="Q94">
        <v>0.2918091444536457</v>
      </c>
      <c r="R94">
        <v>0.38916930569196251</v>
      </c>
      <c r="S94">
        <v>0.3506330555713435</v>
      </c>
      <c r="T94">
        <v>0.16621324881703811</v>
      </c>
    </row>
    <row r="95" spans="1:20" x14ac:dyDescent="0.3">
      <c r="C95">
        <v>0</v>
      </c>
      <c r="D95">
        <v>0</v>
      </c>
      <c r="E95">
        <v>1</v>
      </c>
      <c r="F95">
        <v>0</v>
      </c>
      <c r="G95">
        <v>0</v>
      </c>
      <c r="H95">
        <v>0</v>
      </c>
      <c r="I95">
        <v>0</v>
      </c>
      <c r="J95">
        <v>0</v>
      </c>
      <c r="M95">
        <v>0.60920152499669034</v>
      </c>
      <c r="N95">
        <v>-0.18296224742324863</v>
      </c>
      <c r="O95">
        <v>-0.43138330215384391</v>
      </c>
      <c r="P95">
        <v>-0.33681745212456093</v>
      </c>
      <c r="Q95">
        <v>-2.8819269773403048E-2</v>
      </c>
      <c r="R95">
        <v>0.28958145224669229</v>
      </c>
      <c r="S95">
        <v>0.4027242751183383</v>
      </c>
      <c r="T95">
        <v>0.22132771846639268</v>
      </c>
    </row>
    <row r="96" spans="1:20" x14ac:dyDescent="0.3">
      <c r="C96">
        <v>0</v>
      </c>
      <c r="D96">
        <v>0</v>
      </c>
      <c r="E96">
        <v>0</v>
      </c>
      <c r="F96">
        <v>1</v>
      </c>
      <c r="G96">
        <v>0</v>
      </c>
      <c r="H96">
        <v>0</v>
      </c>
      <c r="I96">
        <v>0</v>
      </c>
      <c r="J96">
        <v>0</v>
      </c>
      <c r="M96">
        <v>-0.33607194461266116</v>
      </c>
      <c r="N96">
        <v>0.60163414775611457</v>
      </c>
      <c r="O96">
        <v>0.11694222594273816</v>
      </c>
      <c r="P96">
        <v>-0.37101208748467457</v>
      </c>
      <c r="Q96">
        <v>-0.37884546412846953</v>
      </c>
      <c r="R96">
        <v>3.807545558931788E-2</v>
      </c>
      <c r="S96">
        <v>0.38995201997541129</v>
      </c>
      <c r="T96">
        <v>0.27700242442604378</v>
      </c>
    </row>
    <row r="97" spans="3:20" x14ac:dyDescent="0.3">
      <c r="C97">
        <v>0</v>
      </c>
      <c r="D97">
        <v>0</v>
      </c>
      <c r="E97">
        <v>0</v>
      </c>
      <c r="F97">
        <v>0</v>
      </c>
      <c r="G97">
        <v>1</v>
      </c>
      <c r="H97">
        <v>0</v>
      </c>
      <c r="I97">
        <v>0</v>
      </c>
      <c r="J97">
        <v>0</v>
      </c>
      <c r="M97">
        <v>0.12071761566882511</v>
      </c>
      <c r="N97">
        <v>-0.48703631384576573</v>
      </c>
      <c r="O97">
        <v>0.49914423588227935</v>
      </c>
      <c r="P97">
        <v>0.21251460712614156</v>
      </c>
      <c r="Q97">
        <v>-0.40599609771740597</v>
      </c>
      <c r="R97">
        <v>-0.28862572484073895</v>
      </c>
      <c r="S97">
        <v>0.30001968952845681</v>
      </c>
      <c r="T97">
        <v>0.34024403786095098</v>
      </c>
    </row>
    <row r="98" spans="3:20" x14ac:dyDescent="0.3">
      <c r="C98">
        <v>0</v>
      </c>
      <c r="D98">
        <v>0</v>
      </c>
      <c r="E98">
        <v>0</v>
      </c>
      <c r="F98">
        <v>0</v>
      </c>
      <c r="G98">
        <v>0</v>
      </c>
      <c r="H98">
        <v>1</v>
      </c>
      <c r="I98">
        <v>0</v>
      </c>
      <c r="J98">
        <v>0</v>
      </c>
      <c r="M98">
        <v>-3.0105786717036547E-2</v>
      </c>
      <c r="N98">
        <v>0.21780378732624889</v>
      </c>
      <c r="O98">
        <v>-0.53801868010297593</v>
      </c>
      <c r="P98">
        <v>0.48407316183960292</v>
      </c>
      <c r="Q98">
        <v>9.4062907230219442E-2</v>
      </c>
      <c r="R98">
        <v>-0.49354476243992917</v>
      </c>
      <c r="S98">
        <v>0.11300743545829252</v>
      </c>
      <c r="T98">
        <v>0.40331040423227943</v>
      </c>
    </row>
    <row r="99" spans="3:20" x14ac:dyDescent="0.3">
      <c r="C99">
        <v>0</v>
      </c>
      <c r="D99">
        <v>0</v>
      </c>
      <c r="E99">
        <v>0</v>
      </c>
      <c r="F99">
        <v>0</v>
      </c>
      <c r="G99">
        <v>0</v>
      </c>
      <c r="H99">
        <v>0</v>
      </c>
      <c r="I99">
        <v>1</v>
      </c>
      <c r="J99">
        <v>0</v>
      </c>
      <c r="M99">
        <v>4.9393700272525798E-3</v>
      </c>
      <c r="N99">
        <v>-5.6878269535435552E-2</v>
      </c>
      <c r="O99">
        <v>0.2385819283312979</v>
      </c>
      <c r="P99">
        <v>-0.49468777078621473</v>
      </c>
      <c r="Q99">
        <v>0.59104140359157442</v>
      </c>
      <c r="R99">
        <v>-0.32011801700095543</v>
      </c>
      <c r="S99">
        <v>-0.17288734630972993</v>
      </c>
      <c r="T99">
        <v>0.46196062375978603</v>
      </c>
    </row>
    <row r="100" spans="3:20" x14ac:dyDescent="0.3">
      <c r="C100">
        <v>0</v>
      </c>
      <c r="D100">
        <v>0</v>
      </c>
      <c r="E100">
        <v>0</v>
      </c>
      <c r="F100">
        <v>0</v>
      </c>
      <c r="G100">
        <v>0</v>
      </c>
      <c r="H100">
        <v>0</v>
      </c>
      <c r="I100">
        <v>0</v>
      </c>
      <c r="J100">
        <v>1</v>
      </c>
      <c r="M100">
        <v>-3.8091229363285638E-4</v>
      </c>
      <c r="N100">
        <v>6.3442854704390617E-3</v>
      </c>
      <c r="O100">
        <v>-3.8416860509588903E-2</v>
      </c>
      <c r="P100">
        <v>0.12294119613073765</v>
      </c>
      <c r="Q100">
        <v>-0.2683460914448178</v>
      </c>
      <c r="R100">
        <v>0.45430420498288848</v>
      </c>
      <c r="S100">
        <v>-0.60225872964268412</v>
      </c>
      <c r="T100">
        <v>0.58502281936738187</v>
      </c>
    </row>
    <row r="102" spans="3:20" x14ac:dyDescent="0.3">
      <c r="C102" t="s">
        <v>156</v>
      </c>
      <c r="M102" t="s">
        <v>129</v>
      </c>
    </row>
    <row r="103" spans="3:20" x14ac:dyDescent="0.3">
      <c r="C103">
        <v>0.30060479010280583</v>
      </c>
      <c r="D103">
        <v>0.38244074950915136</v>
      </c>
      <c r="E103">
        <v>0.42471662195645421</v>
      </c>
      <c r="F103">
        <v>0.4472657872409449</v>
      </c>
      <c r="G103">
        <v>0.41889468817433395</v>
      </c>
      <c r="H103">
        <v>0.35704481043436603</v>
      </c>
      <c r="I103">
        <v>0.25965156300272252</v>
      </c>
      <c r="J103">
        <v>0.11212604189581009</v>
      </c>
      <c r="M103">
        <v>1.0640415021345724E-3</v>
      </c>
      <c r="N103">
        <v>1.3537137230781302E-3</v>
      </c>
      <c r="O103">
        <v>1.5033563246065144E-3</v>
      </c>
      <c r="P103">
        <v>1.5831729093421887E-3</v>
      </c>
      <c r="Q103">
        <v>1.4827486051994594E-3</v>
      </c>
      <c r="R103">
        <v>1.2638205009774075E-3</v>
      </c>
      <c r="S103">
        <v>9.1908062753930033E-4</v>
      </c>
      <c r="T103">
        <v>3.96889091509218E-4</v>
      </c>
    </row>
    <row r="104" spans="3:20" x14ac:dyDescent="0.3">
      <c r="C104">
        <v>-0.64036104390894977</v>
      </c>
      <c r="D104">
        <v>-0.4127735373117809</v>
      </c>
      <c r="E104">
        <v>-0.15113733290075754</v>
      </c>
      <c r="F104">
        <v>9.7660319073107238E-2</v>
      </c>
      <c r="G104">
        <v>0.2918091444536457</v>
      </c>
      <c r="H104">
        <v>0.38916930569196251</v>
      </c>
      <c r="I104">
        <v>0.3506330555713435</v>
      </c>
      <c r="J104">
        <v>0.16621324881703811</v>
      </c>
      <c r="M104">
        <v>-2.4188674465596182E-3</v>
      </c>
      <c r="N104">
        <v>-1.5591899002942681E-3</v>
      </c>
      <c r="O104">
        <v>-5.7089852356082232E-4</v>
      </c>
      <c r="P104">
        <v>3.6889715399388451E-4</v>
      </c>
      <c r="Q104">
        <v>1.1022651156582508E-3</v>
      </c>
      <c r="R104">
        <v>1.4700284686155007E-3</v>
      </c>
      <c r="S104">
        <v>1.3244635848426861E-3</v>
      </c>
      <c r="T104">
        <v>6.2784552648023498E-4</v>
      </c>
    </row>
    <row r="105" spans="3:20" x14ac:dyDescent="0.3">
      <c r="C105">
        <v>0.60920152499669034</v>
      </c>
      <c r="D105">
        <v>-0.18296224742324863</v>
      </c>
      <c r="E105">
        <v>-0.43138330215384391</v>
      </c>
      <c r="F105">
        <v>-0.33681745212456093</v>
      </c>
      <c r="G105">
        <v>-2.8819269773403048E-2</v>
      </c>
      <c r="H105">
        <v>0.28958145224669229</v>
      </c>
      <c r="I105">
        <v>0.4027242751183383</v>
      </c>
      <c r="J105">
        <v>0.22132771846639268</v>
      </c>
      <c r="M105">
        <v>2.3167247984485742E-3</v>
      </c>
      <c r="N105">
        <v>-6.9578482389325372E-4</v>
      </c>
      <c r="O105">
        <v>-1.6405021207750159E-3</v>
      </c>
      <c r="P105">
        <v>-1.2808788420079463E-3</v>
      </c>
      <c r="Q105">
        <v>-1.0959643766089552E-4</v>
      </c>
      <c r="R105">
        <v>1.1012456536354015E-3</v>
      </c>
      <c r="S105">
        <v>1.531515068201691E-3</v>
      </c>
      <c r="T105">
        <v>8.416843900020145E-4</v>
      </c>
    </row>
    <row r="106" spans="3:20" x14ac:dyDescent="0.3">
      <c r="C106">
        <v>-0.33607194461266116</v>
      </c>
      <c r="D106">
        <v>0.60163414775611457</v>
      </c>
      <c r="E106">
        <v>0.11694222594273816</v>
      </c>
      <c r="F106">
        <v>-0.37101208748467457</v>
      </c>
      <c r="G106">
        <v>-0.37884546412846953</v>
      </c>
      <c r="H106">
        <v>3.807545558931788E-2</v>
      </c>
      <c r="I106">
        <v>0.38995201997541129</v>
      </c>
      <c r="J106">
        <v>0.27700242442604378</v>
      </c>
      <c r="M106">
        <v>-1.30307348393433E-3</v>
      </c>
      <c r="N106">
        <v>2.3327549875488368E-3</v>
      </c>
      <c r="O106">
        <v>4.5342765506317271E-4</v>
      </c>
      <c r="P106">
        <v>-1.4385491593998103E-3</v>
      </c>
      <c r="Q106">
        <v>-1.4689220172292977E-3</v>
      </c>
      <c r="R106">
        <v>1.4763242621856782E-4</v>
      </c>
      <c r="S106">
        <v>1.5119861844529736E-3</v>
      </c>
      <c r="T106">
        <v>1.0740394134092866E-3</v>
      </c>
    </row>
    <row r="107" spans="3:20" x14ac:dyDescent="0.3">
      <c r="C107">
        <v>0.12071761566882511</v>
      </c>
      <c r="D107">
        <v>-0.48703631384576573</v>
      </c>
      <c r="E107">
        <v>0.49914423588227935</v>
      </c>
      <c r="F107">
        <v>0.21251460712614156</v>
      </c>
      <c r="G107">
        <v>-0.40599609771740597</v>
      </c>
      <c r="H107">
        <v>-0.28862572484073895</v>
      </c>
      <c r="I107">
        <v>0.30001968952845681</v>
      </c>
      <c r="J107">
        <v>0.34024403786095098</v>
      </c>
      <c r="M107">
        <v>4.7045229723906632E-4</v>
      </c>
      <c r="N107">
        <v>-1.898044054449948E-3</v>
      </c>
      <c r="O107">
        <v>1.9452302062415491E-3</v>
      </c>
      <c r="P107">
        <v>8.2819714890351259E-4</v>
      </c>
      <c r="Q107">
        <v>-1.5822197595853911E-3</v>
      </c>
      <c r="R107">
        <v>-1.124812104193027E-3</v>
      </c>
      <c r="S107">
        <v>1.1692158710525638E-3</v>
      </c>
      <c r="T107">
        <v>1.3259754042252625E-3</v>
      </c>
    </row>
    <row r="108" spans="3:20" x14ac:dyDescent="0.3">
      <c r="C108">
        <v>-3.0105786717036547E-2</v>
      </c>
      <c r="D108">
        <v>0.21780378732624889</v>
      </c>
      <c r="E108">
        <v>-0.53801868010297593</v>
      </c>
      <c r="F108">
        <v>0.48407316183960292</v>
      </c>
      <c r="G108">
        <v>9.4062907230219442E-2</v>
      </c>
      <c r="H108">
        <v>-0.49354476243992917</v>
      </c>
      <c r="I108">
        <v>0.11300743545829252</v>
      </c>
      <c r="J108">
        <v>0.40331040423227943</v>
      </c>
      <c r="M108">
        <v>-1.1796735996192321E-4</v>
      </c>
      <c r="N108">
        <v>8.5344847560638417E-4</v>
      </c>
      <c r="O108">
        <v>-2.1081875022395725E-3</v>
      </c>
      <c r="P108">
        <v>1.8968058688306499E-3</v>
      </c>
      <c r="Q108">
        <v>3.685787367254873E-4</v>
      </c>
      <c r="R108">
        <v>-1.9339196545601544E-3</v>
      </c>
      <c r="S108">
        <v>4.4281150804600033E-4</v>
      </c>
      <c r="T108">
        <v>1.5803428118201103E-3</v>
      </c>
    </row>
    <row r="109" spans="3:20" x14ac:dyDescent="0.3">
      <c r="C109">
        <v>4.9393700272525798E-3</v>
      </c>
      <c r="D109">
        <v>-5.6878269535435552E-2</v>
      </c>
      <c r="E109">
        <v>0.2385819283312979</v>
      </c>
      <c r="F109">
        <v>-0.49468777078621473</v>
      </c>
      <c r="G109">
        <v>0.59104140359157442</v>
      </c>
      <c r="H109">
        <v>-0.32011801700095543</v>
      </c>
      <c r="I109">
        <v>-0.17288734630972993</v>
      </c>
      <c r="J109">
        <v>0.46196062375978603</v>
      </c>
      <c r="M109">
        <v>1.9574940590034759E-5</v>
      </c>
      <c r="N109">
        <v>-2.2541108296748397E-4</v>
      </c>
      <c r="O109">
        <v>9.4551067184144575E-4</v>
      </c>
      <c r="P109">
        <v>-1.9604693858384851E-3</v>
      </c>
      <c r="Q109">
        <v>2.3423230690799595E-3</v>
      </c>
      <c r="R109">
        <v>-1.2686417761819176E-3</v>
      </c>
      <c r="S109">
        <v>-6.8516015485969807E-4</v>
      </c>
      <c r="T109">
        <v>1.8307702632400485E-3</v>
      </c>
    </row>
    <row r="110" spans="3:20" x14ac:dyDescent="0.3">
      <c r="C110">
        <v>-3.8091229363285638E-4</v>
      </c>
      <c r="D110">
        <v>6.3442854704390617E-3</v>
      </c>
      <c r="E110">
        <v>-3.8416860509588903E-2</v>
      </c>
      <c r="F110">
        <v>0.12294119613073765</v>
      </c>
      <c r="G110">
        <v>-0.2683460914448178</v>
      </c>
      <c r="H110">
        <v>0.45430420498288848</v>
      </c>
      <c r="I110">
        <v>-0.60225872964268412</v>
      </c>
      <c r="J110">
        <v>0.58502281936738187</v>
      </c>
      <c r="M110">
        <v>-1.3457269523939934E-6</v>
      </c>
      <c r="N110">
        <v>2.2413757954161803E-5</v>
      </c>
      <c r="O110">
        <v>-1.357231191491659E-4</v>
      </c>
      <c r="P110">
        <v>4.3433956834208873E-4</v>
      </c>
      <c r="Q110">
        <v>-9.4804125218111708E-4</v>
      </c>
      <c r="R110">
        <v>1.6050136040520369E-3</v>
      </c>
      <c r="S110">
        <v>-2.1277228861925554E-3</v>
      </c>
      <c r="T110">
        <v>2.0668300523454149E-3</v>
      </c>
    </row>
    <row r="112" spans="3:20" x14ac:dyDescent="0.3">
      <c r="M112" t="s">
        <v>130</v>
      </c>
    </row>
    <row r="113" spans="13:20" x14ac:dyDescent="0.3">
      <c r="M113">
        <v>1</v>
      </c>
      <c r="N113">
        <v>1</v>
      </c>
      <c r="O113">
        <v>1</v>
      </c>
      <c r="P113">
        <v>1</v>
      </c>
      <c r="Q113">
        <v>1</v>
      </c>
      <c r="R113">
        <v>1</v>
      </c>
      <c r="S113">
        <v>1</v>
      </c>
      <c r="T113">
        <v>1</v>
      </c>
    </row>
    <row r="114" spans="13:20" x14ac:dyDescent="0.3">
      <c r="M114">
        <v>-2.273282989157031</v>
      </c>
      <c r="N114">
        <v>-1.1517870238833936</v>
      </c>
      <c r="O114">
        <v>-0.37974930774329113</v>
      </c>
      <c r="P114">
        <v>0.23301128500686763</v>
      </c>
      <c r="Q114">
        <v>0.74339312260555057</v>
      </c>
      <c r="R114">
        <v>1.1631623853851216</v>
      </c>
      <c r="S114">
        <v>1.4410744228052521</v>
      </c>
      <c r="T114">
        <v>1.58191681230839</v>
      </c>
    </row>
    <row r="115" spans="13:20" x14ac:dyDescent="0.3">
      <c r="M115">
        <v>2.1772880040872424</v>
      </c>
      <c r="N115">
        <v>-0.51398224900250655</v>
      </c>
      <c r="O115">
        <v>-1.0912264071556008</v>
      </c>
      <c r="P115">
        <v>-0.80905808484314823</v>
      </c>
      <c r="Q115">
        <v>-7.3914375826475726E-2</v>
      </c>
      <c r="R115">
        <v>0.87136239108617508</v>
      </c>
      <c r="S115">
        <v>1.6663555103996606</v>
      </c>
      <c r="T115">
        <v>2.1207042672838639</v>
      </c>
    </row>
    <row r="116" spans="13:20" x14ac:dyDescent="0.3">
      <c r="M116">
        <v>-1.2246453557687702</v>
      </c>
      <c r="N116">
        <v>1.7232262241122311</v>
      </c>
      <c r="O116">
        <v>0.30161023547218724</v>
      </c>
      <c r="P116">
        <v>-0.90864942856906905</v>
      </c>
      <c r="Q116">
        <v>-0.99067502884731984</v>
      </c>
      <c r="R116">
        <v>0.11681439421531187</v>
      </c>
      <c r="S116">
        <v>1.6451072290589874</v>
      </c>
      <c r="T116">
        <v>2.7061449568319551</v>
      </c>
    </row>
    <row r="117" spans="13:20" x14ac:dyDescent="0.3">
      <c r="M117">
        <v>0.44213716879961218</v>
      </c>
      <c r="N117">
        <v>-1.4021015094196556</v>
      </c>
      <c r="O117">
        <v>1.2939249161376893</v>
      </c>
      <c r="P117">
        <v>0.5231248867488707</v>
      </c>
      <c r="Q117">
        <v>-1.0670856502829424</v>
      </c>
      <c r="R117">
        <v>-0.89000938291721432</v>
      </c>
      <c r="S117">
        <v>1.2721581067190622</v>
      </c>
      <c r="T117">
        <v>3.3409217652797745</v>
      </c>
    </row>
    <row r="118" spans="13:20" x14ac:dyDescent="0.3">
      <c r="M118">
        <v>-0.11086725444944491</v>
      </c>
      <c r="N118">
        <v>0.63044974802041431</v>
      </c>
      <c r="O118">
        <v>-1.4023205727965826</v>
      </c>
      <c r="P118">
        <v>1.1981040463980503</v>
      </c>
      <c r="Q118">
        <v>0.24857803637987982</v>
      </c>
      <c r="R118">
        <v>-1.5302170308714798</v>
      </c>
      <c r="S118">
        <v>0.48179832625953756</v>
      </c>
      <c r="T118">
        <v>3.9818247606923856</v>
      </c>
    </row>
    <row r="119" spans="13:20" x14ac:dyDescent="0.3">
      <c r="M119">
        <v>1.8396782973939922E-2</v>
      </c>
      <c r="N119">
        <v>-0.16651311065602181</v>
      </c>
      <c r="O119">
        <v>0.62893317862544795</v>
      </c>
      <c r="P119">
        <v>-1.2383166578141258</v>
      </c>
      <c r="Q119">
        <v>1.5797169262990944</v>
      </c>
      <c r="R119">
        <v>-1.0038148417443629</v>
      </c>
      <c r="S119">
        <v>-0.74548427453433652</v>
      </c>
      <c r="T119">
        <v>4.6128006599484168</v>
      </c>
    </row>
    <row r="120" spans="13:20" x14ac:dyDescent="0.3">
      <c r="M120">
        <v>-1.2647316384693005E-3</v>
      </c>
      <c r="N120">
        <v>1.6557236269420742E-2</v>
      </c>
      <c r="O120">
        <v>-9.0280073278495576E-2</v>
      </c>
      <c r="P120">
        <v>0.2743475243791012</v>
      </c>
      <c r="Q120">
        <v>-0.63938097723152909</v>
      </c>
      <c r="R120">
        <v>1.2699695904685508</v>
      </c>
      <c r="S120">
        <v>-2.3150557442269371</v>
      </c>
      <c r="T120">
        <v>5.2075758607676708</v>
      </c>
    </row>
  </sheetData>
  <phoneticPr fontId="2"/>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elet">
                <anchor moveWithCells="1" sizeWithCells="1">
                  <from>
                    <xdr:col>0</xdr:col>
                    <xdr:colOff>121920</xdr:colOff>
                    <xdr:row>16</xdr:row>
                    <xdr:rowOff>68580</xdr:rowOff>
                  </from>
                  <to>
                    <xdr:col>0</xdr:col>
                    <xdr:colOff>601980</xdr:colOff>
                    <xdr:row>18</xdr:row>
                    <xdr:rowOff>60960</xdr:rowOff>
                  </to>
                </anchor>
              </controlPr>
            </control>
          </mc:Choice>
        </mc:AlternateContent>
        <mc:AlternateContent xmlns:mc="http://schemas.openxmlformats.org/markup-compatibility/2006">
          <mc:Choice Requires="x14">
            <control shapeId="2050" r:id="rId5" name="Button 2">
              <controlPr defaultSize="0" print="0" autoFill="0" autoPict="0" macro="[0]!matrix1">
                <anchor moveWithCells="1" sizeWithCells="1">
                  <from>
                    <xdr:col>0</xdr:col>
                    <xdr:colOff>152400</xdr:colOff>
                    <xdr:row>6</xdr:row>
                    <xdr:rowOff>7620</xdr:rowOff>
                  </from>
                  <to>
                    <xdr:col>0</xdr:col>
                    <xdr:colOff>632460</xdr:colOff>
                    <xdr:row>8</xdr:row>
                    <xdr:rowOff>0</xdr:rowOff>
                  </to>
                </anchor>
              </controlPr>
            </control>
          </mc:Choice>
        </mc:AlternateContent>
        <mc:AlternateContent xmlns:mc="http://schemas.openxmlformats.org/markup-compatibility/2006">
          <mc:Choice Requires="x14">
            <control shapeId="2051" r:id="rId6" name="Button 3">
              <controlPr defaultSize="0" print="0" autoFill="0" autoPict="0" macro="[0]!j_ready">
                <anchor moveWithCells="1" sizeWithCells="1">
                  <from>
                    <xdr:col>0</xdr:col>
                    <xdr:colOff>137160</xdr:colOff>
                    <xdr:row>3</xdr:row>
                    <xdr:rowOff>38100</xdr:rowOff>
                  </from>
                  <to>
                    <xdr:col>0</xdr:col>
                    <xdr:colOff>609600</xdr:colOff>
                    <xdr:row>5</xdr:row>
                    <xdr:rowOff>30480</xdr:rowOff>
                  </to>
                </anchor>
              </controlPr>
            </control>
          </mc:Choice>
        </mc:AlternateContent>
        <mc:AlternateContent xmlns:mc="http://schemas.openxmlformats.org/markup-compatibility/2006">
          <mc:Choice Requires="x14">
            <control shapeId="2053" r:id="rId7" name="Button 5">
              <controlPr defaultSize="0" print="0" autoFill="0" autoPict="0" macro="[0]!jacobi1">
                <anchor moveWithCells="1" sizeWithCells="1">
                  <from>
                    <xdr:col>0</xdr:col>
                    <xdr:colOff>152400</xdr:colOff>
                    <xdr:row>9</xdr:row>
                    <xdr:rowOff>0</xdr:rowOff>
                  </from>
                  <to>
                    <xdr:col>0</xdr:col>
                    <xdr:colOff>632460</xdr:colOff>
                    <xdr:row>10</xdr:row>
                    <xdr:rowOff>144780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3:L56"/>
  <sheetViews>
    <sheetView workbookViewId="0">
      <selection activeCell="D17" sqref="D17"/>
    </sheetView>
  </sheetViews>
  <sheetFormatPr defaultRowHeight="11.7" x14ac:dyDescent="0.3"/>
  <cols>
    <col min="1" max="1" width="2.64453125" customWidth="1"/>
    <col min="2" max="9" width="9.64453125" customWidth="1"/>
    <col min="10" max="12" width="10.64453125" customWidth="1"/>
  </cols>
  <sheetData>
    <row r="3" spans="2:10" x14ac:dyDescent="0.3">
      <c r="B3" s="63" t="s">
        <v>24</v>
      </c>
      <c r="C3" s="63" t="s">
        <v>44</v>
      </c>
      <c r="D3" s="63" t="s">
        <v>45</v>
      </c>
      <c r="E3" s="63" t="s">
        <v>46</v>
      </c>
      <c r="F3" s="63" t="s">
        <v>47</v>
      </c>
      <c r="G3" s="63" t="s">
        <v>48</v>
      </c>
      <c r="H3" s="63" t="s">
        <v>49</v>
      </c>
      <c r="I3" s="63" t="s">
        <v>50</v>
      </c>
      <c r="J3" s="63" t="s">
        <v>51</v>
      </c>
    </row>
    <row r="4" spans="2:10" x14ac:dyDescent="0.3">
      <c r="B4" s="63"/>
      <c r="C4" s="64" t="s">
        <v>52</v>
      </c>
      <c r="D4" s="17" t="s">
        <v>34</v>
      </c>
      <c r="E4" s="17" t="s">
        <v>34</v>
      </c>
      <c r="F4" s="18" t="s">
        <v>53</v>
      </c>
      <c r="G4" s="63" t="s">
        <v>54</v>
      </c>
      <c r="H4" s="63" t="s">
        <v>55</v>
      </c>
      <c r="I4" s="8"/>
      <c r="J4" s="8"/>
    </row>
    <row r="5" spans="2:10" x14ac:dyDescent="0.3">
      <c r="B5" s="63"/>
      <c r="C5" s="9"/>
      <c r="D5" s="10"/>
      <c r="E5" s="9"/>
      <c r="F5" s="12"/>
      <c r="I5" s="8"/>
      <c r="J5" s="8"/>
    </row>
    <row r="6" spans="2:10" x14ac:dyDescent="0.3">
      <c r="B6" s="63"/>
      <c r="C6" s="9"/>
      <c r="D6" s="10"/>
      <c r="E6" s="9"/>
      <c r="F6" s="12"/>
      <c r="I6" s="8"/>
      <c r="J6" s="8"/>
    </row>
    <row r="7" spans="2:10" x14ac:dyDescent="0.3">
      <c r="B7" s="63">
        <v>8</v>
      </c>
      <c r="C7" s="20">
        <f>+重力式!S28</f>
        <v>19.990200000000002</v>
      </c>
      <c r="D7" s="10">
        <f t="shared" ref="D7:D13" si="0">+C7/1000+D8</f>
        <v>0.13993440000000001</v>
      </c>
      <c r="E7" s="21">
        <f>+重力式!D28</f>
        <v>3.75</v>
      </c>
      <c r="F7" s="12">
        <f>+E7/(C7/1000)</f>
        <v>187.59192004081999</v>
      </c>
      <c r="G7" s="22">
        <f>+重力式!G28</f>
        <v>785.7</v>
      </c>
      <c r="H7" s="11">
        <f>+G7/9.80665</f>
        <v>80.119102853675827</v>
      </c>
      <c r="I7" s="8">
        <f>+D7*H7</f>
        <v>11.211418586367415</v>
      </c>
      <c r="J7" s="8">
        <f>+D7*I7</f>
        <v>1.5688631330321725</v>
      </c>
    </row>
    <row r="8" spans="2:10" x14ac:dyDescent="0.3">
      <c r="B8" s="63">
        <f t="shared" ref="B8:B13" si="1">IF(B7&gt;1,B7-1,"")</f>
        <v>7</v>
      </c>
      <c r="C8" s="20">
        <f>+重力式!S29</f>
        <v>18.357700000000001</v>
      </c>
      <c r="D8" s="10">
        <f t="shared" si="0"/>
        <v>0.1199442</v>
      </c>
      <c r="E8" s="21">
        <f>+重力式!D29</f>
        <v>3.5</v>
      </c>
      <c r="F8" s="12">
        <f t="shared" ref="F8:F14" si="2">+E8/(C8/1000)</f>
        <v>190.65569216187211</v>
      </c>
      <c r="G8" s="22">
        <f>+重力式!G29</f>
        <v>624.4</v>
      </c>
      <c r="H8" s="11">
        <f t="shared" ref="H8:H14" si="3">+G8/9.80665</f>
        <v>63.671080338341838</v>
      </c>
      <c r="I8" s="8">
        <f t="shared" ref="I8:I14" si="4">+D8*H8</f>
        <v>7.6369767943181408</v>
      </c>
      <c r="J8" s="8">
        <f t="shared" ref="J8:J14" si="5">+D8*I8</f>
        <v>0.91601107201305398</v>
      </c>
    </row>
    <row r="9" spans="2:10" x14ac:dyDescent="0.3">
      <c r="B9" s="63">
        <f t="shared" si="1"/>
        <v>6</v>
      </c>
      <c r="C9" s="20">
        <f>+重力式!S30</f>
        <v>17.361899999999999</v>
      </c>
      <c r="D9" s="10">
        <f t="shared" si="0"/>
        <v>0.1015865</v>
      </c>
      <c r="E9" s="21">
        <f>+重力式!D30</f>
        <v>3.5</v>
      </c>
      <c r="F9" s="12">
        <f t="shared" si="2"/>
        <v>201.59083971224348</v>
      </c>
      <c r="G9" s="22">
        <f>+重力式!G30</f>
        <v>638.70000000000005</v>
      </c>
      <c r="H9" s="11">
        <f t="shared" si="3"/>
        <v>65.129274522900289</v>
      </c>
      <c r="I9" s="8">
        <f t="shared" si="4"/>
        <v>6.6162550463206102</v>
      </c>
      <c r="J9" s="8">
        <f t="shared" si="5"/>
        <v>0.67212219326304867</v>
      </c>
    </row>
    <row r="10" spans="2:10" x14ac:dyDescent="0.3">
      <c r="B10" s="63">
        <f t="shared" si="1"/>
        <v>5</v>
      </c>
      <c r="C10" s="20">
        <f>+重力式!S31</f>
        <v>16.529800000000002</v>
      </c>
      <c r="D10" s="10">
        <f t="shared" si="0"/>
        <v>8.4224599999999997E-2</v>
      </c>
      <c r="E10" s="21">
        <f>+重力式!D31</f>
        <v>3.5</v>
      </c>
      <c r="F10" s="12">
        <f t="shared" si="2"/>
        <v>211.73879901753196</v>
      </c>
      <c r="G10" s="22">
        <f>+重力式!G31</f>
        <v>645.70000000000005</v>
      </c>
      <c r="H10" s="11">
        <f t="shared" si="3"/>
        <v>65.843075871984837</v>
      </c>
      <c r="I10" s="8">
        <f t="shared" si="4"/>
        <v>5.5456067280875736</v>
      </c>
      <c r="J10" s="8">
        <f t="shared" si="5"/>
        <v>0.46707650843048465</v>
      </c>
    </row>
    <row r="11" spans="2:10" x14ac:dyDescent="0.3">
      <c r="B11" s="63">
        <f t="shared" si="1"/>
        <v>4</v>
      </c>
      <c r="C11" s="20">
        <f>+重力式!S32</f>
        <v>14.9068</v>
      </c>
      <c r="D11" s="10">
        <f t="shared" si="0"/>
        <v>6.7694799999999999E-2</v>
      </c>
      <c r="E11" s="21">
        <f>+重力式!D32</f>
        <v>3.5</v>
      </c>
      <c r="F11" s="12">
        <f t="shared" si="2"/>
        <v>234.79217538304664</v>
      </c>
      <c r="G11" s="22">
        <f>+重力式!G32</f>
        <v>652.29999999999995</v>
      </c>
      <c r="H11" s="11">
        <f t="shared" si="3"/>
        <v>66.51608857255026</v>
      </c>
      <c r="I11" s="8">
        <f t="shared" si="4"/>
        <v>4.5027933127010753</v>
      </c>
      <c r="J11" s="8">
        <f t="shared" si="5"/>
        <v>0.30481569274463677</v>
      </c>
    </row>
    <row r="12" spans="2:10" x14ac:dyDescent="0.3">
      <c r="B12" s="63">
        <f t="shared" si="1"/>
        <v>3</v>
      </c>
      <c r="C12" s="20">
        <f>+重力式!S33</f>
        <v>13.5319</v>
      </c>
      <c r="D12" s="10">
        <f t="shared" si="0"/>
        <v>5.2788000000000002E-2</v>
      </c>
      <c r="E12" s="21">
        <f>+重力式!D33</f>
        <v>3.5</v>
      </c>
      <c r="F12" s="12">
        <f t="shared" si="2"/>
        <v>258.64808341770191</v>
      </c>
      <c r="G12" s="22">
        <f>+重力式!G33</f>
        <v>678.1</v>
      </c>
      <c r="H12" s="11">
        <f t="shared" si="3"/>
        <v>69.146956402033325</v>
      </c>
      <c r="I12" s="8">
        <f t="shared" si="4"/>
        <v>3.6501295345505351</v>
      </c>
      <c r="J12" s="8">
        <f t="shared" si="5"/>
        <v>0.19268303786985366</v>
      </c>
    </row>
    <row r="13" spans="2:10" x14ac:dyDescent="0.3">
      <c r="B13" s="63">
        <f t="shared" si="1"/>
        <v>2</v>
      </c>
      <c r="C13" s="20">
        <f>+重力式!S34</f>
        <v>14.4864</v>
      </c>
      <c r="D13" s="10">
        <f t="shared" si="0"/>
        <v>3.9256100000000002E-2</v>
      </c>
      <c r="E13" s="21">
        <f>+重力式!D34</f>
        <v>3.5</v>
      </c>
      <c r="F13" s="12">
        <f t="shared" si="2"/>
        <v>241.6059200353435</v>
      </c>
      <c r="G13" s="22">
        <f>+重力式!G34</f>
        <v>687.3</v>
      </c>
      <c r="H13" s="11">
        <f t="shared" si="3"/>
        <v>70.085095317973014</v>
      </c>
      <c r="I13" s="8">
        <f t="shared" si="4"/>
        <v>2.7512675103118807</v>
      </c>
      <c r="J13" s="8">
        <f t="shared" si="5"/>
        <v>0.10800403251155423</v>
      </c>
    </row>
    <row r="14" spans="2:10" x14ac:dyDescent="0.3">
      <c r="B14" s="63">
        <f>IF(B13&gt;1,B13-1,0)</f>
        <v>1</v>
      </c>
      <c r="C14" s="20">
        <f>+重力式!S35</f>
        <v>24.7697</v>
      </c>
      <c r="D14" s="10">
        <f>+C14/1000</f>
        <v>2.4769699999999999E-2</v>
      </c>
      <c r="E14" s="21">
        <f>+重力式!D35</f>
        <v>5.3</v>
      </c>
      <c r="F14" s="12">
        <f t="shared" si="2"/>
        <v>213.9711017896866</v>
      </c>
      <c r="G14" s="22">
        <f>+重力式!G35</f>
        <v>782.7</v>
      </c>
      <c r="H14" s="11">
        <f t="shared" si="3"/>
        <v>79.813187989782449</v>
      </c>
      <c r="I14" s="8">
        <f t="shared" si="4"/>
        <v>1.9769487225505142</v>
      </c>
      <c r="J14" s="8">
        <f t="shared" si="5"/>
        <v>4.896842677295947E-2</v>
      </c>
    </row>
    <row r="15" spans="2:10" x14ac:dyDescent="0.3">
      <c r="C15" s="127">
        <f>SUM(C7:C14)</f>
        <v>139.93440000000001</v>
      </c>
      <c r="H15" s="11">
        <f>SUM(H7:H14)</f>
        <v>560.3238618692418</v>
      </c>
      <c r="I15" s="11">
        <f>SUM(I7:I14)</f>
        <v>43.89139623520775</v>
      </c>
      <c r="J15" s="11">
        <f>SUM(J7:J14)</f>
        <v>4.2785440966377646</v>
      </c>
    </row>
    <row r="17" spans="2:12" x14ac:dyDescent="0.3">
      <c r="C17" s="14" t="s">
        <v>56</v>
      </c>
      <c r="D17">
        <v>686.9</v>
      </c>
    </row>
    <row r="18" spans="2:12" x14ac:dyDescent="0.3">
      <c r="C18" t="s">
        <v>147</v>
      </c>
    </row>
    <row r="19" spans="2:12" x14ac:dyDescent="0.3">
      <c r="B19" s="129" t="s">
        <v>57</v>
      </c>
      <c r="C19" s="129" t="s">
        <v>58</v>
      </c>
      <c r="D19" s="126" t="s">
        <v>59</v>
      </c>
      <c r="E19" s="126"/>
      <c r="F19" s="129" t="s">
        <v>60</v>
      </c>
      <c r="G19" s="16">
        <f>+I15^2</f>
        <v>1926.454663476009</v>
      </c>
      <c r="H19" s="130" t="s">
        <v>60</v>
      </c>
      <c r="I19" s="128">
        <f>+G19/G20</f>
        <v>450.25939197164922</v>
      </c>
      <c r="J19" s="129" t="s">
        <v>55</v>
      </c>
    </row>
    <row r="20" spans="2:12" x14ac:dyDescent="0.3">
      <c r="B20" s="129"/>
      <c r="C20" s="129"/>
      <c r="D20" s="129" t="s">
        <v>61</v>
      </c>
      <c r="E20" s="129"/>
      <c r="F20" s="129"/>
      <c r="G20" s="13">
        <f>+J15</f>
        <v>4.2785440966377646</v>
      </c>
      <c r="H20" s="130"/>
      <c r="I20" s="128"/>
      <c r="J20" s="129"/>
    </row>
    <row r="22" spans="2:12" x14ac:dyDescent="0.3">
      <c r="D22" s="178"/>
      <c r="E22" s="178"/>
    </row>
    <row r="23" spans="2:12" x14ac:dyDescent="0.3">
      <c r="B23" s="178" t="s">
        <v>62</v>
      </c>
      <c r="C23" s="178" t="s">
        <v>63</v>
      </c>
      <c r="D23" s="179" t="s">
        <v>61</v>
      </c>
      <c r="E23" s="179"/>
      <c r="F23" s="178" t="s">
        <v>60</v>
      </c>
      <c r="G23" s="15">
        <f>+J15</f>
        <v>4.2785440966377646</v>
      </c>
      <c r="H23" s="180" t="s">
        <v>60</v>
      </c>
      <c r="I23" s="184">
        <f>+G23/G24</f>
        <v>9.748024587118749E-2</v>
      </c>
      <c r="J23" s="182" t="s">
        <v>34</v>
      </c>
      <c r="K23" s="183"/>
      <c r="L23" s="178"/>
    </row>
    <row r="24" spans="2:12" x14ac:dyDescent="0.3">
      <c r="B24" s="178"/>
      <c r="C24" s="178"/>
      <c r="D24" s="178" t="s">
        <v>64</v>
      </c>
      <c r="E24" s="178"/>
      <c r="F24" s="178"/>
      <c r="G24" s="13">
        <f>+I15</f>
        <v>43.89139623520775</v>
      </c>
      <c r="H24" s="180"/>
      <c r="I24" s="184"/>
      <c r="J24" s="182"/>
      <c r="K24" s="183"/>
      <c r="L24" s="178"/>
    </row>
    <row r="26" spans="2:12" x14ac:dyDescent="0.3">
      <c r="D26" s="14" t="s">
        <v>65</v>
      </c>
      <c r="E26">
        <f>I23/D17</f>
        <v>1.4191330014731038E-4</v>
      </c>
      <c r="G26" s="14" t="s">
        <v>66</v>
      </c>
      <c r="H26" s="13">
        <f>+(I19*E26)^0.5</f>
        <v>0.25278013418189754</v>
      </c>
    </row>
    <row r="28" spans="2:12" x14ac:dyDescent="0.3">
      <c r="H28" s="14" t="s">
        <v>67</v>
      </c>
      <c r="I28" s="19">
        <f>+H26*2*PI()</f>
        <v>1.5882644250385829</v>
      </c>
    </row>
    <row r="31" spans="2:12" x14ac:dyDescent="0.3">
      <c r="B31" s="63" t="s">
        <v>24</v>
      </c>
      <c r="C31" s="63" t="s">
        <v>44</v>
      </c>
      <c r="D31" s="63" t="s">
        <v>45</v>
      </c>
      <c r="E31" s="63" t="s">
        <v>46</v>
      </c>
      <c r="F31" s="63" t="s">
        <v>47</v>
      </c>
      <c r="G31" s="63" t="s">
        <v>48</v>
      </c>
      <c r="H31" s="63" t="s">
        <v>49</v>
      </c>
      <c r="I31" s="63" t="s">
        <v>50</v>
      </c>
      <c r="J31" s="63" t="s">
        <v>51</v>
      </c>
    </row>
    <row r="32" spans="2:12" x14ac:dyDescent="0.3">
      <c r="B32" s="63"/>
      <c r="C32" s="64" t="s">
        <v>52</v>
      </c>
      <c r="D32" s="17" t="s">
        <v>34</v>
      </c>
      <c r="E32" s="17" t="s">
        <v>34</v>
      </c>
      <c r="F32" s="18" t="s">
        <v>53</v>
      </c>
      <c r="G32" s="63" t="s">
        <v>54</v>
      </c>
      <c r="H32" s="63" t="s">
        <v>55</v>
      </c>
      <c r="I32" s="8"/>
      <c r="J32" s="8"/>
    </row>
    <row r="33" spans="2:10" x14ac:dyDescent="0.3">
      <c r="B33" s="63"/>
      <c r="C33" s="9"/>
      <c r="D33" s="10"/>
      <c r="E33" s="9"/>
      <c r="F33" s="12"/>
      <c r="I33" s="8"/>
      <c r="J33" s="8"/>
    </row>
    <row r="34" spans="2:10" x14ac:dyDescent="0.3">
      <c r="B34" s="63"/>
      <c r="C34" s="9"/>
      <c r="D34" s="10"/>
      <c r="E34" s="9"/>
      <c r="F34" s="12"/>
      <c r="I34" s="8"/>
      <c r="J34" s="8"/>
    </row>
    <row r="35" spans="2:10" x14ac:dyDescent="0.3">
      <c r="B35" s="63">
        <v>8</v>
      </c>
      <c r="C35" s="20">
        <f>+重力式!S47</f>
        <v>15.5783</v>
      </c>
      <c r="D35" s="10">
        <f t="shared" ref="D35:D41" si="6">+C35/1000+D36</f>
        <v>0.1159394</v>
      </c>
      <c r="E35" s="9">
        <f>+E7</f>
        <v>3.75</v>
      </c>
      <c r="F35" s="12">
        <f>+E35/(C35/1000)</f>
        <v>240.71946232900893</v>
      </c>
      <c r="G35" s="11">
        <f>+G7</f>
        <v>785.7</v>
      </c>
      <c r="H35" s="11">
        <f>+G35/9.80665</f>
        <v>80.119102853675827</v>
      </c>
      <c r="I35" s="8">
        <f>+D35*H35</f>
        <v>9.2889607133934629</v>
      </c>
      <c r="J35" s="8">
        <f>+D35*I35</f>
        <v>1.0769565317344101</v>
      </c>
    </row>
    <row r="36" spans="2:10" x14ac:dyDescent="0.3">
      <c r="B36" s="63">
        <f t="shared" ref="B36:B41" si="7">IF(B35&gt;1,B35-1,"")</f>
        <v>7</v>
      </c>
      <c r="C36" s="20">
        <f>+重力式!S48</f>
        <v>14.861499999999999</v>
      </c>
      <c r="D36" s="10">
        <f t="shared" si="6"/>
        <v>0.10036109999999999</v>
      </c>
      <c r="E36" s="9">
        <f t="shared" ref="E36:E42" si="8">+E8</f>
        <v>3.5</v>
      </c>
      <c r="F36" s="12">
        <f t="shared" ref="F36:F42" si="9">+E36/(C36/1000)</f>
        <v>235.50785586919221</v>
      </c>
      <c r="G36" s="11">
        <f t="shared" ref="G36:G42" si="10">+G8</f>
        <v>624.4</v>
      </c>
      <c r="H36" s="11">
        <f t="shared" ref="H36:H42" si="11">+G36/9.80665</f>
        <v>63.671080338341838</v>
      </c>
      <c r="I36" s="8">
        <f t="shared" ref="I36:I42" si="12">+D36*H36</f>
        <v>6.390099660944359</v>
      </c>
      <c r="J36" s="8">
        <f t="shared" ref="J36:J42" si="13">+D36*I36</f>
        <v>0.6413174310820029</v>
      </c>
    </row>
    <row r="37" spans="2:10" x14ac:dyDescent="0.3">
      <c r="B37" s="63">
        <f t="shared" si="7"/>
        <v>6</v>
      </c>
      <c r="C37" s="20">
        <f>+重力式!S49</f>
        <v>13.728</v>
      </c>
      <c r="D37" s="10">
        <f t="shared" si="6"/>
        <v>8.5499599999999995E-2</v>
      </c>
      <c r="E37" s="9">
        <f t="shared" si="8"/>
        <v>3.5</v>
      </c>
      <c r="F37" s="12">
        <f t="shared" si="9"/>
        <v>254.95337995337994</v>
      </c>
      <c r="G37" s="11">
        <f t="shared" si="10"/>
        <v>638.70000000000005</v>
      </c>
      <c r="H37" s="11">
        <f t="shared" si="11"/>
        <v>65.129274522900289</v>
      </c>
      <c r="I37" s="8">
        <f t="shared" si="12"/>
        <v>5.5685269199981651</v>
      </c>
      <c r="J37" s="8">
        <f t="shared" si="13"/>
        <v>0.47610682424907508</v>
      </c>
    </row>
    <row r="38" spans="2:10" x14ac:dyDescent="0.3">
      <c r="B38" s="63">
        <f t="shared" si="7"/>
        <v>5</v>
      </c>
      <c r="C38" s="20">
        <f>+重力式!S50</f>
        <v>13.347799999999999</v>
      </c>
      <c r="D38" s="10">
        <f t="shared" si="6"/>
        <v>7.1771599999999991E-2</v>
      </c>
      <c r="E38" s="9">
        <f t="shared" si="8"/>
        <v>3.5</v>
      </c>
      <c r="F38" s="12">
        <f t="shared" si="9"/>
        <v>262.21549618663749</v>
      </c>
      <c r="G38" s="11">
        <f t="shared" si="10"/>
        <v>645.70000000000005</v>
      </c>
      <c r="H38" s="11">
        <f t="shared" si="11"/>
        <v>65.843075871984837</v>
      </c>
      <c r="I38" s="8">
        <f t="shared" si="12"/>
        <v>4.7256629042537464</v>
      </c>
      <c r="J38" s="8">
        <f t="shared" si="13"/>
        <v>0.33916838769893815</v>
      </c>
    </row>
    <row r="39" spans="2:10" x14ac:dyDescent="0.3">
      <c r="B39" s="63">
        <f t="shared" si="7"/>
        <v>4</v>
      </c>
      <c r="C39" s="20">
        <f>+重力式!S51</f>
        <v>12.6417</v>
      </c>
      <c r="D39" s="10">
        <f t="shared" si="6"/>
        <v>5.8423799999999998E-2</v>
      </c>
      <c r="E39" s="9">
        <f t="shared" si="8"/>
        <v>3.5</v>
      </c>
      <c r="F39" s="12">
        <f t="shared" si="9"/>
        <v>276.86149805801432</v>
      </c>
      <c r="G39" s="11">
        <f t="shared" si="10"/>
        <v>652.29999999999995</v>
      </c>
      <c r="H39" s="11">
        <f t="shared" si="11"/>
        <v>66.51608857255026</v>
      </c>
      <c r="I39" s="8">
        <f t="shared" si="12"/>
        <v>3.8861226555449617</v>
      </c>
      <c r="J39" s="8">
        <f t="shared" si="13"/>
        <v>0.22704205280302772</v>
      </c>
    </row>
    <row r="40" spans="2:10" x14ac:dyDescent="0.3">
      <c r="B40" s="63">
        <f t="shared" si="7"/>
        <v>3</v>
      </c>
      <c r="C40" s="20">
        <f>+重力式!S52</f>
        <v>11.837999999999999</v>
      </c>
      <c r="D40" s="10">
        <f t="shared" si="6"/>
        <v>4.5782099999999999E-2</v>
      </c>
      <c r="E40" s="9">
        <f t="shared" si="8"/>
        <v>3.5</v>
      </c>
      <c r="F40" s="12">
        <f t="shared" si="9"/>
        <v>295.65805034634229</v>
      </c>
      <c r="G40" s="11">
        <f t="shared" si="10"/>
        <v>678.1</v>
      </c>
      <c r="H40" s="11">
        <f t="shared" si="11"/>
        <v>69.146956402033325</v>
      </c>
      <c r="I40" s="8">
        <f t="shared" si="12"/>
        <v>3.1656928726935298</v>
      </c>
      <c r="J40" s="8">
        <f t="shared" si="13"/>
        <v>0.14493206766694244</v>
      </c>
    </row>
    <row r="41" spans="2:10" x14ac:dyDescent="0.3">
      <c r="B41" s="63">
        <f t="shared" si="7"/>
        <v>2</v>
      </c>
      <c r="C41" s="20">
        <f>+重力式!S53</f>
        <v>12.218299999999999</v>
      </c>
      <c r="D41" s="10">
        <f t="shared" si="6"/>
        <v>3.3944099999999998E-2</v>
      </c>
      <c r="E41" s="9">
        <f t="shared" si="8"/>
        <v>3.5</v>
      </c>
      <c r="F41" s="12">
        <f t="shared" si="9"/>
        <v>286.45556255780264</v>
      </c>
      <c r="G41" s="11">
        <f t="shared" si="10"/>
        <v>687.3</v>
      </c>
      <c r="H41" s="11">
        <f t="shared" si="11"/>
        <v>70.085095317973014</v>
      </c>
      <c r="I41" s="8">
        <f t="shared" si="12"/>
        <v>2.3789754839828077</v>
      </c>
      <c r="J41" s="8">
        <f t="shared" si="13"/>
        <v>8.0752181725860822E-2</v>
      </c>
    </row>
    <row r="42" spans="2:10" x14ac:dyDescent="0.3">
      <c r="B42" s="63">
        <f>IF(B41&gt;1,B41-1,0)</f>
        <v>1</v>
      </c>
      <c r="C42" s="20">
        <f>+重力式!S54</f>
        <v>21.7258</v>
      </c>
      <c r="D42" s="10">
        <f>+C42/1000</f>
        <v>2.17258E-2</v>
      </c>
      <c r="E42" s="9">
        <f t="shared" si="8"/>
        <v>5.3</v>
      </c>
      <c r="F42" s="12">
        <f t="shared" si="9"/>
        <v>243.94958988851963</v>
      </c>
      <c r="G42" s="11">
        <f t="shared" si="10"/>
        <v>782.7</v>
      </c>
      <c r="H42" s="11">
        <f t="shared" si="11"/>
        <v>79.813187989782449</v>
      </c>
      <c r="I42" s="8">
        <f t="shared" si="12"/>
        <v>1.7340053596284155</v>
      </c>
      <c r="J42" s="8">
        <f t="shared" si="13"/>
        <v>3.7672653642215032E-2</v>
      </c>
    </row>
    <row r="43" spans="2:10" x14ac:dyDescent="0.3">
      <c r="H43" s="11">
        <f>SUM(H33:H42)</f>
        <v>560.3238618692418</v>
      </c>
      <c r="I43" s="8">
        <f>SUM(I32:I42)</f>
        <v>37.138046570439442</v>
      </c>
      <c r="J43" s="8">
        <f>SUM(J32:J42)</f>
        <v>3.0239481306024727</v>
      </c>
    </row>
    <row r="45" spans="2:10" x14ac:dyDescent="0.3">
      <c r="C45" s="14" t="s">
        <v>56</v>
      </c>
      <c r="D45">
        <v>686.9</v>
      </c>
    </row>
    <row r="47" spans="2:10" x14ac:dyDescent="0.3">
      <c r="B47" s="178" t="s">
        <v>57</v>
      </c>
      <c r="C47" s="178" t="s">
        <v>58</v>
      </c>
      <c r="D47" s="179" t="s">
        <v>59</v>
      </c>
      <c r="E47" s="179"/>
      <c r="F47" s="178" t="s">
        <v>60</v>
      </c>
      <c r="G47" s="16">
        <f>+I43^2</f>
        <v>1379.2345030681288</v>
      </c>
      <c r="H47" s="180" t="s">
        <v>60</v>
      </c>
      <c r="I47" s="181">
        <f>+G47/G48</f>
        <v>456.10388918719275</v>
      </c>
      <c r="J47" s="182" t="s">
        <v>55</v>
      </c>
    </row>
    <row r="48" spans="2:10" x14ac:dyDescent="0.3">
      <c r="B48" s="178"/>
      <c r="C48" s="178"/>
      <c r="D48" s="178" t="s">
        <v>61</v>
      </c>
      <c r="E48" s="178"/>
      <c r="F48" s="178"/>
      <c r="G48" s="13">
        <f>+J43</f>
        <v>3.0239481306024727</v>
      </c>
      <c r="H48" s="180"/>
      <c r="I48" s="181"/>
      <c r="J48" s="182"/>
    </row>
    <row r="50" spans="2:10" x14ac:dyDescent="0.3">
      <c r="D50" s="178"/>
      <c r="E50" s="178"/>
    </row>
    <row r="51" spans="2:10" x14ac:dyDescent="0.3">
      <c r="B51" s="178" t="s">
        <v>62</v>
      </c>
      <c r="C51" s="178" t="s">
        <v>63</v>
      </c>
      <c r="D51" s="179" t="s">
        <v>61</v>
      </c>
      <c r="E51" s="179"/>
      <c r="F51" s="178" t="s">
        <v>60</v>
      </c>
      <c r="G51" s="15">
        <f>+J43</f>
        <v>3.0239481306024727</v>
      </c>
      <c r="H51" s="180" t="s">
        <v>60</v>
      </c>
      <c r="I51" s="184">
        <f>+G51/G52</f>
        <v>8.142453386359387E-2</v>
      </c>
      <c r="J51" s="182" t="s">
        <v>34</v>
      </c>
    </row>
    <row r="52" spans="2:10" x14ac:dyDescent="0.3">
      <c r="B52" s="178"/>
      <c r="C52" s="178"/>
      <c r="D52" s="178" t="s">
        <v>64</v>
      </c>
      <c r="E52" s="178"/>
      <c r="F52" s="178"/>
      <c r="G52" s="13">
        <f>+I43</f>
        <v>37.138046570439442</v>
      </c>
      <c r="H52" s="180"/>
      <c r="I52" s="184"/>
      <c r="J52" s="182"/>
    </row>
    <row r="54" spans="2:10" x14ac:dyDescent="0.3">
      <c r="D54" s="14" t="s">
        <v>65</v>
      </c>
      <c r="E54">
        <f>I51/D45</f>
        <v>1.1853913795835474E-4</v>
      </c>
      <c r="G54" s="14" t="s">
        <v>66</v>
      </c>
      <c r="H54" s="13">
        <f>+(I47*E54)^0.5</f>
        <v>0.23252131481587399</v>
      </c>
    </row>
    <row r="56" spans="2:10" x14ac:dyDescent="0.3">
      <c r="H56" s="14" t="s">
        <v>67</v>
      </c>
      <c r="I56" s="19">
        <f>+H54*2*PI()</f>
        <v>1.4609745088571784</v>
      </c>
    </row>
  </sheetData>
  <mergeCells count="28">
    <mergeCell ref="D22:E22"/>
    <mergeCell ref="B23:B24"/>
    <mergeCell ref="C23:C24"/>
    <mergeCell ref="D23:E23"/>
    <mergeCell ref="F23:F24"/>
    <mergeCell ref="B51:B52"/>
    <mergeCell ref="C51:C52"/>
    <mergeCell ref="D51:E51"/>
    <mergeCell ref="F51:F52"/>
    <mergeCell ref="K23:K24"/>
    <mergeCell ref="H51:H52"/>
    <mergeCell ref="I51:I52"/>
    <mergeCell ref="J51:J52"/>
    <mergeCell ref="D52:E52"/>
    <mergeCell ref="D50:E50"/>
    <mergeCell ref="H23:H24"/>
    <mergeCell ref="I23:I24"/>
    <mergeCell ref="J23:J24"/>
    <mergeCell ref="L23:L24"/>
    <mergeCell ref="D24:E24"/>
    <mergeCell ref="B47:B48"/>
    <mergeCell ref="C47:C48"/>
    <mergeCell ref="D47:E47"/>
    <mergeCell ref="D48:E48"/>
    <mergeCell ref="F47:F48"/>
    <mergeCell ref="H47:H48"/>
    <mergeCell ref="I47:I48"/>
    <mergeCell ref="J47:J48"/>
  </mergeCells>
  <phoneticPr fontId="2"/>
  <pageMargins left="0.75" right="0.75" top="1" bottom="1" header="0.51200000000000001" footer="0.51200000000000001"/>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M58"/>
  <sheetViews>
    <sheetView workbookViewId="0">
      <selection activeCell="C15" sqref="C15"/>
    </sheetView>
  </sheetViews>
  <sheetFormatPr defaultRowHeight="11.7" x14ac:dyDescent="0.3"/>
  <cols>
    <col min="1" max="1" width="2.64453125" customWidth="1"/>
    <col min="6" max="6" width="10.64453125" bestFit="1" customWidth="1"/>
    <col min="9" max="9" width="9.3515625" customWidth="1"/>
  </cols>
  <sheetData>
    <row r="1" spans="1:13" x14ac:dyDescent="0.3">
      <c r="A1" s="23">
        <v>1</v>
      </c>
      <c r="B1" s="23">
        <f>1+A1</f>
        <v>2</v>
      </c>
      <c r="C1" s="23">
        <f t="shared" ref="C1:L1" si="0">1+B1</f>
        <v>3</v>
      </c>
      <c r="D1" s="23">
        <f t="shared" si="0"/>
        <v>4</v>
      </c>
      <c r="E1" s="23">
        <f t="shared" si="0"/>
        <v>5</v>
      </c>
      <c r="F1" s="23">
        <f t="shared" si="0"/>
        <v>6</v>
      </c>
      <c r="G1" s="23">
        <f t="shared" si="0"/>
        <v>7</v>
      </c>
      <c r="H1" s="23">
        <f t="shared" si="0"/>
        <v>8</v>
      </c>
      <c r="I1" s="23">
        <f t="shared" si="0"/>
        <v>9</v>
      </c>
      <c r="J1" s="23">
        <f t="shared" si="0"/>
        <v>10</v>
      </c>
      <c r="K1" s="23">
        <f t="shared" si="0"/>
        <v>11</v>
      </c>
      <c r="L1" s="23">
        <f t="shared" si="0"/>
        <v>12</v>
      </c>
    </row>
    <row r="2" spans="1:13" x14ac:dyDescent="0.3">
      <c r="A2" s="23"/>
      <c r="B2" s="23" t="s">
        <v>68</v>
      </c>
      <c r="C2" s="23"/>
      <c r="D2" s="23"/>
      <c r="E2" s="23"/>
      <c r="F2" s="23"/>
      <c r="G2" s="23"/>
      <c r="H2" s="23"/>
      <c r="I2" s="23" t="s">
        <v>69</v>
      </c>
      <c r="J2" s="23"/>
      <c r="K2" s="23"/>
      <c r="L2" s="23">
        <v>8</v>
      </c>
    </row>
    <row r="3" spans="1:13" x14ac:dyDescent="0.3">
      <c r="A3" s="23"/>
      <c r="B3" s="185" t="s">
        <v>70</v>
      </c>
      <c r="C3" s="185"/>
      <c r="D3" s="185"/>
      <c r="E3" s="185"/>
      <c r="F3" s="185"/>
      <c r="G3" s="185"/>
      <c r="H3" s="185"/>
      <c r="I3" s="185"/>
      <c r="J3" s="185"/>
      <c r="K3" s="23"/>
      <c r="L3" s="23"/>
    </row>
    <row r="4" spans="1:13" x14ac:dyDescent="0.3">
      <c r="A4" s="23"/>
      <c r="B4" s="185"/>
      <c r="C4" s="185"/>
      <c r="D4" s="185"/>
      <c r="E4" s="185"/>
      <c r="F4" s="185"/>
      <c r="G4" s="185"/>
      <c r="H4" s="185"/>
      <c r="I4" s="185"/>
      <c r="J4" s="185"/>
      <c r="K4" s="23"/>
      <c r="L4" s="23"/>
    </row>
    <row r="5" spans="1:13" x14ac:dyDescent="0.3">
      <c r="A5" s="23"/>
      <c r="B5" s="65"/>
      <c r="C5" s="65"/>
      <c r="D5" s="65"/>
      <c r="E5" s="65"/>
      <c r="F5" s="65"/>
      <c r="G5" s="65"/>
      <c r="H5" s="65"/>
      <c r="I5" s="65"/>
      <c r="J5" s="65"/>
      <c r="K5" s="23"/>
      <c r="L5" s="23"/>
    </row>
    <row r="6" spans="1:13" x14ac:dyDescent="0.3">
      <c r="A6" s="23"/>
      <c r="B6" s="24" t="s">
        <v>71</v>
      </c>
      <c r="C6" s="44">
        <v>0.8</v>
      </c>
      <c r="D6" s="23"/>
      <c r="E6" s="24" t="s">
        <v>72</v>
      </c>
      <c r="F6" s="44">
        <v>1.25</v>
      </c>
      <c r="G6" s="23"/>
      <c r="H6" s="24" t="s">
        <v>73</v>
      </c>
      <c r="I6" s="26">
        <f>+C6*C7*C8</f>
        <v>0.12288000000000002</v>
      </c>
      <c r="J6" s="24" t="s">
        <v>11</v>
      </c>
      <c r="K6" s="25">
        <v>8</v>
      </c>
      <c r="L6" s="23"/>
    </row>
    <row r="7" spans="1:13" x14ac:dyDescent="0.3">
      <c r="A7" s="23"/>
      <c r="B7" s="24" t="s">
        <v>74</v>
      </c>
      <c r="C7" s="27">
        <v>0.76800000000000002</v>
      </c>
      <c r="D7" s="23"/>
      <c r="E7" s="24" t="s">
        <v>75</v>
      </c>
      <c r="F7" s="44">
        <v>0.6</v>
      </c>
      <c r="G7" s="23"/>
      <c r="H7" s="23"/>
      <c r="I7" s="23"/>
      <c r="J7" s="23"/>
      <c r="K7" s="23"/>
      <c r="L7" s="23"/>
    </row>
    <row r="8" spans="1:13" x14ac:dyDescent="0.3">
      <c r="A8" s="23"/>
      <c r="B8" s="24" t="s">
        <v>76</v>
      </c>
      <c r="C8" s="44">
        <v>0.2</v>
      </c>
      <c r="D8" s="23"/>
      <c r="E8" s="24" t="s">
        <v>77</v>
      </c>
      <c r="F8" s="26">
        <f>2*F6/(1+3*F6)</f>
        <v>0.52631578947368418</v>
      </c>
      <c r="G8" s="23"/>
      <c r="H8" s="23"/>
      <c r="I8" s="23"/>
      <c r="J8" s="23"/>
      <c r="K8" s="23"/>
      <c r="L8" s="23"/>
    </row>
    <row r="9" spans="1:13" x14ac:dyDescent="0.3">
      <c r="A9" s="23"/>
      <c r="B9" s="24"/>
      <c r="C9" s="44"/>
      <c r="D9" s="23"/>
      <c r="E9" s="24"/>
      <c r="F9" s="26"/>
      <c r="G9" s="23"/>
      <c r="H9" s="23"/>
      <c r="I9" s="23"/>
      <c r="J9" s="23"/>
      <c r="K9" s="23"/>
      <c r="L9" s="23"/>
    </row>
    <row r="10" spans="1:13" x14ac:dyDescent="0.3">
      <c r="A10" s="23"/>
      <c r="B10" s="30" t="s">
        <v>24</v>
      </c>
      <c r="C10" s="30" t="s">
        <v>78</v>
      </c>
      <c r="D10" s="30" t="s">
        <v>79</v>
      </c>
      <c r="E10" s="30" t="s">
        <v>80</v>
      </c>
      <c r="F10" s="30" t="s">
        <v>81</v>
      </c>
      <c r="G10" s="30" t="s">
        <v>82</v>
      </c>
      <c r="H10" s="30" t="s">
        <v>83</v>
      </c>
      <c r="I10" s="30" t="s">
        <v>84</v>
      </c>
      <c r="J10" s="30" t="s">
        <v>85</v>
      </c>
      <c r="K10" s="30" t="s">
        <v>86</v>
      </c>
      <c r="L10" s="23"/>
      <c r="M10" s="23"/>
    </row>
    <row r="11" spans="1:13" x14ac:dyDescent="0.3">
      <c r="A11" s="23"/>
      <c r="B11" s="23"/>
      <c r="C11" s="48" t="s">
        <v>54</v>
      </c>
      <c r="D11" s="48" t="s">
        <v>54</v>
      </c>
      <c r="E11" s="48"/>
      <c r="F11" s="48"/>
      <c r="G11" s="48"/>
      <c r="H11" s="48" t="s">
        <v>54</v>
      </c>
      <c r="I11" s="48" t="s">
        <v>87</v>
      </c>
      <c r="J11" s="48" t="s">
        <v>34</v>
      </c>
      <c r="K11" s="48" t="s">
        <v>88</v>
      </c>
      <c r="L11" s="23"/>
      <c r="M11" s="23"/>
    </row>
    <row r="12" spans="1:13" x14ac:dyDescent="0.3">
      <c r="A12" s="23"/>
      <c r="B12" s="24">
        <v>8</v>
      </c>
      <c r="C12" s="45">
        <v>594.4</v>
      </c>
      <c r="D12" s="49">
        <v>594.4</v>
      </c>
      <c r="E12" s="50">
        <v>0.11517594171446287</v>
      </c>
      <c r="F12" s="50">
        <v>2.4902157951293127</v>
      </c>
      <c r="G12" s="50">
        <v>0.30599771690548994</v>
      </c>
      <c r="H12" s="51">
        <v>181.88504292862322</v>
      </c>
      <c r="I12" s="51">
        <v>272.82756439293485</v>
      </c>
      <c r="J12" s="52">
        <v>3.75</v>
      </c>
      <c r="K12" s="51">
        <v>954.89647537527196</v>
      </c>
      <c r="L12" s="23"/>
      <c r="M12" s="28">
        <f>SUM(H12:H19)</f>
        <v>3636.8798876178753</v>
      </c>
    </row>
    <row r="13" spans="1:13" x14ac:dyDescent="0.3">
      <c r="A13" s="23"/>
      <c r="B13" s="24">
        <v>7</v>
      </c>
      <c r="C13" s="45">
        <v>611</v>
      </c>
      <c r="D13" s="49">
        <v>1205.4000000000001</v>
      </c>
      <c r="E13" s="50">
        <v>0.23356843900170518</v>
      </c>
      <c r="F13" s="50">
        <v>1.9660979294043965</v>
      </c>
      <c r="G13" s="50">
        <v>0.24159411356521232</v>
      </c>
      <c r="H13" s="51">
        <v>291.21754449150694</v>
      </c>
      <c r="I13" s="51">
        <v>436.82631673726041</v>
      </c>
      <c r="J13" s="52">
        <v>3.5</v>
      </c>
      <c r="K13" s="51">
        <v>1528.8921085804113</v>
      </c>
      <c r="L13" s="23"/>
      <c r="M13" s="23"/>
    </row>
    <row r="14" spans="1:13" x14ac:dyDescent="0.3">
      <c r="A14" s="23"/>
      <c r="B14" s="24">
        <v>6</v>
      </c>
      <c r="C14" s="45">
        <v>617.20000000000005</v>
      </c>
      <c r="D14" s="49">
        <v>1822.6000000000001</v>
      </c>
      <c r="E14" s="50">
        <v>0.3531623004185398</v>
      </c>
      <c r="F14" s="50">
        <v>1.6997691983874064</v>
      </c>
      <c r="G14" s="50">
        <v>0.20886763909784453</v>
      </c>
      <c r="H14" s="51">
        <v>380.6821590197315</v>
      </c>
      <c r="I14" s="51">
        <v>571.02323852959728</v>
      </c>
      <c r="J14" s="52">
        <v>3.5</v>
      </c>
      <c r="K14" s="51">
        <v>1998.5813348535905</v>
      </c>
      <c r="L14" s="23"/>
      <c r="M14" s="23"/>
    </row>
    <row r="15" spans="1:13" x14ac:dyDescent="0.3">
      <c r="A15" s="23"/>
      <c r="B15" s="24">
        <v>5</v>
      </c>
      <c r="C15" s="45">
        <v>623.70000000000005</v>
      </c>
      <c r="D15" s="49">
        <v>2446.3000000000002</v>
      </c>
      <c r="E15" s="50">
        <v>0.47401565648736632</v>
      </c>
      <c r="F15" s="50">
        <v>1.5149697844149699</v>
      </c>
      <c r="G15" s="50">
        <v>0.18615948710891153</v>
      </c>
      <c r="H15" s="51">
        <v>455.40195331453032</v>
      </c>
      <c r="I15" s="51">
        <v>683.10292997179545</v>
      </c>
      <c r="J15" s="52">
        <v>3.5</v>
      </c>
      <c r="K15" s="51">
        <v>2390.860254901284</v>
      </c>
      <c r="L15" s="23"/>
      <c r="M15" s="23"/>
    </row>
    <row r="16" spans="1:13" x14ac:dyDescent="0.3">
      <c r="A16" s="23"/>
      <c r="B16" s="24">
        <v>4</v>
      </c>
      <c r="C16" s="45">
        <v>644.6</v>
      </c>
      <c r="D16" s="49">
        <v>3090.9</v>
      </c>
      <c r="E16" s="50">
        <v>0.59891877228336687</v>
      </c>
      <c r="F16" s="50">
        <v>1.3648634035579867</v>
      </c>
      <c r="G16" s="50">
        <v>0.16771441502920542</v>
      </c>
      <c r="H16" s="51">
        <v>518.38848541377104</v>
      </c>
      <c r="I16" s="51">
        <v>777.58272812065661</v>
      </c>
      <c r="J16" s="52">
        <v>3.5</v>
      </c>
      <c r="K16" s="51">
        <v>2721.5395484222981</v>
      </c>
      <c r="L16" s="23"/>
      <c r="M16" s="23"/>
    </row>
    <row r="17" spans="1:13" x14ac:dyDescent="0.3">
      <c r="A17" s="23"/>
      <c r="B17" s="24">
        <v>3</v>
      </c>
      <c r="C17" s="45">
        <v>650.4</v>
      </c>
      <c r="D17" s="49">
        <v>3741.3</v>
      </c>
      <c r="E17" s="50">
        <v>0.72494574484576035</v>
      </c>
      <c r="F17" s="50">
        <v>1.2365992847876568</v>
      </c>
      <c r="G17" s="50">
        <v>0.1519533201147073</v>
      </c>
      <c r="H17" s="51">
        <v>568.50295654515446</v>
      </c>
      <c r="I17" s="51">
        <v>852.75443481773164</v>
      </c>
      <c r="J17" s="52">
        <v>3.5</v>
      </c>
      <c r="K17" s="51">
        <v>2984.6405218620607</v>
      </c>
      <c r="L17" s="23"/>
      <c r="M17" s="23"/>
    </row>
    <row r="18" spans="1:13" x14ac:dyDescent="0.3">
      <c r="A18" s="23"/>
      <c r="B18" s="24">
        <v>2</v>
      </c>
      <c r="C18" s="45">
        <v>667.1</v>
      </c>
      <c r="D18" s="49">
        <v>4408.4000000000005</v>
      </c>
      <c r="E18" s="50">
        <v>0.85420864982173317</v>
      </c>
      <c r="F18" s="50">
        <v>1.1198780641973642</v>
      </c>
      <c r="G18" s="50">
        <v>0.13761061652857215</v>
      </c>
      <c r="H18" s="51">
        <v>606.64264190455754</v>
      </c>
      <c r="I18" s="51">
        <v>909.96396285683636</v>
      </c>
      <c r="J18" s="52">
        <v>3.5</v>
      </c>
      <c r="K18" s="51">
        <v>3184.8738699989271</v>
      </c>
      <c r="L18" s="23"/>
      <c r="M18" s="23"/>
    </row>
    <row r="19" spans="1:13" x14ac:dyDescent="0.3">
      <c r="A19" s="23"/>
      <c r="B19" s="24">
        <v>1</v>
      </c>
      <c r="C19" s="45">
        <v>752.4</v>
      </c>
      <c r="D19" s="49">
        <v>5160.8</v>
      </c>
      <c r="E19" s="50">
        <v>1</v>
      </c>
      <c r="F19" s="50">
        <v>1</v>
      </c>
      <c r="G19" s="50">
        <v>0.12288000000000002</v>
      </c>
      <c r="H19" s="51">
        <v>634.15910400000007</v>
      </c>
      <c r="I19" s="51">
        <v>951.23865600000011</v>
      </c>
      <c r="J19" s="52">
        <v>5.0999999999999996</v>
      </c>
      <c r="K19" s="51">
        <v>4851.3171456</v>
      </c>
      <c r="L19" s="23"/>
      <c r="M19" s="23"/>
    </row>
    <row r="20" spans="1:13" x14ac:dyDescent="0.3">
      <c r="A20" s="23"/>
      <c r="B20" s="24" t="s">
        <v>89</v>
      </c>
      <c r="C20" s="45">
        <v>3926.63</v>
      </c>
      <c r="D20" s="28"/>
      <c r="E20" s="29"/>
      <c r="F20" s="29"/>
      <c r="G20" s="47">
        <v>8.0000000000000016E-2</v>
      </c>
      <c r="H20" s="28">
        <v>314.13040000000007</v>
      </c>
      <c r="I20" s="53">
        <v>471.19560000000013</v>
      </c>
      <c r="J20" s="52">
        <v>3.5</v>
      </c>
      <c r="K20" s="54">
        <v>1649.1846000000005</v>
      </c>
      <c r="L20" s="23"/>
      <c r="M20" s="23"/>
    </row>
    <row r="21" spans="1:13" x14ac:dyDescent="0.3">
      <c r="A21" s="23"/>
      <c r="B21" s="23"/>
      <c r="C21" s="45"/>
      <c r="D21" s="28"/>
      <c r="E21" s="29"/>
      <c r="F21" s="29"/>
      <c r="G21" s="29"/>
      <c r="H21" s="28"/>
      <c r="I21" s="11"/>
      <c r="J21" s="46"/>
      <c r="K21" s="28">
        <v>22264.785859593801</v>
      </c>
      <c r="L21" s="28"/>
      <c r="M21" s="23"/>
    </row>
    <row r="22" spans="1:13" x14ac:dyDescent="0.3">
      <c r="A22" s="23"/>
      <c r="B22" s="23"/>
      <c r="C22" s="45"/>
      <c r="D22" s="28"/>
      <c r="E22" s="29"/>
      <c r="F22" s="29"/>
      <c r="G22" s="29"/>
      <c r="H22" s="28"/>
      <c r="I22" s="11"/>
      <c r="J22" s="46"/>
      <c r="K22" s="28"/>
      <c r="L22" s="23"/>
      <c r="M22" s="23"/>
    </row>
    <row r="23" spans="1:13" x14ac:dyDescent="0.3">
      <c r="A23" s="23"/>
      <c r="B23" s="23"/>
      <c r="C23" s="45"/>
      <c r="D23" s="28"/>
      <c r="E23" s="29"/>
      <c r="F23" s="29"/>
      <c r="G23" s="29"/>
      <c r="H23" s="28"/>
      <c r="I23" s="11"/>
      <c r="J23" s="46"/>
      <c r="K23" s="28"/>
      <c r="L23" s="23"/>
      <c r="M23" s="23"/>
    </row>
    <row r="24" spans="1:13" x14ac:dyDescent="0.3">
      <c r="A24" s="23"/>
      <c r="B24" s="23"/>
      <c r="C24" s="45"/>
      <c r="D24" s="28"/>
      <c r="E24" s="29"/>
      <c r="F24" s="29"/>
      <c r="G24" s="29"/>
      <c r="H24" s="28"/>
      <c r="I24" s="11"/>
      <c r="J24" s="46"/>
      <c r="K24" s="28"/>
      <c r="L24" s="23"/>
      <c r="M24" s="23"/>
    </row>
    <row r="25" spans="1:13" x14ac:dyDescent="0.3">
      <c r="A25" s="23"/>
      <c r="B25" s="23"/>
      <c r="C25" s="45"/>
      <c r="D25" s="28"/>
      <c r="E25" s="29"/>
      <c r="F25" s="29"/>
      <c r="G25" s="29"/>
      <c r="H25" s="28"/>
      <c r="I25" s="11"/>
      <c r="J25" s="46"/>
      <c r="K25" s="28"/>
      <c r="L25" s="23"/>
      <c r="M25" s="23"/>
    </row>
    <row r="26" spans="1:13" x14ac:dyDescent="0.3">
      <c r="A26" s="23"/>
      <c r="B26" s="23"/>
      <c r="C26" s="45"/>
      <c r="D26" s="28"/>
      <c r="E26" s="29"/>
      <c r="F26" s="29"/>
      <c r="G26" s="29"/>
      <c r="H26" s="28"/>
      <c r="I26" s="11"/>
      <c r="J26" s="46"/>
      <c r="K26" s="28"/>
      <c r="L26" s="23"/>
      <c r="M26" s="23"/>
    </row>
    <row r="27" spans="1:13" x14ac:dyDescent="0.3">
      <c r="A27" s="23"/>
      <c r="B27" s="23"/>
      <c r="C27" s="45"/>
      <c r="D27" s="28"/>
      <c r="E27" s="29"/>
      <c r="F27" s="29"/>
      <c r="G27" s="29"/>
      <c r="H27" s="28"/>
      <c r="I27" s="11"/>
      <c r="J27" s="46"/>
      <c r="K27" s="28"/>
      <c r="L27" s="23"/>
      <c r="M27" s="23"/>
    </row>
    <row r="28" spans="1:13" x14ac:dyDescent="0.3">
      <c r="A28" s="23"/>
      <c r="B28" s="23"/>
      <c r="C28" s="45"/>
      <c r="D28" s="28"/>
      <c r="E28" s="29"/>
      <c r="F28" s="29"/>
      <c r="G28" s="29"/>
      <c r="H28" s="28"/>
      <c r="I28" s="11"/>
      <c r="J28" s="46"/>
      <c r="K28" s="28"/>
      <c r="L28" s="23"/>
      <c r="M28" s="23"/>
    </row>
    <row r="29" spans="1:13" x14ac:dyDescent="0.3">
      <c r="A29" s="23"/>
      <c r="B29" s="24"/>
      <c r="C29" s="45"/>
      <c r="D29" s="28"/>
      <c r="E29" s="29"/>
      <c r="F29" s="29"/>
      <c r="G29" s="29"/>
      <c r="H29" s="28"/>
      <c r="I29" s="11"/>
      <c r="J29" s="46"/>
      <c r="K29" s="28"/>
      <c r="L29" s="23"/>
      <c r="M29" s="23"/>
    </row>
    <row r="30" spans="1:13" x14ac:dyDescent="0.3">
      <c r="A30" s="23"/>
      <c r="B30" s="23"/>
      <c r="C30" s="23"/>
      <c r="D30" s="23"/>
      <c r="E30" s="23"/>
      <c r="F30" s="23"/>
      <c r="G30" s="23"/>
      <c r="H30" s="23"/>
      <c r="I30" s="23"/>
      <c r="J30" s="24"/>
      <c r="K30" s="28"/>
      <c r="L30" s="23"/>
      <c r="M30" s="23"/>
    </row>
    <row r="31" spans="1:13" x14ac:dyDescent="0.3">
      <c r="A31" s="23"/>
      <c r="B31" s="23"/>
      <c r="C31" s="30" t="s">
        <v>90</v>
      </c>
      <c r="D31" s="30" t="s">
        <v>91</v>
      </c>
      <c r="E31" s="31" t="s">
        <v>92</v>
      </c>
      <c r="F31" s="23"/>
      <c r="G31" s="23"/>
      <c r="H31" s="23"/>
      <c r="I31" s="23"/>
      <c r="J31" s="23"/>
      <c r="K31" s="23"/>
      <c r="L31" s="23"/>
    </row>
    <row r="32" spans="1:13" x14ac:dyDescent="0.3">
      <c r="A32" s="23"/>
      <c r="B32" s="23" t="s">
        <v>93</v>
      </c>
      <c r="C32" s="30" t="s">
        <v>94</v>
      </c>
      <c r="D32" s="30" t="s">
        <v>95</v>
      </c>
      <c r="E32" s="30" t="s">
        <v>96</v>
      </c>
      <c r="F32" s="23"/>
      <c r="G32" s="30" t="s">
        <v>97</v>
      </c>
      <c r="H32" s="23"/>
      <c r="I32" s="23"/>
      <c r="J32" s="30"/>
      <c r="K32" s="23"/>
      <c r="L32" s="23"/>
    </row>
    <row r="33" spans="1:12" x14ac:dyDescent="0.3">
      <c r="A33" s="23"/>
      <c r="B33" s="23"/>
      <c r="C33" s="32">
        <v>6.3</v>
      </c>
      <c r="D33" s="32">
        <f>0.457+1.732/3-0.11</f>
        <v>0.92433333333333334</v>
      </c>
      <c r="E33" s="32">
        <f>+C33-D33*2</f>
        <v>4.4513333333333334</v>
      </c>
      <c r="F33" s="23"/>
      <c r="G33" s="33">
        <f>+K21/E33</f>
        <v>5001.8239912222107</v>
      </c>
      <c r="H33" s="33"/>
      <c r="I33" s="23"/>
      <c r="J33" s="34"/>
      <c r="K33" s="23"/>
      <c r="L33" s="23"/>
    </row>
    <row r="34" spans="1:12" x14ac:dyDescent="0.3">
      <c r="A34" s="23"/>
      <c r="B34" s="24"/>
      <c r="C34" s="30"/>
      <c r="D34" s="23"/>
      <c r="E34" s="23"/>
      <c r="F34" s="23"/>
      <c r="G34" s="23"/>
      <c r="H34" s="23"/>
      <c r="I34" s="23"/>
      <c r="J34" s="23"/>
      <c r="K34" s="33"/>
      <c r="L34" s="33"/>
    </row>
    <row r="35" spans="1:12" x14ac:dyDescent="0.3">
      <c r="A35" s="23"/>
      <c r="B35" s="24"/>
      <c r="C35" s="30"/>
      <c r="D35" s="23"/>
      <c r="E35" s="23"/>
      <c r="F35" s="30" t="s">
        <v>98</v>
      </c>
      <c r="G35" s="30" t="s">
        <v>99</v>
      </c>
      <c r="H35" s="30" t="s">
        <v>100</v>
      </c>
      <c r="I35" s="23" t="s">
        <v>101</v>
      </c>
      <c r="J35" s="30"/>
      <c r="K35" s="33"/>
      <c r="L35" s="33"/>
    </row>
    <row r="36" spans="1:12" x14ac:dyDescent="0.3">
      <c r="A36" s="23"/>
      <c r="B36" s="23"/>
      <c r="C36" s="24" t="s">
        <v>102</v>
      </c>
      <c r="D36" s="30" t="s">
        <v>103</v>
      </c>
      <c r="E36" s="23" t="s">
        <v>104</v>
      </c>
      <c r="F36" s="35">
        <v>1669</v>
      </c>
      <c r="G36" s="35">
        <v>1675</v>
      </c>
      <c r="H36" s="35">
        <v>1473</v>
      </c>
      <c r="I36" s="35">
        <f>SUM(F36:H36)</f>
        <v>4817</v>
      </c>
      <c r="J36" s="30"/>
      <c r="K36" s="33"/>
      <c r="L36" s="33"/>
    </row>
    <row r="37" spans="1:12" x14ac:dyDescent="0.3">
      <c r="A37" s="23"/>
      <c r="B37" s="23"/>
      <c r="C37" s="24" t="s">
        <v>105</v>
      </c>
      <c r="D37" s="30" t="s">
        <v>106</v>
      </c>
      <c r="E37" s="35" t="s">
        <v>104</v>
      </c>
      <c r="F37" s="35">
        <v>1668</v>
      </c>
      <c r="G37" s="35">
        <v>1674</v>
      </c>
      <c r="H37" s="23">
        <v>1472</v>
      </c>
      <c r="I37" s="35">
        <f>SUM(F37:H37)</f>
        <v>4814</v>
      </c>
      <c r="J37" s="30"/>
      <c r="K37" s="33"/>
      <c r="L37" s="33"/>
    </row>
    <row r="38" spans="1:12" x14ac:dyDescent="0.3">
      <c r="A38" s="23"/>
      <c r="B38" s="23"/>
      <c r="C38" s="23"/>
      <c r="D38" s="23"/>
      <c r="E38" s="23"/>
      <c r="F38" s="30"/>
      <c r="G38" s="30"/>
      <c r="H38" s="30"/>
      <c r="I38" s="23"/>
      <c r="J38" s="30"/>
      <c r="K38" s="33"/>
      <c r="L38" s="33"/>
    </row>
    <row r="39" spans="1:12" x14ac:dyDescent="0.3">
      <c r="A39" s="23"/>
      <c r="B39" s="23"/>
      <c r="C39" s="23"/>
      <c r="D39" s="23"/>
      <c r="E39" s="23"/>
      <c r="F39" s="30"/>
      <c r="G39" s="30"/>
      <c r="H39" s="30"/>
      <c r="I39" s="23"/>
      <c r="J39" s="30"/>
      <c r="K39" s="33"/>
      <c r="L39" s="33"/>
    </row>
    <row r="40" spans="1:12" x14ac:dyDescent="0.3">
      <c r="A40" s="23"/>
      <c r="B40" s="23"/>
      <c r="C40" s="23"/>
      <c r="D40" s="23"/>
      <c r="E40" s="23"/>
      <c r="F40" s="23"/>
      <c r="G40" s="23"/>
      <c r="H40" s="23"/>
      <c r="I40" s="23"/>
      <c r="J40" s="30"/>
      <c r="K40" s="33"/>
      <c r="L40" s="33"/>
    </row>
    <row r="41" spans="1:12" x14ac:dyDescent="0.3">
      <c r="A41" s="23"/>
      <c r="B41" s="23"/>
      <c r="C41" s="23"/>
      <c r="D41" s="23"/>
      <c r="E41" s="23"/>
      <c r="F41" s="23"/>
      <c r="G41" s="23"/>
      <c r="H41" s="23"/>
      <c r="I41" s="23"/>
      <c r="J41" s="30"/>
      <c r="K41" s="33"/>
      <c r="L41" s="33"/>
    </row>
    <row r="42" spans="1:12" x14ac:dyDescent="0.3">
      <c r="A42" s="23"/>
      <c r="B42" s="23"/>
      <c r="C42" s="23"/>
      <c r="D42" s="23"/>
      <c r="E42" s="23"/>
      <c r="F42" s="23"/>
      <c r="G42" s="23"/>
      <c r="H42" s="23"/>
      <c r="I42" s="30"/>
      <c r="J42" s="30"/>
      <c r="K42" s="33"/>
      <c r="L42" s="33"/>
    </row>
    <row r="43" spans="1:12" x14ac:dyDescent="0.3">
      <c r="A43" s="23"/>
      <c r="B43" s="23"/>
      <c r="C43" s="23"/>
      <c r="D43" s="23"/>
      <c r="E43" s="23"/>
      <c r="F43" s="23"/>
      <c r="G43" s="28"/>
      <c r="H43" s="23"/>
      <c r="I43" s="30"/>
      <c r="J43" s="30"/>
      <c r="K43" s="33"/>
      <c r="L43" s="33"/>
    </row>
    <row r="44" spans="1:12" x14ac:dyDescent="0.3">
      <c r="A44" s="23"/>
      <c r="B44" s="23"/>
      <c r="C44" s="23"/>
      <c r="D44" s="23"/>
      <c r="E44" s="23"/>
      <c r="F44" s="23"/>
      <c r="G44" s="28"/>
      <c r="H44" s="23"/>
      <c r="I44" s="30"/>
      <c r="J44" s="30"/>
      <c r="K44" s="33"/>
      <c r="L44" s="33"/>
    </row>
    <row r="45" spans="1:12" x14ac:dyDescent="0.3">
      <c r="A45" s="23"/>
      <c r="B45" s="23"/>
      <c r="C45" s="23"/>
      <c r="D45" s="23"/>
      <c r="E45" s="23"/>
      <c r="F45" s="23"/>
      <c r="G45" s="28"/>
      <c r="H45" s="23"/>
      <c r="I45" s="30"/>
      <c r="J45" s="30"/>
      <c r="K45" s="33"/>
      <c r="L45" s="33"/>
    </row>
    <row r="46" spans="1:12" x14ac:dyDescent="0.3">
      <c r="A46" s="23"/>
      <c r="B46" s="23"/>
      <c r="C46" s="36"/>
      <c r="D46" s="37"/>
      <c r="E46" s="38"/>
      <c r="F46" s="186" t="s">
        <v>107</v>
      </c>
      <c r="G46" s="187"/>
      <c r="H46" s="188" t="s">
        <v>108</v>
      </c>
      <c r="I46" s="189"/>
      <c r="J46" s="30"/>
      <c r="K46" s="33"/>
      <c r="L46" s="33"/>
    </row>
    <row r="47" spans="1:12" x14ac:dyDescent="0.3">
      <c r="A47" s="23"/>
      <c r="B47" s="23"/>
      <c r="C47" s="36"/>
      <c r="D47" s="39" t="s">
        <v>109</v>
      </c>
      <c r="E47" s="67" t="s">
        <v>110</v>
      </c>
      <c r="F47" s="36"/>
      <c r="G47" s="40">
        <f>+G33*-1</f>
        <v>-5001.8239912222107</v>
      </c>
      <c r="H47" s="36"/>
      <c r="I47" s="40">
        <f>+G33</f>
        <v>5001.8239912222107</v>
      </c>
      <c r="J47" s="30"/>
      <c r="K47" s="33"/>
      <c r="L47" s="33"/>
    </row>
    <row r="48" spans="1:12" x14ac:dyDescent="0.3">
      <c r="A48" s="23"/>
      <c r="B48" s="23"/>
      <c r="C48" s="36"/>
      <c r="D48" s="39" t="s">
        <v>111</v>
      </c>
      <c r="E48" s="67" t="s">
        <v>104</v>
      </c>
      <c r="F48" s="36"/>
      <c r="G48" s="40">
        <f>MIN(I36:I37)</f>
        <v>4814</v>
      </c>
      <c r="H48" s="36"/>
      <c r="I48" s="40">
        <f>+MAX(I36:I37)</f>
        <v>4817</v>
      </c>
      <c r="J48" s="30"/>
      <c r="K48" s="33"/>
      <c r="L48" s="33"/>
    </row>
    <row r="49" spans="1:12" x14ac:dyDescent="0.3">
      <c r="A49" s="23"/>
      <c r="B49" s="23"/>
      <c r="C49" s="36"/>
      <c r="D49" s="39" t="s">
        <v>112</v>
      </c>
      <c r="E49" s="67" t="s">
        <v>113</v>
      </c>
      <c r="F49" s="36"/>
      <c r="G49" s="40">
        <f>+G47+G48</f>
        <v>-187.82399122221068</v>
      </c>
      <c r="H49" s="36"/>
      <c r="I49" s="40">
        <f>+I47+I48</f>
        <v>9818.8239912222107</v>
      </c>
      <c r="J49" s="30"/>
      <c r="K49" s="33"/>
      <c r="L49" s="33"/>
    </row>
    <row r="50" spans="1:12" x14ac:dyDescent="0.3">
      <c r="A50" s="23"/>
      <c r="B50" s="23"/>
      <c r="C50" s="36"/>
      <c r="D50" s="39" t="s">
        <v>114</v>
      </c>
      <c r="E50" s="67" t="s">
        <v>115</v>
      </c>
      <c r="F50" s="36"/>
      <c r="G50" s="40">
        <v>9</v>
      </c>
      <c r="H50" s="66"/>
      <c r="I50" s="40">
        <f>+G50</f>
        <v>9</v>
      </c>
      <c r="J50" s="30"/>
      <c r="K50" s="33"/>
      <c r="L50" s="33"/>
    </row>
    <row r="51" spans="1:12" x14ac:dyDescent="0.3">
      <c r="A51" s="23"/>
      <c r="B51" s="23"/>
      <c r="C51" s="36"/>
      <c r="D51" s="39" t="s">
        <v>116</v>
      </c>
      <c r="E51" s="67" t="s">
        <v>117</v>
      </c>
      <c r="F51" s="36"/>
      <c r="G51" s="40">
        <f>+G49/G50</f>
        <v>-20.86933235802341</v>
      </c>
      <c r="H51" s="36"/>
      <c r="I51" s="41">
        <f>+I49/I50</f>
        <v>1090.9804434691346</v>
      </c>
      <c r="J51" s="30"/>
      <c r="K51" s="33"/>
      <c r="L51" s="33"/>
    </row>
    <row r="52" spans="1:12" x14ac:dyDescent="0.3">
      <c r="A52" s="23"/>
      <c r="B52" s="23"/>
      <c r="C52" s="36"/>
      <c r="D52" s="39" t="s">
        <v>118</v>
      </c>
      <c r="E52" s="38"/>
      <c r="F52" s="36"/>
      <c r="G52" s="38">
        <v>350</v>
      </c>
      <c r="H52" s="42"/>
      <c r="I52" s="38">
        <v>1500</v>
      </c>
      <c r="J52" s="23"/>
      <c r="K52" s="23"/>
      <c r="L52" s="28"/>
    </row>
    <row r="53" spans="1:12" x14ac:dyDescent="0.3">
      <c r="A53" s="23"/>
      <c r="B53" s="23"/>
      <c r="C53" s="36"/>
      <c r="D53" s="39" t="s">
        <v>119</v>
      </c>
      <c r="E53" s="43"/>
      <c r="F53" s="36"/>
      <c r="G53" s="67" t="str">
        <f>IF(G52&gt;G51,"OK","NG")</f>
        <v>OK</v>
      </c>
      <c r="H53" s="66"/>
      <c r="I53" s="67" t="str">
        <f>IF(I52&gt;I51,"OK","NG")</f>
        <v>OK</v>
      </c>
      <c r="J53" s="23"/>
      <c r="K53" s="23"/>
      <c r="L53" s="23"/>
    </row>
    <row r="54" spans="1:12" x14ac:dyDescent="0.3">
      <c r="A54" s="23"/>
      <c r="B54" s="23"/>
      <c r="C54" s="25"/>
      <c r="D54" s="25"/>
      <c r="E54" s="23"/>
      <c r="F54" s="23"/>
      <c r="G54" s="23"/>
      <c r="H54" s="23"/>
      <c r="I54" s="23"/>
      <c r="J54" s="23"/>
      <c r="K54" s="23"/>
      <c r="L54" s="23"/>
    </row>
    <row r="55" spans="1:12" x14ac:dyDescent="0.3">
      <c r="A55" s="23"/>
      <c r="B55" s="23"/>
      <c r="C55" s="25"/>
      <c r="D55" s="25"/>
      <c r="E55" s="23"/>
      <c r="F55" s="23"/>
      <c r="G55" s="23"/>
      <c r="H55" s="23"/>
      <c r="I55" s="23"/>
      <c r="J55" s="23"/>
      <c r="K55" s="23"/>
      <c r="L55" s="23"/>
    </row>
    <row r="56" spans="1:12" x14ac:dyDescent="0.3">
      <c r="A56" s="23"/>
      <c r="B56" s="23"/>
      <c r="C56" s="25"/>
      <c r="D56" s="25"/>
      <c r="E56" s="23"/>
      <c r="F56" s="23"/>
      <c r="G56" s="23"/>
      <c r="H56" s="23"/>
      <c r="I56" s="23"/>
      <c r="J56" s="23"/>
      <c r="K56" s="23"/>
      <c r="L56" s="23"/>
    </row>
    <row r="57" spans="1:12" x14ac:dyDescent="0.3">
      <c r="A57" s="23"/>
      <c r="B57" s="23"/>
      <c r="C57" s="23"/>
      <c r="D57" s="23"/>
      <c r="E57" s="23"/>
      <c r="F57" s="23"/>
      <c r="G57" s="23"/>
      <c r="H57" s="23"/>
      <c r="I57" s="23"/>
      <c r="J57" s="23"/>
      <c r="K57" s="23"/>
      <c r="L57" s="23"/>
    </row>
    <row r="58" spans="1:12" x14ac:dyDescent="0.3">
      <c r="A58" s="23"/>
      <c r="B58" s="23"/>
      <c r="C58" s="23"/>
      <c r="D58" s="23"/>
      <c r="E58" s="23"/>
      <c r="F58" s="23"/>
      <c r="G58" s="23"/>
      <c r="H58" s="23"/>
      <c r="I58" s="23"/>
      <c r="J58" s="23"/>
      <c r="K58" s="23"/>
      <c r="L58" s="23"/>
    </row>
  </sheetData>
  <mergeCells count="3">
    <mergeCell ref="B3:J4"/>
    <mergeCell ref="F46:G46"/>
    <mergeCell ref="H46:I46"/>
  </mergeCells>
  <phoneticPr fontId="2"/>
  <pageMargins left="0.75" right="0.75" top="1" bottom="1" header="0.51200000000000001" footer="0.51200000000000001"/>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BB54"/>
  <sheetViews>
    <sheetView zoomScaleNormal="100" workbookViewId="0">
      <selection activeCell="AL27" sqref="AL27"/>
    </sheetView>
  </sheetViews>
  <sheetFormatPr defaultRowHeight="11.7" x14ac:dyDescent="0.3"/>
  <cols>
    <col min="1" max="1" width="4.64453125" customWidth="1"/>
    <col min="2" max="37" width="3.1171875" customWidth="1"/>
    <col min="38" max="39" width="10.3515625" customWidth="1"/>
    <col min="40" max="50" width="3.1171875" customWidth="1"/>
  </cols>
  <sheetData>
    <row r="1" spans="2:35" ht="16.5" customHeight="1" x14ac:dyDescent="0.3">
      <c r="B1" t="s">
        <v>0</v>
      </c>
    </row>
    <row r="2" spans="2:35" ht="16.5" customHeight="1" x14ac:dyDescent="0.3">
      <c r="D2" t="s">
        <v>1</v>
      </c>
    </row>
    <row r="3" spans="2:35" ht="16.5" customHeight="1" x14ac:dyDescent="0.3">
      <c r="D3" t="s">
        <v>2</v>
      </c>
    </row>
    <row r="4" spans="2:35" ht="7.5" customHeight="1" x14ac:dyDescent="0.3"/>
    <row r="5" spans="2:35" ht="7.5" customHeight="1" x14ac:dyDescent="0.3">
      <c r="G5" s="2" t="s">
        <v>3</v>
      </c>
    </row>
    <row r="6" spans="2:35" ht="7.5" customHeight="1" x14ac:dyDescent="0.3">
      <c r="G6" s="197" t="s">
        <v>4</v>
      </c>
      <c r="H6" s="198" t="s">
        <v>5</v>
      </c>
    </row>
    <row r="7" spans="2:35" ht="7.5" customHeight="1" x14ac:dyDescent="0.3">
      <c r="F7" s="2" t="s">
        <v>3</v>
      </c>
      <c r="G7" s="197"/>
      <c r="H7" s="198"/>
    </row>
    <row r="8" spans="2:35" ht="7.5" customHeight="1" x14ac:dyDescent="0.3">
      <c r="D8" s="200" t="s">
        <v>6</v>
      </c>
      <c r="E8" s="200"/>
      <c r="F8" s="198" t="s">
        <v>4</v>
      </c>
      <c r="G8" s="3" t="s">
        <v>7</v>
      </c>
      <c r="H8" s="4"/>
    </row>
    <row r="9" spans="2:35" ht="7.5" customHeight="1" x14ac:dyDescent="0.3">
      <c r="D9" s="200"/>
      <c r="E9" s="200"/>
      <c r="F9" s="198"/>
      <c r="G9" s="199" t="s">
        <v>8</v>
      </c>
      <c r="H9" s="199"/>
    </row>
    <row r="10" spans="2:35" ht="7.5" customHeight="1" x14ac:dyDescent="0.3">
      <c r="F10" s="1" t="s">
        <v>9</v>
      </c>
      <c r="G10" s="200"/>
      <c r="H10" s="200"/>
    </row>
    <row r="11" spans="2:35" ht="7.5" customHeight="1" x14ac:dyDescent="0.3"/>
    <row r="12" spans="2:35" ht="16.5" customHeight="1" x14ac:dyDescent="0.3">
      <c r="AG12" s="200" t="s">
        <v>10</v>
      </c>
      <c r="AH12" s="200"/>
      <c r="AI12" s="200"/>
    </row>
    <row r="13" spans="2:35" ht="16.5" customHeight="1" x14ac:dyDescent="0.3">
      <c r="D13" s="200" t="s">
        <v>11</v>
      </c>
      <c r="E13" s="200"/>
      <c r="F13" s="7">
        <v>8</v>
      </c>
      <c r="L13" s="204" t="s">
        <v>12</v>
      </c>
      <c r="M13" s="204"/>
      <c r="N13" s="204"/>
      <c r="O13" s="203">
        <v>0.6</v>
      </c>
      <c r="P13" s="203"/>
      <c r="R13" s="198" t="s">
        <v>13</v>
      </c>
      <c r="S13" s="198"/>
      <c r="V13" s="197" t="s">
        <v>14</v>
      </c>
      <c r="W13" s="197"/>
      <c r="X13" s="197"/>
      <c r="Y13" s="206">
        <f>I14*(0.02+0.01*O14)</f>
        <v>0.90149999999999997</v>
      </c>
      <c r="Z13" s="206"/>
      <c r="AA13" s="206"/>
      <c r="AB13" s="197" t="s">
        <v>15</v>
      </c>
      <c r="AC13" s="197"/>
      <c r="AD13" s="206">
        <f>IF(Y13&lt;O13,1,IF(Y13&gt;2*O13,1.6*O13/Y13,1-0.2*(Y13/O13-1)^2))</f>
        <v>0.94949875000000006</v>
      </c>
      <c r="AE13" s="206"/>
      <c r="AF13" s="206"/>
    </row>
    <row r="14" spans="2:35" ht="16.5" customHeight="1" x14ac:dyDescent="0.3">
      <c r="B14" s="59"/>
      <c r="C14" s="59"/>
      <c r="D14" s="198" t="s">
        <v>16</v>
      </c>
      <c r="E14" s="198"/>
      <c r="F14" s="198"/>
      <c r="G14" s="198"/>
      <c r="H14" s="198"/>
      <c r="I14" s="201">
        <f>SUM(D21:F35)</f>
        <v>30.05</v>
      </c>
      <c r="J14" s="202"/>
      <c r="K14" s="202"/>
      <c r="M14" s="197" t="s">
        <v>17</v>
      </c>
      <c r="N14" s="197"/>
      <c r="O14" s="203">
        <v>1</v>
      </c>
      <c r="P14" s="203"/>
      <c r="R14" s="198" t="s">
        <v>18</v>
      </c>
      <c r="S14" s="198"/>
      <c r="T14" s="198" t="s">
        <v>19</v>
      </c>
      <c r="U14" s="198"/>
      <c r="V14" s="197" t="s">
        <v>14</v>
      </c>
      <c r="W14" s="197"/>
      <c r="X14" s="197"/>
      <c r="Y14" s="206">
        <f>MAX(AE21:AG35)</f>
        <v>1.5847776261679376</v>
      </c>
      <c r="Z14" s="198"/>
      <c r="AA14" s="198"/>
      <c r="AB14" s="197" t="s">
        <v>20</v>
      </c>
      <c r="AC14" s="197"/>
      <c r="AD14" s="206">
        <f>IF(Y14&lt;O13,1,IF(Y14&gt;2*O13,1.6*O13/Y14,1-0.2*(Y14/O13-1)^2))</f>
        <v>0.60576322138098482</v>
      </c>
      <c r="AE14" s="206"/>
      <c r="AF14" s="206"/>
      <c r="AG14" s="205">
        <f>AD14/AD13</f>
        <v>0.63798211570155805</v>
      </c>
      <c r="AH14" s="205"/>
      <c r="AI14" s="205"/>
    </row>
    <row r="15" spans="2:35" ht="16.5" customHeight="1" x14ac:dyDescent="0.3">
      <c r="B15" s="59"/>
      <c r="C15" s="59"/>
      <c r="D15" s="58"/>
      <c r="E15" s="58"/>
      <c r="F15" s="58"/>
      <c r="G15" s="58"/>
      <c r="H15" s="58"/>
      <c r="I15" s="60"/>
      <c r="J15" s="58"/>
      <c r="K15" s="58"/>
      <c r="M15" s="61"/>
      <c r="N15" s="61"/>
      <c r="O15" s="62"/>
      <c r="P15" s="62"/>
      <c r="R15" s="58"/>
      <c r="S15" s="58"/>
      <c r="T15" s="198" t="s">
        <v>21</v>
      </c>
      <c r="U15" s="198"/>
      <c r="V15" s="197" t="s">
        <v>14</v>
      </c>
      <c r="W15" s="197"/>
      <c r="X15" s="197"/>
      <c r="Y15" s="206">
        <f>MAX(AE40:AG54)</f>
        <v>1.450261693929594</v>
      </c>
      <c r="Z15" s="198"/>
      <c r="AA15" s="198"/>
      <c r="AB15" s="197" t="s">
        <v>22</v>
      </c>
      <c r="AC15" s="197"/>
      <c r="AD15" s="206">
        <f>IF(Y15&lt;O13,1,IF(Y15&gt;2*O13,1.6*O13/Y15,1-0.2*(Y15/O13-1)^2))</f>
        <v>0.66194949781705059</v>
      </c>
      <c r="AE15" s="206"/>
      <c r="AF15" s="206"/>
      <c r="AG15" s="205">
        <f>AD15/AD13</f>
        <v>0.69715678700688188</v>
      </c>
      <c r="AH15" s="205"/>
      <c r="AI15" s="205"/>
    </row>
    <row r="16" spans="2:35" ht="16.5" customHeight="1" x14ac:dyDescent="0.3">
      <c r="B16" s="59"/>
      <c r="C16" s="59"/>
      <c r="D16" s="58"/>
      <c r="E16" s="58"/>
      <c r="F16" s="58"/>
      <c r="G16" s="58"/>
      <c r="H16" s="58"/>
      <c r="I16" s="60"/>
      <c r="J16" s="58"/>
      <c r="K16" s="58"/>
      <c r="M16" s="61"/>
      <c r="N16" s="61"/>
      <c r="O16" s="62"/>
      <c r="P16" s="62"/>
      <c r="R16" s="198" t="s">
        <v>23</v>
      </c>
      <c r="S16" s="198"/>
      <c r="T16" s="198" t="s">
        <v>19</v>
      </c>
      <c r="U16" s="198"/>
      <c r="V16" s="197" t="s">
        <v>14</v>
      </c>
      <c r="W16" s="197"/>
      <c r="X16" s="197"/>
      <c r="Y16" s="201">
        <v>1.26</v>
      </c>
      <c r="Z16" s="202"/>
      <c r="AA16" s="202"/>
      <c r="AB16" s="197" t="s">
        <v>20</v>
      </c>
      <c r="AC16" s="197"/>
      <c r="AD16" s="206">
        <f>IF(Y16&lt;O13,1,IF(Y16&gt;2*O13,1.6*O13/Y16,1-0.2*(Y16/O13-1)^2))</f>
        <v>0.76190476190476186</v>
      </c>
      <c r="AE16" s="206"/>
      <c r="AF16" s="206"/>
      <c r="AG16" s="205">
        <f>AD16/AD13</f>
        <v>0.80242839909453467</v>
      </c>
      <c r="AH16" s="205"/>
      <c r="AI16" s="205"/>
    </row>
    <row r="17" spans="2:54" ht="16.5" customHeight="1" x14ac:dyDescent="0.3">
      <c r="B17" s="59"/>
      <c r="C17" s="59"/>
      <c r="D17" s="58"/>
      <c r="E17" s="58"/>
      <c r="F17" s="58"/>
      <c r="G17" s="58"/>
      <c r="H17" s="58"/>
      <c r="I17" s="60"/>
      <c r="J17" s="58"/>
      <c r="K17" s="58"/>
      <c r="M17" s="61"/>
      <c r="N17" s="61"/>
      <c r="O17" s="62"/>
      <c r="P17" s="62"/>
      <c r="R17" s="58"/>
      <c r="S17" s="58"/>
      <c r="T17" s="198" t="s">
        <v>21</v>
      </c>
      <c r="U17" s="198"/>
      <c r="V17" s="197" t="s">
        <v>14</v>
      </c>
      <c r="W17" s="197"/>
      <c r="X17" s="197"/>
      <c r="Y17" s="201">
        <v>1.26</v>
      </c>
      <c r="Z17" s="202"/>
      <c r="AA17" s="202"/>
      <c r="AB17" s="197" t="s">
        <v>22</v>
      </c>
      <c r="AC17" s="197"/>
      <c r="AD17" s="206">
        <f>IF(Y17&lt;O13,1,IF(Y17&gt;2*O13,1.6*O13/Y17,1-0.2*(Y17/O13-1)^2))</f>
        <v>0.76190476190476186</v>
      </c>
      <c r="AE17" s="206"/>
      <c r="AF17" s="206"/>
      <c r="AG17" s="205">
        <f>AD17/AD13</f>
        <v>0.80242839909453467</v>
      </c>
      <c r="AH17" s="205"/>
      <c r="AI17" s="205"/>
    </row>
    <row r="18" spans="2:54" ht="16.5" customHeight="1" x14ac:dyDescent="0.3">
      <c r="B18" t="s">
        <v>19</v>
      </c>
      <c r="C18" s="63"/>
    </row>
    <row r="19" spans="2:54" ht="16.5" customHeight="1" x14ac:dyDescent="0.3">
      <c r="B19" s="192" t="s">
        <v>24</v>
      </c>
      <c r="C19" s="192"/>
      <c r="D19" s="195" t="s">
        <v>25</v>
      </c>
      <c r="E19" s="195"/>
      <c r="F19" s="195"/>
      <c r="G19" s="195" t="s">
        <v>26</v>
      </c>
      <c r="H19" s="195"/>
      <c r="I19" s="195"/>
      <c r="J19" s="195" t="s">
        <v>27</v>
      </c>
      <c r="K19" s="195"/>
      <c r="L19" s="195"/>
      <c r="M19" s="195" t="s">
        <v>27</v>
      </c>
      <c r="N19" s="195"/>
      <c r="O19" s="195"/>
      <c r="P19" s="195" t="s">
        <v>28</v>
      </c>
      <c r="Q19" s="195"/>
      <c r="R19" s="195"/>
      <c r="S19" s="195" t="s">
        <v>29</v>
      </c>
      <c r="T19" s="195"/>
      <c r="U19" s="195"/>
      <c r="V19" s="195" t="s">
        <v>30</v>
      </c>
      <c r="W19" s="195"/>
      <c r="X19" s="195"/>
      <c r="Y19" s="195" t="s">
        <v>31</v>
      </c>
      <c r="Z19" s="195"/>
      <c r="AA19" s="195"/>
      <c r="AB19" s="195" t="s">
        <v>32</v>
      </c>
      <c r="AC19" s="195"/>
      <c r="AD19" s="195"/>
      <c r="AE19" s="195" t="s">
        <v>33</v>
      </c>
      <c r="AF19" s="195"/>
      <c r="AG19" s="195"/>
    </row>
    <row r="20" spans="2:54" ht="16.5" customHeight="1" x14ac:dyDescent="0.3">
      <c r="B20" s="192"/>
      <c r="C20" s="192"/>
      <c r="D20" s="194" t="s">
        <v>34</v>
      </c>
      <c r="E20" s="194"/>
      <c r="F20" s="194"/>
      <c r="G20" s="194" t="s">
        <v>35</v>
      </c>
      <c r="H20" s="194"/>
      <c r="I20" s="194"/>
      <c r="J20" s="194" t="s">
        <v>36</v>
      </c>
      <c r="K20" s="194"/>
      <c r="L20" s="194"/>
      <c r="M20" s="194" t="s">
        <v>37</v>
      </c>
      <c r="N20" s="194"/>
      <c r="O20" s="194"/>
      <c r="P20" s="194" t="s">
        <v>38</v>
      </c>
      <c r="Q20" s="194"/>
      <c r="R20" s="194"/>
      <c r="S20" s="194" t="s">
        <v>39</v>
      </c>
      <c r="T20" s="194"/>
      <c r="U20" s="194"/>
      <c r="V20" s="194" t="s">
        <v>40</v>
      </c>
      <c r="W20" s="194"/>
      <c r="X20" s="194"/>
      <c r="Y20" s="194" t="s">
        <v>41</v>
      </c>
      <c r="Z20" s="194"/>
      <c r="AA20" s="194"/>
      <c r="AB20" s="194" t="s">
        <v>42</v>
      </c>
      <c r="AC20" s="194"/>
      <c r="AD20" s="194"/>
      <c r="AE20" s="194" t="s">
        <v>43</v>
      </c>
      <c r="AF20" s="194"/>
      <c r="AG20" s="194"/>
    </row>
    <row r="21" spans="2:54" ht="16.5" customHeight="1" x14ac:dyDescent="0.3">
      <c r="B21" s="192" t="str">
        <f>IF($F$13&gt;=15,15,"")</f>
        <v/>
      </c>
      <c r="C21" s="192"/>
      <c r="D21" s="211"/>
      <c r="E21" s="212"/>
      <c r="F21" s="213"/>
      <c r="G21" s="190"/>
      <c r="H21" s="190"/>
      <c r="I21" s="190"/>
      <c r="J21" s="190" t="str">
        <f>IF(G21="","",SUM(G$21:G21))</f>
        <v/>
      </c>
      <c r="K21" s="190"/>
      <c r="L21" s="190"/>
      <c r="M21" s="190" t="str">
        <f t="shared" ref="M21:M34" si="0">IF(J21="","",J21/9.80665)</f>
        <v/>
      </c>
      <c r="N21" s="190"/>
      <c r="O21" s="190"/>
      <c r="P21" s="190"/>
      <c r="Q21" s="190"/>
      <c r="R21" s="190"/>
      <c r="S21" s="196"/>
      <c r="T21" s="196"/>
      <c r="U21" s="196"/>
      <c r="V21" s="214" t="str">
        <f t="shared" ref="V21:V27" si="1">IF(S21="","",(P21)/S21)</f>
        <v/>
      </c>
      <c r="W21" s="214"/>
      <c r="X21" s="214"/>
      <c r="Y21" s="190" t="str">
        <f t="shared" ref="Y21:Y27" si="2">IF(V21="","",J21/V21)</f>
        <v/>
      </c>
      <c r="Z21" s="190"/>
      <c r="AA21" s="190"/>
      <c r="AB21" s="190" t="str">
        <f t="shared" ref="AB21:AB27" si="3">IF(B21=$F$13,SUM($Y$21:$AA$35)/10,"")</f>
        <v/>
      </c>
      <c r="AC21" s="190"/>
      <c r="AD21" s="190"/>
      <c r="AE21" s="191" t="str">
        <f t="shared" ref="AE21:AE35" si="4">IF(B21=$F$13,IF(B21=1,SQRT(AB21)/5,IF(B21=2,SQRT(AB21)/5.4,IF(B21&gt;=3,SQRT(AB21)/5.7,""))),"")</f>
        <v/>
      </c>
      <c r="AF21" s="191"/>
      <c r="AG21" s="191"/>
    </row>
    <row r="22" spans="2:54" ht="16.5" customHeight="1" x14ac:dyDescent="0.3">
      <c r="B22" s="192" t="str">
        <f>IF($F$13&gt;=14,14,"")</f>
        <v/>
      </c>
      <c r="C22" s="192"/>
      <c r="D22" s="211"/>
      <c r="E22" s="212"/>
      <c r="F22" s="213"/>
      <c r="G22" s="190"/>
      <c r="H22" s="190"/>
      <c r="I22" s="190"/>
      <c r="J22" s="190" t="str">
        <f>IF(G22="","",SUM(G$21:G22))</f>
        <v/>
      </c>
      <c r="K22" s="190"/>
      <c r="L22" s="190"/>
      <c r="M22" s="190" t="str">
        <f t="shared" si="0"/>
        <v/>
      </c>
      <c r="N22" s="190"/>
      <c r="O22" s="190"/>
      <c r="P22" s="190"/>
      <c r="Q22" s="190"/>
      <c r="R22" s="190"/>
      <c r="S22" s="196"/>
      <c r="T22" s="196"/>
      <c r="U22" s="196"/>
      <c r="V22" s="214" t="str">
        <f t="shared" si="1"/>
        <v/>
      </c>
      <c r="W22" s="214"/>
      <c r="X22" s="214"/>
      <c r="Y22" s="190" t="str">
        <f t="shared" si="2"/>
        <v/>
      </c>
      <c r="Z22" s="190"/>
      <c r="AA22" s="190"/>
      <c r="AB22" s="190" t="str">
        <f t="shared" si="3"/>
        <v/>
      </c>
      <c r="AC22" s="190"/>
      <c r="AD22" s="190"/>
      <c r="AE22" s="191" t="str">
        <f t="shared" si="4"/>
        <v/>
      </c>
      <c r="AF22" s="191"/>
      <c r="AG22" s="191"/>
    </row>
    <row r="23" spans="2:54" ht="16.5" customHeight="1" x14ac:dyDescent="0.3">
      <c r="B23" s="192" t="str">
        <f>IF($F$13&gt;=13,13,"")</f>
        <v/>
      </c>
      <c r="C23" s="192"/>
      <c r="D23" s="211"/>
      <c r="E23" s="212"/>
      <c r="F23" s="213"/>
      <c r="G23" s="208"/>
      <c r="H23" s="209"/>
      <c r="I23" s="210"/>
      <c r="J23" s="190" t="str">
        <f>IF(G23="","",SUM(G$21:G23))</f>
        <v/>
      </c>
      <c r="K23" s="190"/>
      <c r="L23" s="190"/>
      <c r="M23" s="190" t="str">
        <f t="shared" ref="M23:M28" si="5">IF(J23="","",J23/9.80665)</f>
        <v/>
      </c>
      <c r="N23" s="190"/>
      <c r="O23" s="190"/>
      <c r="P23" s="207"/>
      <c r="Q23" s="207"/>
      <c r="R23" s="207"/>
      <c r="S23" s="193"/>
      <c r="T23" s="193"/>
      <c r="U23" s="193"/>
      <c r="V23" s="214" t="str">
        <f t="shared" si="1"/>
        <v/>
      </c>
      <c r="W23" s="214"/>
      <c r="X23" s="214"/>
      <c r="Y23" s="190" t="str">
        <f t="shared" si="2"/>
        <v/>
      </c>
      <c r="Z23" s="190"/>
      <c r="AA23" s="190"/>
      <c r="AB23" s="190" t="str">
        <f t="shared" si="3"/>
        <v/>
      </c>
      <c r="AC23" s="190"/>
      <c r="AD23" s="190"/>
      <c r="AE23" s="191" t="str">
        <f t="shared" si="4"/>
        <v/>
      </c>
      <c r="AF23" s="191"/>
      <c r="AG23" s="191"/>
    </row>
    <row r="24" spans="2:54" ht="16.5" customHeight="1" x14ac:dyDescent="0.3">
      <c r="B24" s="192" t="str">
        <f>IF($F$13&gt;=12,12,"")</f>
        <v/>
      </c>
      <c r="C24" s="192"/>
      <c r="D24" s="211"/>
      <c r="E24" s="212"/>
      <c r="F24" s="213"/>
      <c r="G24" s="208"/>
      <c r="H24" s="209"/>
      <c r="I24" s="210"/>
      <c r="J24" s="190" t="str">
        <f>IF(G24="","",SUM(G$21:G24))</f>
        <v/>
      </c>
      <c r="K24" s="190"/>
      <c r="L24" s="190"/>
      <c r="M24" s="190" t="str">
        <f t="shared" si="5"/>
        <v/>
      </c>
      <c r="N24" s="190"/>
      <c r="O24" s="190"/>
      <c r="P24" s="207"/>
      <c r="Q24" s="207"/>
      <c r="R24" s="207"/>
      <c r="S24" s="193"/>
      <c r="T24" s="193"/>
      <c r="U24" s="193"/>
      <c r="V24" s="214" t="str">
        <f t="shared" si="1"/>
        <v/>
      </c>
      <c r="W24" s="214"/>
      <c r="X24" s="214"/>
      <c r="Y24" s="190" t="str">
        <f t="shared" si="2"/>
        <v/>
      </c>
      <c r="Z24" s="190"/>
      <c r="AA24" s="190"/>
      <c r="AB24" s="190" t="str">
        <f t="shared" si="3"/>
        <v/>
      </c>
      <c r="AC24" s="190"/>
      <c r="AD24" s="190"/>
      <c r="AE24" s="191" t="str">
        <f t="shared" si="4"/>
        <v/>
      </c>
      <c r="AF24" s="191"/>
      <c r="AG24" s="191"/>
    </row>
    <row r="25" spans="2:54" ht="16.5" customHeight="1" x14ac:dyDescent="0.3">
      <c r="B25" s="192" t="str">
        <f>IF($F$13&gt;=11,11,"")</f>
        <v/>
      </c>
      <c r="C25" s="192"/>
      <c r="D25" s="211"/>
      <c r="E25" s="212"/>
      <c r="F25" s="213"/>
      <c r="G25" s="208"/>
      <c r="H25" s="209"/>
      <c r="I25" s="210"/>
      <c r="J25" s="190" t="str">
        <f>IF(G25="","",SUM(G$21:G25))</f>
        <v/>
      </c>
      <c r="K25" s="190"/>
      <c r="L25" s="190"/>
      <c r="M25" s="190" t="str">
        <f t="shared" si="5"/>
        <v/>
      </c>
      <c r="N25" s="190"/>
      <c r="O25" s="190"/>
      <c r="P25" s="207"/>
      <c r="Q25" s="207"/>
      <c r="R25" s="207"/>
      <c r="S25" s="193"/>
      <c r="T25" s="193"/>
      <c r="U25" s="193"/>
      <c r="V25" s="214" t="str">
        <f t="shared" si="1"/>
        <v/>
      </c>
      <c r="W25" s="214"/>
      <c r="X25" s="214"/>
      <c r="Y25" s="190" t="str">
        <f t="shared" si="2"/>
        <v/>
      </c>
      <c r="Z25" s="190"/>
      <c r="AA25" s="190"/>
      <c r="AB25" s="190" t="str">
        <f t="shared" si="3"/>
        <v/>
      </c>
      <c r="AC25" s="190"/>
      <c r="AD25" s="190"/>
      <c r="AE25" s="191" t="str">
        <f t="shared" si="4"/>
        <v/>
      </c>
      <c r="AF25" s="191"/>
      <c r="AG25" s="191"/>
    </row>
    <row r="26" spans="2:54" ht="16.5" customHeight="1" x14ac:dyDescent="0.3">
      <c r="B26" s="192" t="str">
        <f>IF($F$13&gt;=10,10,"")</f>
        <v/>
      </c>
      <c r="C26" s="192"/>
      <c r="D26" s="211"/>
      <c r="E26" s="212"/>
      <c r="F26" s="213"/>
      <c r="G26" s="208"/>
      <c r="H26" s="209"/>
      <c r="I26" s="210"/>
      <c r="J26" s="190" t="str">
        <f>IF(G26="","",SUM(G$21:G26))</f>
        <v/>
      </c>
      <c r="K26" s="190"/>
      <c r="L26" s="190"/>
      <c r="M26" s="190" t="str">
        <f t="shared" si="5"/>
        <v/>
      </c>
      <c r="N26" s="190"/>
      <c r="O26" s="190"/>
      <c r="P26" s="207"/>
      <c r="Q26" s="207"/>
      <c r="R26" s="207"/>
      <c r="S26" s="193"/>
      <c r="T26" s="193"/>
      <c r="U26" s="193"/>
      <c r="V26" s="214" t="str">
        <f t="shared" si="1"/>
        <v/>
      </c>
      <c r="W26" s="214"/>
      <c r="X26" s="214"/>
      <c r="Y26" s="190" t="str">
        <f t="shared" si="2"/>
        <v/>
      </c>
      <c r="Z26" s="190"/>
      <c r="AA26" s="190"/>
      <c r="AB26" s="190" t="str">
        <f t="shared" si="3"/>
        <v/>
      </c>
      <c r="AC26" s="190"/>
      <c r="AD26" s="190"/>
      <c r="AE26" s="191" t="str">
        <f t="shared" si="4"/>
        <v/>
      </c>
      <c r="AF26" s="191"/>
      <c r="AG26" s="191"/>
    </row>
    <row r="27" spans="2:54" ht="16.5" customHeight="1" x14ac:dyDescent="0.3">
      <c r="B27" s="192" t="str">
        <f>IF($F$13&gt;=9,9,"")</f>
        <v/>
      </c>
      <c r="C27" s="192"/>
      <c r="D27" s="211"/>
      <c r="E27" s="212"/>
      <c r="F27" s="213"/>
      <c r="G27" s="208"/>
      <c r="H27" s="209"/>
      <c r="I27" s="210"/>
      <c r="J27" s="190" t="str">
        <f>IF(G27="","",SUM(G$21:G27))</f>
        <v/>
      </c>
      <c r="K27" s="190"/>
      <c r="L27" s="190"/>
      <c r="M27" s="190" t="str">
        <f t="shared" si="5"/>
        <v/>
      </c>
      <c r="N27" s="190"/>
      <c r="O27" s="190"/>
      <c r="P27" s="207"/>
      <c r="Q27" s="207"/>
      <c r="R27" s="207"/>
      <c r="S27" s="193"/>
      <c r="T27" s="193"/>
      <c r="U27" s="193"/>
      <c r="V27" s="214" t="str">
        <f t="shared" si="1"/>
        <v/>
      </c>
      <c r="W27" s="214"/>
      <c r="X27" s="214"/>
      <c r="Y27" s="190" t="str">
        <f t="shared" si="2"/>
        <v/>
      </c>
      <c r="Z27" s="190"/>
      <c r="AA27" s="190"/>
      <c r="AB27" s="190" t="str">
        <f t="shared" si="3"/>
        <v/>
      </c>
      <c r="AC27" s="190"/>
      <c r="AD27" s="190"/>
      <c r="AE27" s="191" t="str">
        <f t="shared" si="4"/>
        <v/>
      </c>
      <c r="AF27" s="191"/>
      <c r="AG27" s="191"/>
    </row>
    <row r="28" spans="2:54" ht="16.5" customHeight="1" x14ac:dyDescent="0.3">
      <c r="B28" s="192">
        <f>IF($F$13&gt;=8,8,"")</f>
        <v>8</v>
      </c>
      <c r="C28" s="192"/>
      <c r="D28" s="211">
        <v>3.75</v>
      </c>
      <c r="E28" s="212"/>
      <c r="F28" s="213"/>
      <c r="G28" s="208">
        <f>+AY28</f>
        <v>785.7</v>
      </c>
      <c r="H28" s="209"/>
      <c r="I28" s="210"/>
      <c r="J28" s="190">
        <f>IF(G28="","",SUM(G$21:G28))</f>
        <v>785.7</v>
      </c>
      <c r="K28" s="190"/>
      <c r="L28" s="190"/>
      <c r="M28" s="190">
        <f t="shared" si="5"/>
        <v>80.119102853675827</v>
      </c>
      <c r="N28" s="190"/>
      <c r="O28" s="190"/>
      <c r="P28" s="207">
        <f>+AZ28</f>
        <v>222.1</v>
      </c>
      <c r="Q28" s="207"/>
      <c r="R28" s="207"/>
      <c r="S28" s="193">
        <f>+BB28</f>
        <v>19.990200000000002</v>
      </c>
      <c r="T28" s="193"/>
      <c r="U28" s="193"/>
      <c r="V28" s="190">
        <f>IF(S28="","",(P28)/S28)</f>
        <v>11.110444117617632</v>
      </c>
      <c r="W28" s="190"/>
      <c r="X28" s="190"/>
      <c r="Y28" s="190">
        <f>IF(V28="","",J28/V28)</f>
        <v>70.717245114813153</v>
      </c>
      <c r="Z28" s="190"/>
      <c r="AA28" s="190"/>
      <c r="AB28" s="190">
        <f>IF(B28=$F$13,SUM($Y$21:$AA$35)/10,"")</f>
        <v>81.599288841836696</v>
      </c>
      <c r="AC28" s="190"/>
      <c r="AD28" s="190"/>
      <c r="AE28" s="191">
        <f>IF(B28=$F$13,IF(B28=1,SQRT(AB28)/5,IF(B28=2,SQRT(AB28)/5.4,IF(B28&gt;=3,SQRT(AB28)/5.7,""))),"")</f>
        <v>1.5847776261679376</v>
      </c>
      <c r="AF28" s="191"/>
      <c r="AG28" s="191"/>
      <c r="AL28" s="55"/>
      <c r="AM28" s="55"/>
      <c r="AY28" s="56">
        <v>785.7</v>
      </c>
      <c r="AZ28" s="56">
        <v>222.1</v>
      </c>
      <c r="BA28" s="56"/>
      <c r="BB28" s="56">
        <v>19.990200000000002</v>
      </c>
    </row>
    <row r="29" spans="2:54" ht="16.5" customHeight="1" x14ac:dyDescent="0.3">
      <c r="B29" s="192">
        <f>IF($F$13&gt;=7,7,"")</f>
        <v>7</v>
      </c>
      <c r="C29" s="192"/>
      <c r="D29" s="211">
        <v>3.5</v>
      </c>
      <c r="E29" s="212"/>
      <c r="F29" s="213"/>
      <c r="G29" s="208">
        <f t="shared" ref="G29:G35" si="6">+AY29</f>
        <v>624.4</v>
      </c>
      <c r="H29" s="209"/>
      <c r="I29" s="210"/>
      <c r="J29" s="190">
        <f>IF(G29="","",SUM(G$21:G29))</f>
        <v>1410.1</v>
      </c>
      <c r="K29" s="190"/>
      <c r="L29" s="190"/>
      <c r="M29" s="190">
        <f t="shared" si="0"/>
        <v>143.79018319201765</v>
      </c>
      <c r="N29" s="190"/>
      <c r="O29" s="190"/>
      <c r="P29" s="208">
        <f t="shared" ref="P29:P35" si="7">+AZ29</f>
        <v>327.60000000000002</v>
      </c>
      <c r="Q29" s="209"/>
      <c r="R29" s="210"/>
      <c r="S29" s="193">
        <f t="shared" ref="S29:S35" si="8">+BB29</f>
        <v>18.357700000000001</v>
      </c>
      <c r="T29" s="193"/>
      <c r="U29" s="193"/>
      <c r="V29" s="190">
        <f t="shared" ref="V29:V35" si="9">IF(S29="","",(P29)/S29)</f>
        <v>17.845372786351231</v>
      </c>
      <c r="W29" s="190"/>
      <c r="X29" s="190"/>
      <c r="Y29" s="190">
        <f>IF(V29="","",J29/V29)</f>
        <v>79.01768244810745</v>
      </c>
      <c r="Z29" s="190"/>
      <c r="AA29" s="190"/>
      <c r="AB29" s="190" t="str">
        <f t="shared" ref="AB29:AB35" si="10">IF(B29=$F$13,SUM($Y$21:$AA$35)/10,"")</f>
        <v/>
      </c>
      <c r="AC29" s="190"/>
      <c r="AD29" s="190"/>
      <c r="AE29" s="191" t="str">
        <f t="shared" si="4"/>
        <v/>
      </c>
      <c r="AF29" s="191"/>
      <c r="AG29" s="191"/>
      <c r="AL29" s="55"/>
      <c r="AM29" s="55"/>
      <c r="AY29" s="56">
        <v>624.4</v>
      </c>
      <c r="AZ29" s="56">
        <v>327.60000000000002</v>
      </c>
      <c r="BA29" s="56"/>
      <c r="BB29" s="56">
        <v>18.357700000000001</v>
      </c>
    </row>
    <row r="30" spans="2:54" ht="16.5" customHeight="1" x14ac:dyDescent="0.3">
      <c r="B30" s="192">
        <f>IF($F$13&gt;=6,6,"")</f>
        <v>6</v>
      </c>
      <c r="C30" s="192"/>
      <c r="D30" s="211">
        <v>3.5</v>
      </c>
      <c r="E30" s="212"/>
      <c r="F30" s="213"/>
      <c r="G30" s="208">
        <f t="shared" si="6"/>
        <v>638.70000000000005</v>
      </c>
      <c r="H30" s="209"/>
      <c r="I30" s="210"/>
      <c r="J30" s="190">
        <f>IF(G30="","",SUM(G$21:G30))</f>
        <v>2048.8000000000002</v>
      </c>
      <c r="K30" s="190"/>
      <c r="L30" s="190"/>
      <c r="M30" s="190">
        <f t="shared" si="0"/>
        <v>208.91945771491797</v>
      </c>
      <c r="N30" s="190"/>
      <c r="O30" s="190"/>
      <c r="P30" s="207">
        <f t="shared" si="7"/>
        <v>416.3</v>
      </c>
      <c r="Q30" s="207"/>
      <c r="R30" s="207"/>
      <c r="S30" s="193">
        <f t="shared" si="8"/>
        <v>17.361899999999999</v>
      </c>
      <c r="T30" s="193"/>
      <c r="U30" s="193"/>
      <c r="V30" s="190">
        <f t="shared" si="9"/>
        <v>23.97779044920199</v>
      </c>
      <c r="W30" s="190"/>
      <c r="X30" s="190"/>
      <c r="Y30" s="190">
        <f t="shared" ref="Y30:Y35" si="11">IF(V30="","",J30/V30)</f>
        <v>85.445737977420137</v>
      </c>
      <c r="Z30" s="190"/>
      <c r="AA30" s="190"/>
      <c r="AB30" s="190" t="str">
        <f t="shared" si="10"/>
        <v/>
      </c>
      <c r="AC30" s="190"/>
      <c r="AD30" s="190"/>
      <c r="AE30" s="191" t="str">
        <f t="shared" si="4"/>
        <v/>
      </c>
      <c r="AF30" s="191"/>
      <c r="AG30" s="191"/>
      <c r="AL30" s="55"/>
      <c r="AM30" s="55"/>
      <c r="AY30" s="56">
        <v>638.70000000000005</v>
      </c>
      <c r="AZ30" s="56">
        <v>416.3</v>
      </c>
      <c r="BA30" s="56"/>
      <c r="BB30" s="56">
        <v>17.361899999999999</v>
      </c>
    </row>
    <row r="31" spans="2:54" ht="16.5" customHeight="1" x14ac:dyDescent="0.3">
      <c r="B31" s="192">
        <f>IF($F$13&gt;=5,5,"")</f>
        <v>5</v>
      </c>
      <c r="C31" s="192"/>
      <c r="D31" s="211">
        <v>3.5</v>
      </c>
      <c r="E31" s="212"/>
      <c r="F31" s="213"/>
      <c r="G31" s="208">
        <f t="shared" si="6"/>
        <v>645.70000000000005</v>
      </c>
      <c r="H31" s="209"/>
      <c r="I31" s="210"/>
      <c r="J31" s="190">
        <f>IF(G31="","",SUM(G$21:G31))</f>
        <v>2694.5</v>
      </c>
      <c r="K31" s="190"/>
      <c r="L31" s="190"/>
      <c r="M31" s="190">
        <f t="shared" si="0"/>
        <v>274.7625335869028</v>
      </c>
      <c r="N31" s="190"/>
      <c r="O31" s="190"/>
      <c r="P31" s="207">
        <f t="shared" si="7"/>
        <v>490.9</v>
      </c>
      <c r="Q31" s="207"/>
      <c r="R31" s="207"/>
      <c r="S31" s="193">
        <f t="shared" si="8"/>
        <v>16.529800000000002</v>
      </c>
      <c r="T31" s="193"/>
      <c r="U31" s="193"/>
      <c r="V31" s="190">
        <f t="shared" si="9"/>
        <v>29.697878982201836</v>
      </c>
      <c r="W31" s="190"/>
      <c r="X31" s="190"/>
      <c r="Y31" s="190">
        <f t="shared" si="11"/>
        <v>90.730385210837255</v>
      </c>
      <c r="Z31" s="190"/>
      <c r="AA31" s="190"/>
      <c r="AB31" s="190" t="str">
        <f t="shared" si="10"/>
        <v/>
      </c>
      <c r="AC31" s="190"/>
      <c r="AD31" s="190"/>
      <c r="AE31" s="191" t="str">
        <f t="shared" si="4"/>
        <v/>
      </c>
      <c r="AF31" s="191"/>
      <c r="AG31" s="191"/>
      <c r="AL31" s="55"/>
      <c r="AM31" s="55"/>
      <c r="AY31" s="56">
        <v>645.70000000000005</v>
      </c>
      <c r="AZ31" s="56">
        <v>490.9</v>
      </c>
      <c r="BA31" s="56"/>
      <c r="BB31" s="56">
        <v>16.529800000000002</v>
      </c>
    </row>
    <row r="32" spans="2:54" ht="16.5" customHeight="1" x14ac:dyDescent="0.3">
      <c r="B32" s="192">
        <f>IF($F$13&gt;=4,4,"")</f>
        <v>4</v>
      </c>
      <c r="C32" s="192"/>
      <c r="D32" s="211">
        <v>3.5</v>
      </c>
      <c r="E32" s="212"/>
      <c r="F32" s="213"/>
      <c r="G32" s="208">
        <f t="shared" si="6"/>
        <v>652.29999999999995</v>
      </c>
      <c r="H32" s="209"/>
      <c r="I32" s="210"/>
      <c r="J32" s="190">
        <f>IF(G32="","",SUM(G$21:G32))</f>
        <v>3346.8</v>
      </c>
      <c r="K32" s="190"/>
      <c r="L32" s="190"/>
      <c r="M32" s="190">
        <f t="shared" si="0"/>
        <v>341.27862215945305</v>
      </c>
      <c r="N32" s="190"/>
      <c r="O32" s="190"/>
      <c r="P32" s="207">
        <f t="shared" si="7"/>
        <v>552.6</v>
      </c>
      <c r="Q32" s="207"/>
      <c r="R32" s="207"/>
      <c r="S32" s="193">
        <f t="shared" si="8"/>
        <v>14.9068</v>
      </c>
      <c r="T32" s="193"/>
      <c r="U32" s="193"/>
      <c r="V32" s="190">
        <f t="shared" si="9"/>
        <v>37.070330319049027</v>
      </c>
      <c r="W32" s="190"/>
      <c r="X32" s="190"/>
      <c r="Y32" s="190">
        <f t="shared" si="11"/>
        <v>90.282443431053196</v>
      </c>
      <c r="Z32" s="190"/>
      <c r="AA32" s="190"/>
      <c r="AB32" s="190" t="str">
        <f t="shared" si="10"/>
        <v/>
      </c>
      <c r="AC32" s="190"/>
      <c r="AD32" s="190"/>
      <c r="AE32" s="191" t="str">
        <f t="shared" si="4"/>
        <v/>
      </c>
      <c r="AF32" s="191"/>
      <c r="AG32" s="191"/>
      <c r="AL32" s="55"/>
      <c r="AM32" s="55"/>
      <c r="AY32" s="56">
        <v>652.29999999999995</v>
      </c>
      <c r="AZ32" s="56">
        <v>552.6</v>
      </c>
      <c r="BA32" s="56"/>
      <c r="BB32" s="56">
        <v>14.9068</v>
      </c>
    </row>
    <row r="33" spans="2:54" ht="16.5" customHeight="1" x14ac:dyDescent="0.3">
      <c r="B33" s="192">
        <f>IF($F$13&gt;=3,3,"")</f>
        <v>3</v>
      </c>
      <c r="C33" s="192"/>
      <c r="D33" s="211">
        <v>3.5</v>
      </c>
      <c r="E33" s="212"/>
      <c r="F33" s="213"/>
      <c r="G33" s="208">
        <f t="shared" si="6"/>
        <v>678.1</v>
      </c>
      <c r="H33" s="209"/>
      <c r="I33" s="210"/>
      <c r="J33" s="190">
        <f>IF(G33="","",SUM(G$21:G33))</f>
        <v>4024.9</v>
      </c>
      <c r="K33" s="190"/>
      <c r="L33" s="190"/>
      <c r="M33" s="190">
        <f t="shared" si="0"/>
        <v>410.42557856148636</v>
      </c>
      <c r="N33" s="190"/>
      <c r="O33" s="190"/>
      <c r="P33" s="207">
        <f t="shared" si="7"/>
        <v>603.4</v>
      </c>
      <c r="Q33" s="207"/>
      <c r="R33" s="207"/>
      <c r="S33" s="193">
        <f t="shared" si="8"/>
        <v>13.5319</v>
      </c>
      <c r="T33" s="193"/>
      <c r="U33" s="193"/>
      <c r="V33" s="190">
        <f t="shared" si="9"/>
        <v>44.590929581211803</v>
      </c>
      <c r="W33" s="190"/>
      <c r="X33" s="190"/>
      <c r="Y33" s="190">
        <f t="shared" si="11"/>
        <v>90.262751590984422</v>
      </c>
      <c r="Z33" s="190"/>
      <c r="AA33" s="190"/>
      <c r="AB33" s="190" t="str">
        <f t="shared" si="10"/>
        <v/>
      </c>
      <c r="AC33" s="190"/>
      <c r="AD33" s="190"/>
      <c r="AE33" s="191" t="str">
        <f t="shared" si="4"/>
        <v/>
      </c>
      <c r="AF33" s="191"/>
      <c r="AG33" s="191"/>
      <c r="AL33" s="55"/>
      <c r="AM33" s="55"/>
      <c r="AY33" s="56">
        <v>678.1</v>
      </c>
      <c r="AZ33" s="56">
        <v>603.4</v>
      </c>
      <c r="BA33" s="56"/>
      <c r="BB33" s="56">
        <v>13.5319</v>
      </c>
    </row>
    <row r="34" spans="2:54" ht="16.5" customHeight="1" x14ac:dyDescent="0.3">
      <c r="B34" s="192">
        <f>IF($F$13&gt;=2,2,"")</f>
        <v>2</v>
      </c>
      <c r="C34" s="192"/>
      <c r="D34" s="211">
        <v>3.5</v>
      </c>
      <c r="E34" s="212"/>
      <c r="F34" s="213"/>
      <c r="G34" s="208">
        <f t="shared" si="6"/>
        <v>687.3</v>
      </c>
      <c r="H34" s="209"/>
      <c r="I34" s="210"/>
      <c r="J34" s="190">
        <f>IF(G34="","",SUM(G$21:G34))</f>
        <v>4712.2</v>
      </c>
      <c r="K34" s="190"/>
      <c r="L34" s="190"/>
      <c r="M34" s="190">
        <f t="shared" si="0"/>
        <v>480.51067387945938</v>
      </c>
      <c r="N34" s="190"/>
      <c r="O34" s="190"/>
      <c r="P34" s="207">
        <f t="shared" si="7"/>
        <v>641.79999999999995</v>
      </c>
      <c r="Q34" s="207"/>
      <c r="R34" s="207"/>
      <c r="S34" s="193">
        <f t="shared" si="8"/>
        <v>14.4864</v>
      </c>
      <c r="T34" s="193"/>
      <c r="U34" s="193"/>
      <c r="V34" s="190">
        <f t="shared" si="9"/>
        <v>44.30362270819527</v>
      </c>
      <c r="W34" s="190"/>
      <c r="X34" s="190"/>
      <c r="Y34" s="190">
        <f t="shared" si="11"/>
        <v>106.36150526643814</v>
      </c>
      <c r="Z34" s="190"/>
      <c r="AA34" s="190"/>
      <c r="AB34" s="190" t="str">
        <f t="shared" si="10"/>
        <v/>
      </c>
      <c r="AC34" s="190"/>
      <c r="AD34" s="190"/>
      <c r="AE34" s="191" t="str">
        <f t="shared" si="4"/>
        <v/>
      </c>
      <c r="AF34" s="191"/>
      <c r="AG34" s="191"/>
      <c r="AL34" s="55"/>
      <c r="AM34" s="55"/>
      <c r="AY34" s="56">
        <v>687.3</v>
      </c>
      <c r="AZ34" s="56">
        <v>641.79999999999995</v>
      </c>
      <c r="BA34" s="56"/>
      <c r="BB34" s="56">
        <v>14.4864</v>
      </c>
    </row>
    <row r="35" spans="2:54" ht="16.5" customHeight="1" x14ac:dyDescent="0.3">
      <c r="B35" s="192">
        <f>IF($F$13&gt;=1,1,"")</f>
        <v>1</v>
      </c>
      <c r="C35" s="192"/>
      <c r="D35" s="211">
        <v>5.3</v>
      </c>
      <c r="E35" s="212"/>
      <c r="F35" s="213"/>
      <c r="G35" s="208">
        <f t="shared" si="6"/>
        <v>782.7</v>
      </c>
      <c r="H35" s="209"/>
      <c r="I35" s="210"/>
      <c r="J35" s="190">
        <f>IF(G35="","",SUM(G$21:G35))</f>
        <v>5494.9</v>
      </c>
      <c r="K35" s="190"/>
      <c r="L35" s="190"/>
      <c r="M35" s="190">
        <f>IF(J35="","",J35/9.80665)</f>
        <v>560.3238618692418</v>
      </c>
      <c r="N35" s="190"/>
      <c r="O35" s="190"/>
      <c r="P35" s="207">
        <f t="shared" si="7"/>
        <v>669.9</v>
      </c>
      <c r="Q35" s="207"/>
      <c r="R35" s="207"/>
      <c r="S35" s="193">
        <f t="shared" si="8"/>
        <v>24.7697</v>
      </c>
      <c r="T35" s="193"/>
      <c r="U35" s="193"/>
      <c r="V35" s="190">
        <f t="shared" si="9"/>
        <v>27.045139828096424</v>
      </c>
      <c r="W35" s="190"/>
      <c r="X35" s="190"/>
      <c r="Y35" s="190">
        <f t="shared" si="11"/>
        <v>203.17513737871323</v>
      </c>
      <c r="Z35" s="190"/>
      <c r="AA35" s="190"/>
      <c r="AB35" s="190" t="str">
        <f t="shared" si="10"/>
        <v/>
      </c>
      <c r="AC35" s="190"/>
      <c r="AD35" s="190"/>
      <c r="AE35" s="191" t="str">
        <f t="shared" si="4"/>
        <v/>
      </c>
      <c r="AF35" s="191"/>
      <c r="AG35" s="191"/>
      <c r="AL35" s="55"/>
      <c r="AM35" s="55"/>
      <c r="AY35" s="56">
        <v>782.7</v>
      </c>
      <c r="AZ35" s="56">
        <v>669.9</v>
      </c>
      <c r="BA35" s="56"/>
      <c r="BB35" s="56">
        <v>24.7697</v>
      </c>
    </row>
    <row r="36" spans="2:54" ht="16.5" customHeight="1" x14ac:dyDescent="0.3">
      <c r="B36" s="59"/>
      <c r="C36" s="59"/>
      <c r="D36" s="60"/>
      <c r="E36" s="60"/>
      <c r="F36" s="60"/>
      <c r="G36" s="5"/>
      <c r="H36" s="5"/>
      <c r="I36" s="5"/>
      <c r="J36" s="5"/>
      <c r="K36" s="5"/>
      <c r="L36" s="5"/>
      <c r="M36" s="5"/>
      <c r="N36" s="5"/>
      <c r="O36" s="5"/>
      <c r="P36" s="5"/>
      <c r="Q36" s="5"/>
      <c r="R36" s="5"/>
      <c r="S36" s="6"/>
      <c r="T36" s="6"/>
      <c r="U36" s="6"/>
      <c r="V36" s="6"/>
      <c r="W36" s="6"/>
      <c r="X36" s="6"/>
      <c r="Y36" s="5"/>
      <c r="Z36" s="5"/>
      <c r="AA36" s="5"/>
      <c r="AB36" s="6"/>
      <c r="AC36" s="6"/>
      <c r="AD36" s="6"/>
      <c r="AE36" s="6"/>
      <c r="AF36" s="6"/>
      <c r="AG36" s="6"/>
      <c r="AH36" s="60"/>
      <c r="AI36" s="60"/>
      <c r="AJ36" s="60"/>
      <c r="AM36" s="55"/>
      <c r="AY36" s="56"/>
      <c r="AZ36" s="57"/>
      <c r="BA36" s="56"/>
      <c r="BB36" s="56"/>
    </row>
    <row r="37" spans="2:54" ht="16.5" customHeight="1" x14ac:dyDescent="0.3">
      <c r="B37" t="s">
        <v>21</v>
      </c>
      <c r="C37" s="63"/>
      <c r="AM37" s="55"/>
      <c r="AY37" s="56"/>
      <c r="AZ37" s="56"/>
      <c r="BA37" s="56"/>
      <c r="BB37" s="56"/>
    </row>
    <row r="38" spans="2:54" ht="16.5" customHeight="1" x14ac:dyDescent="0.3">
      <c r="B38" s="192" t="s">
        <v>24</v>
      </c>
      <c r="C38" s="192"/>
      <c r="D38" s="195" t="s">
        <v>25</v>
      </c>
      <c r="E38" s="195"/>
      <c r="F38" s="195"/>
      <c r="G38" s="195" t="s">
        <v>26</v>
      </c>
      <c r="H38" s="195"/>
      <c r="I38" s="195"/>
      <c r="J38" s="195" t="s">
        <v>27</v>
      </c>
      <c r="K38" s="195"/>
      <c r="L38" s="195"/>
      <c r="M38" s="195" t="s">
        <v>27</v>
      </c>
      <c r="N38" s="195"/>
      <c r="O38" s="195"/>
      <c r="P38" s="195" t="s">
        <v>28</v>
      </c>
      <c r="Q38" s="195"/>
      <c r="R38" s="195"/>
      <c r="S38" s="195" t="s">
        <v>29</v>
      </c>
      <c r="T38" s="195"/>
      <c r="U38" s="195"/>
      <c r="V38" s="195" t="s">
        <v>30</v>
      </c>
      <c r="W38" s="195"/>
      <c r="X38" s="195"/>
      <c r="Y38" s="195" t="s">
        <v>31</v>
      </c>
      <c r="Z38" s="195"/>
      <c r="AA38" s="195"/>
      <c r="AB38" s="195" t="s">
        <v>32</v>
      </c>
      <c r="AC38" s="195"/>
      <c r="AD38" s="195"/>
      <c r="AE38" s="195" t="s">
        <v>33</v>
      </c>
      <c r="AF38" s="195"/>
      <c r="AG38" s="195"/>
      <c r="AM38" s="55"/>
      <c r="AY38" s="56"/>
      <c r="AZ38" s="56"/>
      <c r="BA38" s="56"/>
      <c r="BB38" s="56"/>
    </row>
    <row r="39" spans="2:54" ht="16.5" customHeight="1" x14ac:dyDescent="0.3">
      <c r="B39" s="192"/>
      <c r="C39" s="192"/>
      <c r="D39" s="194" t="s">
        <v>34</v>
      </c>
      <c r="E39" s="194"/>
      <c r="F39" s="194"/>
      <c r="G39" s="194" t="s">
        <v>35</v>
      </c>
      <c r="H39" s="194"/>
      <c r="I39" s="194"/>
      <c r="J39" s="194" t="s">
        <v>36</v>
      </c>
      <c r="K39" s="194"/>
      <c r="L39" s="194"/>
      <c r="M39" s="194" t="s">
        <v>37</v>
      </c>
      <c r="N39" s="194"/>
      <c r="O39" s="194"/>
      <c r="P39" s="194" t="s">
        <v>38</v>
      </c>
      <c r="Q39" s="194"/>
      <c r="R39" s="194"/>
      <c r="S39" s="194" t="s">
        <v>39</v>
      </c>
      <c r="T39" s="194"/>
      <c r="U39" s="194"/>
      <c r="V39" s="194" t="s">
        <v>40</v>
      </c>
      <c r="W39" s="194"/>
      <c r="X39" s="194"/>
      <c r="Y39" s="194" t="s">
        <v>41</v>
      </c>
      <c r="Z39" s="194"/>
      <c r="AA39" s="194"/>
      <c r="AB39" s="194" t="s">
        <v>42</v>
      </c>
      <c r="AC39" s="194"/>
      <c r="AD39" s="194"/>
      <c r="AE39" s="194" t="s">
        <v>43</v>
      </c>
      <c r="AF39" s="194"/>
      <c r="AG39" s="194"/>
      <c r="AM39" s="55"/>
      <c r="AY39" s="56"/>
      <c r="AZ39" s="56"/>
      <c r="BA39" s="56"/>
      <c r="BB39" s="56"/>
    </row>
    <row r="40" spans="2:54" ht="16.5" customHeight="1" x14ac:dyDescent="0.3">
      <c r="B40" s="192" t="str">
        <f t="shared" ref="B40:B48" si="12">+B21</f>
        <v/>
      </c>
      <c r="C40" s="192"/>
      <c r="D40" s="191" t="str">
        <f t="shared" ref="D40:D54" si="13">IF(D21="","",D21)</f>
        <v/>
      </c>
      <c r="E40" s="191"/>
      <c r="F40" s="191"/>
      <c r="G40" s="190" t="str">
        <f t="shared" ref="G40:G54" si="14">IF(G21="","",G21)</f>
        <v/>
      </c>
      <c r="H40" s="190"/>
      <c r="I40" s="190"/>
      <c r="J40" s="190" t="str">
        <f>IF(G40="","",SUM(G$40:G40))</f>
        <v/>
      </c>
      <c r="K40" s="190"/>
      <c r="L40" s="190"/>
      <c r="M40" s="190" t="str">
        <f t="shared" ref="M40:M54" si="15">IF(J40="","",J40/9.80665)</f>
        <v/>
      </c>
      <c r="N40" s="190"/>
      <c r="O40" s="190"/>
      <c r="P40" s="190" t="str">
        <f t="shared" ref="P40:P54" si="16">IF(P21="","",P21)</f>
        <v/>
      </c>
      <c r="Q40" s="190"/>
      <c r="R40" s="190"/>
      <c r="S40" s="196"/>
      <c r="T40" s="196"/>
      <c r="U40" s="196"/>
      <c r="V40" s="190" t="str">
        <f t="shared" ref="V40:V46" si="17">IF(S40="","",P40/S40)</f>
        <v/>
      </c>
      <c r="W40" s="190"/>
      <c r="X40" s="190"/>
      <c r="Y40" s="190" t="str">
        <f t="shared" ref="Y40:Y46" si="18">IF(V40="","",J40/V40)</f>
        <v/>
      </c>
      <c r="Z40" s="190"/>
      <c r="AA40" s="190"/>
      <c r="AB40" s="190" t="str">
        <f t="shared" ref="AB40:AB46" si="19">IF(B40=$F$13,SUM($Y$40:$AA$54)/10,"")</f>
        <v/>
      </c>
      <c r="AC40" s="190"/>
      <c r="AD40" s="190"/>
      <c r="AE40" s="191" t="str">
        <f t="shared" ref="AE40:AE54" si="20">IF(B40=$F$13,IF(B40=1,SQRT(AB40)/5,IF(B40=2,SQRT(AB40)/5.4,IF(B40&gt;=3,SQRT(AB40)/5.7,""))),"")</f>
        <v/>
      </c>
      <c r="AF40" s="191"/>
      <c r="AG40" s="191"/>
      <c r="AM40" s="55"/>
      <c r="AY40" s="56"/>
      <c r="AZ40" s="56"/>
      <c r="BA40" s="56"/>
      <c r="BB40" s="56"/>
    </row>
    <row r="41" spans="2:54" ht="16.5" customHeight="1" x14ac:dyDescent="0.3">
      <c r="B41" s="192" t="str">
        <f t="shared" si="12"/>
        <v/>
      </c>
      <c r="C41" s="192"/>
      <c r="D41" s="191" t="str">
        <f t="shared" si="13"/>
        <v/>
      </c>
      <c r="E41" s="191"/>
      <c r="F41" s="191"/>
      <c r="G41" s="190" t="str">
        <f t="shared" si="14"/>
        <v/>
      </c>
      <c r="H41" s="190"/>
      <c r="I41" s="190"/>
      <c r="J41" s="190" t="str">
        <f>IF(G41="","",SUM(G$40:G41))</f>
        <v/>
      </c>
      <c r="K41" s="190"/>
      <c r="L41" s="190"/>
      <c r="M41" s="190" t="str">
        <f t="shared" si="15"/>
        <v/>
      </c>
      <c r="N41" s="190"/>
      <c r="O41" s="190"/>
      <c r="P41" s="190" t="str">
        <f t="shared" si="16"/>
        <v/>
      </c>
      <c r="Q41" s="190"/>
      <c r="R41" s="190"/>
      <c r="S41" s="196"/>
      <c r="T41" s="196"/>
      <c r="U41" s="196"/>
      <c r="V41" s="190" t="str">
        <f t="shared" si="17"/>
        <v/>
      </c>
      <c r="W41" s="190"/>
      <c r="X41" s="190"/>
      <c r="Y41" s="190" t="str">
        <f t="shared" si="18"/>
        <v/>
      </c>
      <c r="Z41" s="190"/>
      <c r="AA41" s="190"/>
      <c r="AB41" s="190" t="str">
        <f t="shared" si="19"/>
        <v/>
      </c>
      <c r="AC41" s="190"/>
      <c r="AD41" s="190"/>
      <c r="AE41" s="191" t="str">
        <f t="shared" si="20"/>
        <v/>
      </c>
      <c r="AF41" s="191"/>
      <c r="AG41" s="191"/>
      <c r="AM41" s="55"/>
      <c r="AY41" s="56"/>
      <c r="AZ41" s="56"/>
      <c r="BA41" s="56"/>
      <c r="BB41" s="56"/>
    </row>
    <row r="42" spans="2:54" ht="16.5" customHeight="1" x14ac:dyDescent="0.3">
      <c r="B42" s="192" t="str">
        <f t="shared" si="12"/>
        <v/>
      </c>
      <c r="C42" s="192"/>
      <c r="D42" s="191" t="str">
        <f t="shared" si="13"/>
        <v/>
      </c>
      <c r="E42" s="191"/>
      <c r="F42" s="191"/>
      <c r="G42" s="190" t="str">
        <f t="shared" si="14"/>
        <v/>
      </c>
      <c r="H42" s="190"/>
      <c r="I42" s="190"/>
      <c r="J42" s="190" t="str">
        <f>IF(G42="","",SUM(G$40:G42))</f>
        <v/>
      </c>
      <c r="K42" s="190"/>
      <c r="L42" s="190"/>
      <c r="M42" s="190" t="str">
        <f t="shared" si="15"/>
        <v/>
      </c>
      <c r="N42" s="190"/>
      <c r="O42" s="190"/>
      <c r="P42" s="190" t="str">
        <f t="shared" si="16"/>
        <v/>
      </c>
      <c r="Q42" s="190"/>
      <c r="R42" s="190"/>
      <c r="S42" s="193"/>
      <c r="T42" s="193"/>
      <c r="U42" s="193"/>
      <c r="V42" s="190" t="str">
        <f t="shared" si="17"/>
        <v/>
      </c>
      <c r="W42" s="190"/>
      <c r="X42" s="190"/>
      <c r="Y42" s="190" t="str">
        <f t="shared" si="18"/>
        <v/>
      </c>
      <c r="Z42" s="190"/>
      <c r="AA42" s="190"/>
      <c r="AB42" s="190" t="str">
        <f t="shared" si="19"/>
        <v/>
      </c>
      <c r="AC42" s="190"/>
      <c r="AD42" s="190"/>
      <c r="AE42" s="191" t="str">
        <f t="shared" si="20"/>
        <v/>
      </c>
      <c r="AF42" s="191"/>
      <c r="AG42" s="191"/>
      <c r="AM42" s="55"/>
      <c r="AY42" s="56"/>
      <c r="AZ42" s="56"/>
      <c r="BA42" s="56"/>
      <c r="BB42" s="56"/>
    </row>
    <row r="43" spans="2:54" ht="16.5" customHeight="1" x14ac:dyDescent="0.3">
      <c r="B43" s="192" t="str">
        <f t="shared" si="12"/>
        <v/>
      </c>
      <c r="C43" s="192"/>
      <c r="D43" s="191" t="str">
        <f t="shared" si="13"/>
        <v/>
      </c>
      <c r="E43" s="191"/>
      <c r="F43" s="191"/>
      <c r="G43" s="190" t="str">
        <f>IF(G24="","",G24)</f>
        <v/>
      </c>
      <c r="H43" s="190"/>
      <c r="I43" s="190"/>
      <c r="J43" s="190" t="str">
        <f>IF(G43="","",SUM(G$40:G43))</f>
        <v/>
      </c>
      <c r="K43" s="190"/>
      <c r="L43" s="190"/>
      <c r="M43" s="190" t="str">
        <f>IF(J43="","",J43/9.80665)</f>
        <v/>
      </c>
      <c r="N43" s="190"/>
      <c r="O43" s="190"/>
      <c r="P43" s="190" t="str">
        <f t="shared" si="16"/>
        <v/>
      </c>
      <c r="Q43" s="190"/>
      <c r="R43" s="190"/>
      <c r="S43" s="193"/>
      <c r="T43" s="193"/>
      <c r="U43" s="193"/>
      <c r="V43" s="190" t="str">
        <f t="shared" si="17"/>
        <v/>
      </c>
      <c r="W43" s="190"/>
      <c r="X43" s="190"/>
      <c r="Y43" s="190" t="str">
        <f t="shared" si="18"/>
        <v/>
      </c>
      <c r="Z43" s="190"/>
      <c r="AA43" s="190"/>
      <c r="AB43" s="190" t="str">
        <f t="shared" si="19"/>
        <v/>
      </c>
      <c r="AC43" s="190"/>
      <c r="AD43" s="190"/>
      <c r="AE43" s="191" t="str">
        <f t="shared" si="20"/>
        <v/>
      </c>
      <c r="AF43" s="191"/>
      <c r="AG43" s="191"/>
      <c r="AM43" s="55"/>
      <c r="AY43" s="56"/>
      <c r="AZ43" s="56"/>
      <c r="BA43" s="56"/>
      <c r="BB43" s="56"/>
    </row>
    <row r="44" spans="2:54" ht="16.5" customHeight="1" x14ac:dyDescent="0.3">
      <c r="B44" s="192" t="str">
        <f t="shared" si="12"/>
        <v/>
      </c>
      <c r="C44" s="192"/>
      <c r="D44" s="191" t="str">
        <f>IF(D25="","",D25)</f>
        <v/>
      </c>
      <c r="E44" s="191"/>
      <c r="F44" s="191"/>
      <c r="G44" s="190" t="str">
        <f>IF(G25="","",G25)</f>
        <v/>
      </c>
      <c r="H44" s="190"/>
      <c r="I44" s="190"/>
      <c r="J44" s="190" t="str">
        <f>IF(G44="","",SUM(G$40:G44))</f>
        <v/>
      </c>
      <c r="K44" s="190"/>
      <c r="L44" s="190"/>
      <c r="M44" s="190" t="str">
        <f>IF(J44="","",J44/9.80665)</f>
        <v/>
      </c>
      <c r="N44" s="190"/>
      <c r="O44" s="190"/>
      <c r="P44" s="190" t="str">
        <f>IF(P25="","",P25)</f>
        <v/>
      </c>
      <c r="Q44" s="190"/>
      <c r="R44" s="190"/>
      <c r="S44" s="193"/>
      <c r="T44" s="193"/>
      <c r="U44" s="193"/>
      <c r="V44" s="190" t="str">
        <f t="shared" si="17"/>
        <v/>
      </c>
      <c r="W44" s="190"/>
      <c r="X44" s="190"/>
      <c r="Y44" s="190" t="str">
        <f t="shared" si="18"/>
        <v/>
      </c>
      <c r="Z44" s="190"/>
      <c r="AA44" s="190"/>
      <c r="AB44" s="190" t="str">
        <f t="shared" si="19"/>
        <v/>
      </c>
      <c r="AC44" s="190"/>
      <c r="AD44" s="190"/>
      <c r="AE44" s="191" t="str">
        <f t="shared" si="20"/>
        <v/>
      </c>
      <c r="AF44" s="191"/>
      <c r="AG44" s="191"/>
      <c r="AM44" s="55"/>
      <c r="AY44" s="56"/>
      <c r="AZ44" s="56"/>
      <c r="BA44" s="56"/>
      <c r="BB44" s="56"/>
    </row>
    <row r="45" spans="2:54" ht="16.5" customHeight="1" x14ac:dyDescent="0.3">
      <c r="B45" s="192" t="str">
        <f t="shared" si="12"/>
        <v/>
      </c>
      <c r="C45" s="192"/>
      <c r="D45" s="191" t="str">
        <f t="shared" si="13"/>
        <v/>
      </c>
      <c r="E45" s="191"/>
      <c r="F45" s="191"/>
      <c r="G45" s="190" t="str">
        <f t="shared" si="14"/>
        <v/>
      </c>
      <c r="H45" s="190"/>
      <c r="I45" s="190"/>
      <c r="J45" s="190" t="str">
        <f>IF(G45="","",SUM(G$40:G45))</f>
        <v/>
      </c>
      <c r="K45" s="190"/>
      <c r="L45" s="190"/>
      <c r="M45" s="190" t="str">
        <f t="shared" si="15"/>
        <v/>
      </c>
      <c r="N45" s="190"/>
      <c r="O45" s="190"/>
      <c r="P45" s="190" t="str">
        <f>IF(P26="","",P26)</f>
        <v/>
      </c>
      <c r="Q45" s="190"/>
      <c r="R45" s="190"/>
      <c r="S45" s="193"/>
      <c r="T45" s="193"/>
      <c r="U45" s="193"/>
      <c r="V45" s="190" t="str">
        <f t="shared" si="17"/>
        <v/>
      </c>
      <c r="W45" s="190"/>
      <c r="X45" s="190"/>
      <c r="Y45" s="190" t="str">
        <f t="shared" si="18"/>
        <v/>
      </c>
      <c r="Z45" s="190"/>
      <c r="AA45" s="190"/>
      <c r="AB45" s="190" t="str">
        <f t="shared" si="19"/>
        <v/>
      </c>
      <c r="AC45" s="190"/>
      <c r="AD45" s="190"/>
      <c r="AE45" s="191" t="str">
        <f t="shared" si="20"/>
        <v/>
      </c>
      <c r="AF45" s="191"/>
      <c r="AG45" s="191"/>
      <c r="AM45" s="55"/>
      <c r="AY45" s="56"/>
      <c r="AZ45" s="56"/>
      <c r="BA45" s="56"/>
      <c r="BB45" s="56"/>
    </row>
    <row r="46" spans="2:54" ht="16.5" customHeight="1" x14ac:dyDescent="0.3">
      <c r="B46" s="192" t="str">
        <f t="shared" si="12"/>
        <v/>
      </c>
      <c r="C46" s="192"/>
      <c r="D46" s="191" t="str">
        <f t="shared" si="13"/>
        <v/>
      </c>
      <c r="E46" s="191"/>
      <c r="F46" s="191"/>
      <c r="G46" s="190" t="str">
        <f t="shared" si="14"/>
        <v/>
      </c>
      <c r="H46" s="190"/>
      <c r="I46" s="190"/>
      <c r="J46" s="190" t="str">
        <f>IF(G46="","",SUM(G$40:G46))</f>
        <v/>
      </c>
      <c r="K46" s="190"/>
      <c r="L46" s="190"/>
      <c r="M46" s="190" t="str">
        <f t="shared" si="15"/>
        <v/>
      </c>
      <c r="N46" s="190"/>
      <c r="O46" s="190"/>
      <c r="P46" s="190" t="str">
        <f t="shared" si="16"/>
        <v/>
      </c>
      <c r="Q46" s="190"/>
      <c r="R46" s="190"/>
      <c r="S46" s="193"/>
      <c r="T46" s="193"/>
      <c r="U46" s="193"/>
      <c r="V46" s="190" t="str">
        <f t="shared" si="17"/>
        <v/>
      </c>
      <c r="W46" s="190"/>
      <c r="X46" s="190"/>
      <c r="Y46" s="190" t="str">
        <f t="shared" si="18"/>
        <v/>
      </c>
      <c r="Z46" s="190"/>
      <c r="AA46" s="190"/>
      <c r="AB46" s="190" t="str">
        <f t="shared" si="19"/>
        <v/>
      </c>
      <c r="AC46" s="190"/>
      <c r="AD46" s="190"/>
      <c r="AE46" s="191" t="str">
        <f t="shared" si="20"/>
        <v/>
      </c>
      <c r="AF46" s="191"/>
      <c r="AG46" s="191"/>
      <c r="AM46" s="55"/>
      <c r="AY46" s="56"/>
      <c r="AZ46" s="56"/>
      <c r="BA46" s="56"/>
      <c r="BB46" s="56"/>
    </row>
    <row r="47" spans="2:54" ht="16.5" customHeight="1" x14ac:dyDescent="0.3">
      <c r="B47" s="192">
        <f t="shared" si="12"/>
        <v>8</v>
      </c>
      <c r="C47" s="192"/>
      <c r="D47" s="191">
        <f t="shared" si="13"/>
        <v>3.75</v>
      </c>
      <c r="E47" s="191"/>
      <c r="F47" s="191"/>
      <c r="G47" s="190">
        <f t="shared" si="14"/>
        <v>785.7</v>
      </c>
      <c r="H47" s="190"/>
      <c r="I47" s="190"/>
      <c r="J47" s="190">
        <f>IF(G47="","",SUM(G$40:G47))</f>
        <v>785.7</v>
      </c>
      <c r="K47" s="190"/>
      <c r="L47" s="190"/>
      <c r="M47" s="190">
        <f t="shared" si="15"/>
        <v>80.119102853675827</v>
      </c>
      <c r="N47" s="190"/>
      <c r="O47" s="190"/>
      <c r="P47" s="190">
        <f>IF(P28="","",P28)</f>
        <v>222.1</v>
      </c>
      <c r="Q47" s="190"/>
      <c r="R47" s="190"/>
      <c r="S47" s="193">
        <f>+BB47</f>
        <v>15.5783</v>
      </c>
      <c r="T47" s="193"/>
      <c r="U47" s="193"/>
      <c r="V47" s="190">
        <f>IF(S47="","",P47/S47)</f>
        <v>14.257011355539435</v>
      </c>
      <c r="W47" s="190"/>
      <c r="X47" s="190"/>
      <c r="Y47" s="190">
        <f>IF(V47="","",J47/V47)</f>
        <v>55.109726744709597</v>
      </c>
      <c r="Z47" s="190"/>
      <c r="AA47" s="190"/>
      <c r="AB47" s="190">
        <f>IF(B47=$F$13,SUM($Y$40:$AA$54)/10,"")</f>
        <v>68.334884288776124</v>
      </c>
      <c r="AC47" s="190"/>
      <c r="AD47" s="190"/>
      <c r="AE47" s="191">
        <f>IF(B47=$F$13,IF(B47=1,SQRT(AB47)/5,IF(B47=2,SQRT(AB47)/5.4,IF(B47&gt;=3,SQRT(AB47)/5.7,""))),"")</f>
        <v>1.450261693929594</v>
      </c>
      <c r="AF47" s="191"/>
      <c r="AG47" s="191"/>
      <c r="AM47" s="55"/>
      <c r="AY47" s="56"/>
      <c r="AZ47" s="56"/>
      <c r="BA47" s="56"/>
      <c r="BB47" s="56">
        <v>15.5783</v>
      </c>
    </row>
    <row r="48" spans="2:54" ht="16.5" customHeight="1" x14ac:dyDescent="0.3">
      <c r="B48" s="192">
        <f t="shared" si="12"/>
        <v>7</v>
      </c>
      <c r="C48" s="192"/>
      <c r="D48" s="191">
        <f t="shared" si="13"/>
        <v>3.5</v>
      </c>
      <c r="E48" s="191"/>
      <c r="F48" s="191"/>
      <c r="G48" s="190">
        <f t="shared" si="14"/>
        <v>624.4</v>
      </c>
      <c r="H48" s="190"/>
      <c r="I48" s="190"/>
      <c r="J48" s="190">
        <f>IF(G48="","",SUM(G$40:G48))</f>
        <v>1410.1</v>
      </c>
      <c r="K48" s="190"/>
      <c r="L48" s="190"/>
      <c r="M48" s="190">
        <f t="shared" si="15"/>
        <v>143.79018319201765</v>
      </c>
      <c r="N48" s="190"/>
      <c r="O48" s="190"/>
      <c r="P48" s="190">
        <f>IF(P29="","",P29)</f>
        <v>327.60000000000002</v>
      </c>
      <c r="Q48" s="190"/>
      <c r="R48" s="190"/>
      <c r="S48" s="193">
        <f t="shared" ref="S48:S54" si="21">+BB48</f>
        <v>14.861499999999999</v>
      </c>
      <c r="T48" s="193"/>
      <c r="U48" s="193"/>
      <c r="V48" s="190">
        <f t="shared" ref="V48:V54" si="22">IF(S48="","",P48/S48)</f>
        <v>22.043535309356393</v>
      </c>
      <c r="W48" s="190"/>
      <c r="X48" s="190"/>
      <c r="Y48" s="190">
        <f t="shared" ref="Y48:Y54" si="23">IF(V48="","",J48/V48)</f>
        <v>63.968867979242965</v>
      </c>
      <c r="Z48" s="190"/>
      <c r="AA48" s="190"/>
      <c r="AB48" s="190" t="str">
        <f t="shared" ref="AB48:AB54" si="24">IF(B48=$F$13,SUM($Y$40:$AA$54)/10,"")</f>
        <v/>
      </c>
      <c r="AC48" s="190"/>
      <c r="AD48" s="190"/>
      <c r="AE48" s="191" t="str">
        <f t="shared" si="20"/>
        <v/>
      </c>
      <c r="AF48" s="191"/>
      <c r="AG48" s="191"/>
      <c r="AM48" s="55"/>
      <c r="AY48" s="56"/>
      <c r="AZ48" s="56"/>
      <c r="BA48" s="56"/>
      <c r="BB48" s="56">
        <v>14.861499999999999</v>
      </c>
    </row>
    <row r="49" spans="2:54" ht="16.5" customHeight="1" x14ac:dyDescent="0.3">
      <c r="B49" s="192">
        <f>+B30</f>
        <v>6</v>
      </c>
      <c r="C49" s="192"/>
      <c r="D49" s="191">
        <f t="shared" si="13"/>
        <v>3.5</v>
      </c>
      <c r="E49" s="191"/>
      <c r="F49" s="191"/>
      <c r="G49" s="190">
        <f t="shared" si="14"/>
        <v>638.70000000000005</v>
      </c>
      <c r="H49" s="190"/>
      <c r="I49" s="190"/>
      <c r="J49" s="190">
        <f>IF(G49="","",SUM(G$40:G49))</f>
        <v>2048.8000000000002</v>
      </c>
      <c r="K49" s="190"/>
      <c r="L49" s="190"/>
      <c r="M49" s="190">
        <f t="shared" si="15"/>
        <v>208.91945771491797</v>
      </c>
      <c r="N49" s="190"/>
      <c r="O49" s="190"/>
      <c r="P49" s="190">
        <f t="shared" si="16"/>
        <v>416.3</v>
      </c>
      <c r="Q49" s="190"/>
      <c r="R49" s="190"/>
      <c r="S49" s="193">
        <f t="shared" si="21"/>
        <v>13.728</v>
      </c>
      <c r="T49" s="193"/>
      <c r="U49" s="193"/>
      <c r="V49" s="190">
        <f t="shared" si="22"/>
        <v>30.324883449883451</v>
      </c>
      <c r="W49" s="190"/>
      <c r="X49" s="190"/>
      <c r="Y49" s="190">
        <f t="shared" si="23"/>
        <v>67.56167763631997</v>
      </c>
      <c r="Z49" s="190"/>
      <c r="AA49" s="190"/>
      <c r="AB49" s="190" t="str">
        <f t="shared" si="24"/>
        <v/>
      </c>
      <c r="AC49" s="190"/>
      <c r="AD49" s="190"/>
      <c r="AE49" s="191" t="str">
        <f t="shared" si="20"/>
        <v/>
      </c>
      <c r="AF49" s="191"/>
      <c r="AG49" s="191"/>
      <c r="AM49" s="55"/>
      <c r="AY49" s="56"/>
      <c r="AZ49" s="56"/>
      <c r="BA49" s="56"/>
      <c r="BB49" s="56">
        <v>13.728</v>
      </c>
    </row>
    <row r="50" spans="2:54" ht="16.5" customHeight="1" x14ac:dyDescent="0.3">
      <c r="B50" s="192">
        <f>IF($F$13&gt;=5,5,"")</f>
        <v>5</v>
      </c>
      <c r="C50" s="192"/>
      <c r="D50" s="191">
        <f t="shared" si="13"/>
        <v>3.5</v>
      </c>
      <c r="E50" s="191"/>
      <c r="F50" s="191"/>
      <c r="G50" s="190">
        <f t="shared" si="14"/>
        <v>645.70000000000005</v>
      </c>
      <c r="H50" s="190"/>
      <c r="I50" s="190"/>
      <c r="J50" s="190">
        <f>IF(G50="","",SUM(G$40:G50))</f>
        <v>2694.5</v>
      </c>
      <c r="K50" s="190"/>
      <c r="L50" s="190"/>
      <c r="M50" s="190">
        <f t="shared" si="15"/>
        <v>274.7625335869028</v>
      </c>
      <c r="N50" s="190"/>
      <c r="O50" s="190"/>
      <c r="P50" s="190">
        <f t="shared" si="16"/>
        <v>490.9</v>
      </c>
      <c r="Q50" s="190"/>
      <c r="R50" s="190"/>
      <c r="S50" s="193">
        <f t="shared" si="21"/>
        <v>13.347799999999999</v>
      </c>
      <c r="T50" s="193"/>
      <c r="U50" s="193"/>
      <c r="V50" s="190">
        <f t="shared" si="22"/>
        <v>36.777596308005812</v>
      </c>
      <c r="W50" s="190"/>
      <c r="X50" s="190"/>
      <c r="Y50" s="190">
        <f t="shared" si="23"/>
        <v>73.264711957628847</v>
      </c>
      <c r="Z50" s="190"/>
      <c r="AA50" s="190"/>
      <c r="AB50" s="190" t="str">
        <f t="shared" si="24"/>
        <v/>
      </c>
      <c r="AC50" s="190"/>
      <c r="AD50" s="190"/>
      <c r="AE50" s="191" t="str">
        <f t="shared" si="20"/>
        <v/>
      </c>
      <c r="AF50" s="191"/>
      <c r="AG50" s="191"/>
      <c r="AM50" s="55"/>
      <c r="AY50" s="56"/>
      <c r="AZ50" s="56"/>
      <c r="BA50" s="56"/>
      <c r="BB50" s="56">
        <v>13.347799999999999</v>
      </c>
    </row>
    <row r="51" spans="2:54" ht="16.5" customHeight="1" x14ac:dyDescent="0.3">
      <c r="B51" s="192">
        <f>IF($F$13&gt;=4,4,"")</f>
        <v>4</v>
      </c>
      <c r="C51" s="192"/>
      <c r="D51" s="191">
        <f t="shared" si="13"/>
        <v>3.5</v>
      </c>
      <c r="E51" s="191"/>
      <c r="F51" s="191"/>
      <c r="G51" s="190">
        <f t="shared" si="14"/>
        <v>652.29999999999995</v>
      </c>
      <c r="H51" s="190"/>
      <c r="I51" s="190"/>
      <c r="J51" s="190">
        <f>IF(G51="","",SUM(G$40:G51))</f>
        <v>3346.8</v>
      </c>
      <c r="K51" s="190"/>
      <c r="L51" s="190"/>
      <c r="M51" s="190">
        <f t="shared" si="15"/>
        <v>341.27862215945305</v>
      </c>
      <c r="N51" s="190"/>
      <c r="O51" s="190"/>
      <c r="P51" s="190">
        <f t="shared" si="16"/>
        <v>552.6</v>
      </c>
      <c r="Q51" s="190"/>
      <c r="R51" s="190"/>
      <c r="S51" s="193">
        <f t="shared" si="21"/>
        <v>12.6417</v>
      </c>
      <c r="T51" s="193"/>
      <c r="U51" s="193"/>
      <c r="V51" s="190">
        <f t="shared" si="22"/>
        <v>43.712475379102493</v>
      </c>
      <c r="W51" s="190"/>
      <c r="X51" s="190"/>
      <c r="Y51" s="190">
        <f t="shared" si="23"/>
        <v>76.563955048859938</v>
      </c>
      <c r="Z51" s="190"/>
      <c r="AA51" s="190"/>
      <c r="AB51" s="190" t="str">
        <f t="shared" si="24"/>
        <v/>
      </c>
      <c r="AC51" s="190"/>
      <c r="AD51" s="190"/>
      <c r="AE51" s="191" t="str">
        <f t="shared" si="20"/>
        <v/>
      </c>
      <c r="AF51" s="191"/>
      <c r="AG51" s="191"/>
      <c r="AM51" s="55"/>
      <c r="AY51" s="56"/>
      <c r="AZ51" s="56"/>
      <c r="BA51" s="56"/>
      <c r="BB51" s="56">
        <v>12.6417</v>
      </c>
    </row>
    <row r="52" spans="2:54" ht="16.5" customHeight="1" x14ac:dyDescent="0.3">
      <c r="B52" s="192">
        <f>IF($F$13&gt;=3,3,"")</f>
        <v>3</v>
      </c>
      <c r="C52" s="192"/>
      <c r="D52" s="191">
        <f t="shared" si="13"/>
        <v>3.5</v>
      </c>
      <c r="E52" s="191"/>
      <c r="F52" s="191"/>
      <c r="G52" s="190">
        <f t="shared" si="14"/>
        <v>678.1</v>
      </c>
      <c r="H52" s="190"/>
      <c r="I52" s="190"/>
      <c r="J52" s="190">
        <f>IF(G52="","",SUM(G$40:G52))</f>
        <v>4024.9</v>
      </c>
      <c r="K52" s="190"/>
      <c r="L52" s="190"/>
      <c r="M52" s="190">
        <f t="shared" si="15"/>
        <v>410.42557856148636</v>
      </c>
      <c r="N52" s="190"/>
      <c r="O52" s="190"/>
      <c r="P52" s="190">
        <f t="shared" si="16"/>
        <v>603.4</v>
      </c>
      <c r="Q52" s="190"/>
      <c r="R52" s="190"/>
      <c r="S52" s="193">
        <f t="shared" si="21"/>
        <v>11.837999999999999</v>
      </c>
      <c r="T52" s="193"/>
      <c r="U52" s="193"/>
      <c r="V52" s="190">
        <f t="shared" si="22"/>
        <v>50.971447879709409</v>
      </c>
      <c r="W52" s="190"/>
      <c r="X52" s="190"/>
      <c r="Y52" s="190">
        <f t="shared" si="23"/>
        <v>78.963815379516078</v>
      </c>
      <c r="Z52" s="190"/>
      <c r="AA52" s="190"/>
      <c r="AB52" s="190" t="str">
        <f t="shared" si="24"/>
        <v/>
      </c>
      <c r="AC52" s="190"/>
      <c r="AD52" s="190"/>
      <c r="AE52" s="191" t="str">
        <f t="shared" si="20"/>
        <v/>
      </c>
      <c r="AF52" s="191"/>
      <c r="AG52" s="191"/>
      <c r="AM52" s="55"/>
      <c r="AY52" s="56"/>
      <c r="AZ52" s="56"/>
      <c r="BA52" s="56"/>
      <c r="BB52" s="56">
        <v>11.837999999999999</v>
      </c>
    </row>
    <row r="53" spans="2:54" ht="16.5" customHeight="1" x14ac:dyDescent="0.3">
      <c r="B53" s="192">
        <f>IF($F$13&gt;=2,2,"")</f>
        <v>2</v>
      </c>
      <c r="C53" s="192"/>
      <c r="D53" s="191">
        <f t="shared" si="13"/>
        <v>3.5</v>
      </c>
      <c r="E53" s="191"/>
      <c r="F53" s="191"/>
      <c r="G53" s="190">
        <f t="shared" si="14"/>
        <v>687.3</v>
      </c>
      <c r="H53" s="190"/>
      <c r="I53" s="190"/>
      <c r="J53" s="190">
        <f>IF(G53="","",SUM(G$40:G53))</f>
        <v>4712.2</v>
      </c>
      <c r="K53" s="190"/>
      <c r="L53" s="190"/>
      <c r="M53" s="190">
        <f t="shared" si="15"/>
        <v>480.51067387945938</v>
      </c>
      <c r="N53" s="190"/>
      <c r="O53" s="190"/>
      <c r="P53" s="190">
        <f t="shared" si="16"/>
        <v>641.79999999999995</v>
      </c>
      <c r="Q53" s="190"/>
      <c r="R53" s="190"/>
      <c r="S53" s="193">
        <f t="shared" si="21"/>
        <v>12.218299999999999</v>
      </c>
      <c r="T53" s="193"/>
      <c r="U53" s="193"/>
      <c r="V53" s="190">
        <f t="shared" si="22"/>
        <v>52.527765728456494</v>
      </c>
      <c r="W53" s="190"/>
      <c r="X53" s="190"/>
      <c r="Y53" s="190">
        <f t="shared" si="23"/>
        <v>89.70874612028669</v>
      </c>
      <c r="Z53" s="190"/>
      <c r="AA53" s="190"/>
      <c r="AB53" s="190" t="str">
        <f t="shared" si="24"/>
        <v/>
      </c>
      <c r="AC53" s="190"/>
      <c r="AD53" s="190"/>
      <c r="AE53" s="191" t="str">
        <f t="shared" si="20"/>
        <v/>
      </c>
      <c r="AF53" s="191"/>
      <c r="AG53" s="191"/>
      <c r="AM53" s="55"/>
      <c r="AY53" s="56"/>
      <c r="AZ53" s="56"/>
      <c r="BA53" s="56"/>
      <c r="BB53" s="56">
        <v>12.218299999999999</v>
      </c>
    </row>
    <row r="54" spans="2:54" ht="16.5" customHeight="1" x14ac:dyDescent="0.3">
      <c r="B54" s="192">
        <f>IF($F$13&gt;=1,1,"")</f>
        <v>1</v>
      </c>
      <c r="C54" s="192"/>
      <c r="D54" s="191">
        <f t="shared" si="13"/>
        <v>5.3</v>
      </c>
      <c r="E54" s="191"/>
      <c r="F54" s="191"/>
      <c r="G54" s="190">
        <f t="shared" si="14"/>
        <v>782.7</v>
      </c>
      <c r="H54" s="190"/>
      <c r="I54" s="190"/>
      <c r="J54" s="190">
        <f>IF(G54="","",SUM(G$40:G54))</f>
        <v>5494.9</v>
      </c>
      <c r="K54" s="190"/>
      <c r="L54" s="190"/>
      <c r="M54" s="190">
        <f t="shared" si="15"/>
        <v>560.3238618692418</v>
      </c>
      <c r="N54" s="190"/>
      <c r="O54" s="190"/>
      <c r="P54" s="190">
        <f t="shared" si="16"/>
        <v>669.9</v>
      </c>
      <c r="Q54" s="190"/>
      <c r="R54" s="190"/>
      <c r="S54" s="193">
        <f t="shared" si="21"/>
        <v>21.7258</v>
      </c>
      <c r="T54" s="193"/>
      <c r="U54" s="193"/>
      <c r="V54" s="190">
        <f t="shared" si="22"/>
        <v>30.834307597418736</v>
      </c>
      <c r="W54" s="190"/>
      <c r="X54" s="190"/>
      <c r="Y54" s="190">
        <f t="shared" si="23"/>
        <v>178.20734202119718</v>
      </c>
      <c r="Z54" s="190"/>
      <c r="AA54" s="190"/>
      <c r="AB54" s="190" t="str">
        <f t="shared" si="24"/>
        <v/>
      </c>
      <c r="AC54" s="190"/>
      <c r="AD54" s="190"/>
      <c r="AE54" s="191" t="str">
        <f t="shared" si="20"/>
        <v/>
      </c>
      <c r="AF54" s="191"/>
      <c r="AG54" s="191"/>
      <c r="AM54" s="55"/>
      <c r="AY54" s="56"/>
      <c r="AZ54" s="56"/>
      <c r="BA54" s="56"/>
      <c r="BB54" s="56">
        <v>21.7258</v>
      </c>
    </row>
  </sheetData>
  <mergeCells count="416">
    <mergeCell ref="M20:O20"/>
    <mergeCell ref="R16:S16"/>
    <mergeCell ref="AG12:AI12"/>
    <mergeCell ref="AD16:AF16"/>
    <mergeCell ref="AG16:AI16"/>
    <mergeCell ref="T14:U14"/>
    <mergeCell ref="T15:U15"/>
    <mergeCell ref="V15:X15"/>
    <mergeCell ref="Y15:AA15"/>
    <mergeCell ref="AB15:AC15"/>
    <mergeCell ref="AD15:AF15"/>
    <mergeCell ref="AG17:AI17"/>
    <mergeCell ref="T16:U16"/>
    <mergeCell ref="V16:X16"/>
    <mergeCell ref="Y16:AA16"/>
    <mergeCell ref="AB16:AC16"/>
    <mergeCell ref="T17:U17"/>
    <mergeCell ref="V17:X17"/>
    <mergeCell ref="Y17:AA17"/>
    <mergeCell ref="AB17:AC17"/>
    <mergeCell ref="Y19:AA19"/>
    <mergeCell ref="AG14:AI14"/>
    <mergeCell ref="AE19:AG19"/>
    <mergeCell ref="Y20:AA20"/>
    <mergeCell ref="AE22:AG22"/>
    <mergeCell ref="AB23:AD23"/>
    <mergeCell ref="AE23:AG23"/>
    <mergeCell ref="AE24:AG24"/>
    <mergeCell ref="AB25:AD25"/>
    <mergeCell ref="AE25:AG25"/>
    <mergeCell ref="AB26:AD26"/>
    <mergeCell ref="AE26:AG26"/>
    <mergeCell ref="AB21:AD21"/>
    <mergeCell ref="B25:C25"/>
    <mergeCell ref="D25:F25"/>
    <mergeCell ref="B21:C21"/>
    <mergeCell ref="B22:C22"/>
    <mergeCell ref="AD17:AF17"/>
    <mergeCell ref="B23:C23"/>
    <mergeCell ref="B28:C28"/>
    <mergeCell ref="D27:F27"/>
    <mergeCell ref="D28:F28"/>
    <mergeCell ref="V21:X21"/>
    <mergeCell ref="V19:X19"/>
    <mergeCell ref="V20:X20"/>
    <mergeCell ref="S19:U19"/>
    <mergeCell ref="S20:U20"/>
    <mergeCell ref="V23:X23"/>
    <mergeCell ref="V24:X24"/>
    <mergeCell ref="V25:X25"/>
    <mergeCell ref="V26:X26"/>
    <mergeCell ref="V22:X22"/>
    <mergeCell ref="AB19:AD19"/>
    <mergeCell ref="AB24:AD24"/>
    <mergeCell ref="AB27:AD27"/>
    <mergeCell ref="AE21:AG21"/>
    <mergeCell ref="AB22:AD22"/>
    <mergeCell ref="B26:C26"/>
    <mergeCell ref="G22:I22"/>
    <mergeCell ref="D30:F30"/>
    <mergeCell ref="J21:L21"/>
    <mergeCell ref="G21:I21"/>
    <mergeCell ref="B35:C35"/>
    <mergeCell ref="D19:F19"/>
    <mergeCell ref="D20:F20"/>
    <mergeCell ref="B33:C33"/>
    <mergeCell ref="B34:C34"/>
    <mergeCell ref="D21:F21"/>
    <mergeCell ref="D22:F22"/>
    <mergeCell ref="B31:C31"/>
    <mergeCell ref="B32:C32"/>
    <mergeCell ref="B27:C27"/>
    <mergeCell ref="D31:F31"/>
    <mergeCell ref="D32:F32"/>
    <mergeCell ref="D23:F23"/>
    <mergeCell ref="D24:F24"/>
    <mergeCell ref="G30:I30"/>
    <mergeCell ref="G31:I31"/>
    <mergeCell ref="G32:I32"/>
    <mergeCell ref="B24:C24"/>
    <mergeCell ref="B19:C20"/>
    <mergeCell ref="S21:U21"/>
    <mergeCell ref="S22:U22"/>
    <mergeCell ref="G23:I23"/>
    <mergeCell ref="G24:I24"/>
    <mergeCell ref="G25:I25"/>
    <mergeCell ref="G26:I26"/>
    <mergeCell ref="S27:U27"/>
    <mergeCell ref="J23:L23"/>
    <mergeCell ref="J24:L24"/>
    <mergeCell ref="P22:R22"/>
    <mergeCell ref="J22:L22"/>
    <mergeCell ref="M21:O21"/>
    <mergeCell ref="M22:O22"/>
    <mergeCell ref="M26:O26"/>
    <mergeCell ref="P23:R23"/>
    <mergeCell ref="J25:L25"/>
    <mergeCell ref="M25:O25"/>
    <mergeCell ref="P24:R24"/>
    <mergeCell ref="P25:R25"/>
    <mergeCell ref="P26:R26"/>
    <mergeCell ref="M23:O23"/>
    <mergeCell ref="M24:O24"/>
    <mergeCell ref="D26:F26"/>
    <mergeCell ref="S23:U23"/>
    <mergeCell ref="S24:U24"/>
    <mergeCell ref="S25:U25"/>
    <mergeCell ref="S26:U26"/>
    <mergeCell ref="P27:R27"/>
    <mergeCell ref="M28:O28"/>
    <mergeCell ref="M27:O27"/>
    <mergeCell ref="J26:L26"/>
    <mergeCell ref="J27:L27"/>
    <mergeCell ref="AB40:AD40"/>
    <mergeCell ref="V32:X32"/>
    <mergeCell ref="V27:X27"/>
    <mergeCell ref="V28:X28"/>
    <mergeCell ref="V29:X29"/>
    <mergeCell ref="V30:X30"/>
    <mergeCell ref="D29:F29"/>
    <mergeCell ref="G27:I27"/>
    <mergeCell ref="G28:I28"/>
    <mergeCell ref="G29:I29"/>
    <mergeCell ref="D38:F38"/>
    <mergeCell ref="G38:I38"/>
    <mergeCell ref="AB31:AD31"/>
    <mergeCell ref="J40:L40"/>
    <mergeCell ref="M40:O40"/>
    <mergeCell ref="P40:R40"/>
    <mergeCell ref="Y22:AA22"/>
    <mergeCell ref="Y23:AA23"/>
    <mergeCell ref="Y25:AA25"/>
    <mergeCell ref="Y26:AA26"/>
    <mergeCell ref="S31:U31"/>
    <mergeCell ref="S32:U32"/>
    <mergeCell ref="S33:U33"/>
    <mergeCell ref="S29:U29"/>
    <mergeCell ref="S30:U30"/>
    <mergeCell ref="S28:U28"/>
    <mergeCell ref="AB20:AD20"/>
    <mergeCell ref="AE20:AG20"/>
    <mergeCell ref="B41:C41"/>
    <mergeCell ref="D41:F41"/>
    <mergeCell ref="G41:I41"/>
    <mergeCell ref="J41:L41"/>
    <mergeCell ref="M41:O41"/>
    <mergeCell ref="P41:R41"/>
    <mergeCell ref="S40:U40"/>
    <mergeCell ref="V40:X40"/>
    <mergeCell ref="Y40:AA40"/>
    <mergeCell ref="V33:X33"/>
    <mergeCell ref="V34:X34"/>
    <mergeCell ref="S35:U35"/>
    <mergeCell ref="V39:X39"/>
    <mergeCell ref="Y39:AA39"/>
    <mergeCell ref="Y35:AA35"/>
    <mergeCell ref="S38:U38"/>
    <mergeCell ref="Y21:AA21"/>
    <mergeCell ref="AE40:AG40"/>
    <mergeCell ref="V35:X35"/>
    <mergeCell ref="B40:C40"/>
    <mergeCell ref="D40:F40"/>
    <mergeCell ref="G40:I40"/>
    <mergeCell ref="AE38:AG38"/>
    <mergeCell ref="D35:F35"/>
    <mergeCell ref="AB39:AD39"/>
    <mergeCell ref="AE39:AG39"/>
    <mergeCell ref="AB38:AD38"/>
    <mergeCell ref="D39:F39"/>
    <mergeCell ref="G39:I39"/>
    <mergeCell ref="J39:L39"/>
    <mergeCell ref="M39:O39"/>
    <mergeCell ref="P39:R39"/>
    <mergeCell ref="S39:U39"/>
    <mergeCell ref="V38:X38"/>
    <mergeCell ref="Y38:AA38"/>
    <mergeCell ref="M38:O38"/>
    <mergeCell ref="P38:R38"/>
    <mergeCell ref="AB35:AD35"/>
    <mergeCell ref="B38:C39"/>
    <mergeCell ref="G35:I35"/>
    <mergeCell ref="G33:I33"/>
    <mergeCell ref="G34:I34"/>
    <mergeCell ref="J28:L28"/>
    <mergeCell ref="J29:L29"/>
    <mergeCell ref="P31:R31"/>
    <mergeCell ref="J30:L30"/>
    <mergeCell ref="P28:R28"/>
    <mergeCell ref="P29:R29"/>
    <mergeCell ref="P30:R30"/>
    <mergeCell ref="M29:O29"/>
    <mergeCell ref="J35:L35"/>
    <mergeCell ref="P32:R32"/>
    <mergeCell ref="P34:R34"/>
    <mergeCell ref="D34:F34"/>
    <mergeCell ref="D33:F33"/>
    <mergeCell ref="J32:L32"/>
    <mergeCell ref="J34:L34"/>
    <mergeCell ref="P35:R35"/>
    <mergeCell ref="M35:O35"/>
    <mergeCell ref="B29:C29"/>
    <mergeCell ref="B30:C30"/>
    <mergeCell ref="AE32:AG32"/>
    <mergeCell ref="Y30:AA30"/>
    <mergeCell ref="AB30:AD30"/>
    <mergeCell ref="AE30:AG30"/>
    <mergeCell ref="Y31:AA31"/>
    <mergeCell ref="AB32:AD32"/>
    <mergeCell ref="Y34:AA34"/>
    <mergeCell ref="AE31:AG31"/>
    <mergeCell ref="J31:L31"/>
    <mergeCell ref="J33:L33"/>
    <mergeCell ref="P33:R33"/>
    <mergeCell ref="M30:O30"/>
    <mergeCell ref="M31:O31"/>
    <mergeCell ref="M32:O32"/>
    <mergeCell ref="AB34:AD34"/>
    <mergeCell ref="M34:O34"/>
    <mergeCell ref="M33:O33"/>
    <mergeCell ref="AB14:AC14"/>
    <mergeCell ref="AG15:AI15"/>
    <mergeCell ref="Y33:AA33"/>
    <mergeCell ref="AB33:AD33"/>
    <mergeCell ref="AE33:AG33"/>
    <mergeCell ref="P21:R21"/>
    <mergeCell ref="Y32:AA32"/>
    <mergeCell ref="AE35:AG35"/>
    <mergeCell ref="V13:X13"/>
    <mergeCell ref="Y14:AA14"/>
    <mergeCell ref="V14:X14"/>
    <mergeCell ref="Y13:AA13"/>
    <mergeCell ref="AD13:AF13"/>
    <mergeCell ref="AD14:AF14"/>
    <mergeCell ref="AB13:AC13"/>
    <mergeCell ref="AE28:AG28"/>
    <mergeCell ref="Y29:AA29"/>
    <mergeCell ref="AB29:AD29"/>
    <mergeCell ref="AE29:AG29"/>
    <mergeCell ref="S34:U34"/>
    <mergeCell ref="Y24:AA24"/>
    <mergeCell ref="Y27:AA27"/>
    <mergeCell ref="V31:X31"/>
    <mergeCell ref="Y28:AA28"/>
    <mergeCell ref="G6:G7"/>
    <mergeCell ref="H6:H7"/>
    <mergeCell ref="G9:H10"/>
    <mergeCell ref="M19:O19"/>
    <mergeCell ref="I14:K14"/>
    <mergeCell ref="M14:N14"/>
    <mergeCell ref="O14:P14"/>
    <mergeCell ref="D14:H14"/>
    <mergeCell ref="F8:F9"/>
    <mergeCell ref="D8:E9"/>
    <mergeCell ref="D13:E13"/>
    <mergeCell ref="L13:N13"/>
    <mergeCell ref="O13:P13"/>
    <mergeCell ref="J19:L19"/>
    <mergeCell ref="P19:R19"/>
    <mergeCell ref="R13:S13"/>
    <mergeCell ref="R14:S14"/>
    <mergeCell ref="J20:L20"/>
    <mergeCell ref="G19:I19"/>
    <mergeCell ref="Y41:AA41"/>
    <mergeCell ref="AB41:AD41"/>
    <mergeCell ref="AE41:AG41"/>
    <mergeCell ref="B42:C42"/>
    <mergeCell ref="D42:F42"/>
    <mergeCell ref="G42:I42"/>
    <mergeCell ref="J42:L42"/>
    <mergeCell ref="M42:O42"/>
    <mergeCell ref="P42:R42"/>
    <mergeCell ref="S42:U42"/>
    <mergeCell ref="V42:X42"/>
    <mergeCell ref="Y42:AA42"/>
    <mergeCell ref="AB42:AD42"/>
    <mergeCell ref="AE42:AG42"/>
    <mergeCell ref="S41:U41"/>
    <mergeCell ref="V41:X41"/>
    <mergeCell ref="AE27:AG27"/>
    <mergeCell ref="AB28:AD28"/>
    <mergeCell ref="G20:I20"/>
    <mergeCell ref="P20:R20"/>
    <mergeCell ref="J38:L38"/>
    <mergeCell ref="AE34:AG34"/>
    <mergeCell ref="AB43:AD43"/>
    <mergeCell ref="AE43:AG43"/>
    <mergeCell ref="B44:C44"/>
    <mergeCell ref="D44:F44"/>
    <mergeCell ref="G44:I44"/>
    <mergeCell ref="J44:L44"/>
    <mergeCell ref="M44:O44"/>
    <mergeCell ref="P44:R44"/>
    <mergeCell ref="S44:U44"/>
    <mergeCell ref="V44:X44"/>
    <mergeCell ref="Y44:AA44"/>
    <mergeCell ref="AB44:AD44"/>
    <mergeCell ref="AE44:AG44"/>
    <mergeCell ref="B43:C43"/>
    <mergeCell ref="D43:F43"/>
    <mergeCell ref="G43:I43"/>
    <mergeCell ref="J43:L43"/>
    <mergeCell ref="M43:O43"/>
    <mergeCell ref="P43:R43"/>
    <mergeCell ref="S43:U43"/>
    <mergeCell ref="V43:X43"/>
    <mergeCell ref="Y43:AA43"/>
    <mergeCell ref="AB45:AD45"/>
    <mergeCell ref="AE45:AG45"/>
    <mergeCell ref="B46:C46"/>
    <mergeCell ref="D46:F46"/>
    <mergeCell ref="G46:I46"/>
    <mergeCell ref="J46:L46"/>
    <mergeCell ref="M46:O46"/>
    <mergeCell ref="P46:R46"/>
    <mergeCell ref="S46:U46"/>
    <mergeCell ref="V46:X46"/>
    <mergeCell ref="Y46:AA46"/>
    <mergeCell ref="AB46:AD46"/>
    <mergeCell ref="AE46:AG46"/>
    <mergeCell ref="B45:C45"/>
    <mergeCell ref="D45:F45"/>
    <mergeCell ref="G45:I45"/>
    <mergeCell ref="J45:L45"/>
    <mergeCell ref="M45:O45"/>
    <mergeCell ref="P45:R45"/>
    <mergeCell ref="S45:U45"/>
    <mergeCell ref="V45:X45"/>
    <mergeCell ref="Y45:AA45"/>
    <mergeCell ref="AB47:AD47"/>
    <mergeCell ref="AE47:AG47"/>
    <mergeCell ref="B48:C48"/>
    <mergeCell ref="D48:F48"/>
    <mergeCell ref="G48:I48"/>
    <mergeCell ref="J48:L48"/>
    <mergeCell ref="M48:O48"/>
    <mergeCell ref="P48:R48"/>
    <mergeCell ref="S48:U48"/>
    <mergeCell ref="V48:X48"/>
    <mergeCell ref="Y48:AA48"/>
    <mergeCell ref="AB48:AD48"/>
    <mergeCell ref="AE48:AG48"/>
    <mergeCell ref="B47:C47"/>
    <mergeCell ref="D47:F47"/>
    <mergeCell ref="G47:I47"/>
    <mergeCell ref="J47:L47"/>
    <mergeCell ref="M47:O47"/>
    <mergeCell ref="P47:R47"/>
    <mergeCell ref="S47:U47"/>
    <mergeCell ref="V47:X47"/>
    <mergeCell ref="Y47:AA47"/>
    <mergeCell ref="AB49:AD49"/>
    <mergeCell ref="AE49:AG49"/>
    <mergeCell ref="B50:C50"/>
    <mergeCell ref="D50:F50"/>
    <mergeCell ref="G50:I50"/>
    <mergeCell ref="J50:L50"/>
    <mergeCell ref="M50:O50"/>
    <mergeCell ref="P50:R50"/>
    <mergeCell ref="S50:U50"/>
    <mergeCell ref="V50:X50"/>
    <mergeCell ref="Y50:AA50"/>
    <mergeCell ref="AB50:AD50"/>
    <mergeCell ref="AE50:AG50"/>
    <mergeCell ref="B49:C49"/>
    <mergeCell ref="D49:F49"/>
    <mergeCell ref="G49:I49"/>
    <mergeCell ref="J49:L49"/>
    <mergeCell ref="M49:O49"/>
    <mergeCell ref="P49:R49"/>
    <mergeCell ref="S49:U49"/>
    <mergeCell ref="V49:X49"/>
    <mergeCell ref="Y49:AA49"/>
    <mergeCell ref="AB51:AD51"/>
    <mergeCell ref="AE51:AG51"/>
    <mergeCell ref="B52:C52"/>
    <mergeCell ref="D52:F52"/>
    <mergeCell ref="G52:I52"/>
    <mergeCell ref="J52:L52"/>
    <mergeCell ref="Y52:AA52"/>
    <mergeCell ref="AE52:AG52"/>
    <mergeCell ref="M52:O52"/>
    <mergeCell ref="P52:R52"/>
    <mergeCell ref="S52:U52"/>
    <mergeCell ref="V52:X52"/>
    <mergeCell ref="B51:C51"/>
    <mergeCell ref="D51:F51"/>
    <mergeCell ref="G51:I51"/>
    <mergeCell ref="J51:L51"/>
    <mergeCell ref="M51:O51"/>
    <mergeCell ref="P51:R51"/>
    <mergeCell ref="S51:U51"/>
    <mergeCell ref="V51:X51"/>
    <mergeCell ref="Y51:AA51"/>
    <mergeCell ref="B53:C53"/>
    <mergeCell ref="D53:F53"/>
    <mergeCell ref="G53:I53"/>
    <mergeCell ref="J53:L53"/>
    <mergeCell ref="M53:O53"/>
    <mergeCell ref="P53:R53"/>
    <mergeCell ref="S53:U53"/>
    <mergeCell ref="B54:C54"/>
    <mergeCell ref="D54:F54"/>
    <mergeCell ref="G54:I54"/>
    <mergeCell ref="J54:L54"/>
    <mergeCell ref="M54:O54"/>
    <mergeCell ref="P54:R54"/>
    <mergeCell ref="S54:U54"/>
    <mergeCell ref="V54:X54"/>
    <mergeCell ref="Y54:AA54"/>
    <mergeCell ref="AB54:AD54"/>
    <mergeCell ref="AE54:AG54"/>
    <mergeCell ref="V53:X53"/>
    <mergeCell ref="Y53:AA53"/>
    <mergeCell ref="AB53:AD53"/>
    <mergeCell ref="AE53:AG53"/>
    <mergeCell ref="AB52:AD52"/>
  </mergeCells>
  <phoneticPr fontId="2"/>
  <conditionalFormatting sqref="AG14:AI17">
    <cfRule type="cellIs" dxfId="0" priority="1" stopIfTrue="1" operator="lessThan">
      <formula>0.75</formula>
    </cfRule>
  </conditionalFormatting>
  <pageMargins left="0.78740157480314965" right="0.59055118110236227" top="0.78740157480314965" bottom="0.78740157480314965" header="0.39370078740157483" footer="0.39370078740157483"/>
  <pageSetup paperSize="9" scale="83"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ready</vt:lpstr>
      <vt:lpstr>固有周期</vt:lpstr>
      <vt:lpstr>必要損傷限界耐力</vt:lpstr>
      <vt:lpstr>損傷限界GS</vt:lpstr>
      <vt:lpstr>安全限界GS</vt:lpstr>
      <vt:lpstr>teigen</vt:lpstr>
      <vt:lpstr>gensui</vt:lpstr>
      <vt:lpstr>gravity</vt:lpstr>
      <vt:lpstr>jacobi</vt:lpstr>
      <vt:lpstr>限界耐力　原本 (2)</vt:lpstr>
      <vt:lpstr>転倒</vt:lpstr>
      <vt:lpstr>重力式</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Makoto Matsushita</dc:creator>
  <cp:keywords/>
  <dc:description/>
  <cp:lastModifiedBy>Administrator</cp:lastModifiedBy>
  <cp:revision/>
  <cp:lastPrinted>2020-01-17T05:44:32Z</cp:lastPrinted>
  <dcterms:created xsi:type="dcterms:W3CDTF">2009-09-11T02:32:46Z</dcterms:created>
  <dcterms:modified xsi:type="dcterms:W3CDTF">2022-03-16T04:25:11Z</dcterms:modified>
  <cp:category/>
  <cp:contentStatus/>
</cp:coreProperties>
</file>